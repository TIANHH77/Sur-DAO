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mineduca-my.sharepoint.com/personal/rodrigo_rolando_mineduc_cl/Documents/Documentos/2025/Informes/Movilidad Regional/"/>
    </mc:Choice>
  </mc:AlternateContent>
  <xr:revisionPtr revIDLastSave="0" documentId="8_{D3D5ED9E-EA08-4882-98A4-2F001C412C83}" xr6:coauthVersionLast="47" xr6:coauthVersionMax="47" xr10:uidLastSave="{00000000-0000-0000-0000-000000000000}"/>
  <bookViews>
    <workbookView xWindow="-120" yWindow="-120" windowWidth="29040" windowHeight="15720" xr2:uid="{3D9FF46E-5FCB-4A97-98FC-0555A5F587EB}"/>
  </bookViews>
  <sheets>
    <sheet name="Índice" sheetId="1" r:id="rId1"/>
    <sheet name="Anexo Movilidad Regiona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2" l="1"/>
  <c r="R8" i="2"/>
  <c r="R9" i="2"/>
  <c r="R10" i="2"/>
  <c r="R11" i="2"/>
  <c r="R12" i="2"/>
  <c r="R13" i="2"/>
  <c r="R14" i="2"/>
  <c r="R15" i="2"/>
  <c r="R16" i="2"/>
  <c r="R17" i="2"/>
  <c r="R18" i="2"/>
  <c r="R6" i="2"/>
</calcChain>
</file>

<file path=xl/sharedStrings.xml><?xml version="1.0" encoding="utf-8"?>
<sst xmlns="http://schemas.openxmlformats.org/spreadsheetml/2006/main" count="121" uniqueCount="33">
  <si>
    <t xml:space="preserve">Hoja </t>
  </si>
  <si>
    <t>Tabla</t>
  </si>
  <si>
    <t>Contenido</t>
  </si>
  <si>
    <t>Índice de tablas</t>
  </si>
  <si>
    <t>NOTA: En caso de utilizar datos de esta base para notas periodísticas o estudios, se debe citar como fuente de los datos al Servicio de Información de Educación Superior (SIES), de Mineduc</t>
  </si>
  <si>
    <t>Región de estudiantes de pregrado con matrícula presencial en educación superior</t>
  </si>
  <si>
    <t>Región egreso EM</t>
  </si>
  <si>
    <t>Total</t>
  </si>
  <si>
    <t xml:space="preserve">Total </t>
  </si>
  <si>
    <t>Arica y Parinacota</t>
  </si>
  <si>
    <t>Tarapacá</t>
  </si>
  <si>
    <t>Antofagasta</t>
  </si>
  <si>
    <t>Atacama</t>
  </si>
  <si>
    <t>Coquimbo</t>
  </si>
  <si>
    <t>Valparaíso</t>
  </si>
  <si>
    <t>Metropolitana</t>
  </si>
  <si>
    <t>Lib. Gral B. O'Higgins</t>
  </si>
  <si>
    <t>Maule</t>
  </si>
  <si>
    <t>Ñuble</t>
  </si>
  <si>
    <t>Biobío</t>
  </si>
  <si>
    <t>La Araucanía</t>
  </si>
  <si>
    <t>Los Ríos</t>
  </si>
  <si>
    <t>Los Lagos</t>
  </si>
  <si>
    <t>Aysén</t>
  </si>
  <si>
    <t>Magallanes</t>
  </si>
  <si>
    <t>Matrícula de región de egreso de EM de los y las estudiantes y región de matrícula de pregrado presencial de ES 2024</t>
  </si>
  <si>
    <t xml:space="preserve">Arica y Parinacota </t>
  </si>
  <si>
    <t>O’Higgins</t>
  </si>
  <si>
    <t>MOVILIDAD REGIONAL 2025</t>
  </si>
  <si>
    <t>ANEXO MOVILIDAD REGIONAL 2025</t>
  </si>
  <si>
    <t>Matrícula de región de egreso de EM de los y las estudiantes y región de matrícula de pregrado presencial de ES 2025</t>
  </si>
  <si>
    <t>Distribución porcentual de la matrícula de pregrado de educación superior 2025 por cada región, según región de egreso de enseñanza media de los y las estudiantes</t>
  </si>
  <si>
    <t>Distribución porcentual por cada región del total de estudiantes egresados de EM de la región que están matriculados en 2025 en pregrado de educación superior, según región de egreso de enseñanza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</si>
</sst>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26"/>
      <color theme="1"/>
      <name val="Calibri"/>
      <family val="2"/>
      <scheme val="minor"/>
    </font>
    <font>
      <b/>
      <sz val="12"/>
      <color theme="1"/>
      <name val="Calibri"/>
      <family val="2"/>
      <scheme val="minor"/>
    </font>
    <font>
      <b/>
      <sz val="16"/>
      <color theme="1"/>
      <name val="Calibri"/>
      <family val="2"/>
      <scheme val="minor"/>
    </font>
    <font>
      <sz val="10"/>
      <color theme="1"/>
      <name val="Calibri"/>
      <family val="2"/>
      <scheme val="minor"/>
    </font>
    <font>
      <b/>
      <sz val="10"/>
      <color theme="1"/>
      <name val="Calibri"/>
      <family val="2"/>
      <scheme val="minor"/>
    </font>
    <font>
      <b/>
      <sz val="9"/>
      <color rgb="FFFF0000"/>
      <name val="Calibri"/>
      <family val="2"/>
      <scheme val="minor"/>
    </font>
    <font>
      <sz val="10"/>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8">
    <xf numFmtId="0" fontId="0" fillId="0" borderId="0" xfId="0"/>
    <xf numFmtId="0" fontId="0" fillId="2" borderId="0" xfId="0" applyFill="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vertical="center"/>
    </xf>
    <xf numFmtId="0" fontId="0" fillId="2" borderId="0" xfId="0" applyFill="1" applyAlignment="1">
      <alignment vertical="center"/>
    </xf>
    <xf numFmtId="0" fontId="5" fillId="2" borderId="0" xfId="0" applyFont="1" applyFill="1" applyAlignment="1">
      <alignment vertical="center"/>
    </xf>
    <xf numFmtId="0" fontId="0" fillId="2" borderId="0" xfId="0" applyFill="1"/>
    <xf numFmtId="0" fontId="3" fillId="0" borderId="0" xfId="2"/>
    <xf numFmtId="0" fontId="4" fillId="2" borderId="0" xfId="0" applyFont="1" applyFill="1" applyAlignment="1">
      <alignment horizontal="left" vertical="center"/>
    </xf>
    <xf numFmtId="0" fontId="6" fillId="2" borderId="0" xfId="0" applyFont="1" applyFill="1"/>
    <xf numFmtId="0" fontId="7" fillId="2" borderId="0" xfId="0" applyFont="1" applyFill="1"/>
    <xf numFmtId="0" fontId="8" fillId="2" borderId="0" xfId="0" applyFont="1" applyFill="1"/>
    <xf numFmtId="0" fontId="8" fillId="2" borderId="1" xfId="0" applyFont="1" applyFill="1" applyBorder="1" applyAlignment="1">
      <alignment horizontal="center"/>
    </xf>
    <xf numFmtId="0" fontId="8" fillId="2" borderId="1" xfId="0" applyFont="1" applyFill="1" applyBorder="1" applyAlignment="1">
      <alignment horizontal="left"/>
    </xf>
    <xf numFmtId="3" fontId="7" fillId="2" borderId="1" xfId="0" applyNumberFormat="1" applyFont="1" applyFill="1" applyBorder="1" applyAlignment="1">
      <alignment horizontal="center"/>
    </xf>
    <xf numFmtId="3" fontId="8" fillId="2" borderId="1" xfId="0" applyNumberFormat="1" applyFont="1" applyFill="1" applyBorder="1" applyAlignment="1">
      <alignment horizontal="center"/>
    </xf>
    <xf numFmtId="164" fontId="7" fillId="2" borderId="1" xfId="1" applyNumberFormat="1" applyFont="1" applyFill="1" applyBorder="1" applyAlignment="1">
      <alignment horizontal="center"/>
    </xf>
    <xf numFmtId="9" fontId="8" fillId="2" borderId="1" xfId="1" applyFont="1" applyFill="1" applyBorder="1" applyAlignment="1">
      <alignment horizontal="center"/>
    </xf>
    <xf numFmtId="0" fontId="8" fillId="3" borderId="1" xfId="0" applyFont="1" applyFill="1" applyBorder="1" applyAlignment="1">
      <alignment horizontal="center"/>
    </xf>
    <xf numFmtId="0" fontId="8" fillId="3" borderId="1" xfId="0" applyFont="1" applyFill="1" applyBorder="1" applyAlignment="1">
      <alignment horizontal="left"/>
    </xf>
    <xf numFmtId="0" fontId="8" fillId="3" borderId="1" xfId="0" applyFont="1" applyFill="1" applyBorder="1" applyAlignment="1">
      <alignment horizontal="center" vertical="center" textRotation="90" wrapText="1"/>
    </xf>
    <xf numFmtId="0" fontId="9" fillId="2" borderId="0" xfId="0" applyFont="1" applyFill="1" applyAlignment="1">
      <alignment vertical="center"/>
    </xf>
    <xf numFmtId="3" fontId="10" fillId="2" borderId="0" xfId="0" applyNumberFormat="1" applyFont="1" applyFill="1"/>
    <xf numFmtId="164" fontId="7" fillId="2" borderId="0" xfId="1" applyNumberFormat="1" applyFont="1" applyFill="1"/>
    <xf numFmtId="3" fontId="7" fillId="2" borderId="0" xfId="0" applyNumberFormat="1" applyFont="1" applyFill="1"/>
    <xf numFmtId="0" fontId="8" fillId="3" borderId="1" xfId="0" applyFont="1" applyFill="1" applyBorder="1" applyAlignment="1">
      <alignment horizont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3409949</xdr:colOff>
      <xdr:row>0</xdr:row>
      <xdr:rowOff>0</xdr:rowOff>
    </xdr:from>
    <xdr:to>
      <xdr:col>2</xdr:col>
      <xdr:colOff>4486274</xdr:colOff>
      <xdr:row>1</xdr:row>
      <xdr:rowOff>36204</xdr:rowOff>
    </xdr:to>
    <xdr:pic>
      <xdr:nvPicPr>
        <xdr:cNvPr id="2" name="Imagen 1">
          <a:extLst>
            <a:ext uri="{FF2B5EF4-FFF2-40B4-BE49-F238E27FC236}">
              <a16:creationId xmlns:a16="http://schemas.microsoft.com/office/drawing/2014/main" id="{378DB320-19CE-4B00-8DF2-C4F648C849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57749" y="0"/>
          <a:ext cx="1076325" cy="855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514350</xdr:colOff>
      <xdr:row>0</xdr:row>
      <xdr:rowOff>66675</xdr:rowOff>
    </xdr:from>
    <xdr:to>
      <xdr:col>4</xdr:col>
      <xdr:colOff>34430</xdr:colOff>
      <xdr:row>1</xdr:row>
      <xdr:rowOff>2691</xdr:rowOff>
    </xdr:to>
    <xdr:pic>
      <xdr:nvPicPr>
        <xdr:cNvPr id="2" name="Imagen 1" descr="Logotipo&#10;&#10;Descripción generada automáticamente con confianza media">
          <a:extLst>
            <a:ext uri="{FF2B5EF4-FFF2-40B4-BE49-F238E27FC236}">
              <a16:creationId xmlns:a16="http://schemas.microsoft.com/office/drawing/2014/main" id="{3D602CE1-3653-4802-A2E7-B9AFD44C6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3225" y="66675"/>
          <a:ext cx="1044080" cy="717066"/>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FCE18-A920-468B-ADD0-B585C418BC96}">
  <dimension ref="A1:G312"/>
  <sheetViews>
    <sheetView tabSelected="1" workbookViewId="0">
      <pane ySplit="1" topLeftCell="A2" activePane="bottomLeft" state="frozen"/>
      <selection pane="bottomLeft" activeCell="C4" sqref="C4"/>
    </sheetView>
  </sheetViews>
  <sheetFormatPr baseColWidth="10" defaultColWidth="10.85546875" defaultRowHeight="15" x14ac:dyDescent="0.25"/>
  <cols>
    <col min="1" max="2" width="10.85546875" style="1"/>
    <col min="3" max="3" width="79" style="4" customWidth="1"/>
    <col min="4" max="16384" width="10.85546875" style="4"/>
  </cols>
  <sheetData>
    <row r="1" spans="1:3" ht="64.5" customHeight="1" x14ac:dyDescent="0.25">
      <c r="A1" s="8" t="s">
        <v>28</v>
      </c>
    </row>
    <row r="3" spans="1:3" x14ac:dyDescent="0.25">
      <c r="A3" s="2" t="s">
        <v>0</v>
      </c>
      <c r="B3" s="2" t="s">
        <v>1</v>
      </c>
      <c r="C3" s="3" t="s">
        <v>2</v>
      </c>
    </row>
    <row r="4" spans="1:3" x14ac:dyDescent="0.25">
      <c r="A4" s="1">
        <v>1</v>
      </c>
      <c r="B4" s="1">
        <v>1</v>
      </c>
      <c r="C4" s="4" t="s">
        <v>3</v>
      </c>
    </row>
    <row r="6" spans="1:3" ht="15.75" x14ac:dyDescent="0.25">
      <c r="A6" s="2" t="s">
        <v>0</v>
      </c>
      <c r="B6" s="2" t="s">
        <v>1</v>
      </c>
      <c r="C6" s="5" t="s">
        <v>29</v>
      </c>
    </row>
    <row r="7" spans="1:3" x14ac:dyDescent="0.25">
      <c r="A7" s="1">
        <v>2</v>
      </c>
      <c r="B7" s="1">
        <v>1</v>
      </c>
      <c r="C7" s="7" t="s">
        <v>25</v>
      </c>
    </row>
    <row r="8" spans="1:3" x14ac:dyDescent="0.25">
      <c r="A8" s="1">
        <v>2</v>
      </c>
      <c r="B8" s="1">
        <v>2</v>
      </c>
      <c r="C8" s="7" t="s">
        <v>31</v>
      </c>
    </row>
    <row r="9" spans="1:3" x14ac:dyDescent="0.25">
      <c r="A9" s="1">
        <v>2</v>
      </c>
      <c r="B9" s="1">
        <v>3</v>
      </c>
      <c r="C9" s="7" t="s">
        <v>32</v>
      </c>
    </row>
    <row r="11" spans="1:3" x14ac:dyDescent="0.25">
      <c r="A11" s="4"/>
      <c r="B11" s="4"/>
    </row>
    <row r="12" spans="1:3" x14ac:dyDescent="0.25">
      <c r="A12" s="21" t="s">
        <v>4</v>
      </c>
      <c r="B12" s="4"/>
    </row>
    <row r="13" spans="1:3" x14ac:dyDescent="0.25">
      <c r="A13" s="4"/>
      <c r="B13" s="4"/>
    </row>
    <row r="14" spans="1:3" x14ac:dyDescent="0.25">
      <c r="A14" s="4"/>
      <c r="B14" s="4"/>
    </row>
    <row r="15" spans="1:3" x14ac:dyDescent="0.25">
      <c r="A15" s="4"/>
      <c r="B15" s="4"/>
    </row>
    <row r="16" spans="1:3" x14ac:dyDescent="0.25">
      <c r="A16" s="4"/>
      <c r="B16" s="4"/>
    </row>
    <row r="17" s="4" customFormat="1" x14ac:dyDescent="0.25"/>
    <row r="18" s="4" customFormat="1" x14ac:dyDescent="0.25"/>
    <row r="19" s="4" customFormat="1" x14ac:dyDescent="0.25"/>
    <row r="20" s="4" customFormat="1" x14ac:dyDescent="0.25"/>
    <row r="21" s="4" customFormat="1" x14ac:dyDescent="0.25"/>
    <row r="22" s="4" customFormat="1" x14ac:dyDescent="0.25"/>
    <row r="23" s="4" customFormat="1" x14ac:dyDescent="0.25"/>
    <row r="24" s="4" customFormat="1" x14ac:dyDescent="0.25"/>
    <row r="25" s="4" customFormat="1" x14ac:dyDescent="0.25"/>
    <row r="26" s="4" customFormat="1" x14ac:dyDescent="0.25"/>
    <row r="27" s="4" customFormat="1" x14ac:dyDescent="0.25"/>
    <row r="28" s="4" customFormat="1" x14ac:dyDescent="0.25"/>
    <row r="29" s="4" customFormat="1" x14ac:dyDescent="0.25"/>
    <row r="30" s="4" customFormat="1" x14ac:dyDescent="0.25"/>
    <row r="31" s="4" customFormat="1" x14ac:dyDescent="0.25"/>
    <row r="32" s="4" customFormat="1" x14ac:dyDescent="0.25"/>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pans="1:7" x14ac:dyDescent="0.25">
      <c r="A193" s="4"/>
      <c r="B193" s="4"/>
    </row>
    <row r="194" spans="1:7" x14ac:dyDescent="0.25">
      <c r="A194" s="4"/>
      <c r="B194" s="4"/>
    </row>
    <row r="195" spans="1:7" x14ac:dyDescent="0.25">
      <c r="A195" s="4"/>
      <c r="B195" s="4"/>
    </row>
    <row r="196" spans="1:7" x14ac:dyDescent="0.25">
      <c r="A196" s="4"/>
      <c r="B196" s="4"/>
    </row>
    <row r="197" spans="1:7" x14ac:dyDescent="0.25">
      <c r="A197" s="4"/>
      <c r="B197" s="4"/>
    </row>
    <row r="198" spans="1:7" x14ac:dyDescent="0.25">
      <c r="A198" s="4"/>
      <c r="B198" s="4"/>
    </row>
    <row r="199" spans="1:7" x14ac:dyDescent="0.25">
      <c r="A199" s="4"/>
      <c r="B199" s="4"/>
    </row>
    <row r="200" spans="1:7" x14ac:dyDescent="0.25">
      <c r="A200" s="4"/>
      <c r="B200" s="4"/>
    </row>
    <row r="201" spans="1:7" x14ac:dyDescent="0.25">
      <c r="A201" s="4"/>
      <c r="B201" s="4"/>
    </row>
    <row r="202" spans="1:7" x14ac:dyDescent="0.25">
      <c r="A202" s="4"/>
      <c r="B202" s="4"/>
    </row>
    <row r="203" spans="1:7" x14ac:dyDescent="0.25">
      <c r="A203" s="4"/>
      <c r="B203" s="4"/>
    </row>
    <row r="204" spans="1:7" x14ac:dyDescent="0.25">
      <c r="A204" s="4"/>
      <c r="B204" s="4"/>
    </row>
    <row r="205" spans="1:7" x14ac:dyDescent="0.25">
      <c r="A205" s="4"/>
      <c r="B205" s="4"/>
    </row>
    <row r="206" spans="1:7" x14ac:dyDescent="0.25">
      <c r="A206" s="4"/>
      <c r="B206" s="4"/>
      <c r="G206" s="6"/>
    </row>
    <row r="207" spans="1:7" x14ac:dyDescent="0.25">
      <c r="A207" s="4"/>
      <c r="B207" s="4"/>
      <c r="G207" s="6"/>
    </row>
    <row r="208" spans="1:7" x14ac:dyDescent="0.25">
      <c r="A208" s="4"/>
      <c r="B208" s="4"/>
      <c r="G208" s="6"/>
    </row>
    <row r="209" spans="1:7" x14ac:dyDescent="0.25">
      <c r="A209" s="4"/>
      <c r="B209" s="4"/>
      <c r="G209" s="6"/>
    </row>
    <row r="210" spans="1:7" x14ac:dyDescent="0.25">
      <c r="A210" s="4"/>
      <c r="B210" s="4"/>
      <c r="G210" s="6"/>
    </row>
    <row r="211" spans="1:7" x14ac:dyDescent="0.25">
      <c r="A211" s="4"/>
      <c r="B211" s="4"/>
      <c r="G211" s="6"/>
    </row>
    <row r="212" spans="1:7" x14ac:dyDescent="0.25">
      <c r="A212" s="4"/>
      <c r="B212" s="4"/>
      <c r="G212" s="6"/>
    </row>
    <row r="213" spans="1:7" x14ac:dyDescent="0.25">
      <c r="A213" s="4"/>
      <c r="B213" s="4"/>
      <c r="G213" s="6"/>
    </row>
    <row r="214" spans="1:7" x14ac:dyDescent="0.25">
      <c r="A214" s="4"/>
      <c r="B214" s="4"/>
      <c r="G214" s="6"/>
    </row>
    <row r="215" spans="1:7" x14ac:dyDescent="0.25">
      <c r="A215" s="4"/>
      <c r="B215" s="4"/>
      <c r="G215" s="6"/>
    </row>
    <row r="216" spans="1:7" x14ac:dyDescent="0.25">
      <c r="A216" s="4"/>
      <c r="B216" s="4"/>
      <c r="G216" s="6"/>
    </row>
    <row r="217" spans="1:7" x14ac:dyDescent="0.25">
      <c r="A217" s="4"/>
      <c r="B217" s="4"/>
      <c r="G217" s="6"/>
    </row>
    <row r="218" spans="1:7" x14ac:dyDescent="0.25">
      <c r="A218" s="4"/>
      <c r="B218" s="4"/>
      <c r="G218" s="6"/>
    </row>
    <row r="219" spans="1:7" x14ac:dyDescent="0.25">
      <c r="A219" s="4"/>
      <c r="B219" s="4"/>
      <c r="G219" s="6"/>
    </row>
    <row r="220" spans="1:7" x14ac:dyDescent="0.25">
      <c r="A220" s="4"/>
      <c r="B220" s="4"/>
      <c r="G220" s="6"/>
    </row>
    <row r="221" spans="1:7" x14ac:dyDescent="0.25">
      <c r="A221" s="4"/>
      <c r="B221" s="4"/>
      <c r="G221" s="6"/>
    </row>
    <row r="222" spans="1:7" x14ac:dyDescent="0.25">
      <c r="A222" s="4"/>
      <c r="B222" s="4"/>
      <c r="G222" s="6"/>
    </row>
    <row r="223" spans="1:7" x14ac:dyDescent="0.25">
      <c r="A223" s="4"/>
      <c r="B223" s="4"/>
      <c r="G223" s="6"/>
    </row>
    <row r="224" spans="1:7" x14ac:dyDescent="0.25">
      <c r="A224" s="4"/>
      <c r="B224" s="4"/>
      <c r="G224" s="6"/>
    </row>
    <row r="225" spans="1:7" x14ac:dyDescent="0.25">
      <c r="A225" s="4"/>
      <c r="B225" s="4"/>
      <c r="G225" s="6"/>
    </row>
    <row r="226" spans="1:7" x14ac:dyDescent="0.25">
      <c r="A226" s="4"/>
      <c r="B226" s="4"/>
      <c r="G226" s="6"/>
    </row>
    <row r="227" spans="1:7" x14ac:dyDescent="0.25">
      <c r="A227" s="4"/>
      <c r="B227" s="4"/>
      <c r="G227" s="6"/>
    </row>
    <row r="228" spans="1:7" x14ac:dyDescent="0.25">
      <c r="A228" s="4"/>
      <c r="B228" s="4"/>
      <c r="G228" s="6"/>
    </row>
    <row r="229" spans="1:7" x14ac:dyDescent="0.25">
      <c r="A229" s="4"/>
      <c r="B229" s="4"/>
    </row>
    <row r="230" spans="1:7" x14ac:dyDescent="0.25">
      <c r="A230" s="4"/>
      <c r="B230" s="4"/>
    </row>
    <row r="231" spans="1:7" x14ac:dyDescent="0.25">
      <c r="A231" s="4"/>
      <c r="B231" s="4"/>
    </row>
    <row r="232" spans="1:7" x14ac:dyDescent="0.25">
      <c r="A232" s="4"/>
      <c r="B232" s="4"/>
    </row>
    <row r="233" spans="1:7" x14ac:dyDescent="0.25">
      <c r="A233" s="4"/>
      <c r="B233" s="4"/>
    </row>
    <row r="234" spans="1:7" x14ac:dyDescent="0.25">
      <c r="A234" s="4"/>
      <c r="B234" s="4"/>
    </row>
    <row r="235" spans="1:7" x14ac:dyDescent="0.25">
      <c r="A235" s="4"/>
      <c r="B235" s="4"/>
    </row>
    <row r="236" spans="1:7" x14ac:dyDescent="0.25">
      <c r="A236" s="4"/>
      <c r="B236" s="4"/>
    </row>
    <row r="237" spans="1:7" x14ac:dyDescent="0.25">
      <c r="A237" s="4"/>
      <c r="B237" s="4"/>
    </row>
    <row r="238" spans="1:7" x14ac:dyDescent="0.25">
      <c r="A238" s="4"/>
      <c r="B238" s="4"/>
    </row>
    <row r="239" spans="1:7" x14ac:dyDescent="0.25">
      <c r="A239" s="4"/>
      <c r="B239" s="4"/>
    </row>
    <row r="240" spans="1:7" x14ac:dyDescent="0.25">
      <c r="A240" s="4"/>
      <c r="B240" s="4"/>
    </row>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sheetData>
  <hyperlinks>
    <hyperlink ref="C7" location="'Anexo Movilidad Regional'!A3" display="Matrícula de región de egreso de EM de los y las estudiantes y región de matrícula de pregrado presencial de ES 2023" xr:uid="{2577F3D5-20D6-47C1-97F7-EC7031A2B438}"/>
    <hyperlink ref="C8" location="'Anexo Movilidad Regional'!A24" display="Distribución porcentual de la matrícula de pregrado de educación superior 2023 por cada región, según región de egreso de enseñanza media de los y las estudiantes" xr:uid="{736592D7-51A5-443F-8BD2-8FB96C801882}"/>
    <hyperlink ref="C9" location="'Anexo Movilidad Regional'!A45" display="Distribución porcentual por cada región del total de estudiantes egresados de EM de la región que están matriculados en 2023 en pregrado de educación superior, según región de egreso de enseñanza media." xr:uid="{8EEF20F3-9593-4508-95E4-438CBF68C72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30951-3544-46FE-8437-D0656A684B89}">
  <dimension ref="A1:S65"/>
  <sheetViews>
    <sheetView showGridLines="0" workbookViewId="0">
      <pane ySplit="1" topLeftCell="A2" activePane="bottomLeft" state="frozen"/>
      <selection pane="bottomLeft" activeCell="E16" sqref="E16"/>
    </sheetView>
  </sheetViews>
  <sheetFormatPr baseColWidth="10" defaultRowHeight="15" x14ac:dyDescent="0.25"/>
  <cols>
    <col min="1" max="1" width="25" style="6" customWidth="1"/>
    <col min="2" max="16384" width="11.42578125" style="6"/>
  </cols>
  <sheetData>
    <row r="1" spans="1:19" ht="61.5" customHeight="1" x14ac:dyDescent="0.35">
      <c r="A1" s="9" t="s">
        <v>28</v>
      </c>
    </row>
    <row r="2" spans="1:19" s="10" customFormat="1" ht="12.75" x14ac:dyDescent="0.2"/>
    <row r="3" spans="1:19" s="10" customFormat="1" ht="12.75" x14ac:dyDescent="0.2">
      <c r="A3" s="11" t="s">
        <v>30</v>
      </c>
    </row>
    <row r="4" spans="1:19" s="10" customFormat="1" ht="15" customHeight="1" x14ac:dyDescent="0.2">
      <c r="A4" s="26" t="s">
        <v>6</v>
      </c>
      <c r="B4" s="25" t="s">
        <v>5</v>
      </c>
      <c r="C4" s="25"/>
      <c r="D4" s="25"/>
      <c r="E4" s="25"/>
      <c r="F4" s="25"/>
      <c r="G4" s="25"/>
      <c r="H4" s="25"/>
      <c r="I4" s="25"/>
      <c r="J4" s="25"/>
      <c r="K4" s="25"/>
      <c r="L4" s="25"/>
      <c r="M4" s="25"/>
      <c r="N4" s="25"/>
      <c r="O4" s="25"/>
      <c r="P4" s="25"/>
      <c r="Q4" s="25"/>
    </row>
    <row r="5" spans="1:19" s="10" customFormat="1" ht="66.75" customHeight="1" x14ac:dyDescent="0.2">
      <c r="A5" s="27"/>
      <c r="B5" s="20" t="s">
        <v>26</v>
      </c>
      <c r="C5" s="20" t="s">
        <v>10</v>
      </c>
      <c r="D5" s="20" t="s">
        <v>11</v>
      </c>
      <c r="E5" s="20" t="s">
        <v>12</v>
      </c>
      <c r="F5" s="20" t="s">
        <v>13</v>
      </c>
      <c r="G5" s="20" t="s">
        <v>14</v>
      </c>
      <c r="H5" s="20" t="s">
        <v>15</v>
      </c>
      <c r="I5" s="20" t="s">
        <v>27</v>
      </c>
      <c r="J5" s="20" t="s">
        <v>17</v>
      </c>
      <c r="K5" s="20" t="s">
        <v>18</v>
      </c>
      <c r="L5" s="20" t="s">
        <v>19</v>
      </c>
      <c r="M5" s="20" t="s">
        <v>20</v>
      </c>
      <c r="N5" s="20" t="s">
        <v>21</v>
      </c>
      <c r="O5" s="20" t="s">
        <v>22</v>
      </c>
      <c r="P5" s="20" t="s">
        <v>23</v>
      </c>
      <c r="Q5" s="20" t="s">
        <v>24</v>
      </c>
    </row>
    <row r="6" spans="1:19" s="10" customFormat="1" ht="12.75" x14ac:dyDescent="0.2">
      <c r="A6" s="13" t="s">
        <v>9</v>
      </c>
      <c r="B6" s="14">
        <v>14338</v>
      </c>
      <c r="C6" s="14">
        <v>238</v>
      </c>
      <c r="D6" s="14">
        <v>284</v>
      </c>
      <c r="E6" s="14">
        <v>48</v>
      </c>
      <c r="F6" s="14">
        <v>182</v>
      </c>
      <c r="G6" s="14">
        <v>497</v>
      </c>
      <c r="H6" s="14">
        <v>1472</v>
      </c>
      <c r="I6" s="14">
        <v>23</v>
      </c>
      <c r="J6" s="14">
        <v>56</v>
      </c>
      <c r="K6" s="14">
        <v>78</v>
      </c>
      <c r="L6" s="14">
        <v>259</v>
      </c>
      <c r="M6" s="14">
        <v>71</v>
      </c>
      <c r="N6" s="14">
        <v>65</v>
      </c>
      <c r="O6" s="14">
        <v>34</v>
      </c>
      <c r="P6" s="14">
        <v>1</v>
      </c>
      <c r="Q6" s="14">
        <v>18</v>
      </c>
      <c r="R6" s="22">
        <f>SUM(B6:Q6)</f>
        <v>17664</v>
      </c>
      <c r="S6" s="23"/>
    </row>
    <row r="7" spans="1:19" s="10" customFormat="1" ht="12.75" x14ac:dyDescent="0.2">
      <c r="A7" s="13" t="s">
        <v>10</v>
      </c>
      <c r="B7" s="14">
        <v>530</v>
      </c>
      <c r="C7" s="14">
        <v>16873</v>
      </c>
      <c r="D7" s="14">
        <v>493</v>
      </c>
      <c r="E7" s="14">
        <v>58</v>
      </c>
      <c r="F7" s="14">
        <v>344</v>
      </c>
      <c r="G7" s="14">
        <v>1142</v>
      </c>
      <c r="H7" s="14">
        <v>2429</v>
      </c>
      <c r="I7" s="14">
        <v>42</v>
      </c>
      <c r="J7" s="14">
        <v>113</v>
      </c>
      <c r="K7" s="14">
        <v>78</v>
      </c>
      <c r="L7" s="14">
        <v>554</v>
      </c>
      <c r="M7" s="14">
        <v>119</v>
      </c>
      <c r="N7" s="14">
        <v>130</v>
      </c>
      <c r="O7" s="14">
        <v>65</v>
      </c>
      <c r="P7" s="14">
        <v>5</v>
      </c>
      <c r="Q7" s="14">
        <v>13</v>
      </c>
      <c r="R7" s="22">
        <f t="shared" ref="R7:R18" si="0">SUM(B7:Q7)</f>
        <v>22988</v>
      </c>
      <c r="S7" s="23"/>
    </row>
    <row r="8" spans="1:19" s="10" customFormat="1" ht="12.75" x14ac:dyDescent="0.2">
      <c r="A8" s="13" t="s">
        <v>11</v>
      </c>
      <c r="B8" s="14">
        <v>373</v>
      </c>
      <c r="C8" s="14">
        <v>470</v>
      </c>
      <c r="D8" s="14">
        <v>30492</v>
      </c>
      <c r="E8" s="14">
        <v>148</v>
      </c>
      <c r="F8" s="14">
        <v>1631</v>
      </c>
      <c r="G8" s="14">
        <v>1666</v>
      </c>
      <c r="H8" s="14">
        <v>4086</v>
      </c>
      <c r="I8" s="14">
        <v>41</v>
      </c>
      <c r="J8" s="14">
        <v>145</v>
      </c>
      <c r="K8" s="14">
        <v>102</v>
      </c>
      <c r="L8" s="14">
        <v>749</v>
      </c>
      <c r="M8" s="14">
        <v>123</v>
      </c>
      <c r="N8" s="14">
        <v>139</v>
      </c>
      <c r="O8" s="14">
        <v>90</v>
      </c>
      <c r="P8" s="14">
        <v>5</v>
      </c>
      <c r="Q8" s="14">
        <v>21</v>
      </c>
      <c r="R8" s="22">
        <f t="shared" si="0"/>
        <v>40281</v>
      </c>
      <c r="S8" s="23"/>
    </row>
    <row r="9" spans="1:19" s="10" customFormat="1" ht="12.75" x14ac:dyDescent="0.2">
      <c r="A9" s="13" t="s">
        <v>12</v>
      </c>
      <c r="B9" s="14">
        <v>35</v>
      </c>
      <c r="C9" s="14">
        <v>50</v>
      </c>
      <c r="D9" s="14">
        <v>273</v>
      </c>
      <c r="E9" s="14">
        <v>10853</v>
      </c>
      <c r="F9" s="14">
        <v>3419</v>
      </c>
      <c r="G9" s="14">
        <v>1053</v>
      </c>
      <c r="H9" s="14">
        <v>2095</v>
      </c>
      <c r="I9" s="14">
        <v>28</v>
      </c>
      <c r="J9" s="14">
        <v>41</v>
      </c>
      <c r="K9" s="14">
        <v>50</v>
      </c>
      <c r="L9" s="14">
        <v>196</v>
      </c>
      <c r="M9" s="14">
        <v>50</v>
      </c>
      <c r="N9" s="14">
        <v>63</v>
      </c>
      <c r="O9" s="14">
        <v>33</v>
      </c>
      <c r="P9" s="14">
        <v>3</v>
      </c>
      <c r="Q9" s="14">
        <v>8</v>
      </c>
      <c r="R9" s="22">
        <f t="shared" si="0"/>
        <v>18250</v>
      </c>
      <c r="S9" s="23"/>
    </row>
    <row r="10" spans="1:19" s="10" customFormat="1" ht="12.75" x14ac:dyDescent="0.2">
      <c r="A10" s="13" t="s">
        <v>13</v>
      </c>
      <c r="B10" s="14">
        <v>77</v>
      </c>
      <c r="C10" s="14">
        <v>100</v>
      </c>
      <c r="D10" s="14">
        <v>556</v>
      </c>
      <c r="E10" s="14">
        <v>392</v>
      </c>
      <c r="F10" s="14">
        <v>37731</v>
      </c>
      <c r="G10" s="14">
        <v>4124</v>
      </c>
      <c r="H10" s="14">
        <v>5013</v>
      </c>
      <c r="I10" s="14">
        <v>59</v>
      </c>
      <c r="J10" s="14">
        <v>99</v>
      </c>
      <c r="K10" s="14">
        <v>62</v>
      </c>
      <c r="L10" s="14">
        <v>386</v>
      </c>
      <c r="M10" s="14">
        <v>102</v>
      </c>
      <c r="N10" s="14">
        <v>142</v>
      </c>
      <c r="O10" s="14">
        <v>74</v>
      </c>
      <c r="P10" s="14">
        <v>7</v>
      </c>
      <c r="Q10" s="14">
        <v>15</v>
      </c>
      <c r="R10" s="22">
        <f t="shared" si="0"/>
        <v>48939</v>
      </c>
      <c r="S10" s="23"/>
    </row>
    <row r="11" spans="1:19" s="10" customFormat="1" ht="12.75" x14ac:dyDescent="0.2">
      <c r="A11" s="13" t="s">
        <v>14</v>
      </c>
      <c r="B11" s="14">
        <v>66</v>
      </c>
      <c r="C11" s="14">
        <v>99</v>
      </c>
      <c r="D11" s="14">
        <v>200</v>
      </c>
      <c r="E11" s="14">
        <v>116</v>
      </c>
      <c r="F11" s="14">
        <v>273</v>
      </c>
      <c r="G11" s="14">
        <v>96412</v>
      </c>
      <c r="H11" s="14">
        <v>12145</v>
      </c>
      <c r="I11" s="14">
        <v>145</v>
      </c>
      <c r="J11" s="14">
        <v>238</v>
      </c>
      <c r="K11" s="14">
        <v>113</v>
      </c>
      <c r="L11" s="14">
        <v>560</v>
      </c>
      <c r="M11" s="14">
        <v>178</v>
      </c>
      <c r="N11" s="14">
        <v>263</v>
      </c>
      <c r="O11" s="14">
        <v>212</v>
      </c>
      <c r="P11" s="14">
        <v>15</v>
      </c>
      <c r="Q11" s="14">
        <v>109</v>
      </c>
      <c r="R11" s="22">
        <f t="shared" si="0"/>
        <v>111144</v>
      </c>
      <c r="S11" s="23"/>
    </row>
    <row r="12" spans="1:19" s="10" customFormat="1" ht="12.75" x14ac:dyDescent="0.2">
      <c r="A12" s="13" t="s">
        <v>15</v>
      </c>
      <c r="B12" s="14">
        <v>140</v>
      </c>
      <c r="C12" s="14">
        <v>185</v>
      </c>
      <c r="D12" s="14">
        <v>339</v>
      </c>
      <c r="E12" s="14">
        <v>131</v>
      </c>
      <c r="F12" s="14">
        <v>713</v>
      </c>
      <c r="G12" s="14">
        <v>5050</v>
      </c>
      <c r="H12" s="14">
        <v>401615</v>
      </c>
      <c r="I12" s="14">
        <v>943</v>
      </c>
      <c r="J12" s="14">
        <v>1606</v>
      </c>
      <c r="K12" s="14">
        <v>652</v>
      </c>
      <c r="L12" s="14">
        <v>2095</v>
      </c>
      <c r="M12" s="14">
        <v>1450</v>
      </c>
      <c r="N12" s="14">
        <v>1314</v>
      </c>
      <c r="O12" s="14">
        <v>978</v>
      </c>
      <c r="P12" s="14">
        <v>48</v>
      </c>
      <c r="Q12" s="14">
        <v>147</v>
      </c>
      <c r="R12" s="22">
        <f t="shared" si="0"/>
        <v>417406</v>
      </c>
      <c r="S12" s="23"/>
    </row>
    <row r="13" spans="1:19" s="10" customFormat="1" ht="12.75" x14ac:dyDescent="0.2">
      <c r="A13" s="13" t="s">
        <v>16</v>
      </c>
      <c r="B13" s="14">
        <v>21</v>
      </c>
      <c r="C13" s="14">
        <v>25</v>
      </c>
      <c r="D13" s="14">
        <v>69</v>
      </c>
      <c r="E13" s="14">
        <v>22</v>
      </c>
      <c r="F13" s="14">
        <v>124</v>
      </c>
      <c r="G13" s="14">
        <v>4063</v>
      </c>
      <c r="H13" s="14">
        <v>16873</v>
      </c>
      <c r="I13" s="14">
        <v>27107</v>
      </c>
      <c r="J13" s="14">
        <v>4943</v>
      </c>
      <c r="K13" s="14">
        <v>138</v>
      </c>
      <c r="L13" s="14">
        <v>973</v>
      </c>
      <c r="M13" s="14">
        <v>296</v>
      </c>
      <c r="N13" s="14">
        <v>288</v>
      </c>
      <c r="O13" s="14">
        <v>118</v>
      </c>
      <c r="P13" s="14">
        <v>9</v>
      </c>
      <c r="Q13" s="14">
        <v>24</v>
      </c>
      <c r="R13" s="22">
        <f t="shared" si="0"/>
        <v>55093</v>
      </c>
      <c r="S13" s="23"/>
    </row>
    <row r="14" spans="1:19" s="10" customFormat="1" ht="12.75" x14ac:dyDescent="0.2">
      <c r="A14" s="13" t="s">
        <v>17</v>
      </c>
      <c r="B14" s="14">
        <v>22</v>
      </c>
      <c r="C14" s="14">
        <v>41</v>
      </c>
      <c r="D14" s="14">
        <v>81</v>
      </c>
      <c r="E14" s="14">
        <v>27</v>
      </c>
      <c r="F14" s="14">
        <v>50</v>
      </c>
      <c r="G14" s="14">
        <v>1063</v>
      </c>
      <c r="H14" s="14">
        <v>6836</v>
      </c>
      <c r="I14" s="14">
        <v>203</v>
      </c>
      <c r="J14" s="14">
        <v>50238</v>
      </c>
      <c r="K14" s="14">
        <v>1072</v>
      </c>
      <c r="L14" s="14">
        <v>3495</v>
      </c>
      <c r="M14" s="14">
        <v>208</v>
      </c>
      <c r="N14" s="14">
        <v>181</v>
      </c>
      <c r="O14" s="14">
        <v>114</v>
      </c>
      <c r="P14" s="14">
        <v>16</v>
      </c>
      <c r="Q14" s="14">
        <v>22</v>
      </c>
      <c r="R14" s="22">
        <f t="shared" si="0"/>
        <v>63669</v>
      </c>
      <c r="S14" s="23"/>
    </row>
    <row r="15" spans="1:19" s="10" customFormat="1" ht="12.75" x14ac:dyDescent="0.2">
      <c r="A15" s="13" t="s">
        <v>18</v>
      </c>
      <c r="B15" s="14">
        <v>17</v>
      </c>
      <c r="C15" s="14">
        <v>35</v>
      </c>
      <c r="D15" s="14">
        <v>51</v>
      </c>
      <c r="E15" s="14">
        <v>15</v>
      </c>
      <c r="F15" s="14">
        <v>25</v>
      </c>
      <c r="G15" s="14">
        <v>193</v>
      </c>
      <c r="H15" s="14">
        <v>2044</v>
      </c>
      <c r="I15" s="14">
        <v>41</v>
      </c>
      <c r="J15" s="14">
        <v>554</v>
      </c>
      <c r="K15" s="14">
        <v>18307</v>
      </c>
      <c r="L15" s="14">
        <v>7586</v>
      </c>
      <c r="M15" s="14">
        <v>178</v>
      </c>
      <c r="N15" s="14">
        <v>132</v>
      </c>
      <c r="O15" s="14">
        <v>95</v>
      </c>
      <c r="P15" s="14">
        <v>7</v>
      </c>
      <c r="Q15" s="14">
        <v>22</v>
      </c>
      <c r="R15" s="22">
        <f t="shared" si="0"/>
        <v>29302</v>
      </c>
      <c r="S15" s="23"/>
    </row>
    <row r="16" spans="1:19" s="10" customFormat="1" ht="12.75" x14ac:dyDescent="0.2">
      <c r="A16" s="13" t="s">
        <v>19</v>
      </c>
      <c r="B16" s="14">
        <v>29</v>
      </c>
      <c r="C16" s="14">
        <v>70</v>
      </c>
      <c r="D16" s="14">
        <v>107</v>
      </c>
      <c r="E16" s="14">
        <v>32</v>
      </c>
      <c r="F16" s="14">
        <v>54</v>
      </c>
      <c r="G16" s="14">
        <v>511</v>
      </c>
      <c r="H16" s="14">
        <v>3878</v>
      </c>
      <c r="I16" s="14">
        <v>70</v>
      </c>
      <c r="J16" s="14">
        <v>328</v>
      </c>
      <c r="K16" s="14">
        <v>716</v>
      </c>
      <c r="L16" s="14">
        <v>94490</v>
      </c>
      <c r="M16" s="14">
        <v>1333</v>
      </c>
      <c r="N16" s="14">
        <v>361</v>
      </c>
      <c r="O16" s="14">
        <v>299</v>
      </c>
      <c r="P16" s="14">
        <v>16</v>
      </c>
      <c r="Q16" s="14">
        <v>76</v>
      </c>
      <c r="R16" s="22">
        <f t="shared" si="0"/>
        <v>102370</v>
      </c>
      <c r="S16" s="23"/>
    </row>
    <row r="17" spans="1:19" s="10" customFormat="1" ht="12.75" x14ac:dyDescent="0.2">
      <c r="A17" s="13" t="s">
        <v>20</v>
      </c>
      <c r="B17" s="14">
        <v>28</v>
      </c>
      <c r="C17" s="14">
        <v>44</v>
      </c>
      <c r="D17" s="14">
        <v>102</v>
      </c>
      <c r="E17" s="14">
        <v>19</v>
      </c>
      <c r="F17" s="14">
        <v>74</v>
      </c>
      <c r="G17" s="14">
        <v>434</v>
      </c>
      <c r="H17" s="14">
        <v>3605</v>
      </c>
      <c r="I17" s="14">
        <v>105</v>
      </c>
      <c r="J17" s="14">
        <v>168</v>
      </c>
      <c r="K17" s="14">
        <v>158</v>
      </c>
      <c r="L17" s="14">
        <v>3496</v>
      </c>
      <c r="M17" s="14">
        <v>48997</v>
      </c>
      <c r="N17" s="14">
        <v>1290</v>
      </c>
      <c r="O17" s="14">
        <v>365</v>
      </c>
      <c r="P17" s="14">
        <v>18</v>
      </c>
      <c r="Q17" s="14">
        <v>62</v>
      </c>
      <c r="R17" s="22">
        <f t="shared" si="0"/>
        <v>58965</v>
      </c>
      <c r="S17" s="23"/>
    </row>
    <row r="18" spans="1:19" s="10" customFormat="1" ht="12.75" x14ac:dyDescent="0.2">
      <c r="A18" s="13" t="s">
        <v>21</v>
      </c>
      <c r="B18" s="14">
        <v>9</v>
      </c>
      <c r="C18" s="14">
        <v>30</v>
      </c>
      <c r="D18" s="14">
        <v>41</v>
      </c>
      <c r="E18" s="14">
        <v>11</v>
      </c>
      <c r="F18" s="14">
        <v>26</v>
      </c>
      <c r="G18" s="14">
        <v>284</v>
      </c>
      <c r="H18" s="14">
        <v>1469</v>
      </c>
      <c r="I18" s="14">
        <v>36</v>
      </c>
      <c r="J18" s="14">
        <v>55</v>
      </c>
      <c r="K18" s="14">
        <v>44</v>
      </c>
      <c r="L18" s="14">
        <v>388</v>
      </c>
      <c r="M18" s="14">
        <v>1544</v>
      </c>
      <c r="N18" s="14">
        <v>17173</v>
      </c>
      <c r="O18" s="14">
        <v>3016</v>
      </c>
      <c r="P18" s="14">
        <v>12</v>
      </c>
      <c r="Q18" s="14">
        <v>38</v>
      </c>
      <c r="R18" s="22">
        <f t="shared" si="0"/>
        <v>24176</v>
      </c>
      <c r="S18" s="23"/>
    </row>
    <row r="19" spans="1:19" s="10" customFormat="1" ht="12.75" x14ac:dyDescent="0.2">
      <c r="A19" s="13" t="s">
        <v>22</v>
      </c>
      <c r="B19" s="14">
        <v>20</v>
      </c>
      <c r="C19" s="14">
        <v>24</v>
      </c>
      <c r="D19" s="14">
        <v>57</v>
      </c>
      <c r="E19" s="14">
        <v>10</v>
      </c>
      <c r="F19" s="14">
        <v>70</v>
      </c>
      <c r="G19" s="14">
        <v>1383</v>
      </c>
      <c r="H19" s="14">
        <v>4671</v>
      </c>
      <c r="I19" s="14">
        <v>42</v>
      </c>
      <c r="J19" s="14">
        <v>115</v>
      </c>
      <c r="K19" s="14">
        <v>62</v>
      </c>
      <c r="L19" s="14">
        <v>2197</v>
      </c>
      <c r="M19" s="14">
        <v>1820</v>
      </c>
      <c r="N19" s="14">
        <v>4312</v>
      </c>
      <c r="O19" s="14">
        <v>36701</v>
      </c>
      <c r="P19" s="14">
        <v>39</v>
      </c>
      <c r="Q19" s="14">
        <v>148</v>
      </c>
      <c r="R19" s="24"/>
      <c r="S19" s="23"/>
    </row>
    <row r="20" spans="1:19" s="10" customFormat="1" ht="12.75" x14ac:dyDescent="0.2">
      <c r="A20" s="13" t="s">
        <v>23</v>
      </c>
      <c r="B20" s="14">
        <v>9</v>
      </c>
      <c r="C20" s="14">
        <v>5</v>
      </c>
      <c r="D20" s="14">
        <v>6</v>
      </c>
      <c r="E20" s="14">
        <v>8</v>
      </c>
      <c r="F20" s="14">
        <v>32</v>
      </c>
      <c r="G20" s="14">
        <v>599</v>
      </c>
      <c r="H20" s="14">
        <v>1152</v>
      </c>
      <c r="I20" s="14">
        <v>14</v>
      </c>
      <c r="J20" s="14">
        <v>61</v>
      </c>
      <c r="K20" s="14">
        <v>45</v>
      </c>
      <c r="L20" s="14">
        <v>676</v>
      </c>
      <c r="M20" s="14">
        <v>703</v>
      </c>
      <c r="N20" s="14">
        <v>701</v>
      </c>
      <c r="O20" s="14">
        <v>419</v>
      </c>
      <c r="P20" s="14">
        <v>2432</v>
      </c>
      <c r="Q20" s="14">
        <v>46</v>
      </c>
      <c r="R20" s="24"/>
      <c r="S20" s="23"/>
    </row>
    <row r="21" spans="1:19" s="10" customFormat="1" ht="12.75" x14ac:dyDescent="0.2">
      <c r="A21" s="13" t="s">
        <v>24</v>
      </c>
      <c r="B21" s="14">
        <v>4</v>
      </c>
      <c r="C21" s="14">
        <v>17</v>
      </c>
      <c r="D21" s="14">
        <v>12</v>
      </c>
      <c r="E21" s="14">
        <v>1</v>
      </c>
      <c r="F21" s="14">
        <v>44</v>
      </c>
      <c r="G21" s="14">
        <v>827</v>
      </c>
      <c r="H21" s="14">
        <v>1348</v>
      </c>
      <c r="I21" s="14">
        <v>32</v>
      </c>
      <c r="J21" s="14">
        <v>76</v>
      </c>
      <c r="K21" s="14">
        <v>36</v>
      </c>
      <c r="L21" s="14">
        <v>464</v>
      </c>
      <c r="M21" s="14">
        <v>176</v>
      </c>
      <c r="N21" s="14">
        <v>338</v>
      </c>
      <c r="O21" s="14">
        <v>228</v>
      </c>
      <c r="P21" s="14">
        <v>11</v>
      </c>
      <c r="Q21" s="14">
        <v>6472</v>
      </c>
      <c r="R21" s="24"/>
      <c r="S21" s="23"/>
    </row>
    <row r="22" spans="1:19" s="10" customFormat="1" ht="12.75" x14ac:dyDescent="0.2">
      <c r="A22" s="12" t="s">
        <v>7</v>
      </c>
      <c r="B22" s="15">
        <v>15718</v>
      </c>
      <c r="C22" s="15">
        <v>18306</v>
      </c>
      <c r="D22" s="15">
        <v>33163</v>
      </c>
      <c r="E22" s="15">
        <v>11891</v>
      </c>
      <c r="F22" s="15">
        <v>44792</v>
      </c>
      <c r="G22" s="15">
        <v>119301</v>
      </c>
      <c r="H22" s="15">
        <v>470731</v>
      </c>
      <c r="I22" s="15">
        <v>28931</v>
      </c>
      <c r="J22" s="15">
        <v>58836</v>
      </c>
      <c r="K22" s="15">
        <v>21713</v>
      </c>
      <c r="L22" s="15">
        <v>118564</v>
      </c>
      <c r="M22" s="15">
        <v>57348</v>
      </c>
      <c r="N22" s="15">
        <v>26892</v>
      </c>
      <c r="O22" s="15">
        <v>42841</v>
      </c>
      <c r="P22" s="15">
        <v>2644</v>
      </c>
      <c r="Q22" s="15">
        <v>7241</v>
      </c>
      <c r="R22" s="24"/>
    </row>
    <row r="23" spans="1:19" s="10" customFormat="1" ht="12.75" x14ac:dyDescent="0.2"/>
    <row r="24" spans="1:19" s="10" customFormat="1" ht="12.75" x14ac:dyDescent="0.2">
      <c r="A24" s="11" t="s">
        <v>31</v>
      </c>
    </row>
    <row r="25" spans="1:19" s="10" customFormat="1" ht="12.75" x14ac:dyDescent="0.2">
      <c r="A25" s="18"/>
      <c r="B25" s="25" t="s">
        <v>5</v>
      </c>
      <c r="C25" s="25"/>
      <c r="D25" s="25"/>
      <c r="E25" s="25"/>
      <c r="F25" s="25"/>
      <c r="G25" s="25"/>
      <c r="H25" s="25"/>
      <c r="I25" s="25"/>
      <c r="J25" s="25"/>
      <c r="K25" s="25"/>
      <c r="L25" s="25"/>
      <c r="M25" s="25"/>
      <c r="N25" s="25"/>
      <c r="O25" s="25"/>
      <c r="P25" s="25"/>
      <c r="Q25" s="25"/>
    </row>
    <row r="26" spans="1:19" s="10" customFormat="1" ht="66.75" customHeight="1" x14ac:dyDescent="0.2">
      <c r="A26" s="19" t="s">
        <v>6</v>
      </c>
      <c r="B26" s="20" t="s">
        <v>26</v>
      </c>
      <c r="C26" s="20" t="s">
        <v>10</v>
      </c>
      <c r="D26" s="20" t="s">
        <v>11</v>
      </c>
      <c r="E26" s="20" t="s">
        <v>12</v>
      </c>
      <c r="F26" s="20" t="s">
        <v>13</v>
      </c>
      <c r="G26" s="20" t="s">
        <v>14</v>
      </c>
      <c r="H26" s="20" t="s">
        <v>15</v>
      </c>
      <c r="I26" s="20" t="s">
        <v>27</v>
      </c>
      <c r="J26" s="20" t="s">
        <v>17</v>
      </c>
      <c r="K26" s="20" t="s">
        <v>18</v>
      </c>
      <c r="L26" s="20" t="s">
        <v>19</v>
      </c>
      <c r="M26" s="20" t="s">
        <v>20</v>
      </c>
      <c r="N26" s="20" t="s">
        <v>21</v>
      </c>
      <c r="O26" s="20" t="s">
        <v>22</v>
      </c>
      <c r="P26" s="20" t="s">
        <v>23</v>
      </c>
      <c r="Q26" s="20" t="s">
        <v>24</v>
      </c>
    </row>
    <row r="27" spans="1:19" s="10" customFormat="1" ht="12.75" x14ac:dyDescent="0.2">
      <c r="A27" s="13" t="s">
        <v>9</v>
      </c>
      <c r="B27" s="16">
        <v>0.91220257030156504</v>
      </c>
      <c r="C27" s="16">
        <v>1.3001201791762264E-2</v>
      </c>
      <c r="D27" s="16">
        <v>8.56376081777885E-3</v>
      </c>
      <c r="E27" s="16">
        <v>4.0366663863426119E-3</v>
      </c>
      <c r="F27" s="16">
        <v>4.0632255759957131E-3</v>
      </c>
      <c r="G27" s="16">
        <v>4.1659332277181249E-3</v>
      </c>
      <c r="H27" s="16">
        <v>3.1270513308025178E-3</v>
      </c>
      <c r="I27" s="16">
        <v>7.9499498807507514E-4</v>
      </c>
      <c r="J27" s="16">
        <v>9.5179821877761919E-4</v>
      </c>
      <c r="K27" s="16">
        <v>3.592317966195367E-3</v>
      </c>
      <c r="L27" s="16">
        <v>2.1844742080226712E-3</v>
      </c>
      <c r="M27" s="16">
        <v>1.2380553811815582E-3</v>
      </c>
      <c r="N27" s="16">
        <v>2.4170757102484012E-3</v>
      </c>
      <c r="O27" s="16">
        <v>7.936322681543381E-4</v>
      </c>
      <c r="P27" s="16">
        <v>3.7821482602118004E-4</v>
      </c>
      <c r="Q27" s="16">
        <v>2.4858444966164893E-3</v>
      </c>
    </row>
    <row r="28" spans="1:19" s="10" customFormat="1" ht="12.75" x14ac:dyDescent="0.2">
      <c r="A28" s="13" t="s">
        <v>10</v>
      </c>
      <c r="B28" s="16">
        <v>3.3719302710268483E-2</v>
      </c>
      <c r="C28" s="16">
        <v>0.92171965475800288</v>
      </c>
      <c r="D28" s="16">
        <v>1.4865965081566807E-2</v>
      </c>
      <c r="E28" s="16">
        <v>4.87763855016399E-3</v>
      </c>
      <c r="F28" s="16">
        <v>7.6799428469369532E-3</v>
      </c>
      <c r="G28" s="16">
        <v>9.5724260483985892E-3</v>
      </c>
      <c r="H28" s="16">
        <v>5.160059566928883E-3</v>
      </c>
      <c r="I28" s="16">
        <v>1.4517299782240503E-3</v>
      </c>
      <c r="J28" s="16">
        <v>1.9205928343191243E-3</v>
      </c>
      <c r="K28" s="16">
        <v>3.592317966195367E-3</v>
      </c>
      <c r="L28" s="16">
        <v>4.6725818966971422E-3</v>
      </c>
      <c r="M28" s="16">
        <v>2.0750505684592312E-3</v>
      </c>
      <c r="N28" s="16">
        <v>4.8341514204968024E-3</v>
      </c>
      <c r="O28" s="16">
        <v>1.5172381597068228E-3</v>
      </c>
      <c r="P28" s="16">
        <v>1.8910741301059002E-3</v>
      </c>
      <c r="Q28" s="16">
        <v>1.7953321364452424E-3</v>
      </c>
    </row>
    <row r="29" spans="1:19" s="10" customFormat="1" ht="12.75" x14ac:dyDescent="0.2">
      <c r="A29" s="13" t="s">
        <v>11</v>
      </c>
      <c r="B29" s="16">
        <v>2.3730754548924801E-2</v>
      </c>
      <c r="C29" s="16">
        <v>2.5674642193816235E-2</v>
      </c>
      <c r="D29" s="16">
        <v>0.91945843259053761</v>
      </c>
      <c r="E29" s="16">
        <v>1.2446388024556387E-2</v>
      </c>
      <c r="F29" s="16">
        <v>3.6412752277192359E-2</v>
      </c>
      <c r="G29" s="16">
        <v>1.396467758023822E-2</v>
      </c>
      <c r="H29" s="16">
        <v>8.6801166696053589E-3</v>
      </c>
      <c r="I29" s="16">
        <v>1.4171649787425252E-3</v>
      </c>
      <c r="J29" s="16">
        <v>2.4644775307634779E-3</v>
      </c>
      <c r="K29" s="16">
        <v>4.6976465711785565E-3</v>
      </c>
      <c r="L29" s="16">
        <v>6.3172632502277249E-3</v>
      </c>
      <c r="M29" s="16">
        <v>2.1448001673990374E-3</v>
      </c>
      <c r="N29" s="16">
        <v>5.1688234419158116E-3</v>
      </c>
      <c r="O29" s="16">
        <v>2.1007912980556009E-3</v>
      </c>
      <c r="P29" s="16">
        <v>1.8910741301059002E-3</v>
      </c>
      <c r="Q29" s="16">
        <v>2.9001519127192375E-3</v>
      </c>
    </row>
    <row r="30" spans="1:19" s="10" customFormat="1" ht="12.75" x14ac:dyDescent="0.2">
      <c r="A30" s="13" t="s">
        <v>12</v>
      </c>
      <c r="B30" s="16">
        <v>2.2267464053950885E-3</v>
      </c>
      <c r="C30" s="16">
        <v>2.7313449142357697E-3</v>
      </c>
      <c r="D30" s="16">
        <v>8.2320658565268514E-3</v>
      </c>
      <c r="E30" s="16">
        <v>0.91270708939534106</v>
      </c>
      <c r="F30" s="16">
        <v>7.6330594749062328E-2</v>
      </c>
      <c r="G30" s="16">
        <v>8.8264138607388031E-3</v>
      </c>
      <c r="H30" s="16">
        <v>4.450524822032116E-3</v>
      </c>
      <c r="I30" s="16">
        <v>9.6781998548270019E-4</v>
      </c>
      <c r="J30" s="16">
        <v>6.9685226731932832E-4</v>
      </c>
      <c r="K30" s="16">
        <v>2.3027679270483121E-3</v>
      </c>
      <c r="L30" s="16">
        <v>1.6531156168820215E-3</v>
      </c>
      <c r="M30" s="16">
        <v>8.7186998674757617E-4</v>
      </c>
      <c r="N30" s="16">
        <v>2.3427041499330657E-3</v>
      </c>
      <c r="O30" s="16">
        <v>7.7029014262038704E-4</v>
      </c>
      <c r="P30" s="16">
        <v>1.1346444780635401E-3</v>
      </c>
      <c r="Q30" s="16">
        <v>1.1048197762739953E-3</v>
      </c>
    </row>
    <row r="31" spans="1:19" s="10" customFormat="1" ht="12.75" x14ac:dyDescent="0.2">
      <c r="A31" s="13" t="s">
        <v>13</v>
      </c>
      <c r="B31" s="16">
        <v>4.8988420918691941E-3</v>
      </c>
      <c r="C31" s="16">
        <v>5.4626898284715394E-3</v>
      </c>
      <c r="D31" s="16">
        <v>1.6765672586919158E-2</v>
      </c>
      <c r="E31" s="16">
        <v>3.2966108821797999E-2</v>
      </c>
      <c r="F31" s="16">
        <v>0.84236024290051792</v>
      </c>
      <c r="G31" s="16">
        <v>3.456802541470734E-2</v>
      </c>
      <c r="H31" s="16">
        <v>1.0649394240022434E-2</v>
      </c>
      <c r="I31" s="16">
        <v>2.0393349694099753E-3</v>
      </c>
      <c r="J31" s="16">
        <v>1.6826432796247196E-3</v>
      </c>
      <c r="K31" s="16">
        <v>2.8554322295399068E-3</v>
      </c>
      <c r="L31" s="16">
        <v>3.2556256536554096E-3</v>
      </c>
      <c r="M31" s="16">
        <v>1.7786147729650554E-3</v>
      </c>
      <c r="N31" s="16">
        <v>5.2803807823888146E-3</v>
      </c>
      <c r="O31" s="16">
        <v>1.7273172895123829E-3</v>
      </c>
      <c r="P31" s="16">
        <v>2.6475037821482601E-3</v>
      </c>
      <c r="Q31" s="16">
        <v>2.0715370805137411E-3</v>
      </c>
    </row>
    <row r="32" spans="1:19" s="10" customFormat="1" ht="12.75" x14ac:dyDescent="0.2">
      <c r="A32" s="13" t="s">
        <v>14</v>
      </c>
      <c r="B32" s="16">
        <v>4.1990075073164521E-3</v>
      </c>
      <c r="C32" s="16">
        <v>5.4080629301868242E-3</v>
      </c>
      <c r="D32" s="16">
        <v>6.030817477309049E-3</v>
      </c>
      <c r="E32" s="16">
        <v>9.75527710032798E-3</v>
      </c>
      <c r="F32" s="16">
        <v>6.0948383639935705E-3</v>
      </c>
      <c r="G32" s="16">
        <v>0.80814075322084478</v>
      </c>
      <c r="H32" s="16">
        <v>2.5800297834644416E-2</v>
      </c>
      <c r="I32" s="16">
        <v>5.011924924821126E-3</v>
      </c>
      <c r="J32" s="16">
        <v>4.0451424298048816E-3</v>
      </c>
      <c r="K32" s="16">
        <v>5.2042555151291855E-3</v>
      </c>
      <c r="L32" s="16">
        <v>4.7231874768057756E-3</v>
      </c>
      <c r="M32" s="16">
        <v>3.1038571528213712E-3</v>
      </c>
      <c r="N32" s="16">
        <v>9.779860181466607E-3</v>
      </c>
      <c r="O32" s="16">
        <v>4.9485306131976381E-3</v>
      </c>
      <c r="P32" s="16">
        <v>5.6732223903177004E-3</v>
      </c>
      <c r="Q32" s="16">
        <v>1.5053169451733186E-2</v>
      </c>
    </row>
    <row r="33" spans="1:18" s="10" customFormat="1" ht="12.75" x14ac:dyDescent="0.2">
      <c r="A33" s="13" t="s">
        <v>15</v>
      </c>
      <c r="B33" s="16">
        <v>8.9069856215803541E-3</v>
      </c>
      <c r="C33" s="16">
        <v>1.0105976182672349E-2</v>
      </c>
      <c r="D33" s="16">
        <v>1.0222235624038838E-2</v>
      </c>
      <c r="E33" s="16">
        <v>1.1016735346060045E-2</v>
      </c>
      <c r="F33" s="16">
        <v>1.5918021075191999E-2</v>
      </c>
      <c r="G33" s="16">
        <v>4.2329905030133862E-2</v>
      </c>
      <c r="H33" s="16">
        <v>0.85317304362788937</v>
      </c>
      <c r="I33" s="16">
        <v>3.2594794511078079E-2</v>
      </c>
      <c r="J33" s="16">
        <v>2.7296213202801005E-2</v>
      </c>
      <c r="K33" s="16">
        <v>3.002809376870999E-2</v>
      </c>
      <c r="L33" s="16">
        <v>1.7669781721264464E-2</v>
      </c>
      <c r="M33" s="16">
        <v>2.528422961567971E-2</v>
      </c>
      <c r="N33" s="16">
        <v>4.8862115127175365E-2</v>
      </c>
      <c r="O33" s="16">
        <v>2.2828598772204198E-2</v>
      </c>
      <c r="P33" s="16">
        <v>1.8154311649016642E-2</v>
      </c>
      <c r="Q33" s="16">
        <v>2.0301063389034663E-2</v>
      </c>
    </row>
    <row r="34" spans="1:18" s="10" customFormat="1" ht="12.75" x14ac:dyDescent="0.2">
      <c r="A34" s="13" t="s">
        <v>16</v>
      </c>
      <c r="B34" s="16">
        <v>1.336047843237053E-3</v>
      </c>
      <c r="C34" s="16">
        <v>1.3656724571178848E-3</v>
      </c>
      <c r="D34" s="16">
        <v>2.0806320296716222E-3</v>
      </c>
      <c r="E34" s="16">
        <v>1.8501387604070306E-3</v>
      </c>
      <c r="F34" s="16">
        <v>2.7683514913377388E-3</v>
      </c>
      <c r="G34" s="16">
        <v>3.405671369058097E-2</v>
      </c>
      <c r="H34" s="16">
        <v>3.5844250750428588E-2</v>
      </c>
      <c r="I34" s="16">
        <v>0.93695344094569843</v>
      </c>
      <c r="J34" s="16">
        <v>8.4013189203888769E-2</v>
      </c>
      <c r="K34" s="16">
        <v>6.3556394786533415E-3</v>
      </c>
      <c r="L34" s="16">
        <v>8.2065382409500353E-3</v>
      </c>
      <c r="M34" s="16">
        <v>5.1614703215456508E-3</v>
      </c>
      <c r="N34" s="16">
        <v>1.0709504685408299E-2</v>
      </c>
      <c r="O34" s="16">
        <v>2.7543708130062326E-3</v>
      </c>
      <c r="P34" s="16">
        <v>3.4039334341906201E-3</v>
      </c>
      <c r="Q34" s="16">
        <v>3.3144593288219858E-3</v>
      </c>
    </row>
    <row r="35" spans="1:18" s="10" customFormat="1" ht="12.75" x14ac:dyDescent="0.2">
      <c r="A35" s="13" t="s">
        <v>17</v>
      </c>
      <c r="B35" s="16">
        <v>1.3996691691054843E-3</v>
      </c>
      <c r="C35" s="16">
        <v>2.239702829673331E-3</v>
      </c>
      <c r="D35" s="16">
        <v>2.442481078310165E-3</v>
      </c>
      <c r="E35" s="16">
        <v>2.2706248423177192E-3</v>
      </c>
      <c r="F35" s="16">
        <v>1.116270762636185E-3</v>
      </c>
      <c r="G35" s="16">
        <v>8.9102354548578813E-3</v>
      </c>
      <c r="H35" s="16">
        <v>1.452209435962365E-2</v>
      </c>
      <c r="I35" s="16">
        <v>7.0166948947495769E-3</v>
      </c>
      <c r="J35" s="16">
        <v>0.85386498062410765</v>
      </c>
      <c r="K35" s="16">
        <v>4.9371344355915808E-2</v>
      </c>
      <c r="L35" s="16">
        <v>2.9477750413278905E-2</v>
      </c>
      <c r="M35" s="16">
        <v>3.6269791448699171E-3</v>
      </c>
      <c r="N35" s="16">
        <v>6.7306262085378554E-3</v>
      </c>
      <c r="O35" s="16">
        <v>2.6610023108704279E-3</v>
      </c>
      <c r="P35" s="16">
        <v>6.0514372163388806E-3</v>
      </c>
      <c r="Q35" s="16">
        <v>3.0382543847534871E-3</v>
      </c>
    </row>
    <row r="36" spans="1:18" s="10" customFormat="1" ht="12.75" x14ac:dyDescent="0.2">
      <c r="A36" s="13" t="s">
        <v>18</v>
      </c>
      <c r="B36" s="16">
        <v>1.0815625397633288E-3</v>
      </c>
      <c r="C36" s="16">
        <v>1.9119414399650387E-3</v>
      </c>
      <c r="D36" s="16">
        <v>1.5378584567138076E-3</v>
      </c>
      <c r="E36" s="16">
        <v>1.2614582457320662E-3</v>
      </c>
      <c r="F36" s="16">
        <v>5.5813538131809252E-4</v>
      </c>
      <c r="G36" s="16">
        <v>1.6177567664981852E-3</v>
      </c>
      <c r="H36" s="16">
        <v>4.3421826903263221E-3</v>
      </c>
      <c r="I36" s="16">
        <v>1.4171649787425252E-3</v>
      </c>
      <c r="J36" s="16">
        <v>9.416003807192876E-3</v>
      </c>
      <c r="K36" s="16">
        <v>0.843135448809469</v>
      </c>
      <c r="L36" s="16">
        <v>6.3982321784015389E-2</v>
      </c>
      <c r="M36" s="16">
        <v>3.1038571528213712E-3</v>
      </c>
      <c r="N36" s="16">
        <v>4.9085229808121375E-3</v>
      </c>
      <c r="O36" s="16">
        <v>2.2175019257253564E-3</v>
      </c>
      <c r="P36" s="16">
        <v>2.6475037821482601E-3</v>
      </c>
      <c r="Q36" s="16">
        <v>3.0382543847534871E-3</v>
      </c>
    </row>
    <row r="37" spans="1:18" s="10" customFormat="1" ht="12.75" x14ac:dyDescent="0.2">
      <c r="A37" s="13" t="s">
        <v>19</v>
      </c>
      <c r="B37" s="16">
        <v>1.8450184501845018E-3</v>
      </c>
      <c r="C37" s="16">
        <v>3.8238828799300774E-3</v>
      </c>
      <c r="D37" s="16">
        <v>3.2264873503603415E-3</v>
      </c>
      <c r="E37" s="16">
        <v>2.6911109242284082E-3</v>
      </c>
      <c r="F37" s="16">
        <v>1.2055724236470799E-3</v>
      </c>
      <c r="G37" s="16">
        <v>4.2832834594848327E-3</v>
      </c>
      <c r="H37" s="16">
        <v>8.2382507206876111E-3</v>
      </c>
      <c r="I37" s="16">
        <v>2.4195499637067507E-3</v>
      </c>
      <c r="J37" s="16">
        <v>5.5748181385546266E-3</v>
      </c>
      <c r="K37" s="16">
        <v>3.2975636715331831E-2</v>
      </c>
      <c r="L37" s="16">
        <v>0.79695354407746033</v>
      </c>
      <c r="M37" s="16">
        <v>2.3244053846690382E-2</v>
      </c>
      <c r="N37" s="16">
        <v>1.3424066636918043E-2</v>
      </c>
      <c r="O37" s="16">
        <v>6.9792955346513856E-3</v>
      </c>
      <c r="P37" s="16">
        <v>6.0514372163388806E-3</v>
      </c>
      <c r="Q37" s="16">
        <v>1.0495787874602956E-2</v>
      </c>
    </row>
    <row r="38" spans="1:18" s="10" customFormat="1" ht="12.75" x14ac:dyDescent="0.2">
      <c r="A38" s="13" t="s">
        <v>20</v>
      </c>
      <c r="B38" s="16">
        <v>1.7813971243160708E-3</v>
      </c>
      <c r="C38" s="16">
        <v>2.4035835245274774E-3</v>
      </c>
      <c r="D38" s="16">
        <v>3.0757169134276153E-3</v>
      </c>
      <c r="E38" s="16">
        <v>1.5978471112606174E-3</v>
      </c>
      <c r="F38" s="16">
        <v>1.6520807287015537E-3</v>
      </c>
      <c r="G38" s="16">
        <v>3.6378571847679401E-3</v>
      </c>
      <c r="H38" s="16">
        <v>7.6583016627330682E-3</v>
      </c>
      <c r="I38" s="16">
        <v>3.6293249455601256E-3</v>
      </c>
      <c r="J38" s="16">
        <v>2.8553946563328572E-3</v>
      </c>
      <c r="K38" s="16">
        <v>7.2767466494726664E-3</v>
      </c>
      <c r="L38" s="16">
        <v>2.9486184676630344E-2</v>
      </c>
      <c r="M38" s="16">
        <v>0.85438027481341983</v>
      </c>
      <c r="N38" s="16">
        <v>4.7969656403391341E-2</v>
      </c>
      <c r="O38" s="16">
        <v>8.519875819892159E-3</v>
      </c>
      <c r="P38" s="16">
        <v>6.8078668683812403E-3</v>
      </c>
      <c r="Q38" s="16">
        <v>8.5623532661234635E-3</v>
      </c>
    </row>
    <row r="39" spans="1:18" s="10" customFormat="1" ht="12.75" x14ac:dyDescent="0.2">
      <c r="A39" s="13" t="s">
        <v>21</v>
      </c>
      <c r="B39" s="16">
        <v>5.7259193281587988E-4</v>
      </c>
      <c r="C39" s="16">
        <v>1.6388069485414618E-3</v>
      </c>
      <c r="D39" s="16">
        <v>1.2363175828483551E-3</v>
      </c>
      <c r="E39" s="16">
        <v>9.2506938020351531E-4</v>
      </c>
      <c r="F39" s="16">
        <v>5.8046079657081623E-4</v>
      </c>
      <c r="G39" s="16">
        <v>2.3805332729817854E-3</v>
      </c>
      <c r="H39" s="16">
        <v>3.1206782642315889E-3</v>
      </c>
      <c r="I39" s="16">
        <v>1.2443399813349002E-3</v>
      </c>
      <c r="J39" s="16">
        <v>9.3480182201373309E-4</v>
      </c>
      <c r="K39" s="16">
        <v>2.0264357758025147E-3</v>
      </c>
      <c r="L39" s="16">
        <v>3.2724941803582877E-3</v>
      </c>
      <c r="M39" s="16">
        <v>2.6923345190765152E-2</v>
      </c>
      <c r="N39" s="16">
        <v>0.63859140264762759</v>
      </c>
      <c r="O39" s="16">
        <v>7.039985061039658E-2</v>
      </c>
      <c r="P39" s="16">
        <v>4.5385779122541605E-3</v>
      </c>
      <c r="Q39" s="16">
        <v>5.2478939373014778E-3</v>
      </c>
    </row>
    <row r="40" spans="1:18" s="10" customFormat="1" ht="12.75" x14ac:dyDescent="0.2">
      <c r="A40" s="13" t="s">
        <v>22</v>
      </c>
      <c r="B40" s="16">
        <v>1.272426517368622E-3</v>
      </c>
      <c r="C40" s="16">
        <v>1.3110455588331695E-3</v>
      </c>
      <c r="D40" s="16">
        <v>1.7187829810330791E-3</v>
      </c>
      <c r="E40" s="16">
        <v>8.4097216382137752E-4</v>
      </c>
      <c r="F40" s="16">
        <v>1.5627790676906591E-3</v>
      </c>
      <c r="G40" s="16">
        <v>1.1592526466668343E-2</v>
      </c>
      <c r="H40" s="16">
        <v>9.9228646509365217E-3</v>
      </c>
      <c r="I40" s="16">
        <v>1.4517299782240503E-3</v>
      </c>
      <c r="J40" s="16">
        <v>1.9545856278468964E-3</v>
      </c>
      <c r="K40" s="16">
        <v>2.8554322295399068E-3</v>
      </c>
      <c r="L40" s="16">
        <v>1.8530076583111232E-2</v>
      </c>
      <c r="M40" s="16">
        <v>3.1736067517611773E-2</v>
      </c>
      <c r="N40" s="16">
        <v>0.16034508403986317</v>
      </c>
      <c r="O40" s="16">
        <v>0.8566793492215401</v>
      </c>
      <c r="P40" s="16">
        <v>1.4750378214826021E-2</v>
      </c>
      <c r="Q40" s="16">
        <v>2.0439165861068913E-2</v>
      </c>
    </row>
    <row r="41" spans="1:18" s="10" customFormat="1" ht="12.75" x14ac:dyDescent="0.2">
      <c r="A41" s="13" t="s">
        <v>23</v>
      </c>
      <c r="B41" s="16">
        <v>5.7259193281587988E-4</v>
      </c>
      <c r="C41" s="16">
        <v>2.7313449142357698E-4</v>
      </c>
      <c r="D41" s="16">
        <v>1.8092452431927149E-4</v>
      </c>
      <c r="E41" s="16">
        <v>6.7277773105710206E-4</v>
      </c>
      <c r="F41" s="16">
        <v>7.1441328808715841E-4</v>
      </c>
      <c r="G41" s="16">
        <v>5.0209134877327094E-3</v>
      </c>
      <c r="H41" s="16">
        <v>2.4472575632367532E-3</v>
      </c>
      <c r="I41" s="16">
        <v>4.8390999274135009E-4</v>
      </c>
      <c r="J41" s="16">
        <v>1.0367802025970493E-3</v>
      </c>
      <c r="K41" s="16">
        <v>2.0724911343434809E-3</v>
      </c>
      <c r="L41" s="16">
        <v>5.7015620255726866E-3</v>
      </c>
      <c r="M41" s="16">
        <v>1.2258492013670921E-2</v>
      </c>
      <c r="N41" s="16">
        <v>2.6067231890525063E-2</v>
      </c>
      <c r="O41" s="16">
        <v>9.7803505987255207E-3</v>
      </c>
      <c r="P41" s="16">
        <v>0.91981845688350983</v>
      </c>
      <c r="Q41" s="16">
        <v>6.3527137135754733E-3</v>
      </c>
    </row>
    <row r="42" spans="1:18" s="10" customFormat="1" ht="12.75" x14ac:dyDescent="0.2">
      <c r="A42" s="13" t="s">
        <v>24</v>
      </c>
      <c r="B42" s="16">
        <v>2.5448530347372438E-4</v>
      </c>
      <c r="C42" s="16">
        <v>9.2865727084016165E-4</v>
      </c>
      <c r="D42" s="16">
        <v>3.6184904863854298E-4</v>
      </c>
      <c r="E42" s="16">
        <v>8.4097216382137758E-5</v>
      </c>
      <c r="F42" s="16">
        <v>9.8231827111984276E-4</v>
      </c>
      <c r="G42" s="16">
        <v>6.9320458336476643E-3</v>
      </c>
      <c r="H42" s="16">
        <v>2.863631245870784E-3</v>
      </c>
      <c r="I42" s="16">
        <v>1.1060799834088002E-3</v>
      </c>
      <c r="J42" s="16">
        <v>1.2917261540553403E-3</v>
      </c>
      <c r="K42" s="16">
        <v>1.6579929074747846E-3</v>
      </c>
      <c r="L42" s="16">
        <v>3.9134981950676431E-3</v>
      </c>
      <c r="M42" s="16">
        <v>3.0689823533514684E-3</v>
      </c>
      <c r="N42" s="16">
        <v>1.2568793693291684E-2</v>
      </c>
      <c r="O42" s="16">
        <v>5.3220046217408558E-3</v>
      </c>
      <c r="P42" s="16">
        <v>4.1603630862329802E-3</v>
      </c>
      <c r="Q42" s="16">
        <v>0.89379919900566218</v>
      </c>
    </row>
    <row r="43" spans="1:18" s="10" customFormat="1" ht="12.75" x14ac:dyDescent="0.2">
      <c r="A43" s="12" t="s">
        <v>8</v>
      </c>
      <c r="B43" s="17">
        <v>1</v>
      </c>
      <c r="C43" s="17">
        <v>1</v>
      </c>
      <c r="D43" s="17">
        <v>1</v>
      </c>
      <c r="E43" s="17">
        <v>1</v>
      </c>
      <c r="F43" s="17">
        <v>1</v>
      </c>
      <c r="G43" s="17">
        <v>1</v>
      </c>
      <c r="H43" s="17">
        <v>1</v>
      </c>
      <c r="I43" s="17">
        <v>1</v>
      </c>
      <c r="J43" s="17">
        <v>1</v>
      </c>
      <c r="K43" s="17">
        <v>1</v>
      </c>
      <c r="L43" s="17">
        <v>1</v>
      </c>
      <c r="M43" s="17">
        <v>1</v>
      </c>
      <c r="N43" s="17">
        <v>1</v>
      </c>
      <c r="O43" s="17">
        <v>1</v>
      </c>
      <c r="P43" s="17">
        <v>1</v>
      </c>
      <c r="Q43" s="17">
        <v>1</v>
      </c>
    </row>
    <row r="44" spans="1:18" s="10" customFormat="1" ht="12.75" x14ac:dyDescent="0.2"/>
    <row r="45" spans="1:18" s="10" customFormat="1" ht="12.75" x14ac:dyDescent="0.2">
      <c r="A45" s="11" t="s">
        <v>32</v>
      </c>
    </row>
    <row r="46" spans="1:18" s="10" customFormat="1" ht="15" customHeight="1" x14ac:dyDescent="0.2">
      <c r="A46" s="26" t="s">
        <v>6</v>
      </c>
      <c r="B46" s="25" t="s">
        <v>5</v>
      </c>
      <c r="C46" s="25"/>
      <c r="D46" s="25"/>
      <c r="E46" s="25"/>
      <c r="F46" s="25"/>
      <c r="G46" s="25"/>
      <c r="H46" s="25"/>
      <c r="I46" s="25"/>
      <c r="J46" s="25"/>
      <c r="K46" s="25"/>
      <c r="L46" s="25"/>
      <c r="M46" s="25"/>
      <c r="N46" s="25"/>
      <c r="O46" s="25"/>
      <c r="P46" s="25"/>
      <c r="Q46" s="25"/>
      <c r="R46" s="18"/>
    </row>
    <row r="47" spans="1:18" s="10" customFormat="1" ht="66.75" customHeight="1" x14ac:dyDescent="0.2">
      <c r="A47" s="27"/>
      <c r="B47" s="20" t="s">
        <v>26</v>
      </c>
      <c r="C47" s="20" t="s">
        <v>10</v>
      </c>
      <c r="D47" s="20" t="s">
        <v>11</v>
      </c>
      <c r="E47" s="20" t="s">
        <v>12</v>
      </c>
      <c r="F47" s="20" t="s">
        <v>13</v>
      </c>
      <c r="G47" s="20" t="s">
        <v>14</v>
      </c>
      <c r="H47" s="20" t="s">
        <v>15</v>
      </c>
      <c r="I47" s="20" t="s">
        <v>27</v>
      </c>
      <c r="J47" s="20" t="s">
        <v>17</v>
      </c>
      <c r="K47" s="20" t="s">
        <v>18</v>
      </c>
      <c r="L47" s="20" t="s">
        <v>19</v>
      </c>
      <c r="M47" s="20" t="s">
        <v>20</v>
      </c>
      <c r="N47" s="20" t="s">
        <v>21</v>
      </c>
      <c r="O47" s="20" t="s">
        <v>22</v>
      </c>
      <c r="P47" s="20" t="s">
        <v>23</v>
      </c>
      <c r="Q47" s="20" t="s">
        <v>24</v>
      </c>
      <c r="R47" s="18" t="s">
        <v>7</v>
      </c>
    </row>
    <row r="48" spans="1:18" s="10" customFormat="1" ht="12.75" x14ac:dyDescent="0.2">
      <c r="A48" s="13" t="s">
        <v>9</v>
      </c>
      <c r="B48" s="16">
        <v>0.81170742753623193</v>
      </c>
      <c r="C48" s="16">
        <v>1.3473731884057972E-2</v>
      </c>
      <c r="D48" s="16">
        <v>1.6077898550724636E-2</v>
      </c>
      <c r="E48" s="16">
        <v>2.717391304347826E-3</v>
      </c>
      <c r="F48" s="16">
        <v>1.0303442028985508E-2</v>
      </c>
      <c r="G48" s="16">
        <v>2.8136322463768116E-2</v>
      </c>
      <c r="H48" s="16">
        <v>8.3333333333333329E-2</v>
      </c>
      <c r="I48" s="16">
        <v>1.3020833333333333E-3</v>
      </c>
      <c r="J48" s="16">
        <v>3.170289855072464E-3</v>
      </c>
      <c r="K48" s="16">
        <v>4.4157608695652171E-3</v>
      </c>
      <c r="L48" s="16">
        <v>1.4662590579710144E-2</v>
      </c>
      <c r="M48" s="16">
        <v>4.0194746376811591E-3</v>
      </c>
      <c r="N48" s="16">
        <v>3.679800724637681E-3</v>
      </c>
      <c r="O48" s="16">
        <v>1.9248188405797102E-3</v>
      </c>
      <c r="P48" s="16">
        <v>5.6612318840579711E-5</v>
      </c>
      <c r="Q48" s="16">
        <v>1.0190217391304348E-3</v>
      </c>
      <c r="R48" s="17">
        <v>1</v>
      </c>
    </row>
    <row r="49" spans="1:18" s="10" customFormat="1" ht="12.75" x14ac:dyDescent="0.2">
      <c r="A49" s="13" t="s">
        <v>10</v>
      </c>
      <c r="B49" s="16">
        <v>2.3055507221158865E-2</v>
      </c>
      <c r="C49" s="16">
        <v>0.73399164781625192</v>
      </c>
      <c r="D49" s="16">
        <v>2.144597181137985E-2</v>
      </c>
      <c r="E49" s="16">
        <v>2.5230555072211589E-3</v>
      </c>
      <c r="F49" s="16">
        <v>1.4964329215242735E-2</v>
      </c>
      <c r="G49" s="16">
        <v>4.9678092918044196E-2</v>
      </c>
      <c r="H49" s="16">
        <v>0.1056638246041413</v>
      </c>
      <c r="I49" s="16">
        <v>1.8270401948842874E-3</v>
      </c>
      <c r="J49" s="16">
        <v>4.9156081433791542E-3</v>
      </c>
      <c r="K49" s="16">
        <v>3.3930746476422483E-3</v>
      </c>
      <c r="L49" s="16">
        <v>2.4099530189664174E-2</v>
      </c>
      <c r="M49" s="16">
        <v>5.1766138855054815E-3</v>
      </c>
      <c r="N49" s="16">
        <v>5.6551244127370798E-3</v>
      </c>
      <c r="O49" s="16">
        <v>2.8275622063685399E-3</v>
      </c>
      <c r="P49" s="16">
        <v>2.1750478510527231E-4</v>
      </c>
      <c r="Q49" s="16">
        <v>5.6551244127370801E-4</v>
      </c>
      <c r="R49" s="17">
        <v>1</v>
      </c>
    </row>
    <row r="50" spans="1:18" s="10" customFormat="1" ht="12.75" x14ac:dyDescent="0.2">
      <c r="A50" s="13" t="s">
        <v>11</v>
      </c>
      <c r="B50" s="16">
        <v>9.2599488592636729E-3</v>
      </c>
      <c r="C50" s="16">
        <v>1.1668032074675405E-2</v>
      </c>
      <c r="D50" s="16">
        <v>0.75698220004468608</v>
      </c>
      <c r="E50" s="16">
        <v>3.6741888235148085E-3</v>
      </c>
      <c r="F50" s="16">
        <v>4.0490553859139543E-2</v>
      </c>
      <c r="G50" s="16">
        <v>4.1359449864700477E-2</v>
      </c>
      <c r="H50" s="16">
        <v>0.10143740224919938</v>
      </c>
      <c r="I50" s="16">
        <v>1.0178496065142374E-3</v>
      </c>
      <c r="J50" s="16">
        <v>3.599712023038157E-3</v>
      </c>
      <c r="K50" s="16">
        <v>2.5322112162061519E-3</v>
      </c>
      <c r="L50" s="16">
        <v>1.8594374519003996E-2</v>
      </c>
      <c r="M50" s="16">
        <v>3.0535488195427125E-3</v>
      </c>
      <c r="N50" s="16">
        <v>3.450758422084854E-3</v>
      </c>
      <c r="O50" s="16">
        <v>2.2343040142995458E-3</v>
      </c>
      <c r="P50" s="16">
        <v>1.2412800079441921E-4</v>
      </c>
      <c r="Q50" s="16">
        <v>5.213376033365607E-4</v>
      </c>
      <c r="R50" s="17">
        <v>1</v>
      </c>
    </row>
    <row r="51" spans="1:18" s="10" customFormat="1" ht="12.75" x14ac:dyDescent="0.2">
      <c r="A51" s="13" t="s">
        <v>12</v>
      </c>
      <c r="B51" s="16">
        <v>1.9178082191780822E-3</v>
      </c>
      <c r="C51" s="16">
        <v>2.7397260273972603E-3</v>
      </c>
      <c r="D51" s="16">
        <v>1.4958904109589041E-2</v>
      </c>
      <c r="E51" s="16">
        <v>0.59468493150684931</v>
      </c>
      <c r="F51" s="16">
        <v>0.18734246575342467</v>
      </c>
      <c r="G51" s="16">
        <v>5.7698630136986298E-2</v>
      </c>
      <c r="H51" s="16">
        <v>0.1147945205479452</v>
      </c>
      <c r="I51" s="16">
        <v>1.5342465753424657E-3</v>
      </c>
      <c r="J51" s="16">
        <v>2.2465753424657535E-3</v>
      </c>
      <c r="K51" s="16">
        <v>2.7397260273972603E-3</v>
      </c>
      <c r="L51" s="16">
        <v>1.073972602739726E-2</v>
      </c>
      <c r="M51" s="16">
        <v>2.7397260273972603E-3</v>
      </c>
      <c r="N51" s="16">
        <v>3.4520547945205479E-3</v>
      </c>
      <c r="O51" s="16">
        <v>1.8082191780821918E-3</v>
      </c>
      <c r="P51" s="16">
        <v>1.6438356164383562E-4</v>
      </c>
      <c r="Q51" s="16">
        <v>4.3835616438356166E-4</v>
      </c>
      <c r="R51" s="17">
        <v>1</v>
      </c>
    </row>
    <row r="52" spans="1:18" s="10" customFormat="1" ht="12.75" x14ac:dyDescent="0.2">
      <c r="A52" s="13" t="s">
        <v>13</v>
      </c>
      <c r="B52" s="16">
        <v>1.5733872780400091E-3</v>
      </c>
      <c r="C52" s="16">
        <v>2.0433601013506611E-3</v>
      </c>
      <c r="D52" s="16">
        <v>1.1361082163509676E-2</v>
      </c>
      <c r="E52" s="16">
        <v>8.0099715972945917E-3</v>
      </c>
      <c r="F52" s="16">
        <v>0.77098019984061794</v>
      </c>
      <c r="G52" s="16">
        <v>8.4268170579701263E-2</v>
      </c>
      <c r="H52" s="16">
        <v>0.10243364188070864</v>
      </c>
      <c r="I52" s="16">
        <v>1.20558245979689E-3</v>
      </c>
      <c r="J52" s="16">
        <v>2.0229265003371545E-3</v>
      </c>
      <c r="K52" s="16">
        <v>1.2668832628374099E-3</v>
      </c>
      <c r="L52" s="16">
        <v>7.8873699912135522E-3</v>
      </c>
      <c r="M52" s="16">
        <v>2.0842273033776742E-3</v>
      </c>
      <c r="N52" s="16">
        <v>2.9015713439179388E-3</v>
      </c>
      <c r="O52" s="16">
        <v>1.5120864749994891E-3</v>
      </c>
      <c r="P52" s="16">
        <v>1.4303520709454628E-4</v>
      </c>
      <c r="Q52" s="16">
        <v>3.0650401520259914E-4</v>
      </c>
      <c r="R52" s="17">
        <v>1</v>
      </c>
    </row>
    <row r="53" spans="1:18" s="10" customFormat="1" ht="12.75" x14ac:dyDescent="0.2">
      <c r="A53" s="13" t="s">
        <v>14</v>
      </c>
      <c r="B53" s="16">
        <v>5.9382422802850359E-4</v>
      </c>
      <c r="C53" s="16">
        <v>8.9073634204275538E-4</v>
      </c>
      <c r="D53" s="16">
        <v>1.799467357662132E-3</v>
      </c>
      <c r="E53" s="16">
        <v>1.0436910674440365E-3</v>
      </c>
      <c r="F53" s="16">
        <v>2.4562729432088103E-3</v>
      </c>
      <c r="G53" s="16">
        <v>0.86745123443460737</v>
      </c>
      <c r="H53" s="16">
        <v>0.10927265529403296</v>
      </c>
      <c r="I53" s="16">
        <v>1.3046138343050457E-3</v>
      </c>
      <c r="J53" s="16">
        <v>2.141366155617937E-3</v>
      </c>
      <c r="K53" s="16">
        <v>1.0166990570791045E-3</v>
      </c>
      <c r="L53" s="16">
        <v>5.0385086014539697E-3</v>
      </c>
      <c r="M53" s="16">
        <v>1.6015259483192976E-3</v>
      </c>
      <c r="N53" s="16">
        <v>2.3662995753257034E-3</v>
      </c>
      <c r="O53" s="16">
        <v>1.90743539912186E-3</v>
      </c>
      <c r="P53" s="16">
        <v>1.349600518246599E-4</v>
      </c>
      <c r="Q53" s="16">
        <v>9.8070970992586198E-4</v>
      </c>
      <c r="R53" s="17">
        <v>1</v>
      </c>
    </row>
    <row r="54" spans="1:18" s="10" customFormat="1" ht="12.75" x14ac:dyDescent="0.2">
      <c r="A54" s="13" t="s">
        <v>15</v>
      </c>
      <c r="B54" s="16">
        <v>3.3540485762063795E-4</v>
      </c>
      <c r="C54" s="16">
        <v>4.4321356185584297E-4</v>
      </c>
      <c r="D54" s="16">
        <v>8.1215890523854471E-4</v>
      </c>
      <c r="E54" s="16">
        <v>3.1384311677359693E-4</v>
      </c>
      <c r="F54" s="16">
        <v>1.7081690248822489E-3</v>
      </c>
      <c r="G54" s="16">
        <v>1.2098532364173012E-2</v>
      </c>
      <c r="H54" s="16">
        <v>0.96216872780937501</v>
      </c>
      <c r="I54" s="16">
        <v>2.2591912909732969E-3</v>
      </c>
      <c r="J54" s="16">
        <v>3.8475728667053182E-3</v>
      </c>
      <c r="K54" s="16">
        <v>1.562028336918971E-3</v>
      </c>
      <c r="L54" s="16">
        <v>5.0190941193945463E-3</v>
      </c>
      <c r="M54" s="16">
        <v>3.4738360253566071E-3</v>
      </c>
      <c r="N54" s="16">
        <v>3.1480141636679873E-3</v>
      </c>
      <c r="O54" s="16">
        <v>2.3430425053784566E-3</v>
      </c>
      <c r="P54" s="16">
        <v>1.1499595118421872E-4</v>
      </c>
      <c r="Q54" s="16">
        <v>3.5217510050166985E-4</v>
      </c>
      <c r="R54" s="17">
        <v>1</v>
      </c>
    </row>
    <row r="55" spans="1:18" s="10" customFormat="1" ht="12.75" x14ac:dyDescent="0.2">
      <c r="A55" s="13" t="s">
        <v>16</v>
      </c>
      <c r="B55" s="16">
        <v>3.8117365182509575E-4</v>
      </c>
      <c r="C55" s="16">
        <v>4.5377815693463782E-4</v>
      </c>
      <c r="D55" s="16">
        <v>1.2524277131396003E-3</v>
      </c>
      <c r="E55" s="16">
        <v>3.9932477810248126E-4</v>
      </c>
      <c r="F55" s="16">
        <v>2.2507396583958035E-3</v>
      </c>
      <c r="G55" s="16">
        <v>7.3748026065017333E-2</v>
      </c>
      <c r="H55" s="16">
        <v>0.30626395367832576</v>
      </c>
      <c r="I55" s="16">
        <v>0.49202258000108906</v>
      </c>
      <c r="J55" s="16">
        <v>8.9721017189116584E-2</v>
      </c>
      <c r="K55" s="16">
        <v>2.5048554262792006E-3</v>
      </c>
      <c r="L55" s="16">
        <v>1.7661045867896102E-2</v>
      </c>
      <c r="M55" s="16">
        <v>5.3727333781061117E-3</v>
      </c>
      <c r="N55" s="16">
        <v>5.2275243678870272E-3</v>
      </c>
      <c r="O55" s="16">
        <v>2.1418329007314905E-3</v>
      </c>
      <c r="P55" s="16">
        <v>1.633601364964696E-4</v>
      </c>
      <c r="Q55" s="16">
        <v>4.356270306572523E-4</v>
      </c>
      <c r="R55" s="17">
        <v>1</v>
      </c>
    </row>
    <row r="56" spans="1:18" s="10" customFormat="1" ht="12.75" x14ac:dyDescent="0.2">
      <c r="A56" s="13" t="s">
        <v>17</v>
      </c>
      <c r="B56" s="16">
        <v>3.4553707455747693E-4</v>
      </c>
      <c r="C56" s="16">
        <v>6.439554571298434E-4</v>
      </c>
      <c r="D56" s="16">
        <v>1.2722046835979834E-3</v>
      </c>
      <c r="E56" s="16">
        <v>4.2406822786599446E-4</v>
      </c>
      <c r="F56" s="16">
        <v>7.8531153308517487E-4</v>
      </c>
      <c r="G56" s="16">
        <v>1.669572319339082E-2</v>
      </c>
      <c r="H56" s="16">
        <v>0.10736779280340511</v>
      </c>
      <c r="I56" s="16">
        <v>3.1883648243258103E-3</v>
      </c>
      <c r="J56" s="16">
        <v>0.78904961598266032</v>
      </c>
      <c r="K56" s="16">
        <v>1.6837079269346151E-2</v>
      </c>
      <c r="L56" s="16">
        <v>5.4893276162653722E-2</v>
      </c>
      <c r="M56" s="16">
        <v>3.2668959776343274E-3</v>
      </c>
      <c r="N56" s="16">
        <v>2.842827749768333E-3</v>
      </c>
      <c r="O56" s="16">
        <v>1.7905102954341987E-3</v>
      </c>
      <c r="P56" s="16">
        <v>2.5129969058725597E-4</v>
      </c>
      <c r="Q56" s="16">
        <v>3.4553707455747693E-4</v>
      </c>
      <c r="R56" s="17">
        <v>1</v>
      </c>
    </row>
    <row r="57" spans="1:18" s="10" customFormat="1" ht="12.75" x14ac:dyDescent="0.2">
      <c r="A57" s="13" t="s">
        <v>18</v>
      </c>
      <c r="B57" s="16">
        <v>5.8016517643846833E-4</v>
      </c>
      <c r="C57" s="16">
        <v>1.1944577161968467E-3</v>
      </c>
      <c r="D57" s="16">
        <v>1.7404955293154052E-3</v>
      </c>
      <c r="E57" s="16">
        <v>5.119104497986486E-4</v>
      </c>
      <c r="F57" s="16">
        <v>8.5318408299774756E-4</v>
      </c>
      <c r="G57" s="16">
        <v>6.5865811207426114E-3</v>
      </c>
      <c r="H57" s="16">
        <v>6.975633062589584E-2</v>
      </c>
      <c r="I57" s="16">
        <v>1.3992218961163061E-3</v>
      </c>
      <c r="J57" s="16">
        <v>1.8906559279230087E-2</v>
      </c>
      <c r="K57" s="16">
        <v>0.62476964029759063</v>
      </c>
      <c r="L57" s="16">
        <v>0.2588901781448365</v>
      </c>
      <c r="M57" s="16">
        <v>6.0746706709439626E-3</v>
      </c>
      <c r="N57" s="16">
        <v>4.5048119582281072E-3</v>
      </c>
      <c r="O57" s="16">
        <v>3.2420995153914409E-3</v>
      </c>
      <c r="P57" s="16">
        <v>2.3889154323936931E-4</v>
      </c>
      <c r="Q57" s="16">
        <v>7.5080199303801786E-4</v>
      </c>
      <c r="R57" s="17">
        <v>1</v>
      </c>
    </row>
    <row r="58" spans="1:18" s="10" customFormat="1" ht="12.75" x14ac:dyDescent="0.2">
      <c r="A58" s="13" t="s">
        <v>19</v>
      </c>
      <c r="B58" s="16">
        <v>2.8328611898016995E-4</v>
      </c>
      <c r="C58" s="16">
        <v>6.8379408029696205E-4</v>
      </c>
      <c r="D58" s="16">
        <v>1.0452280941682134E-3</v>
      </c>
      <c r="E58" s="16">
        <v>3.1259157956432549E-4</v>
      </c>
      <c r="F58" s="16">
        <v>5.2749829051479923E-4</v>
      </c>
      <c r="G58" s="16">
        <v>4.991696786167823E-3</v>
      </c>
      <c r="H58" s="16">
        <v>3.7882192048451696E-2</v>
      </c>
      <c r="I58" s="16">
        <v>6.8379408029696205E-4</v>
      </c>
      <c r="J58" s="16">
        <v>3.2040636905343364E-3</v>
      </c>
      <c r="K58" s="16">
        <v>6.9942365927517826E-3</v>
      </c>
      <c r="L58" s="16">
        <v>0.92302432353228481</v>
      </c>
      <c r="M58" s="16">
        <v>1.3021392986226434E-2</v>
      </c>
      <c r="N58" s="16">
        <v>3.526423756960047E-3</v>
      </c>
      <c r="O58" s="16">
        <v>2.9207775715541662E-3</v>
      </c>
      <c r="P58" s="16">
        <v>1.5629578978216274E-4</v>
      </c>
      <c r="Q58" s="16">
        <v>7.4240500146527302E-4</v>
      </c>
      <c r="R58" s="17">
        <v>1</v>
      </c>
    </row>
    <row r="59" spans="1:18" s="10" customFormat="1" ht="12.75" x14ac:dyDescent="0.2">
      <c r="A59" s="13" t="s">
        <v>20</v>
      </c>
      <c r="B59" s="16">
        <v>4.7485796659035021E-4</v>
      </c>
      <c r="C59" s="16">
        <v>7.4620537607055035E-4</v>
      </c>
      <c r="D59" s="16">
        <v>1.7298397354362758E-3</v>
      </c>
      <c r="E59" s="16">
        <v>3.2222504875773763E-4</v>
      </c>
      <c r="F59" s="16">
        <v>1.2549817688459256E-3</v>
      </c>
      <c r="G59" s="16">
        <v>7.3602984821504285E-3</v>
      </c>
      <c r="H59" s="16">
        <v>6.1137963198507589E-2</v>
      </c>
      <c r="I59" s="16">
        <v>1.7807173747138134E-3</v>
      </c>
      <c r="J59" s="16">
        <v>2.8491477995421012E-3</v>
      </c>
      <c r="K59" s="16">
        <v>2.6795556686169762E-3</v>
      </c>
      <c r="L59" s="16">
        <v>5.9289408971423728E-2</v>
      </c>
      <c r="M59" s="16">
        <v>0.83095056389383537</v>
      </c>
      <c r="N59" s="16">
        <v>2.1877384889341135E-2</v>
      </c>
      <c r="O59" s="16">
        <v>6.1901127787670649E-3</v>
      </c>
      <c r="P59" s="16">
        <v>3.0526583566522515E-4</v>
      </c>
      <c r="Q59" s="16">
        <v>1.0514712117357754E-3</v>
      </c>
      <c r="R59" s="17">
        <v>1</v>
      </c>
    </row>
    <row r="60" spans="1:18" s="10" customFormat="1" ht="12.75" x14ac:dyDescent="0.2">
      <c r="A60" s="13" t="s">
        <v>21</v>
      </c>
      <c r="B60" s="16">
        <v>3.7227001985440107E-4</v>
      </c>
      <c r="C60" s="16">
        <v>1.240900066181337E-3</v>
      </c>
      <c r="D60" s="16">
        <v>1.6958967571144936E-3</v>
      </c>
      <c r="E60" s="16">
        <v>4.5499669093315687E-4</v>
      </c>
      <c r="F60" s="16">
        <v>1.0754467240238254E-3</v>
      </c>
      <c r="G60" s="16">
        <v>1.1747187293183322E-2</v>
      </c>
      <c r="H60" s="16">
        <v>6.0762739907346125E-2</v>
      </c>
      <c r="I60" s="16">
        <v>1.4890800794176043E-3</v>
      </c>
      <c r="J60" s="16">
        <v>2.2749834546657841E-3</v>
      </c>
      <c r="K60" s="16">
        <v>1.8199867637326275E-3</v>
      </c>
      <c r="L60" s="16">
        <v>1.6048974189278625E-2</v>
      </c>
      <c r="M60" s="16">
        <v>6.3864990072799471E-2</v>
      </c>
      <c r="N60" s="16">
        <v>0.71033256121773658</v>
      </c>
      <c r="O60" s="16">
        <v>0.12475181998676373</v>
      </c>
      <c r="P60" s="16">
        <v>4.9636002647253472E-4</v>
      </c>
      <c r="Q60" s="16">
        <v>1.57180675049636E-3</v>
      </c>
      <c r="R60" s="17">
        <v>1</v>
      </c>
    </row>
    <row r="61" spans="1:18" s="10" customFormat="1" ht="12.75" x14ac:dyDescent="0.2">
      <c r="A61" s="13" t="s">
        <v>22</v>
      </c>
      <c r="B61" s="16">
        <v>3.8706431073522868E-4</v>
      </c>
      <c r="C61" s="16">
        <v>4.6447717288227439E-4</v>
      </c>
      <c r="D61" s="16">
        <v>1.1031332855954018E-3</v>
      </c>
      <c r="E61" s="16">
        <v>1.9353215536761434E-4</v>
      </c>
      <c r="F61" s="16">
        <v>1.3547250875733004E-3</v>
      </c>
      <c r="G61" s="16">
        <v>2.6765497087341061E-2</v>
      </c>
      <c r="H61" s="16">
        <v>9.0398869772212648E-2</v>
      </c>
      <c r="I61" s="16">
        <v>8.1283505254398016E-4</v>
      </c>
      <c r="J61" s="16">
        <v>2.2256197867275649E-3</v>
      </c>
      <c r="K61" s="16">
        <v>1.1998993632792089E-3</v>
      </c>
      <c r="L61" s="16">
        <v>4.2519014534264869E-2</v>
      </c>
      <c r="M61" s="16">
        <v>3.522285227690581E-2</v>
      </c>
      <c r="N61" s="16">
        <v>8.34510653945153E-2</v>
      </c>
      <c r="O61" s="16">
        <v>0.71028236341468132</v>
      </c>
      <c r="P61" s="16">
        <v>7.547754059336959E-4</v>
      </c>
      <c r="Q61" s="16">
        <v>2.864275899440692E-3</v>
      </c>
      <c r="R61" s="17">
        <v>1</v>
      </c>
    </row>
    <row r="62" spans="1:18" s="10" customFormat="1" ht="12.75" x14ac:dyDescent="0.2">
      <c r="A62" s="13" t="s">
        <v>23</v>
      </c>
      <c r="B62" s="16">
        <v>1.3028372900984366E-3</v>
      </c>
      <c r="C62" s="16">
        <v>7.2379849449913142E-4</v>
      </c>
      <c r="D62" s="16">
        <v>8.6855819339895772E-4</v>
      </c>
      <c r="E62" s="16">
        <v>1.1580775911986102E-3</v>
      </c>
      <c r="F62" s="16">
        <v>4.6323103647944409E-3</v>
      </c>
      <c r="G62" s="16">
        <v>8.6711059640995944E-2</v>
      </c>
      <c r="H62" s="16">
        <v>0.16676317313259989</v>
      </c>
      <c r="I62" s="16">
        <v>2.0266357845975681E-3</v>
      </c>
      <c r="J62" s="16">
        <v>8.8303416328894043E-3</v>
      </c>
      <c r="K62" s="16">
        <v>6.5141864504921826E-3</v>
      </c>
      <c r="L62" s="16">
        <v>9.7857556456282566E-2</v>
      </c>
      <c r="M62" s="16">
        <v>0.10176606832657788</v>
      </c>
      <c r="N62" s="16">
        <v>0.10147654892877823</v>
      </c>
      <c r="O62" s="16">
        <v>6.0654313839027217E-2</v>
      </c>
      <c r="P62" s="16">
        <v>0.35205558772437751</v>
      </c>
      <c r="Q62" s="16">
        <v>6.658946149392009E-3</v>
      </c>
      <c r="R62" s="17">
        <v>1</v>
      </c>
    </row>
    <row r="63" spans="1:18" s="10" customFormat="1" ht="12.75" x14ac:dyDescent="0.2">
      <c r="A63" s="13" t="s">
        <v>24</v>
      </c>
      <c r="B63" s="16">
        <v>3.9658933174697601E-4</v>
      </c>
      <c r="C63" s="16">
        <v>1.6855046599246481E-3</v>
      </c>
      <c r="D63" s="16">
        <v>1.1897679952409281E-3</v>
      </c>
      <c r="E63" s="16">
        <v>9.9147332936744002E-5</v>
      </c>
      <c r="F63" s="16">
        <v>4.3624826492167359E-3</v>
      </c>
      <c r="G63" s="16">
        <v>8.1994844338687284E-2</v>
      </c>
      <c r="H63" s="16">
        <v>0.13365060479873092</v>
      </c>
      <c r="I63" s="16">
        <v>3.1727146539758081E-3</v>
      </c>
      <c r="J63" s="16">
        <v>7.5351973031925444E-3</v>
      </c>
      <c r="K63" s="16">
        <v>3.569303985722784E-3</v>
      </c>
      <c r="L63" s="16">
        <v>4.6004362482649219E-2</v>
      </c>
      <c r="M63" s="16">
        <v>1.7449930596866944E-2</v>
      </c>
      <c r="N63" s="16">
        <v>3.3511798532619472E-2</v>
      </c>
      <c r="O63" s="16">
        <v>2.2605591909577633E-2</v>
      </c>
      <c r="P63" s="16">
        <v>1.090620662304184E-3</v>
      </c>
      <c r="Q63" s="16">
        <v>0.64168153876660716</v>
      </c>
      <c r="R63" s="17">
        <v>1</v>
      </c>
    </row>
    <row r="64" spans="1:18" s="10" customFormat="1" ht="12.75" x14ac:dyDescent="0.2"/>
    <row r="65" s="10" customFormat="1" ht="12.75" x14ac:dyDescent="0.2"/>
  </sheetData>
  <mergeCells count="5">
    <mergeCell ref="B4:Q4"/>
    <mergeCell ref="B25:Q25"/>
    <mergeCell ref="B46:Q46"/>
    <mergeCell ref="A46:A47"/>
    <mergeCell ref="A4:A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Índice</vt:lpstr>
      <vt:lpstr>Anexo Movilidad Regional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Ignacio Leal Perez</dc:creator>
  <cp:lastModifiedBy>Rodrigo Rolando Meneses</cp:lastModifiedBy>
  <dcterms:created xsi:type="dcterms:W3CDTF">2023-11-21T19:23:39Z</dcterms:created>
  <dcterms:modified xsi:type="dcterms:W3CDTF">2025-11-13T11:30:04Z</dcterms:modified>
</cp:coreProperties>
</file>