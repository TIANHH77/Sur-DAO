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24226"/>
  <mc:AlternateContent xmlns:mc="http://schemas.openxmlformats.org/markup-compatibility/2006">
    <mc:Choice Requires="x15">
      <x15ac:absPath xmlns:x15ac="http://schemas.microsoft.com/office/spreadsheetml/2010/11/ac" url="D:\Documents\2025\Informes\Titulados DR\"/>
    </mc:Choice>
  </mc:AlternateContent>
  <xr:revisionPtr revIDLastSave="0" documentId="13_ncr:1_{8B86873B-2364-4F8F-9611-73C150E21C5D}" xr6:coauthVersionLast="47" xr6:coauthVersionMax="47" xr10:uidLastSave="{00000000-0000-0000-0000-000000000000}"/>
  <bookViews>
    <workbookView xWindow="-120" yWindow="-120" windowWidth="29040" windowHeight="15720" tabRatio="872" xr2:uid="{00000000-000D-0000-FFFF-FFFF00000000}"/>
  </bookViews>
  <sheets>
    <sheet name="Índice" sheetId="2" r:id="rId1"/>
    <sheet name="Todos los Niveles" sheetId="1" r:id="rId2"/>
    <sheet name="Duración Real Pregrado" sheetId="3" r:id="rId3"/>
    <sheet name="Duración en Exceso" sheetId="10" r:id="rId4"/>
    <sheet name="Duración Real Posgrado" sheetId="6" r:id="rId5"/>
    <sheet name="Duración Real Postítulo" sheetId="15" r:id="rId6"/>
    <sheet name="DR y DEE por Sexo" sheetId="5" r:id="rId7"/>
    <sheet name="Durac. Real y Exceso Carr" sheetId="14" r:id="rId8"/>
    <sheet name="Sobreduración de las carreras" sheetId="7" r:id="rId9"/>
    <sheet name="Duración Real Instituciones" sheetId="9" r:id="rId10"/>
  </sheets>
  <definedNames>
    <definedName name="_xlnm._FilterDatabase" localSheetId="6" hidden="1">'DR y DEE por Sexo'!$A$534:$X$558</definedName>
    <definedName name="_xlnm._FilterDatabase" localSheetId="9" hidden="1">'Duración Real Instituciones'!$A$106:$T$106</definedName>
    <definedName name="_xlnm._FilterDatabase" localSheetId="8" hidden="1">'Sobreduración de las carreras'!$A$113:$V$138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86" i="10" l="1"/>
  <c r="U186" i="10"/>
  <c r="T186" i="10"/>
  <c r="V199" i="7"/>
  <c r="U199" i="7"/>
  <c r="T199" i="7"/>
  <c r="V307" i="3"/>
  <c r="U307" i="3"/>
  <c r="T307" i="3"/>
  <c r="V89" i="15" l="1"/>
  <c r="U89" i="15"/>
  <c r="T89" i="15"/>
  <c r="V88" i="15"/>
  <c r="U88" i="15"/>
  <c r="T88" i="15"/>
  <c r="V87" i="15"/>
  <c r="U87" i="15"/>
  <c r="T87" i="15"/>
  <c r="V86" i="15"/>
  <c r="U86" i="15"/>
  <c r="T86" i="15"/>
  <c r="V85" i="15"/>
  <c r="U85" i="15"/>
  <c r="T85" i="15"/>
  <c r="V84" i="15"/>
  <c r="U84" i="15"/>
  <c r="T84" i="15"/>
  <c r="V83" i="15"/>
  <c r="U83" i="15"/>
  <c r="T83" i="15"/>
  <c r="V82" i="15"/>
  <c r="U82" i="15"/>
  <c r="T82" i="15"/>
  <c r="V81" i="15"/>
  <c r="U81" i="15"/>
  <c r="T81" i="15"/>
  <c r="V80" i="15"/>
  <c r="U80" i="15"/>
  <c r="T80" i="15"/>
  <c r="V79" i="15"/>
  <c r="U79" i="15"/>
  <c r="T79" i="15"/>
  <c r="V74" i="15"/>
  <c r="U74" i="15"/>
  <c r="T74" i="15"/>
  <c r="V73" i="15"/>
  <c r="U73" i="15"/>
  <c r="T73" i="15"/>
  <c r="V72" i="15"/>
  <c r="U72" i="15"/>
  <c r="T72" i="15"/>
  <c r="V71" i="15"/>
  <c r="U71" i="15"/>
  <c r="T71" i="15"/>
  <c r="V70" i="15"/>
  <c r="U70" i="15"/>
  <c r="T70" i="15"/>
  <c r="V69" i="15"/>
  <c r="U69" i="15"/>
  <c r="T69" i="15"/>
  <c r="V68" i="15"/>
  <c r="U68" i="15"/>
  <c r="T68" i="15"/>
  <c r="V67" i="15"/>
  <c r="U67" i="15"/>
  <c r="T67" i="15"/>
  <c r="V66" i="15"/>
  <c r="U66" i="15"/>
  <c r="T66" i="15"/>
  <c r="V65" i="15"/>
  <c r="U65" i="15"/>
  <c r="T65" i="15"/>
  <c r="V64" i="15"/>
  <c r="U64" i="15"/>
  <c r="T64" i="15"/>
  <c r="V59" i="15"/>
  <c r="U59" i="15"/>
  <c r="T59" i="15"/>
  <c r="V58" i="15"/>
  <c r="U58" i="15"/>
  <c r="T58" i="15"/>
  <c r="V57" i="15"/>
  <c r="U57" i="15"/>
  <c r="T57" i="15"/>
  <c r="V56" i="15"/>
  <c r="U56" i="15"/>
  <c r="T56" i="15"/>
  <c r="V55" i="15"/>
  <c r="U55" i="15"/>
  <c r="T55" i="15"/>
  <c r="V54" i="15"/>
  <c r="U54" i="15"/>
  <c r="T54" i="15"/>
  <c r="V53" i="15"/>
  <c r="U53" i="15"/>
  <c r="T53" i="15"/>
  <c r="V52" i="15"/>
  <c r="U52" i="15"/>
  <c r="T52" i="15"/>
  <c r="V51" i="15"/>
  <c r="U51" i="15"/>
  <c r="T51" i="15"/>
  <c r="V50" i="15"/>
  <c r="U50" i="15"/>
  <c r="T50" i="15"/>
  <c r="V49" i="15"/>
  <c r="U49" i="15"/>
  <c r="T49" i="15"/>
  <c r="V44" i="15"/>
  <c r="U44" i="15"/>
  <c r="T44" i="15"/>
  <c r="V43" i="15"/>
  <c r="U43" i="15"/>
  <c r="T43" i="15"/>
  <c r="V42" i="15"/>
  <c r="U42" i="15"/>
  <c r="T42" i="15"/>
  <c r="V41" i="15"/>
  <c r="U41" i="15"/>
  <c r="T41" i="15"/>
  <c r="V40" i="15"/>
  <c r="U40" i="15"/>
  <c r="T40" i="15"/>
  <c r="V39" i="15"/>
  <c r="U39" i="15"/>
  <c r="T39" i="15"/>
  <c r="V38" i="15"/>
  <c r="U38" i="15"/>
  <c r="T38" i="15"/>
  <c r="V37" i="15"/>
  <c r="U37" i="15"/>
  <c r="T37" i="15"/>
  <c r="V36" i="15"/>
  <c r="U36" i="15"/>
  <c r="T36" i="15"/>
  <c r="V35" i="15"/>
  <c r="U35" i="15"/>
  <c r="T35" i="15"/>
  <c r="V34" i="15"/>
  <c r="U34" i="15"/>
  <c r="T34" i="15"/>
  <c r="T25" i="15"/>
  <c r="U25" i="15"/>
  <c r="V25" i="15"/>
  <c r="T26" i="15"/>
  <c r="U26" i="15"/>
  <c r="V26" i="15"/>
  <c r="T20" i="15"/>
  <c r="U20" i="15"/>
  <c r="V20" i="15"/>
  <c r="T21" i="15"/>
  <c r="U21" i="15"/>
  <c r="V21" i="15"/>
  <c r="T22" i="15"/>
  <c r="U22" i="15"/>
  <c r="V22" i="15"/>
  <c r="V28" i="15"/>
  <c r="U28" i="15"/>
  <c r="T28" i="15"/>
  <c r="V27" i="15"/>
  <c r="U27" i="15"/>
  <c r="T27" i="15"/>
  <c r="V24" i="15"/>
  <c r="U24" i="15"/>
  <c r="T24" i="15"/>
  <c r="V23" i="15"/>
  <c r="U23" i="15"/>
  <c r="T23" i="15"/>
  <c r="V10" i="15"/>
  <c r="U10" i="15"/>
  <c r="T10" i="15"/>
  <c r="V9" i="15"/>
  <c r="U9" i="15"/>
  <c r="T9" i="15"/>
  <c r="V8" i="15"/>
  <c r="U8" i="15"/>
  <c r="T8" i="15"/>
  <c r="V29" i="15"/>
  <c r="U29" i="15"/>
  <c r="T29" i="15"/>
  <c r="V19" i="15"/>
  <c r="U19" i="15"/>
  <c r="T19" i="15"/>
  <c r="V18" i="15"/>
  <c r="U18" i="15"/>
  <c r="T18" i="15"/>
  <c r="V17" i="15"/>
  <c r="U17" i="15"/>
  <c r="T17" i="15"/>
  <c r="V16" i="15"/>
  <c r="U16" i="15"/>
  <c r="T16" i="15"/>
  <c r="V15" i="15"/>
  <c r="U15" i="15"/>
  <c r="T15" i="15"/>
  <c r="V14" i="15"/>
  <c r="U14" i="15"/>
  <c r="T14" i="15"/>
  <c r="V7" i="15"/>
  <c r="U7" i="15"/>
  <c r="T7" i="15"/>
  <c r="V306" i="3"/>
  <c r="U306" i="3"/>
  <c r="T306" i="3"/>
  <c r="V305" i="3"/>
  <c r="U305" i="3"/>
  <c r="T305" i="3"/>
  <c r="V304" i="3"/>
  <c r="U304" i="3"/>
  <c r="T304" i="3"/>
  <c r="V303" i="3"/>
  <c r="U303" i="3"/>
  <c r="T303" i="3"/>
  <c r="V302" i="3"/>
  <c r="U302" i="3"/>
  <c r="T302" i="3"/>
  <c r="V301" i="3"/>
  <c r="U301" i="3"/>
  <c r="T301" i="3"/>
  <c r="V300" i="3"/>
  <c r="U300" i="3"/>
  <c r="T300" i="3"/>
  <c r="V299" i="3"/>
  <c r="U299" i="3"/>
  <c r="T299" i="3"/>
  <c r="V298" i="3"/>
  <c r="U298" i="3"/>
  <c r="T298" i="3"/>
  <c r="V297" i="3"/>
  <c r="U297" i="3"/>
  <c r="T297" i="3"/>
  <c r="W324" i="5" l="1"/>
  <c r="V324" i="5"/>
  <c r="U324" i="5"/>
  <c r="W323" i="5"/>
  <c r="V323" i="5"/>
  <c r="U323" i="5"/>
  <c r="W322" i="5"/>
  <c r="V322" i="5"/>
  <c r="U322" i="5"/>
  <c r="W321" i="5"/>
  <c r="V321" i="5"/>
  <c r="U321" i="5"/>
  <c r="W320" i="5"/>
  <c r="V320" i="5"/>
  <c r="U320" i="5"/>
  <c r="W319" i="5"/>
  <c r="V319" i="5"/>
  <c r="U319" i="5"/>
  <c r="W318" i="5"/>
  <c r="V318" i="5"/>
  <c r="U318" i="5"/>
  <c r="W317" i="5"/>
  <c r="V317" i="5"/>
  <c r="U317" i="5"/>
  <c r="W316" i="5"/>
  <c r="V316" i="5"/>
  <c r="U316" i="5"/>
  <c r="W315" i="5"/>
  <c r="V315" i="5"/>
  <c r="U315" i="5"/>
  <c r="W314" i="5"/>
  <c r="V314" i="5"/>
  <c r="U314" i="5"/>
  <c r="W313" i="5"/>
  <c r="V313" i="5"/>
  <c r="U313" i="5"/>
  <c r="W312" i="5"/>
  <c r="V312" i="5"/>
  <c r="U312" i="5"/>
  <c r="W311" i="5"/>
  <c r="V311" i="5"/>
  <c r="U311" i="5"/>
  <c r="W310" i="5"/>
  <c r="V310" i="5"/>
  <c r="U310" i="5"/>
  <c r="W309" i="5"/>
  <c r="V309" i="5"/>
  <c r="U309" i="5"/>
  <c r="W308" i="5"/>
  <c r="V308" i="5"/>
  <c r="U308" i="5"/>
  <c r="W307" i="5"/>
  <c r="V307" i="5"/>
  <c r="U307" i="5"/>
  <c r="W306" i="5"/>
  <c r="V306" i="5"/>
  <c r="U306" i="5"/>
  <c r="W305" i="5"/>
  <c r="V305" i="5"/>
  <c r="U305" i="5"/>
  <c r="W303" i="5"/>
  <c r="V303" i="5"/>
  <c r="U303" i="5"/>
  <c r="W302" i="5"/>
  <c r="V302" i="5"/>
  <c r="U302" i="5"/>
  <c r="W301" i="5"/>
  <c r="V301" i="5"/>
  <c r="U301" i="5"/>
  <c r="W300" i="5"/>
  <c r="V300" i="5"/>
  <c r="U300" i="5"/>
  <c r="W299" i="5"/>
  <c r="V299" i="5"/>
  <c r="U299" i="5"/>
  <c r="W298" i="5"/>
  <c r="V298" i="5"/>
  <c r="U298" i="5"/>
  <c r="W297" i="5"/>
  <c r="V297" i="5"/>
  <c r="U297" i="5"/>
  <c r="W296" i="5"/>
  <c r="V296" i="5"/>
  <c r="U296" i="5"/>
  <c r="W295" i="5"/>
  <c r="V295" i="5"/>
  <c r="U295" i="5"/>
  <c r="W294" i="5"/>
  <c r="V294" i="5"/>
  <c r="U294" i="5"/>
  <c r="W293" i="5"/>
  <c r="V293" i="5"/>
  <c r="U293" i="5"/>
  <c r="W292" i="5"/>
  <c r="V292" i="5"/>
  <c r="U292" i="5"/>
  <c r="W291" i="5"/>
  <c r="V291" i="5"/>
  <c r="U291" i="5"/>
  <c r="W290" i="5"/>
  <c r="V290" i="5"/>
  <c r="U290" i="5"/>
  <c r="W289" i="5"/>
  <c r="V289" i="5"/>
  <c r="U289" i="5"/>
  <c r="W288" i="5"/>
  <c r="V288" i="5"/>
  <c r="U288" i="5"/>
  <c r="W287" i="5"/>
  <c r="V287" i="5"/>
  <c r="U287" i="5"/>
  <c r="W286" i="5"/>
  <c r="V286" i="5"/>
  <c r="U286" i="5"/>
  <c r="W285" i="5"/>
  <c r="V285" i="5"/>
  <c r="U285" i="5"/>
  <c r="W284" i="5"/>
  <c r="V284" i="5"/>
  <c r="U284" i="5"/>
  <c r="W192" i="5"/>
  <c r="V192" i="5"/>
  <c r="U192" i="5"/>
  <c r="W191" i="5"/>
  <c r="V191" i="5"/>
  <c r="U191" i="5"/>
  <c r="W190" i="5"/>
  <c r="V190" i="5"/>
  <c r="U190" i="5"/>
  <c r="W189" i="5"/>
  <c r="V189" i="5"/>
  <c r="U189" i="5"/>
  <c r="W188" i="5"/>
  <c r="V188" i="5"/>
  <c r="U188" i="5"/>
  <c r="W187" i="5"/>
  <c r="V187" i="5"/>
  <c r="U187" i="5"/>
  <c r="W186" i="5"/>
  <c r="V186" i="5"/>
  <c r="U186" i="5"/>
  <c r="W185" i="5"/>
  <c r="V185" i="5"/>
  <c r="U185" i="5"/>
  <c r="W184" i="5"/>
  <c r="V184" i="5"/>
  <c r="U184" i="5"/>
  <c r="W183" i="5"/>
  <c r="V183" i="5"/>
  <c r="U183" i="5"/>
  <c r="W182" i="5"/>
  <c r="V182" i="5"/>
  <c r="U182" i="5"/>
  <c r="W181" i="5"/>
  <c r="V181" i="5"/>
  <c r="U181" i="5"/>
  <c r="W180" i="5"/>
  <c r="V180" i="5"/>
  <c r="U180" i="5"/>
  <c r="W179" i="5"/>
  <c r="V179" i="5"/>
  <c r="U179" i="5"/>
  <c r="W178" i="5"/>
  <c r="V178" i="5"/>
  <c r="U178" i="5"/>
  <c r="W177" i="5"/>
  <c r="V177" i="5"/>
  <c r="U177" i="5"/>
  <c r="W176" i="5"/>
  <c r="V176" i="5"/>
  <c r="U176" i="5"/>
  <c r="W175" i="5"/>
  <c r="V175" i="5"/>
  <c r="U175" i="5"/>
  <c r="W174" i="5"/>
  <c r="V174" i="5"/>
  <c r="U174" i="5"/>
  <c r="W173" i="5"/>
  <c r="V173" i="5"/>
  <c r="U173" i="5"/>
  <c r="W171" i="5"/>
  <c r="V171" i="5"/>
  <c r="U171" i="5"/>
  <c r="W170" i="5"/>
  <c r="V170" i="5"/>
  <c r="U170" i="5"/>
  <c r="W169" i="5"/>
  <c r="V169" i="5"/>
  <c r="U169" i="5"/>
  <c r="W168" i="5"/>
  <c r="V168" i="5"/>
  <c r="U168" i="5"/>
  <c r="W167" i="5"/>
  <c r="V167" i="5"/>
  <c r="U167" i="5"/>
  <c r="W166" i="5"/>
  <c r="V166" i="5"/>
  <c r="U166" i="5"/>
  <c r="W165" i="5"/>
  <c r="V165" i="5"/>
  <c r="U165" i="5"/>
  <c r="W164" i="5"/>
  <c r="V164" i="5"/>
  <c r="U164" i="5"/>
  <c r="W163" i="5"/>
  <c r="V163" i="5"/>
  <c r="U163" i="5"/>
  <c r="W162" i="5"/>
  <c r="V162" i="5"/>
  <c r="U162" i="5"/>
  <c r="W161" i="5"/>
  <c r="V161" i="5"/>
  <c r="U161" i="5"/>
  <c r="W160" i="5"/>
  <c r="V160" i="5"/>
  <c r="U160" i="5"/>
  <c r="W159" i="5"/>
  <c r="V159" i="5"/>
  <c r="U159" i="5"/>
  <c r="W158" i="5"/>
  <c r="V158" i="5"/>
  <c r="U158" i="5"/>
  <c r="W157" i="5"/>
  <c r="V157" i="5"/>
  <c r="U157" i="5"/>
  <c r="W156" i="5"/>
  <c r="V156" i="5"/>
  <c r="U156" i="5"/>
  <c r="W155" i="5"/>
  <c r="V155" i="5"/>
  <c r="U155" i="5"/>
  <c r="W154" i="5"/>
  <c r="V154" i="5"/>
  <c r="U154" i="5"/>
  <c r="W153" i="5"/>
  <c r="V153" i="5"/>
  <c r="U153" i="5"/>
  <c r="W152" i="5"/>
  <c r="V152" i="5"/>
  <c r="U152" i="5"/>
  <c r="V80" i="6" l="1"/>
  <c r="U80" i="6"/>
  <c r="T80" i="6"/>
  <c r="V79" i="6"/>
  <c r="U79" i="6"/>
  <c r="T79" i="6"/>
  <c r="V78" i="6"/>
  <c r="U78" i="6"/>
  <c r="T78" i="6"/>
  <c r="V77" i="6"/>
  <c r="U77" i="6"/>
  <c r="T77" i="6"/>
  <c r="V76" i="6"/>
  <c r="U76" i="6"/>
  <c r="T76" i="6"/>
  <c r="V75" i="6"/>
  <c r="U75" i="6"/>
  <c r="T75" i="6"/>
  <c r="V74" i="6"/>
  <c r="U74" i="6"/>
  <c r="T74" i="6"/>
  <c r="V73" i="6"/>
  <c r="U73" i="6"/>
  <c r="T73" i="6"/>
  <c r="V72" i="6"/>
  <c r="U72" i="6"/>
  <c r="T72" i="6"/>
  <c r="V71" i="6"/>
  <c r="U71" i="6"/>
  <c r="T71" i="6"/>
  <c r="V70" i="6"/>
  <c r="U70" i="6"/>
  <c r="T70" i="6"/>
  <c r="V65" i="6"/>
  <c r="U65" i="6"/>
  <c r="T65" i="6"/>
  <c r="V64" i="6"/>
  <c r="U64" i="6"/>
  <c r="T64" i="6"/>
  <c r="V63" i="6"/>
  <c r="U63" i="6"/>
  <c r="T63" i="6"/>
  <c r="V62" i="6"/>
  <c r="U62" i="6"/>
  <c r="T62" i="6"/>
  <c r="V61" i="6"/>
  <c r="U61" i="6"/>
  <c r="T61" i="6"/>
  <c r="V60" i="6"/>
  <c r="U60" i="6"/>
  <c r="T60" i="6"/>
  <c r="V59" i="6"/>
  <c r="U59" i="6"/>
  <c r="T59" i="6"/>
  <c r="V58" i="6"/>
  <c r="U58" i="6"/>
  <c r="T58" i="6"/>
  <c r="V57" i="6"/>
  <c r="U57" i="6"/>
  <c r="T57" i="6"/>
  <c r="V56" i="6"/>
  <c r="U56" i="6"/>
  <c r="T56" i="6"/>
  <c r="V55" i="6"/>
  <c r="U55" i="6"/>
  <c r="T55" i="6"/>
  <c r="U535" i="5" l="1"/>
  <c r="W554" i="5"/>
  <c r="V554" i="5"/>
  <c r="U554" i="5"/>
  <c r="W553" i="5"/>
  <c r="V553" i="5"/>
  <c r="U553" i="5"/>
  <c r="W552" i="5"/>
  <c r="V552" i="5"/>
  <c r="U552" i="5"/>
  <c r="W551" i="5"/>
  <c r="V551" i="5"/>
  <c r="U551" i="5"/>
  <c r="W550" i="5"/>
  <c r="V550" i="5"/>
  <c r="U550" i="5"/>
  <c r="W549" i="5"/>
  <c r="V549" i="5"/>
  <c r="U549" i="5"/>
  <c r="W548" i="5"/>
  <c r="V548" i="5"/>
  <c r="U548" i="5"/>
  <c r="W547" i="5"/>
  <c r="V547" i="5"/>
  <c r="U547" i="5"/>
  <c r="W546" i="5"/>
  <c r="V546" i="5"/>
  <c r="U546" i="5"/>
  <c r="W545" i="5"/>
  <c r="V545" i="5"/>
  <c r="U545" i="5"/>
  <c r="W544" i="5"/>
  <c r="V544" i="5"/>
  <c r="U544" i="5"/>
  <c r="W543" i="5"/>
  <c r="V543" i="5"/>
  <c r="U543" i="5"/>
  <c r="W542" i="5"/>
  <c r="V542" i="5"/>
  <c r="U542" i="5"/>
  <c r="W541" i="5"/>
  <c r="V541" i="5"/>
  <c r="U541" i="5"/>
  <c r="W540" i="5"/>
  <c r="V540" i="5"/>
  <c r="U540" i="5"/>
  <c r="W539" i="5"/>
  <c r="V539" i="5"/>
  <c r="U539" i="5"/>
  <c r="W538" i="5"/>
  <c r="V538" i="5"/>
  <c r="U538" i="5"/>
  <c r="W537" i="5"/>
  <c r="V537" i="5"/>
  <c r="U537" i="5"/>
  <c r="W536" i="5"/>
  <c r="V536" i="5"/>
  <c r="U536" i="5"/>
  <c r="W535" i="5"/>
  <c r="V535" i="5"/>
  <c r="W531" i="5"/>
  <c r="V531" i="5"/>
  <c r="U531" i="5"/>
  <c r="W530" i="5"/>
  <c r="V530" i="5"/>
  <c r="U530" i="5"/>
  <c r="W529" i="5"/>
  <c r="V529" i="5"/>
  <c r="U529" i="5"/>
  <c r="W528" i="5"/>
  <c r="V528" i="5"/>
  <c r="U528" i="5"/>
  <c r="W527" i="5"/>
  <c r="V527" i="5"/>
  <c r="U527" i="5"/>
  <c r="W526" i="5"/>
  <c r="V526" i="5"/>
  <c r="U526" i="5"/>
  <c r="W525" i="5"/>
  <c r="V525" i="5"/>
  <c r="U525" i="5"/>
  <c r="W524" i="5"/>
  <c r="V524" i="5"/>
  <c r="U524" i="5"/>
  <c r="W523" i="5"/>
  <c r="V523" i="5"/>
  <c r="U523" i="5"/>
  <c r="W522" i="5"/>
  <c r="V522" i="5"/>
  <c r="U522" i="5"/>
  <c r="W521" i="5"/>
  <c r="V521" i="5"/>
  <c r="U521" i="5"/>
  <c r="W520" i="5"/>
  <c r="V520" i="5"/>
  <c r="U520" i="5"/>
  <c r="W519" i="5"/>
  <c r="V519" i="5"/>
  <c r="U519" i="5"/>
  <c r="W209" i="5"/>
  <c r="V209" i="5"/>
  <c r="U209" i="5"/>
  <c r="W208" i="5"/>
  <c r="V208" i="5"/>
  <c r="U208" i="5"/>
  <c r="W207" i="5"/>
  <c r="V207" i="5"/>
  <c r="U207" i="5"/>
  <c r="W206" i="5"/>
  <c r="V206" i="5"/>
  <c r="U206" i="5"/>
  <c r="W205" i="5"/>
  <c r="V205" i="5"/>
  <c r="U205" i="5"/>
  <c r="W204" i="5"/>
  <c r="V204" i="5"/>
  <c r="U204" i="5"/>
  <c r="W202" i="5"/>
  <c r="V202" i="5"/>
  <c r="U202" i="5"/>
  <c r="W201" i="5"/>
  <c r="V201" i="5"/>
  <c r="U201" i="5"/>
  <c r="W200" i="5"/>
  <c r="V200" i="5"/>
  <c r="U200" i="5"/>
  <c r="W199" i="5"/>
  <c r="V199" i="5"/>
  <c r="U199" i="5"/>
  <c r="W198" i="5"/>
  <c r="V198" i="5"/>
  <c r="U198" i="5"/>
  <c r="W234" i="5"/>
  <c r="V234" i="5"/>
  <c r="U234" i="5"/>
  <c r="W233" i="5"/>
  <c r="V233" i="5"/>
  <c r="U233" i="5"/>
  <c r="W232" i="5"/>
  <c r="V232" i="5"/>
  <c r="U232" i="5"/>
  <c r="W231" i="5"/>
  <c r="V231" i="5"/>
  <c r="U231" i="5"/>
  <c r="W230" i="5"/>
  <c r="V230" i="5"/>
  <c r="U230" i="5"/>
  <c r="W229" i="5"/>
  <c r="V229" i="5"/>
  <c r="U229" i="5"/>
  <c r="W228" i="5"/>
  <c r="V228" i="5"/>
  <c r="U228" i="5"/>
  <c r="W227" i="5"/>
  <c r="V227" i="5"/>
  <c r="U227" i="5"/>
  <c r="W226" i="5"/>
  <c r="V226" i="5"/>
  <c r="U226" i="5"/>
  <c r="W225" i="5"/>
  <c r="V225" i="5"/>
  <c r="U225" i="5"/>
  <c r="W223" i="5"/>
  <c r="V223" i="5"/>
  <c r="U223" i="5"/>
  <c r="W222" i="5"/>
  <c r="V222" i="5"/>
  <c r="U222" i="5"/>
  <c r="W221" i="5"/>
  <c r="V221" i="5"/>
  <c r="U221" i="5"/>
  <c r="W220" i="5"/>
  <c r="V220" i="5"/>
  <c r="U220" i="5"/>
  <c r="W219" i="5"/>
  <c r="V219" i="5"/>
  <c r="U219" i="5"/>
  <c r="W218" i="5"/>
  <c r="V218" i="5"/>
  <c r="U218" i="5"/>
  <c r="W217" i="5"/>
  <c r="V217" i="5"/>
  <c r="U217" i="5"/>
  <c r="W216" i="5"/>
  <c r="V216" i="5"/>
  <c r="U216" i="5"/>
  <c r="W215" i="5"/>
  <c r="V215" i="5"/>
  <c r="U215" i="5"/>
  <c r="W279" i="5"/>
  <c r="V279" i="5"/>
  <c r="U279" i="5"/>
  <c r="W278" i="5"/>
  <c r="V278" i="5"/>
  <c r="U278" i="5"/>
  <c r="W277" i="5"/>
  <c r="V277" i="5"/>
  <c r="U277" i="5"/>
  <c r="W276" i="5"/>
  <c r="V276" i="5"/>
  <c r="U276" i="5"/>
  <c r="W275" i="5"/>
  <c r="V275" i="5"/>
  <c r="U275" i="5"/>
  <c r="W274" i="5"/>
  <c r="V274" i="5"/>
  <c r="U274" i="5"/>
  <c r="W273" i="5"/>
  <c r="V273" i="5"/>
  <c r="U273" i="5"/>
  <c r="W272" i="5"/>
  <c r="V272" i="5"/>
  <c r="U272" i="5"/>
  <c r="W271" i="5"/>
  <c r="V271" i="5"/>
  <c r="U271" i="5"/>
  <c r="W270" i="5"/>
  <c r="V270" i="5"/>
  <c r="U270" i="5"/>
  <c r="W269" i="5"/>
  <c r="V269" i="5"/>
  <c r="U269" i="5"/>
  <c r="W268" i="5"/>
  <c r="V268" i="5"/>
  <c r="U268" i="5"/>
  <c r="W267" i="5"/>
  <c r="V267" i="5"/>
  <c r="U267" i="5"/>
  <c r="W266" i="5"/>
  <c r="V266" i="5"/>
  <c r="U266" i="5"/>
  <c r="W265" i="5"/>
  <c r="V265" i="5"/>
  <c r="U265" i="5"/>
  <c r="W264" i="5"/>
  <c r="V264" i="5"/>
  <c r="U264" i="5"/>
  <c r="W263" i="5"/>
  <c r="V263" i="5"/>
  <c r="U263" i="5"/>
  <c r="W262" i="5"/>
  <c r="V262" i="5"/>
  <c r="U262" i="5"/>
  <c r="W261" i="5"/>
  <c r="V261" i="5"/>
  <c r="U261" i="5"/>
  <c r="W260" i="5"/>
  <c r="V260" i="5"/>
  <c r="U260" i="5"/>
  <c r="W258" i="5"/>
  <c r="V258" i="5"/>
  <c r="U258" i="5"/>
  <c r="W257" i="5"/>
  <c r="V257" i="5"/>
  <c r="U257" i="5"/>
  <c r="W256" i="5"/>
  <c r="V256" i="5"/>
  <c r="U256" i="5"/>
  <c r="W255" i="5"/>
  <c r="V255" i="5"/>
  <c r="U255" i="5"/>
  <c r="W254" i="5"/>
  <c r="V254" i="5"/>
  <c r="U254" i="5"/>
  <c r="W253" i="5"/>
  <c r="V253" i="5"/>
  <c r="U253" i="5"/>
  <c r="W252" i="5"/>
  <c r="V252" i="5"/>
  <c r="U252" i="5"/>
  <c r="W251" i="5"/>
  <c r="V251" i="5"/>
  <c r="U251" i="5"/>
  <c r="W250" i="5"/>
  <c r="V250" i="5"/>
  <c r="U250" i="5"/>
  <c r="W249" i="5"/>
  <c r="V249" i="5"/>
  <c r="U249" i="5"/>
  <c r="W248" i="5"/>
  <c r="V248" i="5"/>
  <c r="U248" i="5"/>
  <c r="W247" i="5"/>
  <c r="V247" i="5"/>
  <c r="U247" i="5"/>
  <c r="W246" i="5"/>
  <c r="V246" i="5"/>
  <c r="U246" i="5"/>
  <c r="W245" i="5"/>
  <c r="V245" i="5"/>
  <c r="U245" i="5"/>
  <c r="W244" i="5"/>
  <c r="V244" i="5"/>
  <c r="U244" i="5"/>
  <c r="W243" i="5"/>
  <c r="V243" i="5"/>
  <c r="U243" i="5"/>
  <c r="W242" i="5"/>
  <c r="V242" i="5"/>
  <c r="U242" i="5"/>
  <c r="W241" i="5"/>
  <c r="V241" i="5"/>
  <c r="U241" i="5"/>
  <c r="W240" i="5"/>
  <c r="V240" i="5"/>
  <c r="U240" i="5"/>
  <c r="W239" i="5"/>
  <c r="V239" i="5"/>
  <c r="U239" i="5"/>
  <c r="W129" i="5"/>
  <c r="V129" i="5"/>
  <c r="U129" i="5"/>
  <c r="W147" i="5"/>
  <c r="V147" i="5"/>
  <c r="U147" i="5"/>
  <c r="W146" i="5"/>
  <c r="V146" i="5"/>
  <c r="U146" i="5"/>
  <c r="W145" i="5"/>
  <c r="V145" i="5"/>
  <c r="U145" i="5"/>
  <c r="W144" i="5"/>
  <c r="V144" i="5"/>
  <c r="U144" i="5"/>
  <c r="W143" i="5"/>
  <c r="V143" i="5"/>
  <c r="U143" i="5"/>
  <c r="W142" i="5"/>
  <c r="V142" i="5"/>
  <c r="U142" i="5"/>
  <c r="W141" i="5"/>
  <c r="V141" i="5"/>
  <c r="U141" i="5"/>
  <c r="W140" i="5"/>
  <c r="V140" i="5"/>
  <c r="U140" i="5"/>
  <c r="W139" i="5"/>
  <c r="V139" i="5"/>
  <c r="U139" i="5"/>
  <c r="W138" i="5"/>
  <c r="V138" i="5"/>
  <c r="U138" i="5"/>
  <c r="W137" i="5"/>
  <c r="V137" i="5"/>
  <c r="U137" i="5"/>
  <c r="W136" i="5"/>
  <c r="V136" i="5"/>
  <c r="U136" i="5"/>
  <c r="W135" i="5"/>
  <c r="V135" i="5"/>
  <c r="U135" i="5"/>
  <c r="W134" i="5"/>
  <c r="V134" i="5"/>
  <c r="U134" i="5"/>
  <c r="W133" i="5"/>
  <c r="V133" i="5"/>
  <c r="U133" i="5"/>
  <c r="W132" i="5"/>
  <c r="V132" i="5"/>
  <c r="U132" i="5"/>
  <c r="W131" i="5"/>
  <c r="V131" i="5"/>
  <c r="U131" i="5"/>
  <c r="W130" i="5"/>
  <c r="V130" i="5"/>
  <c r="U130" i="5"/>
  <c r="W126" i="5"/>
  <c r="V126" i="5"/>
  <c r="U126" i="5"/>
  <c r="W125" i="5"/>
  <c r="V125" i="5"/>
  <c r="U125" i="5"/>
  <c r="W124" i="5"/>
  <c r="V124" i="5"/>
  <c r="U124" i="5"/>
  <c r="W123" i="5"/>
  <c r="V123" i="5"/>
  <c r="U123" i="5"/>
  <c r="W122" i="5"/>
  <c r="V122" i="5"/>
  <c r="U122" i="5"/>
  <c r="W121" i="5"/>
  <c r="V121" i="5"/>
  <c r="U121" i="5"/>
  <c r="W120" i="5"/>
  <c r="V120" i="5"/>
  <c r="U120" i="5"/>
  <c r="W119" i="5"/>
  <c r="V119" i="5"/>
  <c r="U119" i="5"/>
  <c r="W118" i="5"/>
  <c r="V118" i="5"/>
  <c r="U118" i="5"/>
  <c r="W117" i="5"/>
  <c r="V117" i="5"/>
  <c r="U117" i="5"/>
  <c r="W116" i="5"/>
  <c r="V116" i="5"/>
  <c r="U116" i="5"/>
  <c r="W115" i="5"/>
  <c r="V115" i="5"/>
  <c r="U115" i="5"/>
  <c r="W114" i="5"/>
  <c r="V114" i="5"/>
  <c r="U114" i="5"/>
  <c r="W113" i="5"/>
  <c r="V113" i="5"/>
  <c r="U113" i="5"/>
  <c r="W112" i="5"/>
  <c r="V112" i="5"/>
  <c r="U112" i="5"/>
  <c r="W111" i="5"/>
  <c r="V111" i="5"/>
  <c r="U111" i="5"/>
  <c r="W110" i="5"/>
  <c r="V110" i="5"/>
  <c r="U110" i="5"/>
  <c r="W109" i="5"/>
  <c r="V109" i="5"/>
  <c r="U109" i="5"/>
  <c r="W108" i="5"/>
  <c r="V108" i="5"/>
  <c r="U108" i="5"/>
  <c r="W101" i="5" l="1"/>
  <c r="V101" i="5"/>
  <c r="U101" i="5"/>
  <c r="W100" i="5"/>
  <c r="V100" i="5"/>
  <c r="U100" i="5"/>
  <c r="W99" i="5"/>
  <c r="V99" i="5"/>
  <c r="U99" i="5"/>
  <c r="W98" i="5"/>
  <c r="V98" i="5"/>
  <c r="U98" i="5"/>
  <c r="W97" i="5"/>
  <c r="V97" i="5"/>
  <c r="U97" i="5"/>
  <c r="W96" i="5"/>
  <c r="V96" i="5"/>
  <c r="U96" i="5"/>
  <c r="W95" i="5"/>
  <c r="V95" i="5"/>
  <c r="U95" i="5"/>
  <c r="W94" i="5"/>
  <c r="V94" i="5"/>
  <c r="U94" i="5"/>
  <c r="W93" i="5"/>
  <c r="V93" i="5"/>
  <c r="U93" i="5"/>
  <c r="W92" i="5"/>
  <c r="V92" i="5"/>
  <c r="U92" i="5"/>
  <c r="W90" i="5"/>
  <c r="V90" i="5"/>
  <c r="U90" i="5"/>
  <c r="W89" i="5"/>
  <c r="V89" i="5"/>
  <c r="U89" i="5"/>
  <c r="W88" i="5"/>
  <c r="V88" i="5"/>
  <c r="U88" i="5"/>
  <c r="W87" i="5"/>
  <c r="V87" i="5"/>
  <c r="U87" i="5"/>
  <c r="W86" i="5"/>
  <c r="V86" i="5"/>
  <c r="U86" i="5"/>
  <c r="W85" i="5"/>
  <c r="V85" i="5"/>
  <c r="U85" i="5"/>
  <c r="W84" i="5"/>
  <c r="V84" i="5"/>
  <c r="U84" i="5"/>
  <c r="W83" i="5"/>
  <c r="V83" i="5"/>
  <c r="U83" i="5"/>
  <c r="W82" i="5"/>
  <c r="V82" i="5"/>
  <c r="U82" i="5"/>
  <c r="W76" i="5"/>
  <c r="V76" i="5"/>
  <c r="U76" i="5"/>
  <c r="W75" i="5"/>
  <c r="V75" i="5"/>
  <c r="U75" i="5"/>
  <c r="W74" i="5"/>
  <c r="V74" i="5"/>
  <c r="U74" i="5"/>
  <c r="W73" i="5"/>
  <c r="V73" i="5"/>
  <c r="U73" i="5"/>
  <c r="W71" i="5"/>
  <c r="V71" i="5"/>
  <c r="U71" i="5"/>
  <c r="W70" i="5"/>
  <c r="V70" i="5"/>
  <c r="U70" i="5"/>
  <c r="W69" i="5"/>
  <c r="V69" i="5"/>
  <c r="U69" i="5"/>
  <c r="W63" i="5" l="1"/>
  <c r="V63" i="5"/>
  <c r="U63" i="5"/>
  <c r="W62" i="5"/>
  <c r="V62" i="5"/>
  <c r="U62" i="5"/>
  <c r="W61" i="5"/>
  <c r="V61" i="5"/>
  <c r="U61" i="5"/>
  <c r="W60" i="5"/>
  <c r="V60" i="5"/>
  <c r="U60" i="5"/>
  <c r="W59" i="5"/>
  <c r="V59" i="5"/>
  <c r="U59" i="5"/>
  <c r="W58" i="5"/>
  <c r="V58" i="5"/>
  <c r="U58" i="5"/>
  <c r="W57" i="5"/>
  <c r="V57" i="5"/>
  <c r="U57" i="5"/>
  <c r="W56" i="5"/>
  <c r="V56" i="5"/>
  <c r="U56" i="5"/>
  <c r="W54" i="5"/>
  <c r="V54" i="5"/>
  <c r="U54" i="5"/>
  <c r="W53" i="5"/>
  <c r="V53" i="5"/>
  <c r="U53" i="5"/>
  <c r="W52" i="5"/>
  <c r="V52" i="5"/>
  <c r="U52" i="5"/>
  <c r="W51" i="5"/>
  <c r="V51" i="5"/>
  <c r="U51" i="5"/>
  <c r="W50" i="5"/>
  <c r="V50" i="5"/>
  <c r="U50" i="5"/>
  <c r="W49" i="5"/>
  <c r="V49" i="5"/>
  <c r="U49" i="5"/>
  <c r="W48" i="5"/>
  <c r="V48" i="5"/>
  <c r="U48" i="5"/>
  <c r="W42" i="5"/>
  <c r="V42" i="5"/>
  <c r="U42" i="5"/>
  <c r="W41" i="5"/>
  <c r="V41" i="5"/>
  <c r="U41" i="5"/>
  <c r="W40" i="5"/>
  <c r="V40" i="5"/>
  <c r="U40" i="5"/>
  <c r="W39" i="5"/>
  <c r="V39" i="5"/>
  <c r="U39" i="5"/>
  <c r="W37" i="5"/>
  <c r="V37" i="5"/>
  <c r="U37" i="5"/>
  <c r="W36" i="5"/>
  <c r="V36" i="5"/>
  <c r="U36" i="5"/>
  <c r="W35" i="5"/>
  <c r="V35" i="5"/>
  <c r="U35" i="5"/>
  <c r="W29" i="5"/>
  <c r="V29" i="5"/>
  <c r="U29" i="5"/>
  <c r="W28" i="5"/>
  <c r="V28" i="5"/>
  <c r="U28" i="5"/>
  <c r="W27" i="5"/>
  <c r="V27" i="5"/>
  <c r="U27" i="5"/>
  <c r="W26" i="5"/>
  <c r="V26" i="5"/>
  <c r="U26" i="5"/>
  <c r="W25" i="5"/>
  <c r="V25" i="5"/>
  <c r="U25" i="5"/>
  <c r="W24" i="5"/>
  <c r="V24" i="5"/>
  <c r="U24" i="5"/>
  <c r="W22" i="5"/>
  <c r="V22" i="5"/>
  <c r="U22" i="5"/>
  <c r="W21" i="5"/>
  <c r="V21" i="5"/>
  <c r="U21" i="5"/>
  <c r="W20" i="5"/>
  <c r="V20" i="5"/>
  <c r="U20" i="5"/>
  <c r="W19" i="5"/>
  <c r="V19" i="5"/>
  <c r="U19" i="5"/>
  <c r="W18" i="5"/>
  <c r="V18" i="5"/>
  <c r="U18" i="5"/>
  <c r="W12" i="5"/>
  <c r="V12" i="5"/>
  <c r="U12" i="5"/>
  <c r="W11" i="5"/>
  <c r="V11" i="5"/>
  <c r="U11" i="5"/>
  <c r="W10" i="5"/>
  <c r="V10" i="5"/>
  <c r="U10" i="5"/>
  <c r="W9" i="5"/>
  <c r="V9" i="5"/>
  <c r="U9" i="5"/>
  <c r="W8" i="5"/>
  <c r="V8" i="5"/>
  <c r="U8" i="5"/>
  <c r="T197" i="7" l="1"/>
  <c r="V196" i="7"/>
  <c r="U196" i="7"/>
  <c r="T196" i="7"/>
  <c r="V192" i="7"/>
  <c r="U192" i="7"/>
  <c r="T192" i="7"/>
  <c r="V194" i="7"/>
  <c r="U194" i="7"/>
  <c r="T194" i="7"/>
  <c r="V195" i="7"/>
  <c r="U195" i="7"/>
  <c r="T195" i="7"/>
  <c r="V193" i="7"/>
  <c r="U193" i="7"/>
  <c r="T193" i="7"/>
  <c r="V189" i="7"/>
  <c r="U189" i="7"/>
  <c r="T189" i="7"/>
  <c r="V191" i="7"/>
  <c r="U191" i="7"/>
  <c r="T191" i="7"/>
  <c r="V190" i="7"/>
  <c r="U190" i="7"/>
  <c r="T190" i="7"/>
  <c r="V198" i="7"/>
  <c r="U198" i="7"/>
  <c r="T198" i="7"/>
  <c r="V197" i="7"/>
  <c r="U197" i="7"/>
  <c r="T142" i="9" l="1"/>
  <c r="S142" i="9"/>
  <c r="T194" i="9"/>
  <c r="S194" i="9"/>
  <c r="R194" i="9"/>
  <c r="T193" i="9"/>
  <c r="S193" i="9"/>
  <c r="R193" i="9"/>
  <c r="T192" i="9"/>
  <c r="S192" i="9"/>
  <c r="R192" i="9"/>
  <c r="T191" i="9"/>
  <c r="S191" i="9"/>
  <c r="R191" i="9"/>
  <c r="T190" i="9"/>
  <c r="S190" i="9"/>
  <c r="R190" i="9"/>
  <c r="T189" i="9"/>
  <c r="S189" i="9"/>
  <c r="R189" i="9"/>
  <c r="T188" i="9"/>
  <c r="S188" i="9"/>
  <c r="R188" i="9"/>
  <c r="T187" i="9"/>
  <c r="S187" i="9"/>
  <c r="R187" i="9"/>
  <c r="T186" i="9"/>
  <c r="S186" i="9"/>
  <c r="R186" i="9"/>
  <c r="T185" i="9"/>
  <c r="S185" i="9"/>
  <c r="R185" i="9"/>
  <c r="T184" i="9"/>
  <c r="S184" i="9"/>
  <c r="R184" i="9"/>
  <c r="T183" i="9"/>
  <c r="S183" i="9"/>
  <c r="R183" i="9"/>
  <c r="T182" i="9"/>
  <c r="S182" i="9"/>
  <c r="R182" i="9"/>
  <c r="T181" i="9"/>
  <c r="S181" i="9"/>
  <c r="R181" i="9"/>
  <c r="T180" i="9"/>
  <c r="S180" i="9"/>
  <c r="R180" i="9"/>
  <c r="T179" i="9"/>
  <c r="S179" i="9"/>
  <c r="R179" i="9"/>
  <c r="T178" i="9"/>
  <c r="S178" i="9"/>
  <c r="R178" i="9"/>
  <c r="T177" i="9"/>
  <c r="S177" i="9"/>
  <c r="R177" i="9"/>
  <c r="T176" i="9"/>
  <c r="S176" i="9"/>
  <c r="R176" i="9"/>
  <c r="T175" i="9"/>
  <c r="S175" i="9"/>
  <c r="R175" i="9"/>
  <c r="T174" i="9"/>
  <c r="S174" i="9"/>
  <c r="R174" i="9"/>
  <c r="T173" i="9"/>
  <c r="S173" i="9"/>
  <c r="R173" i="9"/>
  <c r="T172" i="9"/>
  <c r="S172" i="9"/>
  <c r="R172" i="9"/>
  <c r="T171" i="9"/>
  <c r="S171" i="9"/>
  <c r="R171" i="9"/>
  <c r="T170" i="9"/>
  <c r="S170" i="9"/>
  <c r="R170" i="9"/>
  <c r="T169" i="9"/>
  <c r="S169" i="9"/>
  <c r="R169" i="9"/>
  <c r="T168" i="9"/>
  <c r="S168" i="9"/>
  <c r="R168" i="9"/>
  <c r="T167" i="9"/>
  <c r="S167" i="9"/>
  <c r="R167" i="9"/>
  <c r="T166" i="9"/>
  <c r="S166" i="9"/>
  <c r="R166" i="9"/>
  <c r="T165" i="9"/>
  <c r="S165" i="9"/>
  <c r="R165" i="9"/>
  <c r="T164" i="9"/>
  <c r="S164" i="9"/>
  <c r="R164" i="9"/>
  <c r="T163" i="9"/>
  <c r="S163" i="9"/>
  <c r="R163" i="9"/>
  <c r="T162" i="9"/>
  <c r="S162" i="9"/>
  <c r="R162" i="9"/>
  <c r="T161" i="9"/>
  <c r="S161" i="9"/>
  <c r="R161" i="9"/>
  <c r="T160" i="9"/>
  <c r="S160" i="9"/>
  <c r="R160" i="9"/>
  <c r="T159" i="9"/>
  <c r="S159" i="9"/>
  <c r="R159" i="9"/>
  <c r="T158" i="9"/>
  <c r="S158" i="9"/>
  <c r="R158" i="9"/>
  <c r="T157" i="9"/>
  <c r="S157" i="9"/>
  <c r="R157" i="9"/>
  <c r="T156" i="9"/>
  <c r="S156" i="9"/>
  <c r="R156" i="9"/>
  <c r="T155" i="9"/>
  <c r="S155" i="9"/>
  <c r="R155" i="9"/>
  <c r="T154" i="9"/>
  <c r="S154" i="9"/>
  <c r="R154" i="9"/>
  <c r="T153" i="9"/>
  <c r="S153" i="9"/>
  <c r="R153" i="9"/>
  <c r="T152" i="9"/>
  <c r="S152" i="9"/>
  <c r="R152" i="9"/>
  <c r="T151" i="9"/>
  <c r="S151" i="9"/>
  <c r="R151" i="9"/>
  <c r="T150" i="9"/>
  <c r="S150" i="9"/>
  <c r="R150" i="9"/>
  <c r="T149" i="9"/>
  <c r="S149" i="9"/>
  <c r="R149" i="9"/>
  <c r="T148" i="9"/>
  <c r="S148" i="9"/>
  <c r="R148" i="9"/>
  <c r="T147" i="9"/>
  <c r="S147" i="9"/>
  <c r="R147" i="9"/>
  <c r="T146" i="9"/>
  <c r="S146" i="9"/>
  <c r="R146" i="9"/>
  <c r="T145" i="9"/>
  <c r="S145" i="9"/>
  <c r="R145" i="9"/>
  <c r="T144" i="9"/>
  <c r="S144" i="9"/>
  <c r="R144" i="9"/>
  <c r="T143" i="9"/>
  <c r="S143" i="9"/>
  <c r="R143" i="9"/>
  <c r="R142" i="9"/>
  <c r="T141" i="9"/>
  <c r="S141" i="9"/>
  <c r="R141" i="9"/>
  <c r="T140" i="9"/>
  <c r="S140" i="9"/>
  <c r="R140" i="9"/>
  <c r="T135" i="9"/>
  <c r="S135" i="9"/>
  <c r="R135" i="9"/>
  <c r="T134" i="9"/>
  <c r="S134" i="9"/>
  <c r="R134" i="9"/>
  <c r="T133" i="9"/>
  <c r="S133" i="9"/>
  <c r="R133" i="9"/>
  <c r="T132" i="9"/>
  <c r="S132" i="9"/>
  <c r="R132" i="9"/>
  <c r="T131" i="9"/>
  <c r="S131" i="9"/>
  <c r="R131" i="9"/>
  <c r="T130" i="9"/>
  <c r="S130" i="9"/>
  <c r="R130" i="9"/>
  <c r="T129" i="9"/>
  <c r="S129" i="9"/>
  <c r="R129" i="9"/>
  <c r="T128" i="9"/>
  <c r="S128" i="9"/>
  <c r="R128" i="9"/>
  <c r="T127" i="9"/>
  <c r="S127" i="9"/>
  <c r="R127" i="9"/>
  <c r="T126" i="9"/>
  <c r="S126" i="9"/>
  <c r="R126" i="9"/>
  <c r="T125" i="9"/>
  <c r="S125" i="9"/>
  <c r="R125" i="9"/>
  <c r="T124" i="9"/>
  <c r="S124" i="9"/>
  <c r="R124" i="9"/>
  <c r="T123" i="9"/>
  <c r="S123" i="9"/>
  <c r="R123" i="9"/>
  <c r="T122" i="9"/>
  <c r="S122" i="9"/>
  <c r="R122" i="9"/>
  <c r="T121" i="9"/>
  <c r="S121" i="9"/>
  <c r="R121" i="9"/>
  <c r="T120" i="9"/>
  <c r="S120" i="9"/>
  <c r="R120" i="9"/>
  <c r="T119" i="9"/>
  <c r="S119" i="9"/>
  <c r="R119" i="9"/>
  <c r="T118" i="9"/>
  <c r="S118" i="9"/>
  <c r="R118" i="9"/>
  <c r="T117" i="9"/>
  <c r="S117" i="9"/>
  <c r="R117" i="9"/>
  <c r="T116" i="9"/>
  <c r="S116" i="9"/>
  <c r="R116" i="9"/>
  <c r="T115" i="9"/>
  <c r="S115" i="9"/>
  <c r="R115" i="9"/>
  <c r="T114" i="9"/>
  <c r="S114" i="9"/>
  <c r="R114" i="9"/>
  <c r="T113" i="9"/>
  <c r="S113" i="9"/>
  <c r="R113" i="9"/>
  <c r="T112" i="9"/>
  <c r="S112" i="9"/>
  <c r="R112" i="9"/>
  <c r="T111" i="9"/>
  <c r="S111" i="9"/>
  <c r="R111" i="9"/>
  <c r="T110" i="9"/>
  <c r="S110" i="9"/>
  <c r="R110" i="9"/>
  <c r="T109" i="9"/>
  <c r="S109" i="9"/>
  <c r="R109" i="9"/>
  <c r="T108" i="9"/>
  <c r="S108" i="9"/>
  <c r="R108" i="9"/>
  <c r="T107" i="9"/>
  <c r="S107" i="9"/>
  <c r="R107" i="9"/>
  <c r="T102" i="9"/>
  <c r="S102" i="9"/>
  <c r="R102" i="9"/>
  <c r="T101" i="9"/>
  <c r="S101" i="9"/>
  <c r="R101" i="9"/>
  <c r="T100" i="9"/>
  <c r="S100" i="9"/>
  <c r="R100" i="9"/>
  <c r="T99" i="9"/>
  <c r="S99" i="9"/>
  <c r="R99" i="9"/>
  <c r="T98" i="9"/>
  <c r="S98" i="9"/>
  <c r="R98" i="9"/>
  <c r="T97" i="9"/>
  <c r="S97" i="9"/>
  <c r="R97" i="9"/>
  <c r="T96" i="9"/>
  <c r="S96" i="9"/>
  <c r="R96" i="9"/>
  <c r="T95" i="9"/>
  <c r="S95" i="9"/>
  <c r="R95" i="9"/>
  <c r="T94" i="9"/>
  <c r="S94" i="9"/>
  <c r="R94" i="9"/>
  <c r="T93" i="9"/>
  <c r="S93" i="9"/>
  <c r="R93" i="9"/>
  <c r="T92" i="9"/>
  <c r="S92" i="9"/>
  <c r="R92" i="9"/>
  <c r="T91" i="9"/>
  <c r="S91" i="9"/>
  <c r="R91" i="9"/>
  <c r="T90" i="9"/>
  <c r="S90" i="9"/>
  <c r="R90" i="9"/>
  <c r="T89" i="9"/>
  <c r="S89" i="9"/>
  <c r="R89" i="9"/>
  <c r="T88" i="9"/>
  <c r="S88" i="9"/>
  <c r="R88" i="9"/>
  <c r="T87" i="9"/>
  <c r="S87" i="9"/>
  <c r="R87" i="9"/>
  <c r="T86" i="9"/>
  <c r="S86" i="9"/>
  <c r="R86" i="9"/>
  <c r="T85" i="9"/>
  <c r="S85" i="9"/>
  <c r="R85" i="9"/>
  <c r="T84" i="9"/>
  <c r="S84" i="9"/>
  <c r="R84" i="9"/>
  <c r="T83" i="9"/>
  <c r="S83" i="9"/>
  <c r="R83" i="9"/>
  <c r="T82" i="9"/>
  <c r="S82" i="9"/>
  <c r="R82" i="9"/>
  <c r="T81" i="9"/>
  <c r="S81" i="9"/>
  <c r="R81" i="9"/>
  <c r="T80" i="9"/>
  <c r="S80" i="9"/>
  <c r="R80" i="9"/>
  <c r="T79" i="9"/>
  <c r="S79" i="9"/>
  <c r="R79" i="9"/>
  <c r="T73" i="9"/>
  <c r="S73" i="9"/>
  <c r="R73" i="9"/>
  <c r="T72" i="9"/>
  <c r="S72" i="9"/>
  <c r="R72" i="9"/>
  <c r="T71" i="9"/>
  <c r="S71" i="9"/>
  <c r="R71" i="9"/>
  <c r="T70" i="9"/>
  <c r="S70" i="9"/>
  <c r="R70" i="9"/>
  <c r="T69" i="9"/>
  <c r="S69" i="9"/>
  <c r="R69" i="9"/>
  <c r="T68" i="9"/>
  <c r="S68" i="9"/>
  <c r="R68" i="9"/>
  <c r="T67" i="9"/>
  <c r="S67" i="9"/>
  <c r="R67" i="9"/>
  <c r="T66" i="9"/>
  <c r="S66" i="9"/>
  <c r="R66" i="9"/>
  <c r="T65" i="9"/>
  <c r="S65" i="9"/>
  <c r="R65" i="9"/>
  <c r="T64" i="9"/>
  <c r="S64" i="9"/>
  <c r="R64" i="9"/>
  <c r="T63" i="9"/>
  <c r="S63" i="9"/>
  <c r="R63" i="9"/>
  <c r="T62" i="9"/>
  <c r="S62" i="9"/>
  <c r="R62" i="9"/>
  <c r="T61" i="9"/>
  <c r="S61" i="9"/>
  <c r="R61" i="9"/>
  <c r="T60" i="9"/>
  <c r="S60" i="9"/>
  <c r="R60" i="9"/>
  <c r="T59" i="9"/>
  <c r="S59" i="9"/>
  <c r="R59" i="9"/>
  <c r="T58" i="9"/>
  <c r="S58" i="9"/>
  <c r="R58" i="9"/>
  <c r="T57" i="9"/>
  <c r="S57" i="9"/>
  <c r="R57" i="9"/>
  <c r="T56" i="9"/>
  <c r="S56" i="9"/>
  <c r="R56" i="9"/>
  <c r="T55" i="9"/>
  <c r="S55" i="9"/>
  <c r="R55" i="9"/>
  <c r="T54" i="9"/>
  <c r="S54" i="9"/>
  <c r="R54" i="9"/>
  <c r="T53" i="9"/>
  <c r="S53" i="9"/>
  <c r="R53" i="9"/>
  <c r="T52" i="9"/>
  <c r="S52" i="9"/>
  <c r="R52" i="9"/>
  <c r="T51" i="9"/>
  <c r="S51" i="9"/>
  <c r="R51" i="9"/>
  <c r="T50" i="9"/>
  <c r="S50" i="9"/>
  <c r="R50" i="9"/>
  <c r="T49" i="9"/>
  <c r="S49" i="9"/>
  <c r="R49" i="9"/>
  <c r="T48" i="9"/>
  <c r="S48" i="9"/>
  <c r="R48" i="9"/>
  <c r="T7" i="9"/>
  <c r="S7" i="9"/>
  <c r="R7" i="9"/>
  <c r="V236" i="7"/>
  <c r="U236" i="7"/>
  <c r="T236" i="7"/>
  <c r="V235" i="7"/>
  <c r="U235" i="7"/>
  <c r="T235" i="7"/>
  <c r="V234" i="7"/>
  <c r="U234" i="7"/>
  <c r="T234" i="7"/>
  <c r="V233" i="7"/>
  <c r="U233" i="7"/>
  <c r="T233" i="7"/>
  <c r="V232" i="7"/>
  <c r="U232" i="7"/>
  <c r="T232" i="7"/>
  <c r="V231" i="7"/>
  <c r="U231" i="7"/>
  <c r="T231" i="7"/>
  <c r="V230" i="7"/>
  <c r="U230" i="7"/>
  <c r="T230" i="7"/>
  <c r="V229" i="7"/>
  <c r="U229" i="7"/>
  <c r="T229" i="7"/>
  <c r="V228" i="7"/>
  <c r="U228" i="7"/>
  <c r="T228" i="7"/>
  <c r="V227" i="7"/>
  <c r="U227" i="7"/>
  <c r="T227" i="7"/>
  <c r="V223" i="7"/>
  <c r="U223" i="7"/>
  <c r="T223" i="7"/>
  <c r="V222" i="7"/>
  <c r="U222" i="7"/>
  <c r="T222" i="7"/>
  <c r="V221" i="7"/>
  <c r="U221" i="7"/>
  <c r="T221" i="7"/>
  <c r="V220" i="7"/>
  <c r="U220" i="7"/>
  <c r="T220" i="7"/>
  <c r="V216" i="7"/>
  <c r="U216" i="7"/>
  <c r="T216" i="7"/>
  <c r="V215" i="7"/>
  <c r="U215" i="7"/>
  <c r="T215" i="7"/>
  <c r="V214" i="7"/>
  <c r="U214" i="7"/>
  <c r="T214" i="7"/>
  <c r="V213" i="7"/>
  <c r="U213" i="7"/>
  <c r="T213" i="7"/>
  <c r="V212" i="7"/>
  <c r="U212" i="7"/>
  <c r="T212" i="7"/>
  <c r="V211" i="7"/>
  <c r="U211" i="7"/>
  <c r="T211" i="7"/>
  <c r="V210" i="7"/>
  <c r="U210" i="7"/>
  <c r="T210" i="7"/>
  <c r="V206" i="7"/>
  <c r="U206" i="7"/>
  <c r="T206" i="7"/>
  <c r="V205" i="7"/>
  <c r="U205" i="7"/>
  <c r="T205" i="7"/>
  <c r="T114" i="7"/>
  <c r="T204" i="7"/>
  <c r="V204" i="7"/>
  <c r="U204" i="7"/>
  <c r="V185" i="7"/>
  <c r="U185" i="7"/>
  <c r="T185" i="7"/>
  <c r="V184" i="7"/>
  <c r="U184" i="7"/>
  <c r="T184" i="7"/>
  <c r="V183" i="7"/>
  <c r="U183" i="7"/>
  <c r="T183" i="7"/>
  <c r="V182" i="7"/>
  <c r="U182" i="7"/>
  <c r="T182" i="7"/>
  <c r="V181" i="7"/>
  <c r="U181" i="7"/>
  <c r="T181" i="7"/>
  <c r="V180" i="7"/>
  <c r="U180" i="7"/>
  <c r="T180" i="7"/>
  <c r="V179" i="7"/>
  <c r="U179" i="7"/>
  <c r="T179" i="7"/>
  <c r="V178" i="7"/>
  <c r="U178" i="7"/>
  <c r="T178" i="7"/>
  <c r="V177" i="7"/>
  <c r="U177" i="7"/>
  <c r="T177" i="7"/>
  <c r="V176" i="7"/>
  <c r="U176" i="7"/>
  <c r="T176" i="7"/>
  <c r="V175" i="7"/>
  <c r="U175" i="7"/>
  <c r="T175" i="7"/>
  <c r="V174" i="7"/>
  <c r="U174" i="7"/>
  <c r="T174" i="7"/>
  <c r="V173" i="7"/>
  <c r="U173" i="7"/>
  <c r="T173" i="7"/>
  <c r="V172" i="7"/>
  <c r="U172" i="7"/>
  <c r="T172" i="7"/>
  <c r="V171" i="7"/>
  <c r="U171" i="7"/>
  <c r="T171" i="7"/>
  <c r="V170" i="7"/>
  <c r="U170" i="7"/>
  <c r="T170" i="7"/>
  <c r="V169" i="7"/>
  <c r="U169" i="7"/>
  <c r="T169" i="7"/>
  <c r="V168" i="7"/>
  <c r="U168" i="7"/>
  <c r="T168" i="7"/>
  <c r="V167" i="7"/>
  <c r="U167" i="7"/>
  <c r="T167" i="7"/>
  <c r="V166" i="7"/>
  <c r="U166" i="7"/>
  <c r="T166" i="7"/>
  <c r="V162" i="7"/>
  <c r="U162" i="7"/>
  <c r="T162" i="7"/>
  <c r="V161" i="7"/>
  <c r="U161" i="7"/>
  <c r="T161" i="7"/>
  <c r="V160" i="7"/>
  <c r="U160" i="7"/>
  <c r="T160" i="7"/>
  <c r="V159" i="7"/>
  <c r="U159" i="7"/>
  <c r="T159" i="7"/>
  <c r="V158" i="7"/>
  <c r="U158" i="7"/>
  <c r="T158" i="7"/>
  <c r="V157" i="7"/>
  <c r="U157" i="7"/>
  <c r="T157" i="7"/>
  <c r="V156" i="7"/>
  <c r="U156" i="7"/>
  <c r="T156" i="7"/>
  <c r="V155" i="7"/>
  <c r="U155" i="7"/>
  <c r="T155" i="7"/>
  <c r="V154" i="7"/>
  <c r="U154" i="7"/>
  <c r="T154" i="7"/>
  <c r="V153" i="7"/>
  <c r="U153" i="7"/>
  <c r="T153" i="7"/>
  <c r="V152" i="7"/>
  <c r="U152" i="7"/>
  <c r="T152" i="7"/>
  <c r="V151" i="7"/>
  <c r="U151" i="7"/>
  <c r="T151" i="7"/>
  <c r="V150" i="7"/>
  <c r="U150" i="7"/>
  <c r="T150" i="7"/>
  <c r="V149" i="7"/>
  <c r="U149" i="7"/>
  <c r="T149" i="7"/>
  <c r="V148" i="7"/>
  <c r="U148" i="7"/>
  <c r="T148" i="7"/>
  <c r="V147" i="7"/>
  <c r="U147" i="7"/>
  <c r="T147" i="7"/>
  <c r="V146" i="7"/>
  <c r="U146" i="7"/>
  <c r="T146" i="7"/>
  <c r="V145" i="7"/>
  <c r="U145" i="7"/>
  <c r="T145" i="7"/>
  <c r="V144" i="7"/>
  <c r="U144" i="7"/>
  <c r="T144" i="7"/>
  <c r="V143" i="7"/>
  <c r="U143" i="7"/>
  <c r="T143" i="7"/>
  <c r="V138" i="7"/>
  <c r="U138" i="7"/>
  <c r="T138" i="7"/>
  <c r="V137" i="7"/>
  <c r="U137" i="7"/>
  <c r="T137" i="7"/>
  <c r="V136" i="7"/>
  <c r="U136" i="7"/>
  <c r="T136" i="7"/>
  <c r="V135" i="7"/>
  <c r="U135" i="7"/>
  <c r="T135" i="7"/>
  <c r="V134" i="7"/>
  <c r="U134" i="7"/>
  <c r="T134" i="7"/>
  <c r="V133" i="7"/>
  <c r="U133" i="7"/>
  <c r="T133" i="7"/>
  <c r="V132" i="7"/>
  <c r="U132" i="7"/>
  <c r="T132" i="7"/>
  <c r="V131" i="7"/>
  <c r="U131" i="7"/>
  <c r="T131" i="7"/>
  <c r="V130" i="7"/>
  <c r="U130" i="7"/>
  <c r="T130" i="7"/>
  <c r="V129" i="7"/>
  <c r="U129" i="7"/>
  <c r="T129" i="7"/>
  <c r="V128" i="7"/>
  <c r="U128" i="7"/>
  <c r="T128" i="7"/>
  <c r="V127" i="7"/>
  <c r="U127" i="7"/>
  <c r="T127" i="7"/>
  <c r="V126" i="7"/>
  <c r="U126" i="7"/>
  <c r="T126" i="7"/>
  <c r="V125" i="7"/>
  <c r="U125" i="7"/>
  <c r="T125" i="7"/>
  <c r="V124" i="7"/>
  <c r="U124" i="7"/>
  <c r="T124" i="7"/>
  <c r="V123" i="7"/>
  <c r="U123" i="7"/>
  <c r="T123" i="7"/>
  <c r="V122" i="7"/>
  <c r="U122" i="7"/>
  <c r="T122" i="7"/>
  <c r="V121" i="7"/>
  <c r="U121" i="7"/>
  <c r="T121" i="7"/>
  <c r="V120" i="7"/>
  <c r="U120" i="7"/>
  <c r="T120" i="7"/>
  <c r="V119" i="7"/>
  <c r="U119" i="7"/>
  <c r="T119" i="7"/>
  <c r="V118" i="7"/>
  <c r="U118" i="7"/>
  <c r="T118" i="7"/>
  <c r="V117" i="7"/>
  <c r="U117" i="7"/>
  <c r="T117" i="7"/>
  <c r="V116" i="7"/>
  <c r="U116" i="7"/>
  <c r="T116" i="7"/>
  <c r="V115" i="7"/>
  <c r="U115" i="7"/>
  <c r="T115" i="7"/>
  <c r="V114" i="7"/>
  <c r="U114" i="7"/>
  <c r="V110" i="7"/>
  <c r="U110" i="7"/>
  <c r="T110" i="7"/>
  <c r="V109" i="7"/>
  <c r="U109" i="7"/>
  <c r="T109" i="7"/>
  <c r="V108" i="7"/>
  <c r="U108" i="7"/>
  <c r="T108" i="7"/>
  <c r="V107" i="7"/>
  <c r="U107" i="7"/>
  <c r="T107" i="7"/>
  <c r="V106" i="7"/>
  <c r="U106" i="7"/>
  <c r="T106" i="7"/>
  <c r="V105" i="7"/>
  <c r="U105" i="7"/>
  <c r="T105" i="7"/>
  <c r="V104" i="7"/>
  <c r="U104" i="7"/>
  <c r="T104" i="7"/>
  <c r="V103" i="7"/>
  <c r="U103" i="7"/>
  <c r="T103" i="7"/>
  <c r="V102" i="7"/>
  <c r="U102" i="7"/>
  <c r="T102" i="7"/>
  <c r="V101" i="7"/>
  <c r="U101" i="7"/>
  <c r="T101" i="7"/>
  <c r="V100" i="7"/>
  <c r="U100" i="7"/>
  <c r="T100" i="7"/>
  <c r="V99" i="7"/>
  <c r="U99" i="7"/>
  <c r="T99" i="7"/>
  <c r="V98" i="7"/>
  <c r="U98" i="7"/>
  <c r="T98" i="7"/>
  <c r="V97" i="7"/>
  <c r="U97" i="7"/>
  <c r="T97" i="7"/>
  <c r="V96" i="7"/>
  <c r="U96" i="7"/>
  <c r="T96" i="7"/>
  <c r="V95" i="7"/>
  <c r="U95" i="7"/>
  <c r="T95" i="7"/>
  <c r="V94" i="7"/>
  <c r="U94" i="7"/>
  <c r="T94" i="7"/>
  <c r="V90" i="7"/>
  <c r="U90" i="7"/>
  <c r="T90" i="7"/>
  <c r="V89" i="7"/>
  <c r="U89" i="7"/>
  <c r="T89" i="7"/>
  <c r="V88" i="7"/>
  <c r="U88" i="7"/>
  <c r="T88" i="7"/>
  <c r="V87" i="7"/>
  <c r="U87" i="7"/>
  <c r="T87" i="7"/>
  <c r="V86" i="7"/>
  <c r="U86" i="7"/>
  <c r="T86" i="7"/>
  <c r="V85" i="7"/>
  <c r="U85" i="7"/>
  <c r="T85" i="7"/>
  <c r="V81" i="7"/>
  <c r="U81" i="7"/>
  <c r="T81" i="7"/>
  <c r="V80" i="7"/>
  <c r="U80" i="7"/>
  <c r="T80" i="7"/>
  <c r="V79" i="7"/>
  <c r="U79" i="7"/>
  <c r="T79" i="7"/>
  <c r="V78" i="7"/>
  <c r="U78" i="7"/>
  <c r="T78" i="7"/>
  <c r="V77" i="7"/>
  <c r="U77" i="7"/>
  <c r="T77" i="7"/>
  <c r="V76" i="7"/>
  <c r="U76" i="7"/>
  <c r="T76" i="7"/>
  <c r="V75" i="7"/>
  <c r="U75" i="7"/>
  <c r="T75" i="7"/>
  <c r="V74" i="7"/>
  <c r="U74" i="7"/>
  <c r="T74" i="7"/>
  <c r="V73" i="7"/>
  <c r="U73" i="7"/>
  <c r="T73" i="7"/>
  <c r="V72" i="7"/>
  <c r="U72" i="7"/>
  <c r="T72" i="7"/>
  <c r="V71" i="7"/>
  <c r="U71" i="7"/>
  <c r="T71" i="7"/>
  <c r="V70" i="7"/>
  <c r="U70" i="7"/>
  <c r="T70" i="7"/>
  <c r="V69" i="7"/>
  <c r="U69" i="7"/>
  <c r="T69" i="7"/>
  <c r="V68" i="7"/>
  <c r="U68" i="7"/>
  <c r="T68" i="7"/>
  <c r="V67" i="7"/>
  <c r="U67" i="7"/>
  <c r="T67" i="7"/>
  <c r="V66" i="7"/>
  <c r="U66" i="7"/>
  <c r="T66" i="7"/>
  <c r="V65" i="7"/>
  <c r="U65" i="7"/>
  <c r="T65" i="7"/>
  <c r="V64" i="7"/>
  <c r="U64" i="7"/>
  <c r="T64" i="7"/>
  <c r="V63" i="7"/>
  <c r="U63" i="7"/>
  <c r="T63" i="7"/>
  <c r="V62" i="7"/>
  <c r="U62" i="7"/>
  <c r="T62" i="7"/>
  <c r="V61" i="7"/>
  <c r="U61" i="7"/>
  <c r="T61" i="7"/>
  <c r="V60" i="7"/>
  <c r="U60" i="7"/>
  <c r="T60" i="7"/>
  <c r="V59" i="7"/>
  <c r="U59" i="7"/>
  <c r="T59" i="7"/>
  <c r="V55" i="7"/>
  <c r="U55" i="7"/>
  <c r="T55" i="7"/>
  <c r="V54" i="7"/>
  <c r="U54" i="7"/>
  <c r="T54" i="7"/>
  <c r="V53" i="7"/>
  <c r="U53" i="7"/>
  <c r="T53" i="7"/>
  <c r="V52" i="7"/>
  <c r="U52" i="7"/>
  <c r="T52" i="7"/>
  <c r="V51" i="7"/>
  <c r="U51" i="7"/>
  <c r="T51" i="7"/>
  <c r="V50" i="7"/>
  <c r="U50" i="7"/>
  <c r="T50" i="7"/>
  <c r="V49" i="7"/>
  <c r="U49" i="7"/>
  <c r="T49" i="7"/>
  <c r="V48" i="7"/>
  <c r="U48" i="7"/>
  <c r="T48" i="7"/>
  <c r="V47" i="7"/>
  <c r="U47" i="7"/>
  <c r="T47" i="7"/>
  <c r="V46" i="7"/>
  <c r="U46" i="7"/>
  <c r="T46" i="7"/>
  <c r="V45" i="7"/>
  <c r="U45" i="7"/>
  <c r="T45" i="7"/>
  <c r="V41" i="7"/>
  <c r="U41" i="7"/>
  <c r="T41" i="7"/>
  <c r="V40" i="7"/>
  <c r="U40" i="7"/>
  <c r="T40" i="7"/>
  <c r="V39" i="7"/>
  <c r="U39" i="7"/>
  <c r="T39" i="7"/>
  <c r="V38" i="7"/>
  <c r="U38" i="7"/>
  <c r="T38" i="7"/>
  <c r="V37" i="7"/>
  <c r="U37" i="7"/>
  <c r="T37" i="7"/>
  <c r="V33" i="7"/>
  <c r="U33" i="7"/>
  <c r="T33" i="7"/>
  <c r="V32" i="7"/>
  <c r="U32" i="7"/>
  <c r="T32" i="7"/>
  <c r="V31" i="7"/>
  <c r="U31" i="7"/>
  <c r="T31" i="7"/>
  <c r="V30" i="7"/>
  <c r="U30" i="7"/>
  <c r="T30" i="7"/>
  <c r="V26" i="7"/>
  <c r="U26" i="7"/>
  <c r="T26" i="7"/>
  <c r="V25" i="7"/>
  <c r="U25" i="7"/>
  <c r="T25" i="7"/>
  <c r="V24" i="7"/>
  <c r="U24" i="7"/>
  <c r="T24" i="7"/>
  <c r="V23" i="7"/>
  <c r="U23" i="7"/>
  <c r="T23" i="7"/>
  <c r="V22" i="7"/>
  <c r="U22" i="7"/>
  <c r="T22" i="7"/>
  <c r="V21" i="7"/>
  <c r="U21" i="7"/>
  <c r="T21" i="7"/>
  <c r="V20" i="7"/>
  <c r="U20" i="7"/>
  <c r="T20" i="7"/>
  <c r="V19" i="7"/>
  <c r="U19" i="7"/>
  <c r="T19" i="7"/>
  <c r="V18" i="7"/>
  <c r="U18" i="7"/>
  <c r="T18" i="7"/>
  <c r="V17" i="7"/>
  <c r="U17" i="7"/>
  <c r="T17" i="7"/>
  <c r="V16" i="7"/>
  <c r="U16" i="7"/>
  <c r="T16" i="7"/>
  <c r="V15" i="7"/>
  <c r="U15" i="7"/>
  <c r="T15" i="7"/>
  <c r="V11" i="7"/>
  <c r="U11" i="7"/>
  <c r="T11" i="7"/>
  <c r="V10" i="7"/>
  <c r="U10" i="7"/>
  <c r="T10" i="7"/>
  <c r="V9" i="7"/>
  <c r="U9" i="7"/>
  <c r="T9" i="7"/>
  <c r="V8" i="7"/>
  <c r="U8" i="7"/>
  <c r="T8" i="7"/>
  <c r="T43" i="9" l="1"/>
  <c r="S43" i="9"/>
  <c r="R43" i="9"/>
  <c r="T42" i="9"/>
  <c r="S42" i="9"/>
  <c r="R42" i="9"/>
  <c r="T41" i="9"/>
  <c r="S41" i="9"/>
  <c r="R41" i="9"/>
  <c r="T40" i="9"/>
  <c r="S40" i="9"/>
  <c r="R40" i="9"/>
  <c r="T39" i="9"/>
  <c r="S39" i="9"/>
  <c r="R39" i="9"/>
  <c r="T38" i="9"/>
  <c r="S38" i="9"/>
  <c r="R38" i="9"/>
  <c r="T37" i="9"/>
  <c r="S37" i="9"/>
  <c r="R37" i="9"/>
  <c r="T36" i="9"/>
  <c r="S36" i="9"/>
  <c r="R36" i="9"/>
  <c r="T35" i="9"/>
  <c r="S35" i="9"/>
  <c r="R35" i="9"/>
  <c r="T34" i="9"/>
  <c r="S34" i="9"/>
  <c r="R34" i="9"/>
  <c r="T33" i="9"/>
  <c r="S33" i="9"/>
  <c r="R33" i="9"/>
  <c r="T32" i="9"/>
  <c r="S32" i="9"/>
  <c r="R32" i="9"/>
  <c r="T31" i="9"/>
  <c r="S31" i="9"/>
  <c r="R31" i="9"/>
  <c r="T30" i="9"/>
  <c r="S30" i="9"/>
  <c r="R30" i="9"/>
  <c r="T29" i="9"/>
  <c r="S29" i="9"/>
  <c r="R29" i="9"/>
  <c r="T28" i="9"/>
  <c r="S28" i="9"/>
  <c r="R28" i="9"/>
  <c r="T27" i="9"/>
  <c r="S27" i="9"/>
  <c r="R27" i="9"/>
  <c r="T26" i="9"/>
  <c r="S26" i="9"/>
  <c r="R26" i="9"/>
  <c r="T25" i="9"/>
  <c r="S25" i="9"/>
  <c r="R25" i="9"/>
  <c r="T24" i="9"/>
  <c r="S24" i="9"/>
  <c r="R24" i="9"/>
  <c r="T23" i="9"/>
  <c r="S23" i="9"/>
  <c r="R23" i="9"/>
  <c r="T22" i="9"/>
  <c r="S22" i="9"/>
  <c r="R22" i="9"/>
  <c r="T21" i="9"/>
  <c r="S21" i="9"/>
  <c r="R21" i="9"/>
  <c r="T20" i="9"/>
  <c r="S20" i="9"/>
  <c r="R20" i="9"/>
  <c r="T19" i="9"/>
  <c r="S19" i="9"/>
  <c r="R19" i="9"/>
  <c r="T18" i="9"/>
  <c r="S18" i="9"/>
  <c r="R18" i="9"/>
  <c r="T17" i="9"/>
  <c r="S17" i="9"/>
  <c r="R17" i="9"/>
  <c r="T16" i="9"/>
  <c r="S16" i="9"/>
  <c r="R16" i="9"/>
  <c r="T15" i="9"/>
  <c r="S15" i="9"/>
  <c r="R15" i="9"/>
  <c r="T14" i="9"/>
  <c r="S14" i="9"/>
  <c r="R14" i="9"/>
  <c r="T13" i="9"/>
  <c r="S13" i="9"/>
  <c r="R13" i="9"/>
  <c r="T12" i="9"/>
  <c r="S12" i="9"/>
  <c r="R12" i="9"/>
  <c r="T11" i="9"/>
  <c r="S11" i="9"/>
  <c r="R11" i="9"/>
  <c r="T10" i="9"/>
  <c r="S10" i="9"/>
  <c r="R10" i="9"/>
  <c r="T9" i="9"/>
  <c r="S9" i="9"/>
  <c r="R9" i="9"/>
  <c r="T8" i="9"/>
  <c r="S8" i="9"/>
  <c r="R8" i="9"/>
  <c r="W518" i="5" l="1"/>
  <c r="V518" i="5"/>
  <c r="U518" i="5"/>
  <c r="W514" i="5"/>
  <c r="V514" i="5"/>
  <c r="U514" i="5"/>
  <c r="W513" i="5"/>
  <c r="V513" i="5"/>
  <c r="U513" i="5"/>
  <c r="W512" i="5"/>
  <c r="V512" i="5"/>
  <c r="U512" i="5"/>
  <c r="W511" i="5"/>
  <c r="V511" i="5"/>
  <c r="U511" i="5"/>
  <c r="W510" i="5"/>
  <c r="V510" i="5"/>
  <c r="U510" i="5"/>
  <c r="W509" i="5"/>
  <c r="V509" i="5"/>
  <c r="U509" i="5"/>
  <c r="W508" i="5"/>
  <c r="V508" i="5"/>
  <c r="U508" i="5"/>
  <c r="W507" i="5"/>
  <c r="V507" i="5"/>
  <c r="U507" i="5"/>
  <c r="W506" i="5"/>
  <c r="V506" i="5"/>
  <c r="U506" i="5"/>
  <c r="W505" i="5"/>
  <c r="V505" i="5"/>
  <c r="U505" i="5"/>
  <c r="W504" i="5"/>
  <c r="V504" i="5"/>
  <c r="U504" i="5"/>
  <c r="W503" i="5"/>
  <c r="V503" i="5"/>
  <c r="U503" i="5"/>
  <c r="W502" i="5"/>
  <c r="V502" i="5"/>
  <c r="U502" i="5"/>
  <c r="W501" i="5"/>
  <c r="V501" i="5"/>
  <c r="U501" i="5"/>
  <c r="W500" i="5"/>
  <c r="V500" i="5"/>
  <c r="U500" i="5"/>
  <c r="W499" i="5"/>
  <c r="V499" i="5"/>
  <c r="U499" i="5"/>
  <c r="W498" i="5"/>
  <c r="V498" i="5"/>
  <c r="U498" i="5"/>
  <c r="W497" i="5"/>
  <c r="V497" i="5"/>
  <c r="U497" i="5"/>
  <c r="W496" i="5"/>
  <c r="V496" i="5"/>
  <c r="U496" i="5"/>
  <c r="W495" i="5"/>
  <c r="V495" i="5"/>
  <c r="U495" i="5"/>
  <c r="W494" i="5"/>
  <c r="V494" i="5"/>
  <c r="U494" i="5"/>
  <c r="W493" i="5"/>
  <c r="V493" i="5"/>
  <c r="U493" i="5"/>
  <c r="W492" i="5"/>
  <c r="V492" i="5"/>
  <c r="U492" i="5"/>
  <c r="W491" i="5"/>
  <c r="V491" i="5"/>
  <c r="U491" i="5"/>
  <c r="W490" i="5"/>
  <c r="V490" i="5"/>
  <c r="U490" i="5"/>
  <c r="W489" i="5"/>
  <c r="V489" i="5"/>
  <c r="U489" i="5"/>
  <c r="W488" i="5"/>
  <c r="V488" i="5"/>
  <c r="U488" i="5"/>
  <c r="W487" i="5"/>
  <c r="V487" i="5"/>
  <c r="U487" i="5"/>
  <c r="W486" i="5"/>
  <c r="V486" i="5"/>
  <c r="U486" i="5"/>
  <c r="W485" i="5"/>
  <c r="V485" i="5"/>
  <c r="U485" i="5"/>
  <c r="W484" i="5"/>
  <c r="V484" i="5"/>
  <c r="U484" i="5"/>
  <c r="W483" i="5"/>
  <c r="V483" i="5"/>
  <c r="U483" i="5"/>
  <c r="W482" i="5"/>
  <c r="V482" i="5"/>
  <c r="U482" i="5"/>
  <c r="W481" i="5"/>
  <c r="V481" i="5"/>
  <c r="U481" i="5"/>
  <c r="W480" i="5"/>
  <c r="V480" i="5"/>
  <c r="U480" i="5"/>
  <c r="W479" i="5"/>
  <c r="V479" i="5"/>
  <c r="U479" i="5"/>
  <c r="W478" i="5"/>
  <c r="V478" i="5"/>
  <c r="U478" i="5"/>
  <c r="W477" i="5"/>
  <c r="V477" i="5"/>
  <c r="U477" i="5"/>
  <c r="W476" i="5"/>
  <c r="V476" i="5"/>
  <c r="U476" i="5"/>
  <c r="W475" i="5"/>
  <c r="V475" i="5"/>
  <c r="U475" i="5"/>
  <c r="W474" i="5"/>
  <c r="V474" i="5"/>
  <c r="U474" i="5"/>
  <c r="W473" i="5"/>
  <c r="V473" i="5"/>
  <c r="U473" i="5"/>
  <c r="W472" i="5"/>
  <c r="V472" i="5"/>
  <c r="U472" i="5"/>
  <c r="W471" i="5"/>
  <c r="V471" i="5"/>
  <c r="U471" i="5"/>
  <c r="W470" i="5"/>
  <c r="V470" i="5"/>
  <c r="U470" i="5"/>
  <c r="W469" i="5"/>
  <c r="V469" i="5"/>
  <c r="U469" i="5"/>
  <c r="W468" i="5"/>
  <c r="V468" i="5"/>
  <c r="U468" i="5"/>
  <c r="W467" i="5"/>
  <c r="V467" i="5"/>
  <c r="U467" i="5"/>
  <c r="W466" i="5"/>
  <c r="V466" i="5"/>
  <c r="U466" i="5"/>
  <c r="W465" i="5"/>
  <c r="V465" i="5"/>
  <c r="U465" i="5"/>
  <c r="W464" i="5"/>
  <c r="V464" i="5"/>
  <c r="U464" i="5"/>
  <c r="W463" i="5"/>
  <c r="V463" i="5"/>
  <c r="U463" i="5"/>
  <c r="W462" i="5"/>
  <c r="V462" i="5"/>
  <c r="U462" i="5"/>
  <c r="W461" i="5"/>
  <c r="V461" i="5"/>
  <c r="U461" i="5"/>
  <c r="W460" i="5"/>
  <c r="V460" i="5"/>
  <c r="U460" i="5"/>
  <c r="W459" i="5"/>
  <c r="V459" i="5"/>
  <c r="U459" i="5"/>
  <c r="W458" i="5"/>
  <c r="V458" i="5"/>
  <c r="U458" i="5"/>
  <c r="W457" i="5"/>
  <c r="V457" i="5"/>
  <c r="U457" i="5"/>
  <c r="W456" i="5"/>
  <c r="V456" i="5"/>
  <c r="U456" i="5"/>
  <c r="W455" i="5"/>
  <c r="V455" i="5"/>
  <c r="U455" i="5"/>
  <c r="W451" i="5"/>
  <c r="V451" i="5"/>
  <c r="U451" i="5"/>
  <c r="W450" i="5"/>
  <c r="V450" i="5"/>
  <c r="U450" i="5"/>
  <c r="W449" i="5"/>
  <c r="V449" i="5"/>
  <c r="U449" i="5"/>
  <c r="W448" i="5"/>
  <c r="V448" i="5"/>
  <c r="U448" i="5"/>
  <c r="W447" i="5"/>
  <c r="V447" i="5"/>
  <c r="U447" i="5"/>
  <c r="W446" i="5"/>
  <c r="V446" i="5"/>
  <c r="U446" i="5"/>
  <c r="W445" i="5"/>
  <c r="V445" i="5"/>
  <c r="U445" i="5"/>
  <c r="W444" i="5"/>
  <c r="V444" i="5"/>
  <c r="U444" i="5"/>
  <c r="W443" i="5"/>
  <c r="V443" i="5"/>
  <c r="U443" i="5"/>
  <c r="W442" i="5"/>
  <c r="V442" i="5"/>
  <c r="U442" i="5"/>
  <c r="W441" i="5"/>
  <c r="V441" i="5"/>
  <c r="U441" i="5"/>
  <c r="W440" i="5"/>
  <c r="V440" i="5"/>
  <c r="U440" i="5"/>
  <c r="W439" i="5"/>
  <c r="V439" i="5"/>
  <c r="U439" i="5"/>
  <c r="W438" i="5"/>
  <c r="V438" i="5"/>
  <c r="U438" i="5"/>
  <c r="W437" i="5"/>
  <c r="V437" i="5"/>
  <c r="U437" i="5"/>
  <c r="W436" i="5"/>
  <c r="V436" i="5"/>
  <c r="U436" i="5"/>
  <c r="W435" i="5"/>
  <c r="V435" i="5"/>
  <c r="U435" i="5"/>
  <c r="W434" i="5"/>
  <c r="V434" i="5"/>
  <c r="U434" i="5"/>
  <c r="W433" i="5"/>
  <c r="V433" i="5"/>
  <c r="U433" i="5"/>
  <c r="W432" i="5"/>
  <c r="V432" i="5"/>
  <c r="U432" i="5"/>
  <c r="W431" i="5"/>
  <c r="V431" i="5"/>
  <c r="U431" i="5"/>
  <c r="W430" i="5"/>
  <c r="V430" i="5"/>
  <c r="U430" i="5"/>
  <c r="W429" i="5"/>
  <c r="V429" i="5"/>
  <c r="U429" i="5"/>
  <c r="W428" i="5"/>
  <c r="V428" i="5"/>
  <c r="U428" i="5"/>
  <c r="W427" i="5"/>
  <c r="V427" i="5"/>
  <c r="U427" i="5"/>
  <c r="W426" i="5"/>
  <c r="V426" i="5"/>
  <c r="U426" i="5"/>
  <c r="W425" i="5"/>
  <c r="V425" i="5"/>
  <c r="U425" i="5"/>
  <c r="W424" i="5"/>
  <c r="V424" i="5"/>
  <c r="U424" i="5"/>
  <c r="W423" i="5"/>
  <c r="V423" i="5"/>
  <c r="U423" i="5"/>
  <c r="W422" i="5"/>
  <c r="V422" i="5"/>
  <c r="U422" i="5"/>
  <c r="W421" i="5"/>
  <c r="V421" i="5"/>
  <c r="U421" i="5"/>
  <c r="W420" i="5"/>
  <c r="V420" i="5"/>
  <c r="U420" i="5"/>
  <c r="W419" i="5"/>
  <c r="V419" i="5"/>
  <c r="U419" i="5"/>
  <c r="W418" i="5"/>
  <c r="V418" i="5"/>
  <c r="U418" i="5"/>
  <c r="W417" i="5"/>
  <c r="V417" i="5"/>
  <c r="U417" i="5"/>
  <c r="W416" i="5"/>
  <c r="V416" i="5"/>
  <c r="U416" i="5"/>
  <c r="W415" i="5"/>
  <c r="V415" i="5"/>
  <c r="U415" i="5"/>
  <c r="W414" i="5"/>
  <c r="V414" i="5"/>
  <c r="U414" i="5"/>
  <c r="W413" i="5"/>
  <c r="V413" i="5"/>
  <c r="U413" i="5"/>
  <c r="W412" i="5"/>
  <c r="V412" i="5"/>
  <c r="U412" i="5"/>
  <c r="W411" i="5"/>
  <c r="V411" i="5"/>
  <c r="U411" i="5"/>
  <c r="W410" i="5"/>
  <c r="V410" i="5"/>
  <c r="U410" i="5"/>
  <c r="W409" i="5"/>
  <c r="V409" i="5"/>
  <c r="U409" i="5"/>
  <c r="W408" i="5"/>
  <c r="V408" i="5"/>
  <c r="U408" i="5"/>
  <c r="W407" i="5"/>
  <c r="V407" i="5"/>
  <c r="U407" i="5"/>
  <c r="W406" i="5"/>
  <c r="V406" i="5"/>
  <c r="U406" i="5"/>
  <c r="W405" i="5"/>
  <c r="V405" i="5"/>
  <c r="U405" i="5"/>
  <c r="W404" i="5"/>
  <c r="V404" i="5"/>
  <c r="U404" i="5"/>
  <c r="W403" i="5"/>
  <c r="V403" i="5"/>
  <c r="U403" i="5"/>
  <c r="W402" i="5"/>
  <c r="V402" i="5"/>
  <c r="U402" i="5"/>
  <c r="W401" i="5"/>
  <c r="V401" i="5"/>
  <c r="U401" i="5"/>
  <c r="W400" i="5"/>
  <c r="V400" i="5"/>
  <c r="U400" i="5"/>
  <c r="W399" i="5"/>
  <c r="V399" i="5"/>
  <c r="U399" i="5"/>
  <c r="W398" i="5"/>
  <c r="V398" i="5"/>
  <c r="U398" i="5"/>
  <c r="W397" i="5"/>
  <c r="V397" i="5"/>
  <c r="U397" i="5"/>
  <c r="W396" i="5"/>
  <c r="V396" i="5"/>
  <c r="U396" i="5"/>
  <c r="W395" i="5"/>
  <c r="V395" i="5"/>
  <c r="U395" i="5"/>
  <c r="W394" i="5"/>
  <c r="V394" i="5"/>
  <c r="U394" i="5"/>
  <c r="W393" i="5"/>
  <c r="V393" i="5"/>
  <c r="U393" i="5"/>
  <c r="W392" i="5"/>
  <c r="V392" i="5"/>
  <c r="U392" i="5"/>
  <c r="W388" i="5"/>
  <c r="V388" i="5"/>
  <c r="U388" i="5"/>
  <c r="W387" i="5"/>
  <c r="V387" i="5"/>
  <c r="U387" i="5"/>
  <c r="W386" i="5"/>
  <c r="V386" i="5"/>
  <c r="U386" i="5"/>
  <c r="W385" i="5"/>
  <c r="V385" i="5"/>
  <c r="U385" i="5"/>
  <c r="W384" i="5"/>
  <c r="V384" i="5"/>
  <c r="U384" i="5"/>
  <c r="W383" i="5"/>
  <c r="V383" i="5"/>
  <c r="U383" i="5"/>
  <c r="W382" i="5"/>
  <c r="V382" i="5"/>
  <c r="U382" i="5"/>
  <c r="W381" i="5"/>
  <c r="V381" i="5"/>
  <c r="U381" i="5"/>
  <c r="W380" i="5"/>
  <c r="V380" i="5"/>
  <c r="U380" i="5"/>
  <c r="W379" i="5"/>
  <c r="V379" i="5"/>
  <c r="U379" i="5"/>
  <c r="W378" i="5"/>
  <c r="V378" i="5"/>
  <c r="U378" i="5"/>
  <c r="W377" i="5"/>
  <c r="V377" i="5"/>
  <c r="U377" i="5"/>
  <c r="W376" i="5"/>
  <c r="V376" i="5"/>
  <c r="U376" i="5"/>
  <c r="W375" i="5"/>
  <c r="V375" i="5"/>
  <c r="U375" i="5"/>
  <c r="W374" i="5"/>
  <c r="V374" i="5"/>
  <c r="U374" i="5"/>
  <c r="W373" i="5"/>
  <c r="V373" i="5"/>
  <c r="U373" i="5"/>
  <c r="W372" i="5"/>
  <c r="V372" i="5"/>
  <c r="U372" i="5"/>
  <c r="W371" i="5"/>
  <c r="V371" i="5"/>
  <c r="U371" i="5"/>
  <c r="W370" i="5"/>
  <c r="V370" i="5"/>
  <c r="U370" i="5"/>
  <c r="W369" i="5"/>
  <c r="V369" i="5"/>
  <c r="U369" i="5"/>
  <c r="W368" i="5"/>
  <c r="V368" i="5"/>
  <c r="U368" i="5"/>
  <c r="W367" i="5"/>
  <c r="V367" i="5"/>
  <c r="U367" i="5"/>
  <c r="W366" i="5"/>
  <c r="V366" i="5"/>
  <c r="U366" i="5"/>
  <c r="W365" i="5"/>
  <c r="V365" i="5"/>
  <c r="U365" i="5"/>
  <c r="W364" i="5"/>
  <c r="V364" i="5"/>
  <c r="U364" i="5"/>
  <c r="W363" i="5"/>
  <c r="V363" i="5"/>
  <c r="U363" i="5"/>
  <c r="W362" i="5"/>
  <c r="V362" i="5"/>
  <c r="U362" i="5"/>
  <c r="W361" i="5"/>
  <c r="V361" i="5"/>
  <c r="U361" i="5"/>
  <c r="W360" i="5"/>
  <c r="V360" i="5"/>
  <c r="U360" i="5"/>
  <c r="W359" i="5"/>
  <c r="V359" i="5"/>
  <c r="U359" i="5"/>
  <c r="W358" i="5"/>
  <c r="V358" i="5"/>
  <c r="U358" i="5"/>
  <c r="W357" i="5"/>
  <c r="V357" i="5"/>
  <c r="U357" i="5"/>
  <c r="W356" i="5"/>
  <c r="V356" i="5"/>
  <c r="U356" i="5"/>
  <c r="W355" i="5"/>
  <c r="V355" i="5"/>
  <c r="U355" i="5"/>
  <c r="W354" i="5"/>
  <c r="V354" i="5"/>
  <c r="U354" i="5"/>
  <c r="W353" i="5"/>
  <c r="V353" i="5"/>
  <c r="U353" i="5"/>
  <c r="W352" i="5"/>
  <c r="V352" i="5"/>
  <c r="U352" i="5"/>
  <c r="W351" i="5"/>
  <c r="V351" i="5"/>
  <c r="U351" i="5"/>
  <c r="W350" i="5"/>
  <c r="V350" i="5"/>
  <c r="U350" i="5"/>
  <c r="W349" i="5"/>
  <c r="V349" i="5"/>
  <c r="U349" i="5"/>
  <c r="W348" i="5"/>
  <c r="V348" i="5"/>
  <c r="U348" i="5"/>
  <c r="W347" i="5"/>
  <c r="V347" i="5"/>
  <c r="U347" i="5"/>
  <c r="W346" i="5"/>
  <c r="V346" i="5"/>
  <c r="U346" i="5"/>
  <c r="W345" i="5"/>
  <c r="V345" i="5"/>
  <c r="U345" i="5"/>
  <c r="W344" i="5"/>
  <c r="V344" i="5"/>
  <c r="U344" i="5"/>
  <c r="W343" i="5"/>
  <c r="V343" i="5"/>
  <c r="U343" i="5"/>
  <c r="W342" i="5"/>
  <c r="V342" i="5"/>
  <c r="U342" i="5"/>
  <c r="W341" i="5"/>
  <c r="V341" i="5"/>
  <c r="U341" i="5"/>
  <c r="W340" i="5"/>
  <c r="V340" i="5"/>
  <c r="U340" i="5"/>
  <c r="W339" i="5"/>
  <c r="V339" i="5"/>
  <c r="U339" i="5"/>
  <c r="W338" i="5"/>
  <c r="V338" i="5"/>
  <c r="U338" i="5"/>
  <c r="W337" i="5"/>
  <c r="V337" i="5"/>
  <c r="U337" i="5"/>
  <c r="W336" i="5"/>
  <c r="V336" i="5"/>
  <c r="U336" i="5"/>
  <c r="W335" i="5"/>
  <c r="V335" i="5"/>
  <c r="U335" i="5"/>
  <c r="W334" i="5"/>
  <c r="V334" i="5"/>
  <c r="U334" i="5"/>
  <c r="W333" i="5"/>
  <c r="V333" i="5"/>
  <c r="U333" i="5"/>
  <c r="W332" i="5"/>
  <c r="V332" i="5"/>
  <c r="U332" i="5"/>
  <c r="W331" i="5"/>
  <c r="V331" i="5"/>
  <c r="U331" i="5"/>
  <c r="W330" i="5"/>
  <c r="V330" i="5"/>
  <c r="U330" i="5"/>
  <c r="W329" i="5"/>
  <c r="V329" i="5"/>
  <c r="U329" i="5"/>
  <c r="W214" i="5"/>
  <c r="V214" i="5"/>
  <c r="U214" i="5"/>
  <c r="W197" i="5"/>
  <c r="V197" i="5"/>
  <c r="U197" i="5"/>
  <c r="W128" i="5"/>
  <c r="V128" i="5"/>
  <c r="U128" i="5"/>
  <c r="W107" i="5"/>
  <c r="V107" i="5"/>
  <c r="U107" i="5"/>
  <c r="W81" i="5"/>
  <c r="V81" i="5"/>
  <c r="U81" i="5"/>
  <c r="W68" i="5"/>
  <c r="V68" i="5"/>
  <c r="U68" i="5"/>
  <c r="W47" i="5"/>
  <c r="V47" i="5"/>
  <c r="U47" i="5"/>
  <c r="W34" i="5"/>
  <c r="V34" i="5"/>
  <c r="U34" i="5"/>
  <c r="W17" i="5"/>
  <c r="V17" i="5"/>
  <c r="U17" i="5"/>
  <c r="U7" i="5"/>
  <c r="W7" i="5"/>
  <c r="V7" i="5"/>
  <c r="V51" i="6"/>
  <c r="U51" i="6"/>
  <c r="T51" i="6"/>
  <c r="V50" i="6"/>
  <c r="U50" i="6"/>
  <c r="T50" i="6"/>
  <c r="V49" i="6"/>
  <c r="U49" i="6"/>
  <c r="T49" i="6"/>
  <c r="V48" i="6"/>
  <c r="U48" i="6"/>
  <c r="T48" i="6"/>
  <c r="V47" i="6"/>
  <c r="U47" i="6"/>
  <c r="T47" i="6"/>
  <c r="V46" i="6"/>
  <c r="U46" i="6"/>
  <c r="T46" i="6"/>
  <c r="V45" i="6"/>
  <c r="U45" i="6"/>
  <c r="T45" i="6"/>
  <c r="V44" i="6"/>
  <c r="U44" i="6"/>
  <c r="T44" i="6"/>
  <c r="V43" i="6"/>
  <c r="U43" i="6"/>
  <c r="T43" i="6"/>
  <c r="V42" i="6"/>
  <c r="U42" i="6"/>
  <c r="T42" i="6"/>
  <c r="V41" i="6"/>
  <c r="U41" i="6"/>
  <c r="T41" i="6"/>
  <c r="V36" i="6"/>
  <c r="U36" i="6"/>
  <c r="T36" i="6"/>
  <c r="V35" i="6"/>
  <c r="U35" i="6"/>
  <c r="T35" i="6"/>
  <c r="V34" i="6"/>
  <c r="U34" i="6"/>
  <c r="T34" i="6"/>
  <c r="V33" i="6"/>
  <c r="U33" i="6"/>
  <c r="T33" i="6"/>
  <c r="V32" i="6"/>
  <c r="U32" i="6"/>
  <c r="T32" i="6"/>
  <c r="V31" i="6"/>
  <c r="U31" i="6"/>
  <c r="T31" i="6"/>
  <c r="V30" i="6"/>
  <c r="U30" i="6"/>
  <c r="T30" i="6"/>
  <c r="V29" i="6"/>
  <c r="U29" i="6"/>
  <c r="T29" i="6"/>
  <c r="V28" i="6"/>
  <c r="U28" i="6"/>
  <c r="T28" i="6"/>
  <c r="V27" i="6"/>
  <c r="U27" i="6"/>
  <c r="T27" i="6"/>
  <c r="V26" i="6"/>
  <c r="U26" i="6"/>
  <c r="T26" i="6"/>
  <c r="V21" i="6"/>
  <c r="U21" i="6"/>
  <c r="T21" i="6"/>
  <c r="V20" i="6"/>
  <c r="U20" i="6"/>
  <c r="T20" i="6"/>
  <c r="V19" i="6"/>
  <c r="U19" i="6"/>
  <c r="T19" i="6"/>
  <c r="V18" i="6"/>
  <c r="U18" i="6"/>
  <c r="T18" i="6"/>
  <c r="V17" i="6"/>
  <c r="U17" i="6"/>
  <c r="T17" i="6"/>
  <c r="V16" i="6"/>
  <c r="U16" i="6"/>
  <c r="T16" i="6"/>
  <c r="V15" i="6"/>
  <c r="U15" i="6"/>
  <c r="T15" i="6"/>
  <c r="V14" i="6"/>
  <c r="U14" i="6"/>
  <c r="T14" i="6"/>
  <c r="V13" i="6"/>
  <c r="U13" i="6"/>
  <c r="T13" i="6"/>
  <c r="V9" i="6"/>
  <c r="U9" i="6"/>
  <c r="T9" i="6"/>
  <c r="V8" i="6"/>
  <c r="U8" i="6"/>
  <c r="T8" i="6"/>
  <c r="V7" i="6"/>
  <c r="U7" i="6"/>
  <c r="T7" i="6"/>
  <c r="V183" i="10"/>
  <c r="U183" i="10"/>
  <c r="T183" i="10"/>
  <c r="V179" i="10"/>
  <c r="U179" i="10"/>
  <c r="T179" i="10"/>
  <c r="V181" i="10"/>
  <c r="U181" i="10"/>
  <c r="T181" i="10"/>
  <c r="V182" i="10"/>
  <c r="U182" i="10"/>
  <c r="T182" i="10"/>
  <c r="V180" i="10"/>
  <c r="U180" i="10"/>
  <c r="T180" i="10"/>
  <c r="V176" i="10"/>
  <c r="U176" i="10"/>
  <c r="T176" i="10"/>
  <c r="V178" i="10"/>
  <c r="U178" i="10"/>
  <c r="T178" i="10"/>
  <c r="V177" i="10"/>
  <c r="U177" i="10"/>
  <c r="T177" i="10"/>
  <c r="V185" i="10"/>
  <c r="U185" i="10"/>
  <c r="T185" i="10"/>
  <c r="V184" i="10"/>
  <c r="U184" i="10"/>
  <c r="T184" i="10"/>
  <c r="V103" i="10" l="1"/>
  <c r="V96" i="10"/>
  <c r="U96" i="10"/>
  <c r="T96" i="10"/>
  <c r="V95" i="10"/>
  <c r="U95" i="10"/>
  <c r="T95" i="10"/>
  <c r="V94" i="10"/>
  <c r="U94" i="10"/>
  <c r="T94" i="10"/>
  <c r="V93" i="10"/>
  <c r="U93" i="10"/>
  <c r="T93" i="10"/>
  <c r="V92" i="10"/>
  <c r="U92" i="10"/>
  <c r="T92" i="10"/>
  <c r="V91" i="10"/>
  <c r="U91" i="10"/>
  <c r="T91" i="10"/>
  <c r="V90" i="10"/>
  <c r="U90" i="10"/>
  <c r="T90" i="10"/>
  <c r="V89" i="10"/>
  <c r="U89" i="10"/>
  <c r="T89" i="10"/>
  <c r="V88" i="10"/>
  <c r="U88" i="10"/>
  <c r="T88" i="10"/>
  <c r="V87" i="10"/>
  <c r="U87" i="10"/>
  <c r="T87" i="10"/>
  <c r="V86" i="10"/>
  <c r="U86" i="10"/>
  <c r="T86" i="10"/>
  <c r="V85" i="10"/>
  <c r="U85" i="10"/>
  <c r="T85" i="10"/>
  <c r="V84" i="10"/>
  <c r="U84" i="10"/>
  <c r="T84" i="10"/>
  <c r="V83" i="10"/>
  <c r="U83" i="10"/>
  <c r="T83" i="10"/>
  <c r="V82" i="10"/>
  <c r="U82" i="10"/>
  <c r="T82" i="10"/>
  <c r="V81" i="10"/>
  <c r="U81" i="10"/>
  <c r="T81" i="10"/>
  <c r="V80" i="10"/>
  <c r="U80" i="10"/>
  <c r="T80" i="10"/>
  <c r="V79" i="10"/>
  <c r="U79" i="10"/>
  <c r="T79" i="10"/>
  <c r="V78" i="10"/>
  <c r="U78" i="10"/>
  <c r="T78" i="10"/>
  <c r="V77" i="10"/>
  <c r="U77" i="10"/>
  <c r="T77" i="10"/>
  <c r="V76" i="10"/>
  <c r="U76" i="10"/>
  <c r="T76" i="10"/>
  <c r="V75" i="10"/>
  <c r="U75" i="10"/>
  <c r="T75" i="10"/>
  <c r="V74" i="10"/>
  <c r="U74" i="10"/>
  <c r="T74" i="10"/>
  <c r="V20" i="10"/>
  <c r="U20" i="10"/>
  <c r="T20" i="10"/>
  <c r="V19" i="10"/>
  <c r="U19" i="10"/>
  <c r="T19" i="10"/>
  <c r="V18" i="10"/>
  <c r="U18" i="10"/>
  <c r="T18" i="10"/>
  <c r="V17" i="10"/>
  <c r="U17" i="10"/>
  <c r="T17" i="10"/>
  <c r="V16" i="10"/>
  <c r="U16" i="10"/>
  <c r="T16" i="10"/>
  <c r="V15" i="10"/>
  <c r="U15" i="10"/>
  <c r="T15" i="10"/>
  <c r="V14" i="10"/>
  <c r="U14" i="10"/>
  <c r="T14" i="10"/>
  <c r="V10" i="10"/>
  <c r="U10" i="10"/>
  <c r="T10" i="10"/>
  <c r="V9" i="10"/>
  <c r="U9" i="10"/>
  <c r="T9" i="10"/>
  <c r="V8" i="10"/>
  <c r="U8" i="10"/>
  <c r="T8" i="10"/>
  <c r="V7" i="10"/>
  <c r="U7" i="10"/>
  <c r="T7" i="10"/>
  <c r="V172" i="10" l="1"/>
  <c r="U172" i="10"/>
  <c r="T172" i="10"/>
  <c r="V171" i="10"/>
  <c r="U171" i="10"/>
  <c r="T171" i="10"/>
  <c r="V170" i="10"/>
  <c r="U170" i="10"/>
  <c r="T170" i="10"/>
  <c r="V169" i="10"/>
  <c r="U169" i="10"/>
  <c r="T169" i="10"/>
  <c r="V168" i="10"/>
  <c r="U168" i="10"/>
  <c r="T168" i="10"/>
  <c r="V167" i="10"/>
  <c r="U167" i="10"/>
  <c r="T167" i="10"/>
  <c r="V166" i="10"/>
  <c r="U166" i="10"/>
  <c r="T166" i="10"/>
  <c r="V165" i="10"/>
  <c r="U165" i="10"/>
  <c r="T165" i="10"/>
  <c r="V164" i="10"/>
  <c r="U164" i="10"/>
  <c r="T164" i="10"/>
  <c r="V163" i="10"/>
  <c r="U163" i="10"/>
  <c r="T163" i="10"/>
  <c r="V162" i="10"/>
  <c r="U162" i="10"/>
  <c r="T162" i="10"/>
  <c r="V161" i="10"/>
  <c r="U161" i="10"/>
  <c r="T161" i="10"/>
  <c r="V160" i="10"/>
  <c r="U160" i="10"/>
  <c r="T160" i="10"/>
  <c r="V156" i="10"/>
  <c r="U156" i="10"/>
  <c r="T156" i="10"/>
  <c r="V155" i="10"/>
  <c r="U155" i="10"/>
  <c r="T155" i="10"/>
  <c r="V154" i="10"/>
  <c r="U154" i="10"/>
  <c r="T154" i="10"/>
  <c r="V153" i="10"/>
  <c r="U153" i="10"/>
  <c r="T153" i="10"/>
  <c r="V152" i="10"/>
  <c r="U152" i="10"/>
  <c r="T152" i="10"/>
  <c r="V151" i="10"/>
  <c r="U151" i="10"/>
  <c r="T151" i="10"/>
  <c r="V150" i="10"/>
  <c r="U150" i="10"/>
  <c r="T150" i="10"/>
  <c r="V149" i="10"/>
  <c r="U149" i="10"/>
  <c r="T149" i="10"/>
  <c r="V148" i="10"/>
  <c r="U148" i="10"/>
  <c r="T148" i="10"/>
  <c r="V147" i="10"/>
  <c r="U147" i="10"/>
  <c r="T147" i="10"/>
  <c r="V146" i="10"/>
  <c r="U146" i="10"/>
  <c r="T146" i="10"/>
  <c r="V145" i="10"/>
  <c r="U145" i="10"/>
  <c r="T145" i="10"/>
  <c r="V144" i="10"/>
  <c r="U144" i="10"/>
  <c r="T144" i="10"/>
  <c r="V143" i="10"/>
  <c r="U143" i="10"/>
  <c r="T143" i="10"/>
  <c r="V142" i="10"/>
  <c r="U142" i="10"/>
  <c r="T142" i="10"/>
  <c r="V141" i="10"/>
  <c r="U141" i="10"/>
  <c r="T141" i="10"/>
  <c r="V140" i="10"/>
  <c r="U140" i="10"/>
  <c r="T140" i="10"/>
  <c r="V139" i="10"/>
  <c r="U139" i="10"/>
  <c r="T139" i="10"/>
  <c r="V138" i="10"/>
  <c r="U138" i="10"/>
  <c r="T138" i="10"/>
  <c r="V137" i="10"/>
  <c r="U137" i="10"/>
  <c r="T137" i="10"/>
  <c r="V136" i="10"/>
  <c r="U136" i="10"/>
  <c r="T136" i="10"/>
  <c r="V135" i="10"/>
  <c r="U135" i="10"/>
  <c r="T135" i="10"/>
  <c r="V134" i="10"/>
  <c r="U134" i="10"/>
  <c r="T134" i="10"/>
  <c r="V133" i="10"/>
  <c r="U133" i="10"/>
  <c r="T133" i="10"/>
  <c r="V132" i="10"/>
  <c r="U132" i="10"/>
  <c r="T132" i="10"/>
  <c r="V131" i="10"/>
  <c r="U131" i="10"/>
  <c r="T131" i="10"/>
  <c r="V130" i="10"/>
  <c r="U130" i="10"/>
  <c r="T130" i="10"/>
  <c r="V129" i="10"/>
  <c r="U129" i="10"/>
  <c r="T129" i="10"/>
  <c r="V128" i="10"/>
  <c r="U128" i="10"/>
  <c r="T128" i="10"/>
  <c r="V127" i="10"/>
  <c r="U127" i="10"/>
  <c r="T127" i="10"/>
  <c r="V126" i="10"/>
  <c r="U126" i="10"/>
  <c r="T126" i="10"/>
  <c r="V125" i="10"/>
  <c r="U125" i="10"/>
  <c r="T125" i="10"/>
  <c r="V124" i="10"/>
  <c r="U124" i="10"/>
  <c r="T124" i="10"/>
  <c r="V123" i="10"/>
  <c r="U123" i="10"/>
  <c r="T123" i="10"/>
  <c r="V122" i="10"/>
  <c r="U122" i="10"/>
  <c r="T122" i="10"/>
  <c r="V117" i="10"/>
  <c r="U117" i="10"/>
  <c r="T117" i="10"/>
  <c r="V116" i="10"/>
  <c r="U116" i="10"/>
  <c r="T116" i="10"/>
  <c r="V115" i="10"/>
  <c r="U115" i="10"/>
  <c r="T115" i="10"/>
  <c r="V114" i="10"/>
  <c r="U114" i="10"/>
  <c r="T114" i="10"/>
  <c r="V113" i="10"/>
  <c r="U113" i="10"/>
  <c r="T113" i="10"/>
  <c r="V112" i="10"/>
  <c r="U112" i="10"/>
  <c r="T112" i="10"/>
  <c r="V111" i="10"/>
  <c r="U111" i="10"/>
  <c r="T111" i="10"/>
  <c r="V110" i="10"/>
  <c r="U110" i="10"/>
  <c r="T110" i="10"/>
  <c r="V109" i="10"/>
  <c r="U109" i="10"/>
  <c r="T109" i="10"/>
  <c r="V108" i="10"/>
  <c r="U108" i="10"/>
  <c r="T108" i="10"/>
  <c r="V107" i="10"/>
  <c r="U107" i="10"/>
  <c r="T107" i="10"/>
  <c r="V106" i="10"/>
  <c r="U106" i="10"/>
  <c r="T106" i="10"/>
  <c r="V105" i="10"/>
  <c r="U105" i="10"/>
  <c r="T105" i="10"/>
  <c r="V104" i="10"/>
  <c r="U104" i="10"/>
  <c r="T104" i="10"/>
  <c r="U103" i="10"/>
  <c r="T103" i="10"/>
  <c r="V102" i="10"/>
  <c r="U102" i="10"/>
  <c r="T102" i="10"/>
  <c r="V101" i="10"/>
  <c r="U101" i="10"/>
  <c r="T101" i="10"/>
  <c r="V100" i="10"/>
  <c r="U100" i="10"/>
  <c r="T100" i="10"/>
  <c r="V70" i="10"/>
  <c r="U70" i="10"/>
  <c r="T70" i="10"/>
  <c r="V69" i="10"/>
  <c r="U69" i="10"/>
  <c r="T69" i="10"/>
  <c r="V68" i="10"/>
  <c r="U68" i="10"/>
  <c r="T68" i="10"/>
  <c r="V67" i="10"/>
  <c r="U67" i="10"/>
  <c r="T67" i="10"/>
  <c r="V66" i="10"/>
  <c r="U66" i="10"/>
  <c r="T66" i="10"/>
  <c r="V65" i="10"/>
  <c r="U65" i="10"/>
  <c r="T65" i="10"/>
  <c r="V64" i="10"/>
  <c r="U64" i="10"/>
  <c r="T64" i="10"/>
  <c r="V63" i="10"/>
  <c r="U63" i="10"/>
  <c r="T63" i="10"/>
  <c r="V62" i="10"/>
  <c r="U62" i="10"/>
  <c r="T62" i="10"/>
  <c r="V61" i="10"/>
  <c r="U61" i="10"/>
  <c r="T61" i="10"/>
  <c r="V60" i="10"/>
  <c r="U60" i="10"/>
  <c r="T60" i="10"/>
  <c r="V59" i="10"/>
  <c r="U59" i="10"/>
  <c r="T59" i="10"/>
  <c r="V58" i="10"/>
  <c r="U58" i="10"/>
  <c r="T58" i="10"/>
  <c r="V57" i="10"/>
  <c r="U57" i="10"/>
  <c r="T57" i="10"/>
  <c r="V56" i="10"/>
  <c r="U56" i="10"/>
  <c r="T56" i="10"/>
  <c r="V55" i="10"/>
  <c r="U55" i="10"/>
  <c r="T55" i="10"/>
  <c r="V54" i="10"/>
  <c r="U54" i="10"/>
  <c r="T54" i="10"/>
  <c r="V53" i="10"/>
  <c r="U53" i="10"/>
  <c r="T53" i="10"/>
  <c r="V52" i="10"/>
  <c r="U52" i="10"/>
  <c r="T52" i="10"/>
  <c r="V51" i="10"/>
  <c r="U51" i="10"/>
  <c r="T51" i="10"/>
  <c r="V50" i="10"/>
  <c r="U50" i="10"/>
  <c r="T50" i="10"/>
  <c r="V49" i="10"/>
  <c r="U49" i="10"/>
  <c r="T49" i="10"/>
  <c r="V48" i="10"/>
  <c r="U48" i="10"/>
  <c r="T48" i="10"/>
  <c r="V44" i="10"/>
  <c r="U44" i="10"/>
  <c r="T44" i="10"/>
  <c r="V43" i="10"/>
  <c r="U43" i="10"/>
  <c r="T43" i="10"/>
  <c r="V42" i="10"/>
  <c r="U42" i="10"/>
  <c r="T42" i="10"/>
  <c r="V41" i="10"/>
  <c r="U41" i="10"/>
  <c r="T41" i="10"/>
  <c r="V40" i="10"/>
  <c r="U40" i="10"/>
  <c r="T40" i="10"/>
  <c r="V39" i="10"/>
  <c r="U39" i="10"/>
  <c r="T39" i="10"/>
  <c r="V38" i="10"/>
  <c r="U38" i="10"/>
  <c r="T38" i="10"/>
  <c r="V37" i="10"/>
  <c r="U37" i="10"/>
  <c r="T37" i="10"/>
  <c r="V36" i="10"/>
  <c r="U36" i="10"/>
  <c r="T36" i="10"/>
  <c r="V35" i="10"/>
  <c r="U35" i="10"/>
  <c r="T35" i="10"/>
  <c r="V34" i="10"/>
  <c r="U34" i="10"/>
  <c r="T34" i="10"/>
  <c r="V30" i="10"/>
  <c r="U30" i="10"/>
  <c r="T30" i="10"/>
  <c r="V29" i="10"/>
  <c r="U29" i="10"/>
  <c r="T29" i="10"/>
  <c r="V28" i="10"/>
  <c r="U28" i="10"/>
  <c r="T28" i="10"/>
  <c r="V27" i="10"/>
  <c r="U27" i="10"/>
  <c r="T27" i="10"/>
  <c r="V26" i="10"/>
  <c r="U26" i="10"/>
  <c r="T26" i="10"/>
  <c r="V25" i="10"/>
  <c r="U25" i="10"/>
  <c r="T25" i="10"/>
  <c r="V24" i="10"/>
  <c r="U24" i="10"/>
  <c r="T24" i="10"/>
  <c r="V292" i="3"/>
  <c r="U292" i="3"/>
  <c r="T292" i="3"/>
  <c r="V291" i="3"/>
  <c r="U291" i="3"/>
  <c r="T291" i="3"/>
  <c r="V290" i="3"/>
  <c r="U290" i="3"/>
  <c r="T290" i="3"/>
  <c r="V289" i="3"/>
  <c r="U289" i="3"/>
  <c r="T289" i="3"/>
  <c r="V288" i="3"/>
  <c r="U288" i="3"/>
  <c r="T288" i="3"/>
  <c r="V287" i="3"/>
  <c r="U287" i="3"/>
  <c r="T287" i="3"/>
  <c r="V286" i="3"/>
  <c r="U286" i="3"/>
  <c r="T286" i="3"/>
  <c r="V285" i="3"/>
  <c r="U285" i="3"/>
  <c r="T285" i="3"/>
  <c r="V284" i="3"/>
  <c r="U284" i="3"/>
  <c r="T284" i="3"/>
  <c r="V283" i="3"/>
  <c r="U283" i="3"/>
  <c r="T283" i="3"/>
  <c r="V282" i="3"/>
  <c r="U282" i="3"/>
  <c r="T282" i="3"/>
  <c r="V281" i="3"/>
  <c r="U281" i="3"/>
  <c r="T281" i="3"/>
  <c r="V280" i="3"/>
  <c r="U280" i="3"/>
  <c r="T280" i="3"/>
  <c r="V279" i="3"/>
  <c r="U279" i="3"/>
  <c r="T279" i="3"/>
  <c r="V278" i="3"/>
  <c r="U278" i="3"/>
  <c r="T278" i="3"/>
  <c r="V277" i="3"/>
  <c r="U277" i="3"/>
  <c r="T277" i="3"/>
  <c r="V276" i="3"/>
  <c r="U276" i="3"/>
  <c r="T276" i="3"/>
  <c r="V275" i="3"/>
  <c r="U275" i="3"/>
  <c r="T275" i="3"/>
  <c r="V274" i="3"/>
  <c r="U274" i="3"/>
  <c r="T274" i="3"/>
  <c r="V273" i="3"/>
  <c r="U273" i="3"/>
  <c r="T273" i="3"/>
  <c r="V268" i="3"/>
  <c r="U268" i="3"/>
  <c r="T268" i="3"/>
  <c r="V267" i="3"/>
  <c r="U267" i="3"/>
  <c r="T267" i="3"/>
  <c r="V266" i="3"/>
  <c r="U266" i="3"/>
  <c r="T266" i="3"/>
  <c r="V265" i="3"/>
  <c r="U265" i="3"/>
  <c r="T265" i="3"/>
  <c r="V264" i="3"/>
  <c r="U264" i="3"/>
  <c r="T264" i="3"/>
  <c r="V263" i="3"/>
  <c r="U263" i="3"/>
  <c r="T263" i="3"/>
  <c r="V262" i="3"/>
  <c r="U262" i="3"/>
  <c r="T262" i="3"/>
  <c r="V261" i="3"/>
  <c r="U261" i="3"/>
  <c r="T261" i="3"/>
  <c r="V260" i="3"/>
  <c r="U260" i="3"/>
  <c r="T260" i="3"/>
  <c r="V259" i="3"/>
  <c r="U259" i="3"/>
  <c r="T259" i="3"/>
  <c r="V258" i="3"/>
  <c r="U258" i="3"/>
  <c r="T258" i="3"/>
  <c r="V257" i="3"/>
  <c r="U257" i="3"/>
  <c r="T257" i="3"/>
  <c r="V256" i="3"/>
  <c r="U256" i="3"/>
  <c r="T256" i="3"/>
  <c r="V255" i="3"/>
  <c r="U255" i="3"/>
  <c r="T255" i="3"/>
  <c r="V254" i="3"/>
  <c r="U254" i="3"/>
  <c r="T254" i="3"/>
  <c r="V253" i="3"/>
  <c r="U253" i="3"/>
  <c r="T253" i="3"/>
  <c r="V252" i="3"/>
  <c r="U252" i="3"/>
  <c r="T252" i="3"/>
  <c r="V251" i="3"/>
  <c r="U251" i="3"/>
  <c r="T251" i="3"/>
  <c r="V250" i="3"/>
  <c r="U250" i="3"/>
  <c r="T250" i="3"/>
  <c r="V249" i="3"/>
  <c r="U249" i="3"/>
  <c r="T249" i="3"/>
  <c r="V244" i="3"/>
  <c r="U244" i="3"/>
  <c r="T244" i="3"/>
  <c r="V243" i="3"/>
  <c r="U243" i="3"/>
  <c r="T243" i="3"/>
  <c r="V242" i="3"/>
  <c r="U242" i="3"/>
  <c r="T242" i="3"/>
  <c r="V241" i="3"/>
  <c r="U241" i="3"/>
  <c r="T241" i="3"/>
  <c r="V240" i="3"/>
  <c r="U240" i="3"/>
  <c r="T240" i="3"/>
  <c r="V239" i="3"/>
  <c r="U239" i="3"/>
  <c r="T239" i="3"/>
  <c r="V238" i="3"/>
  <c r="U238" i="3"/>
  <c r="T238" i="3"/>
  <c r="V237" i="3"/>
  <c r="U237" i="3"/>
  <c r="T237" i="3"/>
  <c r="V236" i="3"/>
  <c r="U236" i="3"/>
  <c r="T236" i="3"/>
  <c r="V235" i="3"/>
  <c r="U235" i="3"/>
  <c r="T235" i="3"/>
  <c r="V234" i="3"/>
  <c r="U234" i="3"/>
  <c r="T234" i="3"/>
  <c r="V233" i="3"/>
  <c r="U233" i="3"/>
  <c r="T233" i="3"/>
  <c r="V232" i="3"/>
  <c r="U232" i="3"/>
  <c r="T232" i="3"/>
  <c r="V231" i="3"/>
  <c r="U231" i="3"/>
  <c r="T231" i="3"/>
  <c r="V230" i="3"/>
  <c r="U230" i="3"/>
  <c r="T230" i="3"/>
  <c r="V229" i="3"/>
  <c r="U229" i="3"/>
  <c r="T229" i="3"/>
  <c r="V228" i="3"/>
  <c r="U228" i="3"/>
  <c r="T228" i="3"/>
  <c r="V227" i="3"/>
  <c r="U227" i="3"/>
  <c r="T227" i="3"/>
  <c r="V226" i="3"/>
  <c r="U226" i="3"/>
  <c r="T226" i="3"/>
  <c r="V225" i="3"/>
  <c r="U225" i="3"/>
  <c r="T225" i="3"/>
  <c r="V221" i="3"/>
  <c r="U221" i="3"/>
  <c r="T221" i="3"/>
  <c r="V220" i="3"/>
  <c r="U220" i="3"/>
  <c r="T220" i="3"/>
  <c r="V219" i="3"/>
  <c r="U219" i="3"/>
  <c r="T219" i="3"/>
  <c r="V218" i="3"/>
  <c r="U218" i="3"/>
  <c r="T218" i="3"/>
  <c r="V217" i="3"/>
  <c r="U217" i="3"/>
  <c r="T217" i="3"/>
  <c r="V216" i="3"/>
  <c r="U216" i="3"/>
  <c r="T216" i="3"/>
  <c r="V215" i="3"/>
  <c r="U215" i="3"/>
  <c r="T215" i="3"/>
  <c r="V214" i="3"/>
  <c r="U214" i="3"/>
  <c r="T214" i="3"/>
  <c r="V213" i="3"/>
  <c r="U213" i="3"/>
  <c r="T213" i="3"/>
  <c r="V212" i="3"/>
  <c r="U212" i="3"/>
  <c r="T212" i="3"/>
  <c r="V211" i="3"/>
  <c r="U211" i="3"/>
  <c r="T211" i="3"/>
  <c r="V210" i="3"/>
  <c r="U210" i="3"/>
  <c r="T210" i="3"/>
  <c r="V209" i="3"/>
  <c r="U209" i="3"/>
  <c r="T209" i="3"/>
  <c r="V208" i="3"/>
  <c r="U208" i="3"/>
  <c r="T208" i="3"/>
  <c r="V207" i="3"/>
  <c r="U207" i="3"/>
  <c r="T207" i="3"/>
  <c r="V206" i="3"/>
  <c r="U206" i="3"/>
  <c r="T206" i="3"/>
  <c r="V205" i="3"/>
  <c r="U205" i="3"/>
  <c r="T205" i="3"/>
  <c r="V204" i="3"/>
  <c r="U204" i="3"/>
  <c r="T204" i="3"/>
  <c r="V203" i="3"/>
  <c r="U203" i="3"/>
  <c r="T203" i="3"/>
  <c r="V202" i="3"/>
  <c r="U202" i="3"/>
  <c r="T202" i="3"/>
  <c r="V198" i="3"/>
  <c r="U198" i="3"/>
  <c r="T198" i="3"/>
  <c r="V197" i="3"/>
  <c r="U197" i="3"/>
  <c r="T197" i="3"/>
  <c r="V196" i="3"/>
  <c r="U196" i="3"/>
  <c r="T196" i="3"/>
  <c r="V195" i="3"/>
  <c r="U195" i="3"/>
  <c r="T195" i="3"/>
  <c r="V194" i="3"/>
  <c r="U194" i="3"/>
  <c r="T194" i="3"/>
  <c r="V193" i="3"/>
  <c r="U193" i="3"/>
  <c r="T193" i="3"/>
  <c r="V192" i="3"/>
  <c r="U192" i="3"/>
  <c r="T192" i="3"/>
  <c r="V191" i="3"/>
  <c r="U191" i="3"/>
  <c r="T191" i="3"/>
  <c r="V190" i="3"/>
  <c r="U190" i="3"/>
  <c r="T190" i="3"/>
  <c r="V189" i="3"/>
  <c r="U189" i="3"/>
  <c r="T189" i="3"/>
  <c r="V188" i="3"/>
  <c r="U188" i="3"/>
  <c r="T188" i="3"/>
  <c r="V187" i="3"/>
  <c r="U187" i="3"/>
  <c r="T187" i="3"/>
  <c r="V186" i="3"/>
  <c r="U186" i="3"/>
  <c r="T186" i="3"/>
  <c r="V185" i="3"/>
  <c r="U185" i="3"/>
  <c r="T185" i="3"/>
  <c r="V184" i="3"/>
  <c r="U184" i="3"/>
  <c r="T184" i="3"/>
  <c r="V183" i="3"/>
  <c r="U183" i="3"/>
  <c r="T183" i="3"/>
  <c r="V182" i="3"/>
  <c r="U182" i="3"/>
  <c r="T182" i="3"/>
  <c r="V181" i="3"/>
  <c r="U181" i="3"/>
  <c r="T181" i="3"/>
  <c r="V180" i="3"/>
  <c r="U180" i="3"/>
  <c r="T180" i="3"/>
  <c r="V179" i="3"/>
  <c r="U179" i="3"/>
  <c r="T179" i="3"/>
  <c r="V174" i="3"/>
  <c r="U174" i="3"/>
  <c r="T174" i="3"/>
  <c r="V173" i="3"/>
  <c r="U173" i="3"/>
  <c r="T173" i="3"/>
  <c r="V172" i="3"/>
  <c r="U172" i="3"/>
  <c r="T172" i="3"/>
  <c r="V171" i="3"/>
  <c r="U171" i="3"/>
  <c r="T171" i="3"/>
  <c r="V170" i="3"/>
  <c r="U170" i="3"/>
  <c r="T170" i="3"/>
  <c r="V169" i="3"/>
  <c r="U169" i="3"/>
  <c r="T169" i="3"/>
  <c r="V168" i="3"/>
  <c r="U168" i="3"/>
  <c r="T168" i="3"/>
  <c r="V167" i="3"/>
  <c r="U167" i="3"/>
  <c r="T167" i="3"/>
  <c r="V166" i="3"/>
  <c r="U166" i="3"/>
  <c r="T166" i="3"/>
  <c r="V165" i="3"/>
  <c r="U165" i="3"/>
  <c r="T165" i="3"/>
  <c r="V164" i="3"/>
  <c r="U164" i="3"/>
  <c r="T164" i="3"/>
  <c r="V163" i="3"/>
  <c r="U163" i="3"/>
  <c r="T163" i="3"/>
  <c r="V162" i="3"/>
  <c r="U162" i="3"/>
  <c r="T162" i="3"/>
  <c r="V161" i="3"/>
  <c r="U161" i="3"/>
  <c r="T161" i="3"/>
  <c r="V160" i="3"/>
  <c r="U160" i="3"/>
  <c r="T160" i="3"/>
  <c r="V159" i="3"/>
  <c r="U159" i="3"/>
  <c r="T159" i="3"/>
  <c r="V158" i="3"/>
  <c r="U158" i="3"/>
  <c r="T158" i="3"/>
  <c r="V157" i="3"/>
  <c r="U157" i="3"/>
  <c r="T157" i="3"/>
  <c r="V156" i="3"/>
  <c r="U156" i="3"/>
  <c r="T156" i="3"/>
  <c r="V155" i="3"/>
  <c r="U155" i="3"/>
  <c r="T155" i="3"/>
  <c r="V151" i="3"/>
  <c r="U151" i="3"/>
  <c r="T151" i="3"/>
  <c r="V150" i="3"/>
  <c r="U150" i="3"/>
  <c r="T150" i="3"/>
  <c r="V149" i="3"/>
  <c r="U149" i="3"/>
  <c r="T149" i="3"/>
  <c r="V148" i="3"/>
  <c r="U148" i="3"/>
  <c r="T148" i="3"/>
  <c r="V147" i="3"/>
  <c r="U147" i="3"/>
  <c r="T147" i="3"/>
  <c r="V146" i="3"/>
  <c r="U146" i="3"/>
  <c r="T146" i="3"/>
  <c r="V145" i="3"/>
  <c r="U145" i="3"/>
  <c r="T145" i="3"/>
  <c r="V144" i="3"/>
  <c r="U144" i="3"/>
  <c r="T144" i="3"/>
  <c r="V143" i="3"/>
  <c r="U143" i="3"/>
  <c r="T143" i="3"/>
  <c r="V142" i="3"/>
  <c r="U142" i="3"/>
  <c r="T142" i="3"/>
  <c r="V141" i="3"/>
  <c r="U141" i="3"/>
  <c r="T141" i="3"/>
  <c r="V140" i="3"/>
  <c r="U140" i="3"/>
  <c r="T140" i="3"/>
  <c r="V139" i="3"/>
  <c r="U139" i="3"/>
  <c r="T139" i="3"/>
  <c r="V138" i="3"/>
  <c r="U138" i="3"/>
  <c r="T138" i="3"/>
  <c r="V137" i="3"/>
  <c r="U137" i="3"/>
  <c r="T137" i="3"/>
  <c r="V136" i="3"/>
  <c r="U136" i="3"/>
  <c r="T136" i="3"/>
  <c r="V135" i="3"/>
  <c r="U135" i="3"/>
  <c r="T135" i="3"/>
  <c r="V134" i="3"/>
  <c r="U134" i="3"/>
  <c r="T134" i="3"/>
  <c r="V133" i="3"/>
  <c r="U133" i="3"/>
  <c r="T133" i="3"/>
  <c r="V132" i="3"/>
  <c r="U132" i="3"/>
  <c r="T132" i="3"/>
  <c r="V131" i="3"/>
  <c r="U131" i="3"/>
  <c r="T131" i="3"/>
  <c r="V130" i="3"/>
  <c r="U130" i="3"/>
  <c r="T130" i="3"/>
  <c r="V129" i="3"/>
  <c r="U129" i="3"/>
  <c r="T129" i="3"/>
  <c r="V128" i="3"/>
  <c r="U128" i="3"/>
  <c r="T128" i="3"/>
  <c r="V127" i="3"/>
  <c r="U127" i="3"/>
  <c r="T127" i="3"/>
  <c r="V126" i="3"/>
  <c r="U126" i="3"/>
  <c r="T126" i="3"/>
  <c r="V125" i="3"/>
  <c r="U125" i="3"/>
  <c r="T125" i="3"/>
  <c r="V124" i="3"/>
  <c r="U124" i="3"/>
  <c r="T124" i="3"/>
  <c r="V123" i="3"/>
  <c r="U123" i="3"/>
  <c r="T123" i="3"/>
  <c r="V122" i="3"/>
  <c r="U122" i="3"/>
  <c r="T122" i="3"/>
  <c r="V121" i="3"/>
  <c r="U121" i="3"/>
  <c r="T121" i="3"/>
  <c r="V120" i="3"/>
  <c r="U120" i="3"/>
  <c r="T120" i="3"/>
  <c r="V119" i="3"/>
  <c r="U119" i="3"/>
  <c r="T119" i="3"/>
  <c r="V118" i="3"/>
  <c r="U118" i="3"/>
  <c r="T118" i="3"/>
  <c r="V117" i="3"/>
  <c r="U117" i="3"/>
  <c r="T117" i="3"/>
  <c r="V112" i="3"/>
  <c r="U112" i="3"/>
  <c r="T112" i="3"/>
  <c r="V111" i="3"/>
  <c r="U111" i="3"/>
  <c r="T111" i="3"/>
  <c r="V110" i="3"/>
  <c r="U110" i="3"/>
  <c r="T110" i="3"/>
  <c r="V109" i="3"/>
  <c r="U109" i="3"/>
  <c r="T109" i="3"/>
  <c r="V108" i="3"/>
  <c r="U108" i="3"/>
  <c r="T108" i="3"/>
  <c r="V107" i="3"/>
  <c r="U107" i="3"/>
  <c r="T107" i="3"/>
  <c r="V106" i="3"/>
  <c r="U106" i="3"/>
  <c r="T106" i="3"/>
  <c r="V105" i="3"/>
  <c r="U105" i="3"/>
  <c r="T105" i="3"/>
  <c r="V104" i="3"/>
  <c r="U104" i="3"/>
  <c r="T104" i="3"/>
  <c r="V103" i="3"/>
  <c r="U103" i="3"/>
  <c r="T103" i="3"/>
  <c r="V102" i="3"/>
  <c r="U102" i="3"/>
  <c r="T102" i="3"/>
  <c r="V101" i="3"/>
  <c r="U101" i="3"/>
  <c r="T101" i="3"/>
  <c r="V100" i="3"/>
  <c r="U100" i="3"/>
  <c r="T100" i="3"/>
  <c r="V96" i="3"/>
  <c r="U96" i="3"/>
  <c r="T96" i="3"/>
  <c r="V95" i="3"/>
  <c r="U95" i="3"/>
  <c r="T95" i="3"/>
  <c r="V94" i="3"/>
  <c r="U94" i="3"/>
  <c r="T94" i="3"/>
  <c r="V93" i="3"/>
  <c r="U93" i="3"/>
  <c r="T93" i="3"/>
  <c r="V92" i="3"/>
  <c r="U92" i="3"/>
  <c r="T92" i="3"/>
  <c r="V91" i="3"/>
  <c r="U91" i="3"/>
  <c r="T91" i="3"/>
  <c r="V90" i="3"/>
  <c r="U90" i="3"/>
  <c r="T90" i="3"/>
  <c r="V89" i="3"/>
  <c r="U89" i="3"/>
  <c r="T89" i="3"/>
  <c r="V88" i="3"/>
  <c r="U88" i="3"/>
  <c r="T88" i="3"/>
  <c r="V87" i="3"/>
  <c r="U87" i="3"/>
  <c r="T87" i="3"/>
  <c r="V86" i="3"/>
  <c r="U86" i="3"/>
  <c r="T86" i="3"/>
  <c r="V85" i="3"/>
  <c r="U85" i="3"/>
  <c r="T85" i="3"/>
  <c r="V84" i="3"/>
  <c r="U84" i="3"/>
  <c r="T84" i="3"/>
  <c r="V83" i="3"/>
  <c r="U83" i="3"/>
  <c r="T83" i="3"/>
  <c r="V82" i="3"/>
  <c r="U82" i="3"/>
  <c r="T82" i="3"/>
  <c r="V81" i="3"/>
  <c r="U81" i="3"/>
  <c r="T81" i="3"/>
  <c r="V80" i="3"/>
  <c r="U80" i="3"/>
  <c r="T80" i="3"/>
  <c r="V79" i="3"/>
  <c r="U79" i="3"/>
  <c r="T79" i="3"/>
  <c r="V78" i="3"/>
  <c r="U78" i="3"/>
  <c r="T78" i="3"/>
  <c r="V77" i="3"/>
  <c r="U77" i="3"/>
  <c r="T77" i="3"/>
  <c r="V76" i="3"/>
  <c r="U76" i="3"/>
  <c r="T76" i="3"/>
  <c r="V75" i="3"/>
  <c r="U75" i="3"/>
  <c r="T75" i="3"/>
  <c r="V74" i="3"/>
  <c r="U74" i="3"/>
  <c r="T74" i="3"/>
  <c r="V70" i="3"/>
  <c r="U70" i="3"/>
  <c r="T70" i="3"/>
  <c r="V69" i="3"/>
  <c r="U69" i="3"/>
  <c r="T69" i="3"/>
  <c r="V68" i="3"/>
  <c r="U68" i="3"/>
  <c r="T68" i="3"/>
  <c r="V67" i="3"/>
  <c r="U67" i="3"/>
  <c r="T67" i="3"/>
  <c r="V66" i="3"/>
  <c r="U66" i="3"/>
  <c r="T66" i="3"/>
  <c r="V65" i="3"/>
  <c r="U65" i="3"/>
  <c r="T65" i="3"/>
  <c r="V64" i="3"/>
  <c r="U64" i="3"/>
  <c r="T64" i="3"/>
  <c r="V63" i="3"/>
  <c r="U63" i="3"/>
  <c r="T63" i="3"/>
  <c r="V62" i="3"/>
  <c r="U62" i="3"/>
  <c r="T62" i="3"/>
  <c r="V61" i="3"/>
  <c r="U61" i="3"/>
  <c r="T61" i="3"/>
  <c r="V60" i="3"/>
  <c r="U60" i="3"/>
  <c r="T60" i="3"/>
  <c r="V59" i="3"/>
  <c r="U59" i="3"/>
  <c r="T59" i="3"/>
  <c r="V58" i="3"/>
  <c r="U58" i="3"/>
  <c r="T58" i="3"/>
  <c r="V57" i="3"/>
  <c r="U57" i="3"/>
  <c r="T57" i="3"/>
  <c r="V56" i="3"/>
  <c r="U56" i="3"/>
  <c r="T56" i="3"/>
  <c r="V55" i="3"/>
  <c r="U55" i="3"/>
  <c r="T55" i="3"/>
  <c r="V54" i="3"/>
  <c r="U54" i="3"/>
  <c r="T54" i="3"/>
  <c r="V53" i="3"/>
  <c r="U53" i="3"/>
  <c r="T53" i="3"/>
  <c r="V52" i="3"/>
  <c r="U52" i="3"/>
  <c r="T52" i="3"/>
  <c r="V51" i="3"/>
  <c r="U51" i="3"/>
  <c r="T51" i="3"/>
  <c r="V50" i="3"/>
  <c r="U50" i="3"/>
  <c r="T50" i="3"/>
  <c r="V49" i="3"/>
  <c r="U49" i="3"/>
  <c r="T49" i="3"/>
  <c r="V48" i="3"/>
  <c r="U48" i="3"/>
  <c r="T48" i="3"/>
  <c r="V44" i="3"/>
  <c r="U44" i="3"/>
  <c r="T44" i="3"/>
  <c r="V43" i="3"/>
  <c r="U43" i="3"/>
  <c r="T43" i="3"/>
  <c r="V42" i="3"/>
  <c r="U42" i="3"/>
  <c r="T42" i="3"/>
  <c r="V41" i="3"/>
  <c r="U41" i="3"/>
  <c r="T41" i="3"/>
  <c r="V40" i="3"/>
  <c r="U40" i="3"/>
  <c r="T40" i="3"/>
  <c r="V39" i="3"/>
  <c r="U39" i="3"/>
  <c r="T39" i="3"/>
  <c r="V38" i="3"/>
  <c r="U38" i="3"/>
  <c r="T38" i="3"/>
  <c r="V37" i="3"/>
  <c r="U37" i="3"/>
  <c r="T37" i="3"/>
  <c r="V36" i="3"/>
  <c r="U36" i="3"/>
  <c r="T36" i="3"/>
  <c r="V35" i="3"/>
  <c r="U35" i="3"/>
  <c r="T35" i="3"/>
  <c r="V34" i="3"/>
  <c r="U34" i="3"/>
  <c r="T34" i="3"/>
  <c r="V30" i="3"/>
  <c r="U30" i="3"/>
  <c r="T30" i="3"/>
  <c r="V29" i="3"/>
  <c r="U29" i="3"/>
  <c r="T29" i="3"/>
  <c r="V28" i="3"/>
  <c r="U28" i="3"/>
  <c r="T28" i="3"/>
  <c r="V27" i="3"/>
  <c r="U27" i="3"/>
  <c r="T27" i="3"/>
  <c r="V26" i="3"/>
  <c r="U26" i="3"/>
  <c r="T26" i="3"/>
  <c r="V25" i="3"/>
  <c r="U25" i="3"/>
  <c r="T25" i="3"/>
  <c r="V24" i="3"/>
  <c r="U24" i="3"/>
  <c r="T24" i="3"/>
  <c r="V20" i="3"/>
  <c r="U20" i="3"/>
  <c r="T20" i="3"/>
  <c r="V19" i="3"/>
  <c r="U19" i="3"/>
  <c r="T19" i="3"/>
  <c r="V18" i="3"/>
  <c r="U18" i="3"/>
  <c r="T18" i="3"/>
  <c r="V17" i="3"/>
  <c r="U17" i="3"/>
  <c r="T17" i="3"/>
  <c r="V16" i="3"/>
  <c r="U16" i="3"/>
  <c r="T16" i="3"/>
  <c r="V15" i="3"/>
  <c r="U15" i="3"/>
  <c r="T15" i="3"/>
  <c r="V14" i="3"/>
  <c r="U14" i="3"/>
  <c r="T14" i="3"/>
  <c r="V10" i="3"/>
  <c r="U10" i="3"/>
  <c r="T10" i="3"/>
  <c r="V9" i="3"/>
  <c r="U9" i="3"/>
  <c r="T9" i="3"/>
  <c r="V8" i="3"/>
  <c r="U8" i="3"/>
  <c r="T8" i="3"/>
  <c r="V7" i="3"/>
  <c r="T7" i="3"/>
  <c r="U7" i="3"/>
  <c r="W47" i="1"/>
  <c r="W67" i="1"/>
  <c r="V67" i="1"/>
  <c r="U67" i="1"/>
  <c r="W66" i="1"/>
  <c r="V66" i="1"/>
  <c r="U66" i="1"/>
  <c r="W65" i="1"/>
  <c r="V65" i="1"/>
  <c r="U65" i="1"/>
  <c r="W64" i="1"/>
  <c r="V64" i="1"/>
  <c r="U64" i="1"/>
  <c r="W63" i="1"/>
  <c r="V63" i="1"/>
  <c r="U63" i="1"/>
  <c r="W62" i="1"/>
  <c r="V62" i="1"/>
  <c r="U62" i="1"/>
  <c r="W61" i="1"/>
  <c r="V61" i="1"/>
  <c r="U61" i="1"/>
  <c r="W60" i="1"/>
  <c r="V60" i="1"/>
  <c r="U60" i="1"/>
  <c r="W59" i="1"/>
  <c r="V59" i="1"/>
  <c r="U59" i="1"/>
  <c r="W58" i="1"/>
  <c r="V58" i="1"/>
  <c r="U58" i="1"/>
  <c r="W57" i="1"/>
  <c r="V57" i="1"/>
  <c r="U57" i="1"/>
  <c r="W56" i="1"/>
  <c r="V56" i="1"/>
  <c r="U56" i="1"/>
  <c r="W55" i="1"/>
  <c r="V55" i="1"/>
  <c r="U55" i="1"/>
  <c r="W50" i="1"/>
  <c r="V50" i="1"/>
  <c r="U50" i="1"/>
  <c r="W49" i="1"/>
  <c r="V49" i="1"/>
  <c r="U49" i="1"/>
  <c r="W48" i="1"/>
  <c r="V48" i="1"/>
  <c r="U48" i="1"/>
  <c r="V47" i="1"/>
  <c r="U47" i="1"/>
  <c r="W42" i="1"/>
  <c r="V42" i="1"/>
  <c r="U42" i="1"/>
  <c r="W41" i="1"/>
  <c r="V41" i="1"/>
  <c r="U41" i="1"/>
  <c r="W40" i="1"/>
  <c r="V40" i="1"/>
  <c r="U40" i="1"/>
  <c r="W39" i="1"/>
  <c r="V39" i="1"/>
  <c r="U39" i="1"/>
  <c r="W38" i="1"/>
  <c r="V38" i="1"/>
  <c r="U38" i="1"/>
  <c r="W37" i="1"/>
  <c r="V37" i="1"/>
  <c r="U37" i="1"/>
  <c r="W36" i="1"/>
  <c r="V36" i="1"/>
  <c r="U36" i="1"/>
  <c r="W35" i="1"/>
  <c r="V35" i="1"/>
  <c r="U35" i="1"/>
  <c r="W34" i="1"/>
  <c r="V34" i="1"/>
  <c r="U34" i="1"/>
  <c r="W33" i="1"/>
  <c r="V33" i="1"/>
  <c r="U33" i="1"/>
  <c r="W32" i="1"/>
  <c r="V32" i="1"/>
  <c r="U32" i="1"/>
  <c r="W31" i="1"/>
  <c r="V31" i="1"/>
  <c r="U31" i="1"/>
  <c r="W30" i="1"/>
  <c r="V30" i="1"/>
  <c r="U30" i="1"/>
  <c r="W29" i="1"/>
  <c r="V29" i="1"/>
  <c r="U29" i="1"/>
  <c r="W28" i="1"/>
  <c r="V28" i="1"/>
  <c r="U28" i="1"/>
  <c r="W27" i="1"/>
  <c r="V27" i="1"/>
  <c r="U27" i="1"/>
  <c r="W26" i="1"/>
  <c r="V26" i="1"/>
  <c r="U26" i="1"/>
  <c r="W25" i="1"/>
  <c r="V25" i="1"/>
  <c r="U25" i="1"/>
  <c r="W24" i="1"/>
  <c r="V24" i="1"/>
  <c r="U24" i="1"/>
  <c r="W23" i="1"/>
  <c r="V23" i="1"/>
  <c r="U23" i="1"/>
  <c r="W22" i="1"/>
  <c r="V22" i="1"/>
  <c r="U22" i="1"/>
  <c r="W21" i="1"/>
  <c r="V21" i="1"/>
  <c r="U21" i="1"/>
  <c r="W20" i="1"/>
  <c r="V20" i="1"/>
  <c r="U20" i="1"/>
  <c r="W19" i="1"/>
  <c r="V19" i="1"/>
  <c r="U19" i="1"/>
  <c r="W14" i="1"/>
  <c r="W13" i="1"/>
  <c r="W12" i="1"/>
  <c r="W11" i="1"/>
  <c r="W10" i="1"/>
  <c r="W9" i="1"/>
  <c r="W8" i="1"/>
  <c r="W7" i="1"/>
  <c r="V14" i="1"/>
  <c r="V13" i="1"/>
  <c r="V12" i="1"/>
  <c r="V11" i="1"/>
  <c r="V10" i="1"/>
  <c r="V9" i="1"/>
  <c r="V8" i="1"/>
  <c r="V7" i="1"/>
  <c r="U14" i="1"/>
  <c r="U13" i="1"/>
  <c r="U12" i="1"/>
  <c r="U11" i="1"/>
  <c r="U10" i="1"/>
  <c r="U9" i="1"/>
  <c r="U8" i="1"/>
  <c r="U7" i="1"/>
</calcChain>
</file>

<file path=xl/sharedStrings.xml><?xml version="1.0" encoding="utf-8"?>
<sst xmlns="http://schemas.openxmlformats.org/spreadsheetml/2006/main" count="3255" uniqueCount="600">
  <si>
    <t>Total general</t>
  </si>
  <si>
    <t>Centros de Formación Técnica</t>
  </si>
  <si>
    <t>Institutos Profesionales</t>
  </si>
  <si>
    <t>Universidades</t>
  </si>
  <si>
    <t>Técnico de Nivel Superior</t>
  </si>
  <si>
    <t>Carreras Profesionales</t>
  </si>
  <si>
    <t>Carreras Técnicas</t>
  </si>
  <si>
    <t>Tipo específico de institución</t>
  </si>
  <si>
    <t>Administración y Comercio</t>
  </si>
  <si>
    <t>Agropecuaria</t>
  </si>
  <si>
    <t>Arte y Arquitectura</t>
  </si>
  <si>
    <t>Ciencias Básicas</t>
  </si>
  <si>
    <t>Ciencias Sociales</t>
  </si>
  <si>
    <t>Derecho</t>
  </si>
  <si>
    <t>Educación</t>
  </si>
  <si>
    <t>Humanidades</t>
  </si>
  <si>
    <t>Salud</t>
  </si>
  <si>
    <t>Tecnología</t>
  </si>
  <si>
    <t>Diurno</t>
  </si>
  <si>
    <t>Otro</t>
  </si>
  <si>
    <t>Vespertino</t>
  </si>
  <si>
    <t>Técnico Agropecuario</t>
  </si>
  <si>
    <t>Técnico Asistente del Educador de Párvulos</t>
  </si>
  <si>
    <t>Técnico Asistente del Educador Diferencial</t>
  </si>
  <si>
    <t>Técnico Dental y Asistente de Odontología</t>
  </si>
  <si>
    <t>Técnico en Administración de Empresas</t>
  </si>
  <si>
    <t>Técnico en Construcción y Obras Civiles</t>
  </si>
  <si>
    <t>Técnico en Contabilidad General</t>
  </si>
  <si>
    <t>Técnico en Deporte, Recreación y Preparación Física</t>
  </si>
  <si>
    <t>Técnico en Electricidad y Electricidad Industrial</t>
  </si>
  <si>
    <t>Técnico en Enfermería</t>
  </si>
  <si>
    <t>Técnico en Gastronomía y Cocina</t>
  </si>
  <si>
    <t>Técnico en Instrumentación, Automatización y Control Industrial</t>
  </si>
  <si>
    <t>Técnico en Mantenimiento Industrial</t>
  </si>
  <si>
    <t>Técnico en Mecánica Automotriz</t>
  </si>
  <si>
    <t>Técnico en Prevención de Riesgos</t>
  </si>
  <si>
    <t>Técnico en Turismo y Hotelería</t>
  </si>
  <si>
    <t>Administración de Empresas e Ing. Asociadas</t>
  </si>
  <si>
    <t>Contador Auditor</t>
  </si>
  <si>
    <t>Ingeniería en Computación e Informática</t>
  </si>
  <si>
    <t>Ingeniería en Construcción</t>
  </si>
  <si>
    <t>Ingeniería en Mecánica Automotriz</t>
  </si>
  <si>
    <t>Ingeniería en Prevención de Riesgos</t>
  </si>
  <si>
    <t>Pedagogía en Educación de Párvulos</t>
  </si>
  <si>
    <t>Psicopedagogía</t>
  </si>
  <si>
    <t>Técnico en Servicio Social</t>
  </si>
  <si>
    <t>Trabajo Social</t>
  </si>
  <si>
    <t>Arquitectura</t>
  </si>
  <si>
    <t>Enfermería</t>
  </si>
  <si>
    <t>Ingeniería Civil Industrial</t>
  </si>
  <si>
    <t>Ingeniería Comercial</t>
  </si>
  <si>
    <t>Kinesiología</t>
  </si>
  <si>
    <t>Medicina</t>
  </si>
  <si>
    <t>Odontología</t>
  </si>
  <si>
    <t>Pedagogía en Educación Básica</t>
  </si>
  <si>
    <t>Pedagogía en Educación Diferencial</t>
  </si>
  <si>
    <t>Pedagogía en Educación Física</t>
  </si>
  <si>
    <t>Pedagogía en Idiomas</t>
  </si>
  <si>
    <t>Psicología</t>
  </si>
  <si>
    <t>Geología</t>
  </si>
  <si>
    <t>Ingeniería Civil Metalúrgica</t>
  </si>
  <si>
    <t>Ingeniería Civil Eléctrica</t>
  </si>
  <si>
    <t>Ingeniería Civil Electrónica</t>
  </si>
  <si>
    <t>Ingeniería Civil Mecánica</t>
  </si>
  <si>
    <t>Ingeniería Civil en Computación e Informática</t>
  </si>
  <si>
    <t>Química y Farmacia</t>
  </si>
  <si>
    <t>Diseño Industrial</t>
  </si>
  <si>
    <t>Ingeniería en Electricidad</t>
  </si>
  <si>
    <t>Nutrición y Dietética</t>
  </si>
  <si>
    <t>Administración Gastronómica</t>
  </si>
  <si>
    <t>Técnico en Telecomunicaciones</t>
  </si>
  <si>
    <t>Hombres</t>
  </si>
  <si>
    <t>Mujeres</t>
  </si>
  <si>
    <t>Tipo de Carrera y Jornada</t>
  </si>
  <si>
    <t>Tipos de carrera</t>
  </si>
  <si>
    <t>Doctorado</t>
  </si>
  <si>
    <t>Magister</t>
  </si>
  <si>
    <t>Tipo de programa</t>
  </si>
  <si>
    <t xml:space="preserve">Hoja </t>
  </si>
  <si>
    <t>Tabla</t>
  </si>
  <si>
    <t>Contenido</t>
  </si>
  <si>
    <t>Índice de tablas</t>
  </si>
  <si>
    <t>Postítulo</t>
  </si>
  <si>
    <t>Pregrado</t>
  </si>
  <si>
    <t>Diplomado (superior a un semestre)</t>
  </si>
  <si>
    <t>Tipo de programa y tipo de universidad</t>
  </si>
  <si>
    <t>Jornada</t>
  </si>
  <si>
    <t>Región</t>
  </si>
  <si>
    <t>Ingeniería Civil, plan común y licenciatura en Ciencias de la Ingeniería</t>
  </si>
  <si>
    <t>Ingeniería en Telecomunicaciones</t>
  </si>
  <si>
    <t>Ingeniería Mecánica</t>
  </si>
  <si>
    <t>Fonoaudiología</t>
  </si>
  <si>
    <t>Técnico en Administración de Recursos Humanos y Personal</t>
  </si>
  <si>
    <t>Posgrado</t>
  </si>
  <si>
    <t>Volver al índice</t>
  </si>
  <si>
    <t>Construcción Civil</t>
  </si>
  <si>
    <t>Técnico en Computación e Informática</t>
  </si>
  <si>
    <t>Bioquímica</t>
  </si>
  <si>
    <t>Ingeniería Civil Química</t>
  </si>
  <si>
    <t>Técnico en Topografía</t>
  </si>
  <si>
    <t>n/a</t>
  </si>
  <si>
    <t>Tipo de Institución</t>
  </si>
  <si>
    <t>Evolución del porcentaje de sobreduración de las carreras según jornada - Pregrado</t>
  </si>
  <si>
    <t>Evolución del porcentaje de sobreduración de las carreras según región - Pregrado</t>
  </si>
  <si>
    <t>Evolución del porcentaje de sobreduración de las carreras según área del conocimiento - Pregrado</t>
  </si>
  <si>
    <t>Evolución del porcentaje de sobreduración de las carreras según tipo de carrera - Pregrado</t>
  </si>
  <si>
    <t>Evolución del porcentaje de sobreduración de las carreras según tipo de institución - Pregrado</t>
  </si>
  <si>
    <t>Área del conocimiento</t>
  </si>
  <si>
    <t>Tipo de institución y tipo de carrera</t>
  </si>
  <si>
    <t>Evolución del porcentaje de sobreduración de los programas según tipo de programa - Posgrado</t>
  </si>
  <si>
    <t>Tipo de institución</t>
  </si>
  <si>
    <t>Tecnología Médica</t>
  </si>
  <si>
    <t>Fuente: Servicio de Información de Educación Superior (SIES), de Mineduc.</t>
  </si>
  <si>
    <t xml:space="preserve">Profesional con licenciatura </t>
  </si>
  <si>
    <t>Licenciatura no conducente a título</t>
  </si>
  <si>
    <t xml:space="preserve">Profesional sin licenciatura </t>
  </si>
  <si>
    <t>Especialidad médica u odontológica</t>
  </si>
  <si>
    <t>Nivel de formación</t>
  </si>
  <si>
    <t>Tipo de carrera y región</t>
  </si>
  <si>
    <t>Tipo de carrera y área</t>
  </si>
  <si>
    <t>Nivel de formación y carrera</t>
  </si>
  <si>
    <t xml:space="preserve">Evolución Duración Real de las carreras de pregrado por tipo de institución </t>
  </si>
  <si>
    <t xml:space="preserve">Evolución Duración Real de las carreras de pregrado por tipo específico de institución </t>
  </si>
  <si>
    <t xml:space="preserve">Evolución Duración Real de las carreras de pregrado por tipo de carrera </t>
  </si>
  <si>
    <t xml:space="preserve">Evolución Duración Real de las carreras de pregrado por tipo de institución y carrera </t>
  </si>
  <si>
    <t xml:space="preserve">Evolución Duración Real de las carreras de pregrado por tipo general de carrera y área del conocimiento </t>
  </si>
  <si>
    <t xml:space="preserve">Evolución Duración Real de las carreras de pregrado por tipo general de carrera y jornada </t>
  </si>
  <si>
    <t xml:space="preserve">Evolución Duración Real de las carreras de pregrado por tipo general de carrera y región </t>
  </si>
  <si>
    <t xml:space="preserve">Evolución Duración Real de las 20 carreras de pregrado con más titulados - Universidades </t>
  </si>
  <si>
    <t xml:space="preserve">Evolución Duración Real de las 20 carreras de pregrado con más titulados - IP </t>
  </si>
  <si>
    <t xml:space="preserve">Evolución Duración Real de las 20 carreras de pregrado con más titulados - CFT </t>
  </si>
  <si>
    <t xml:space="preserve">Evolución Duración Real de las carreras de pregrado con mayor duración - CFT  </t>
  </si>
  <si>
    <t xml:space="preserve">Evolución Duración Real de las carreras de pregrado con mayor duración - Universidades </t>
  </si>
  <si>
    <t>(Expresada en número de semestres)</t>
  </si>
  <si>
    <t xml:space="preserve">Evolución Duración Real de programas de doctorado por área del conocimiento </t>
  </si>
  <si>
    <t xml:space="preserve">Evolución Duración Real de programas de magíster por área del conocimiento </t>
  </si>
  <si>
    <t xml:space="preserve">Evolución Duración Real de programas de posgrado por tipo de programa </t>
  </si>
  <si>
    <t>Evolución del porcentaje de sobreduración de los programas por nivel de formación</t>
  </si>
  <si>
    <t>Evolución del porcentaje de sobreduración de las carreras según tipo de institución y de carrera - Pregrado</t>
  </si>
  <si>
    <t>Evolución del porcentaje de sobreduración de las carreras pregrado con más titulados - Universidades</t>
  </si>
  <si>
    <t>Evolución del porcentaje de sobreduración de las carreras pregrado con más titulados - IP</t>
  </si>
  <si>
    <t>Evolución del porcentaje de sobreduración de las carreras pregrado con más titulados - CFT</t>
  </si>
  <si>
    <t>Evolución del porcentaje de sobreduración de los programas según tipo de programa y de universidad - Posgrado</t>
  </si>
  <si>
    <t>Tipo de carrera</t>
  </si>
  <si>
    <t>Profesional sin licenciatura</t>
  </si>
  <si>
    <t xml:space="preserve">Tipo de programa </t>
  </si>
  <si>
    <t>NOTA: En caso de utilizar datos de esta base para notas periodísticas o estudios, se debe citar como fuente de los datos al Servicio de Informaciíon de Educación Superior (SIES), de Mineduc</t>
  </si>
  <si>
    <t xml:space="preserve">Institutos Profesionales </t>
  </si>
  <si>
    <t xml:space="preserve">Nombre de la carrera </t>
  </si>
  <si>
    <t>Nombre de la carrera</t>
  </si>
  <si>
    <t xml:space="preserve"> Arica y Parinacota </t>
  </si>
  <si>
    <t xml:space="preserve"> Tarapacá </t>
  </si>
  <si>
    <t xml:space="preserve"> Antofagasta </t>
  </si>
  <si>
    <t xml:space="preserve"> Atacama </t>
  </si>
  <si>
    <t xml:space="preserve"> Coquimbo </t>
  </si>
  <si>
    <t xml:space="preserve"> Valparaíso </t>
  </si>
  <si>
    <t xml:space="preserve"> Maule </t>
  </si>
  <si>
    <t xml:space="preserve"> Biobío </t>
  </si>
  <si>
    <t xml:space="preserve"> La Araucanía </t>
  </si>
  <si>
    <t xml:space="preserve"> Los Ríos </t>
  </si>
  <si>
    <t xml:space="preserve"> Los Lagos </t>
  </si>
  <si>
    <t xml:space="preserve"> Aysén </t>
  </si>
  <si>
    <t xml:space="preserve"> Magallanes </t>
  </si>
  <si>
    <t>Metropolitana</t>
  </si>
  <si>
    <t>Magíster</t>
  </si>
  <si>
    <t>U. Privadas</t>
  </si>
  <si>
    <t xml:space="preserve">Evolución Duración Real de las carreras de pregrado con mayor duración - IP  </t>
  </si>
  <si>
    <t xml:space="preserve">Evolución Duración Real de programas de Doctorado por área del conocimiento </t>
  </si>
  <si>
    <t xml:space="preserve">Evolución Duración Real de programas de Magíster por área del conocimiento </t>
  </si>
  <si>
    <t>Técnico en Logística</t>
  </si>
  <si>
    <t>Evolución del porcentaje de Sobreduración de los programas por nivel de formación</t>
  </si>
  <si>
    <t>Evolución del porcentaje de Sobreduración de las carreras según tipo de institución - Pregrado</t>
  </si>
  <si>
    <t>Evolución del porcentaje de Sobreduración de las carreras según tipo de carrera - Pregrado</t>
  </si>
  <si>
    <t>Evolución del porcentaje de Sobreduración de las carreras según jornada - Pregrado</t>
  </si>
  <si>
    <t>Evolución del porcentaje de Sobreduración de las carreras según región - Pregrado</t>
  </si>
  <si>
    <t>Evolución del porcentaje de Sobreduración de los programas según tipo de programa - Posgrado</t>
  </si>
  <si>
    <t>Arica y Parinacota</t>
  </si>
  <si>
    <t>Tarapacá</t>
  </si>
  <si>
    <t>Antofagasta</t>
  </si>
  <si>
    <t>Atacama</t>
  </si>
  <si>
    <t>Coquimbo</t>
  </si>
  <si>
    <t>Valparaíso</t>
  </si>
  <si>
    <t>Maule</t>
  </si>
  <si>
    <t>Ñuble</t>
  </si>
  <si>
    <t>Biobío</t>
  </si>
  <si>
    <t>La Araucanía</t>
  </si>
  <si>
    <t>Los Ríos</t>
  </si>
  <si>
    <t>Los Lagos</t>
  </si>
  <si>
    <t>Aysén</t>
  </si>
  <si>
    <t>Magallanes</t>
  </si>
  <si>
    <t>Ingeniería Civil en Obras Civiles</t>
  </si>
  <si>
    <t xml:space="preserve"> Ñuble</t>
  </si>
  <si>
    <t>Evolución del porcentaje de Sobreduración de los programas según tipo de programa - Postítulo</t>
  </si>
  <si>
    <t>Evolución del porcentaje de sobreduración de los programas según tipo de programa - Postítulo</t>
  </si>
  <si>
    <t>Evolución del porcentaje de sobreduración de los programas según tipo de programa y de universidad - Postítulo</t>
  </si>
  <si>
    <t>CFT CEDUC - UCN</t>
  </si>
  <si>
    <t>CFT DE ENAC</t>
  </si>
  <si>
    <t>CFT DEL MEDIO AMBIENTE</t>
  </si>
  <si>
    <t>CFT INACAP</t>
  </si>
  <si>
    <t>CFT INSTITUTO SUPERIOR DE ESTUDIOS JURIDICOS CANON</t>
  </si>
  <si>
    <t>CFT IPROSEC</t>
  </si>
  <si>
    <t>CFT JUAN BOHON</t>
  </si>
  <si>
    <t>CFT LAPLACE</t>
  </si>
  <si>
    <t>CFT LOTA-ARAUCO</t>
  </si>
  <si>
    <t>CFT MANPOWER</t>
  </si>
  <si>
    <t>CFT PUCV</t>
  </si>
  <si>
    <t>CFT SAN AGUSTIN</t>
  </si>
  <si>
    <t>CFT SANTO TOMAS</t>
  </si>
  <si>
    <t>CFT TEODORO WICKEL KLUWEN</t>
  </si>
  <si>
    <t>IP AGRARIO ADOLFO MATTHEI</t>
  </si>
  <si>
    <t>IP AIEP</t>
  </si>
  <si>
    <t>IP DE CHILE</t>
  </si>
  <si>
    <t>IP DEL VALLE CENTRAL</t>
  </si>
  <si>
    <t>IP DIEGO PORTALES</t>
  </si>
  <si>
    <t>IP DR. VIRGINIO GOMEZ G.</t>
  </si>
  <si>
    <t>IP DUOC UC</t>
  </si>
  <si>
    <t>IP ESCUELA DE CONTADORES AUDITORES DE SANTIAGO</t>
  </si>
  <si>
    <t>IP ESUCOMEX</t>
  </si>
  <si>
    <t>IP INACAP</t>
  </si>
  <si>
    <t>IP INSTITUTO DE ESTUDIOS BANCARIOS GUILLERMO SUBERCASEAUX</t>
  </si>
  <si>
    <t>IP INSTITUTO INTERNACIONAL DE ARTES CULINARIAS Y SERVICIOS</t>
  </si>
  <si>
    <t>IP INSTITUTO NACIONAL DEL FUTBOL</t>
  </si>
  <si>
    <t>IP IPG</t>
  </si>
  <si>
    <t>IP LATINOAMERICANO DE COMERCIO EXTERIOR - IPLACEX</t>
  </si>
  <si>
    <t>IP LIBERTADOR DE LOS ANDES</t>
  </si>
  <si>
    <t>IP LOS LEONES</t>
  </si>
  <si>
    <t>IP PROVIDENCIA</t>
  </si>
  <si>
    <t>IP SANTO TOMAS</t>
  </si>
  <si>
    <t>PONTIFICIA UNIVERSIDAD CATOLICA DE CHILE</t>
  </si>
  <si>
    <t>PONTIFICIA UNIVERSIDAD CATOLICA DE VALPARAISO</t>
  </si>
  <si>
    <t>UNIVERSIDAD ACADEMIA DE HUMANISMO CRISTIANO</t>
  </si>
  <si>
    <t>UNIVERSIDAD ADOLFO IBAÑEZ</t>
  </si>
  <si>
    <t>UNIVERSIDAD ADVENTISTA DE CHILE</t>
  </si>
  <si>
    <t>UNIVERSIDAD ALBERTO HURTADO</t>
  </si>
  <si>
    <t>UNIVERSIDAD ANDRES BELLO</t>
  </si>
  <si>
    <t>UNIVERSIDAD ARTURO PRAT</t>
  </si>
  <si>
    <t>UNIVERSIDAD AUSTRAL DE CHILE</t>
  </si>
  <si>
    <t>UNIVERSIDAD AUTONOMA DE CHILE</t>
  </si>
  <si>
    <t>UNIVERSIDAD BERNARDO O'HIGGINS</t>
  </si>
  <si>
    <t>UNIVERSIDAD BOLIVARIANA</t>
  </si>
  <si>
    <t>UNIVERSIDAD CATOLICA CARDENAL RAUL SILVA HENRIQUEZ</t>
  </si>
  <si>
    <t>UNIVERSIDAD CATOLICA DE LA SANTISIMA CONCEPCION</t>
  </si>
  <si>
    <t>UNIVERSIDAD CATOLICA DE TEMUCO</t>
  </si>
  <si>
    <t>UNIVERSIDAD CATOLICA DEL MAULE</t>
  </si>
  <si>
    <t>UNIVERSIDAD CATOLICA DEL NORTE</t>
  </si>
  <si>
    <t>UNIVERSIDAD CENTRAL DE CHILE</t>
  </si>
  <si>
    <t>UNIVERSIDAD DE ACONCAGUA</t>
  </si>
  <si>
    <t>UNIVERSIDAD DE ANTOFAGASTA</t>
  </si>
  <si>
    <t>UNIVERSIDAD DE ARTES, CIENCIAS Y COMUNICACION - UNIACC</t>
  </si>
  <si>
    <t>UNIVERSIDAD DE ATACAMA</t>
  </si>
  <si>
    <t>UNIVERSIDAD DE CHILE</t>
  </si>
  <si>
    <t>UNIVERSIDAD DE CONCEPCION</t>
  </si>
  <si>
    <t>UNIVERSIDAD DE LA FRONTERA</t>
  </si>
  <si>
    <t>UNIVERSIDAD DE LA SERENA</t>
  </si>
  <si>
    <t>UNIVERSIDAD DE LAS AMERICAS</t>
  </si>
  <si>
    <t>UNIVERSIDAD DE LOS ANDES</t>
  </si>
  <si>
    <t>UNIVERSIDAD DE LOS LAGOS</t>
  </si>
  <si>
    <t>UNIVERSIDAD DE MAGALLANES</t>
  </si>
  <si>
    <t>UNIVERSIDAD DE PLAYA ANCHA DE CIENCIAS DE LA EDUCACION</t>
  </si>
  <si>
    <t>UNIVERSIDAD DE SANTIAGO DE CHILE</t>
  </si>
  <si>
    <t>UNIVERSIDAD DE TALCA</t>
  </si>
  <si>
    <t>UNIVERSIDAD DE TARAPACA</t>
  </si>
  <si>
    <t>UNIVERSIDAD DE VALPARAISO</t>
  </si>
  <si>
    <t>UNIVERSIDAD DE VIÑA DEL MAR</t>
  </si>
  <si>
    <t>UNIVERSIDAD DEL BIO-BIO</t>
  </si>
  <si>
    <t>UNIVERSIDAD DEL DESARROLLO</t>
  </si>
  <si>
    <t>UNIVERSIDAD DIEGO PORTALES</t>
  </si>
  <si>
    <t>UNIVERSIDAD FINIS TERRAE</t>
  </si>
  <si>
    <t>UNIVERSIDAD GABRIELA MISTRAL</t>
  </si>
  <si>
    <t>UNIVERSIDAD LOS LEONES</t>
  </si>
  <si>
    <t>UNIVERSIDAD MAYOR</t>
  </si>
  <si>
    <t>UNIVERSIDAD METROPOLITANA DE CIENCIAS DE LA EDUCACION</t>
  </si>
  <si>
    <t>UNIVERSIDAD MIGUEL DE CERVANTES</t>
  </si>
  <si>
    <t>UNIVERSIDAD SAN SEBASTIAN</t>
  </si>
  <si>
    <t>UNIVERSIDAD SANTO TOMAS</t>
  </si>
  <si>
    <t>UNIVERSIDAD SEK</t>
  </si>
  <si>
    <t>UNIVERSIDAD TECNICA FEDERICO SANTA MARIA</t>
  </si>
  <si>
    <t>UNIVERSIDAD TECNOLOGICA DE CHILE INACAP</t>
  </si>
  <si>
    <t>UNIVERSIDAD TECNOLOGICA METROPOLITANA</t>
  </si>
  <si>
    <t xml:space="preserve">Evolución Duración Real de Carreras Técnicas de CFT </t>
  </si>
  <si>
    <t>Evolución Duración Real de Carreras Técnicas de IP</t>
  </si>
  <si>
    <t>Evolución Duración Real de Carreras Técnicas de Universidades</t>
  </si>
  <si>
    <t>Evolución Duración Real de Carreras Profesionales de IP</t>
  </si>
  <si>
    <t>Evolución Duración Real de Carreras Profesionales de Universidades</t>
  </si>
  <si>
    <t>Técnico Veterinario</t>
  </si>
  <si>
    <t>Ingeniería Civil en Minas</t>
  </si>
  <si>
    <t>U. Cruch Estatal</t>
  </si>
  <si>
    <t>U. Cruch Privada</t>
  </si>
  <si>
    <t>O'Higgins</t>
  </si>
  <si>
    <t xml:space="preserve"> O'Higgins</t>
  </si>
  <si>
    <t xml:space="preserve">O'Higgins </t>
  </si>
  <si>
    <t>Centros de Formación Técnica Estatal</t>
  </si>
  <si>
    <t>Semipresencial</t>
  </si>
  <si>
    <t>A Distancia</t>
  </si>
  <si>
    <t>CFT CENCO</t>
  </si>
  <si>
    <t>CFT DE LA REGION DEL MAULE</t>
  </si>
  <si>
    <t>CFT DE LA REGION DE LA ARAUCANIA</t>
  </si>
  <si>
    <t>IP PROJAZZ</t>
  </si>
  <si>
    <t>Terapia Ocupacional</t>
  </si>
  <si>
    <t>Ingeniería en Recursos Humanos</t>
  </si>
  <si>
    <t>Ingeniería en Minas</t>
  </si>
  <si>
    <t>Ingeniería en Geomensura y Cartografía</t>
  </si>
  <si>
    <t>Música, Canto o Danza</t>
  </si>
  <si>
    <t>Ingeniería en Química</t>
  </si>
  <si>
    <t>Ingeniería en Sonido</t>
  </si>
  <si>
    <t>Técnico en Minería</t>
  </si>
  <si>
    <t>Técnico Jurídico</t>
  </si>
  <si>
    <t>Técnico en Producción Gráfica y Multimedia</t>
  </si>
  <si>
    <t>Obstetricia y Puericultura</t>
  </si>
  <si>
    <t>CFT PRODATA</t>
  </si>
  <si>
    <t>CFT DE LA REGION DE TARAPACA</t>
  </si>
  <si>
    <t>CFT DE LA REGION DE COQUIMBO</t>
  </si>
  <si>
    <t>CFT ALPES</t>
  </si>
  <si>
    <t>CFT ESCUELA CULINARIA FRANCESA</t>
  </si>
  <si>
    <t>CFT INSTITUTO SUPERIOR ALEMAN DE COMERCIO INSALCO</t>
  </si>
  <si>
    <t>CFT CENTRO TECNOLOGICO SUPERIOR INFOMED</t>
  </si>
  <si>
    <t>IP CHILENO BRITANICO DE CULTURA</t>
  </si>
  <si>
    <t>IP ESCUELA MODERNA DE MUSICA</t>
  </si>
  <si>
    <t>UNIVERSIDAD DE O'HIGGINS</t>
  </si>
  <si>
    <t>Se entrega información desde 10 casos.</t>
  </si>
  <si>
    <t>Evolución del porcentaje de Sobreduración de las carreras por tipo general de carrera y área del conocimiento - Pregrado</t>
  </si>
  <si>
    <t>Total Mujeres</t>
  </si>
  <si>
    <t>Total Hombres</t>
  </si>
  <si>
    <t>Especialidad Médica u Odontológica</t>
  </si>
  <si>
    <t>Evolución del porcentaje de Sobreduración de los programas por nivel de formación y género</t>
  </si>
  <si>
    <t>Evolución del porcentaje de Sobreduración de las carreras según tipo de institución y carrera - Pregrado</t>
  </si>
  <si>
    <t>Tipo de institución y carrera</t>
  </si>
  <si>
    <t xml:space="preserve">Principales carreras </t>
  </si>
  <si>
    <t>Principales carreras</t>
  </si>
  <si>
    <t>Tipo de programa y género</t>
  </si>
  <si>
    <t>Evolución del porcentaje de Sobreduración de los programas según tipo de programa y género - Posgrado</t>
  </si>
  <si>
    <t>Evolución del porcentaje de Sobreduración de los programas según tipo de programa y género - Postítulo</t>
  </si>
  <si>
    <t>Nombre institución</t>
  </si>
  <si>
    <t>Evolución Duración Real de carreras técnicas de CFT</t>
  </si>
  <si>
    <t>Evolución Duración Real de carreras técnicas de IP</t>
  </si>
  <si>
    <t>Evolución Duración Real de carreras técnicas de Universidades</t>
  </si>
  <si>
    <t>Evolución Duración Real de carreras profesionales de IP</t>
  </si>
  <si>
    <t>Evolución Duración Real de carreras profesionales de Universidades</t>
  </si>
  <si>
    <t>Evolución del porcentaje de sobreduración de los programas por nivel de formación y género</t>
  </si>
  <si>
    <t>Técnico en Peluquería y Estética</t>
  </si>
  <si>
    <t>Técnico Laboratorista Dental</t>
  </si>
  <si>
    <t>Técnico en Mecánica Industrial</t>
  </si>
  <si>
    <t>Técnico en Podología</t>
  </si>
  <si>
    <t>Ingeniería en Finanzas</t>
  </si>
  <si>
    <t>Biología Marina y Ecología Marina</t>
  </si>
  <si>
    <t>Ingeniería en Alimentos</t>
  </si>
  <si>
    <t>Periodismo</t>
  </si>
  <si>
    <t>Medicina Veterinaria</t>
  </si>
  <si>
    <t>Cod. Inst.</t>
  </si>
  <si>
    <t>CFT DE LA REGION DE ARICA Y PARINACOTA</t>
  </si>
  <si>
    <t>CFT DE LA REGION DE VALPARAISO</t>
  </si>
  <si>
    <t>CFT DE LA REGION DE LOS RIOS</t>
  </si>
  <si>
    <t>CFT DE LA REGION DE ANTOFAGASTA</t>
  </si>
  <si>
    <t>CFT DE LA REGION DE LOS LAGOS</t>
  </si>
  <si>
    <t>CFT DE LA REGION METROPOLITANA DE SANTIAGO</t>
  </si>
  <si>
    <t>CFT DE LA REGION DE MAGALLANES Y ANTARTICA CHILENA</t>
  </si>
  <si>
    <t>IP ESCUELA DE COMERCIO DE SANTIAGO</t>
  </si>
  <si>
    <t>IP ESCUELA DE MARINA MERCANTE PILOTO PARDO</t>
  </si>
  <si>
    <t>UNIVERSIDAD LA REPUBLICA</t>
  </si>
  <si>
    <t>UNIVERSIDAD DEL ALBA</t>
  </si>
  <si>
    <t>UNIVERSIDAD DE AYSEN</t>
  </si>
  <si>
    <t>IP ESCUELA DE CINE DE CHILE</t>
  </si>
  <si>
    <t>Sexo</t>
  </si>
  <si>
    <t>Sexo y tipo de institución</t>
  </si>
  <si>
    <t>Sexo y tipo de carrera</t>
  </si>
  <si>
    <t>Sexo y tipo específico de carrera</t>
  </si>
  <si>
    <t>Sexo y jornada</t>
  </si>
  <si>
    <t>Sexo y área del conocimiento</t>
  </si>
  <si>
    <t xml:space="preserve">Sexo y tipo de institución </t>
  </si>
  <si>
    <t xml:space="preserve">Sexo y jornada </t>
  </si>
  <si>
    <t>Sexo y carreras</t>
  </si>
  <si>
    <t xml:space="preserve">Sexo y carreras </t>
  </si>
  <si>
    <t>Sexo y tipo de programa</t>
  </si>
  <si>
    <t>Evolución Duración Real de las 20 carreras de pregrado con más titulados según sexo - Universidades</t>
  </si>
  <si>
    <t>Evolución Duración Real de las 20 carreras de pregrado con más titulados según sexo - IP</t>
  </si>
  <si>
    <t>Evolución Duración Real de las 20 carreras de pregrado con más titulados según sexo - CFT</t>
  </si>
  <si>
    <t xml:space="preserve">Evolución Duración en Exceso de las carreras de pregrado por tipo específico de institución </t>
  </si>
  <si>
    <t xml:space="preserve">Evolución Duración en Exceso de las carreras de pregrado por tipo de carrera </t>
  </si>
  <si>
    <t xml:space="preserve">Evolución Duración en Exceso de las carreras de pregrado por tipo de institución y carrera </t>
  </si>
  <si>
    <t xml:space="preserve">Evolución Duración en Exceso de las carreras de pregrado por tipo general de carrera y área del conocimiento </t>
  </si>
  <si>
    <t xml:space="preserve">Evolución Duración en Exceso de las carreras de pregrado por tipo general de carrera y jornada </t>
  </si>
  <si>
    <t xml:space="preserve">Evolución Duración en Exceso de las carreras de pregrado por tipo general de carrera y región </t>
  </si>
  <si>
    <t xml:space="preserve">Evolución Duración en Exceso de las carreras de pregrado por tipo de institución </t>
  </si>
  <si>
    <t>DURACIÓN REAL, EN EXCESO Y SOBREDURACIÓN DE CARRERAS Y PROGRAMAS</t>
  </si>
  <si>
    <t>Real</t>
  </si>
  <si>
    <t>Formal</t>
  </si>
  <si>
    <t>Duración</t>
  </si>
  <si>
    <t>La Duración Real de una carrera se define como el número promedio de semestres que media entre el semestre de ingreso a la carrera y el semestre de obtención del título para los estudiantes que se titularon de una carrera en un año determinado. La duración en exceso corresponde al número promedio de semestres, por sobre la duración formal de la carrera, que demora el estudiantado de dicha carrera en obtener su título o grado final o terminal. La sobreduración corresponde al cociente entre la Duración en Exceso y la Duración Formal de una carrera o conjunto de ellas.</t>
  </si>
  <si>
    <t xml:space="preserve">Evolución Duración en Exceso de carreras de Pregrado por tipo de institución </t>
  </si>
  <si>
    <t xml:space="preserve">Evolución Duración en Exceso de las carreras de Pregrado por tipo de carrera </t>
  </si>
  <si>
    <t xml:space="preserve">Evolución Duración en Exceso de las carreras de Pregrado por tipo de institución y carrera </t>
  </si>
  <si>
    <t xml:space="preserve">Evolución Duración en Exceso de las carreras de Pregrado por tipo general de carrera y área del conocimiento </t>
  </si>
  <si>
    <t xml:space="preserve">Evolución Duración en Exceso de las carreras de Pregrado por tipo general de carrera y jornada </t>
  </si>
  <si>
    <t xml:space="preserve">Evolución Duración en Exceso de las carreras de Pregrado por tipo general de carrera y región </t>
  </si>
  <si>
    <t xml:space="preserve">Evolución Duración en Exceso de las carreras de Pregrado por tipo específico de institución </t>
  </si>
  <si>
    <t>Evolución Duración Real de programas de Posgrado por tipo de programa</t>
  </si>
  <si>
    <t>Evolución Duración Real de las 20 carreras de Pregrado con más titulados según sexo - Universidades</t>
  </si>
  <si>
    <t>Evolución Duración Real de las 20 carreras de Pregrado con más titulados según sexo - IP</t>
  </si>
  <si>
    <t>Evolución Duración Real de las 20 carreras de Pregrado con más titulados según sexo - CFT</t>
  </si>
  <si>
    <t>Código institución</t>
  </si>
  <si>
    <t>Técnico en Laboratorio Clínico</t>
  </si>
  <si>
    <t>Técnico en Comercio Exterior</t>
  </si>
  <si>
    <t>Técnico en Electromecánica</t>
  </si>
  <si>
    <t>Ingeniería Agrícola</t>
  </si>
  <si>
    <t>Ingeniería en Medio Ambiente</t>
  </si>
  <si>
    <t>Ingeniería en Automatización, Instrumentación y Control</t>
  </si>
  <si>
    <t>Antropología</t>
  </si>
  <si>
    <t>Ingeniería en Recursos Renovables</t>
  </si>
  <si>
    <t>Química, Licenciado en Química</t>
  </si>
  <si>
    <t>CFT DE LA REGION DE ATACAMA</t>
  </si>
  <si>
    <t>CFT ESCUELA DE COMERCIO</t>
  </si>
  <si>
    <t>IP ARCOS</t>
  </si>
  <si>
    <t>IP EATRI</t>
  </si>
  <si>
    <t>IP IACC</t>
  </si>
  <si>
    <t>n/a= no aplica (menos de 10 casos; sin datos suficientes para el cálculo).</t>
  </si>
  <si>
    <t>Solo se informa el indicador para casos de 10 o más graduados por año</t>
  </si>
  <si>
    <t>Evolución Duración en Exceso según nivel global y tipo general de carrera</t>
  </si>
  <si>
    <t>Nivel Global y Tipo de Carrera</t>
  </si>
  <si>
    <t>Nombre Carrera Genérica</t>
  </si>
  <si>
    <t>Actuación y Teatro</t>
  </si>
  <si>
    <t>Administración Pública</t>
  </si>
  <si>
    <t>Administración Turística y Hotelera</t>
  </si>
  <si>
    <t>Agronomía</t>
  </si>
  <si>
    <t>Artes y Licenciatura en Artes</t>
  </si>
  <si>
    <t>Biología</t>
  </si>
  <si>
    <t>Ciencias Políticas</t>
  </si>
  <si>
    <t>Comunicación Audiovisual y/o Multimedia</t>
  </si>
  <si>
    <t>Diseño</t>
  </si>
  <si>
    <t>Diseño Gráfico</t>
  </si>
  <si>
    <t>Física y Astronomía</t>
  </si>
  <si>
    <t>Geografía</t>
  </si>
  <si>
    <t>Historia</t>
  </si>
  <si>
    <t>Ingeniería en Biotecnología y Bioingeniería</t>
  </si>
  <si>
    <t>Ingeniería en Comercio Exterior</t>
  </si>
  <si>
    <t>Ingeniería en Control de Gestión</t>
  </si>
  <si>
    <t>Ingeniería Forestal</t>
  </si>
  <si>
    <t>Ingeniería Industrial</t>
  </si>
  <si>
    <t>Licenciatura en Letras y Literatura</t>
  </si>
  <si>
    <t>Pedagogía en Artes y Música</t>
  </si>
  <si>
    <t>Pedagogía en Ciencias</t>
  </si>
  <si>
    <t>Pedagogía en Historia, Geografía y Ciencias Sociales</t>
  </si>
  <si>
    <t>Pedagogía en Lenguaje, Comunicación y/o Castellano</t>
  </si>
  <si>
    <t>Pedagogía en Matemáticas y Computación</t>
  </si>
  <si>
    <t>Publicidad</t>
  </si>
  <si>
    <t>Realizador de Cine y Televisión</t>
  </si>
  <si>
    <t>Sociología</t>
  </si>
  <si>
    <t>Traducción e Interpretación</t>
  </si>
  <si>
    <t>Animación Digital</t>
  </si>
  <si>
    <t>Diseño de Ambientes e Interiores</t>
  </si>
  <si>
    <t>Diseño de Vestuario</t>
  </si>
  <si>
    <t>Ingeniería en Conectividad y Redes</t>
  </si>
  <si>
    <t>Ingeniería en Gestión Pública</t>
  </si>
  <si>
    <t>Ingeniería en Logística</t>
  </si>
  <si>
    <t>Ingeniería en Marketing</t>
  </si>
  <si>
    <t>Ingeniería en Seguridad Privada</t>
  </si>
  <si>
    <t>Relaciones Públicas</t>
  </si>
  <si>
    <t>Técnico en Administración de Redes y Soporte</t>
  </si>
  <si>
    <t>Técnico en Administración en Marketing</t>
  </si>
  <si>
    <t>Técnico en Administración Financiera y Finanzas</t>
  </si>
  <si>
    <t>Técnico en Administración Pública o Municipal</t>
  </si>
  <si>
    <t>Técnico en Comunicación Audiovisual</t>
  </si>
  <si>
    <t>Técnico en Dibujo Arquitectónico</t>
  </si>
  <si>
    <t>Técnico en Diseño Gráfico</t>
  </si>
  <si>
    <t>Técnico en Energía</t>
  </si>
  <si>
    <t>Técnico en Farmacia</t>
  </si>
  <si>
    <t>Técnico en Masoterapia</t>
  </si>
  <si>
    <t>Técnico en Medio Ambiente (Control y Gestión)</t>
  </si>
  <si>
    <t>Técnico en Radiología y Radioterapia</t>
  </si>
  <si>
    <t>Técnico en Sonido</t>
  </si>
  <si>
    <t>Variación en semestres 2015 - 2024</t>
  </si>
  <si>
    <t>Variación en semestres 2020 - 2024</t>
  </si>
  <si>
    <t>Variación en semestres 2023 - 2024</t>
  </si>
  <si>
    <t>DURACIÓN REAL DE LAS CARRERAS DE PREGRADO 2007 - 2024</t>
  </si>
  <si>
    <t>DURACIÓN EN EXCESO DE LAS CARRERAS Y PROGRAMAS  2007 - 2024</t>
  </si>
  <si>
    <t>PORCENTAJES DE SOBREDURACIÓN DE LAS CARRERAS 2007 - 2024</t>
  </si>
  <si>
    <t>DURACIÓN REAL DE LAS CARRERAS POR INSTITUCIÓN - PREGRADO 2010 - 2024</t>
  </si>
  <si>
    <t>Variación p.p. 2015 - 2024</t>
  </si>
  <si>
    <t>Variación p.p. 2020 - 2024</t>
  </si>
  <si>
    <t>Variación p.p. 2023 - 2024</t>
  </si>
  <si>
    <t>Evolución Duración Real de las carreras de pregrado por tipo general de carrera y campo amplio CINE-P 2013.</t>
  </si>
  <si>
    <t>Administración de Empresas y Derecho</t>
  </si>
  <si>
    <t>Agricultura, Silvicultura, Pesca y Veterinaria</t>
  </si>
  <si>
    <t>Artes y Humanidades</t>
  </si>
  <si>
    <t>Ciencias naturales, matemáticas y estadística</t>
  </si>
  <si>
    <t>Ciencias Sociales, Periodismo e Información</t>
  </si>
  <si>
    <t>Ingeniería, Industria y Construcción</t>
  </si>
  <si>
    <t>Salud y Bienestar</t>
  </si>
  <si>
    <t>Servicios</t>
  </si>
  <si>
    <t>Tecnología de la Información y la Comunicación (TIC)</t>
  </si>
  <si>
    <t>Diurna</t>
  </si>
  <si>
    <t>Vespertina</t>
  </si>
  <si>
    <t>Otra</t>
  </si>
  <si>
    <t xml:space="preserve">Evolución Duración Real de las 20 carreras de pregrado con más titulaciones 2024 - Universidades </t>
  </si>
  <si>
    <t xml:space="preserve">Evolución Duración Real de las 20 carreras de pregrado con más titulaciones 2024 - Institutos Profesionales </t>
  </si>
  <si>
    <t>Evolución Duración Real de las 20 carreras de pregrado con más titulaciones 2024 - Centros de Formación Técnica</t>
  </si>
  <si>
    <t>Evolución de las 20 carreras de pregrado con mayor duración real 2024 - Universidades</t>
  </si>
  <si>
    <t>Evolución Duración Real de las carreras de pregrado con mayor duración 2024 - Institutos Profesionales</t>
  </si>
  <si>
    <t>Evolución Duración Real de las carreras de pregrado con mayor duración 2024 - Centros de Formación Técnica</t>
  </si>
  <si>
    <t>Ingeniería Civil Matemática y Estadística</t>
  </si>
  <si>
    <t>Ingeniería Civil Ambiental</t>
  </si>
  <si>
    <t>Ingeniería en Metalurgia</t>
  </si>
  <si>
    <t>DURACIÓN REAL DE LOS PROGRAMAS DE POSGRADO 2007 - 2024</t>
  </si>
  <si>
    <t>Solo se informa el indicador para casos de 10 o más titulados por año</t>
  </si>
  <si>
    <t>Duración Real 2024</t>
  </si>
  <si>
    <t>Duración en Exceso 2024</t>
  </si>
  <si>
    <t>Técnico en Prevención y Rehabilitación</t>
  </si>
  <si>
    <t xml:space="preserve">La Sobreduración de las carreras corresponde al cociente entre el número de semestres efectivos que demoran en obtener su título los estudiantes y el número formal </t>
  </si>
  <si>
    <t>o esperado de semestres que dura su carrera o programa.</t>
  </si>
  <si>
    <t>Evolución del porcentaje de Sobreduración de las carreras Pregrado con más titulaciones 2024 - Universidades</t>
  </si>
  <si>
    <t>Evolución del porcentaje de Sobreduración de las carreras Pregrado con más titulaciones 2024 - IP</t>
  </si>
  <si>
    <t>Evolución del porcentaje de Sobreduración de las carreras Pregrado con más titulaciones 2024 - CFT</t>
  </si>
  <si>
    <t>Considera a todas las instituciones que tienen desde 10 casos de titulados en cada tipo de carrera. El listado considera instituciones que tienen datos de titulados 2023 y/o 2024</t>
  </si>
  <si>
    <t>CFT DE LA REGION DE AYSEN DEL GENERAL CARLOS IBAÑEZ DEL CAMPO</t>
  </si>
  <si>
    <t>CFT DE LA REGION DEL BIO BIO</t>
  </si>
  <si>
    <t>CFT DE LA REGION DEL LIBERTADOR GENERAL BERNARDO O'HIGGINS</t>
  </si>
  <si>
    <t>CFT PROFASOC</t>
  </si>
  <si>
    <t>IP SAN SEBASTIAN</t>
  </si>
  <si>
    <t>IP DE CIENCIAS DE LA COMPUTACION ACUARIO DATA</t>
  </si>
  <si>
    <t>Duración en Exceso y Real de carreras genéricas de pregrado sobre 100 titulados 2024 - Universidades</t>
  </si>
  <si>
    <t>DURACIÓN EN EXCESO Y REAL DE CARRERAS GENÉRICAS POR TIPO INSTITUCIÓN - PREGRADO 2024</t>
  </si>
  <si>
    <t>Duración en Exceso y Real de carreras genéricas de pregrado sobre 100 titulados 2024 - Institutos Profesionales</t>
  </si>
  <si>
    <t>Duración en Exceso y Real de carreras genéricas de pregrado sobre 100 titulados 2024 - Centros de Formación Técnica</t>
  </si>
  <si>
    <t>Evolución de la Duración Real de carreras de Pedagogía (con 100 o más casos válidos de titulación en 2024) - Universidades</t>
  </si>
  <si>
    <t>Evolución de la Duración en Exceso de carreras de Pedagogía (con 100 o más casos válidos de titulación en 2024) - Universidades</t>
  </si>
  <si>
    <t>DURACIÓN EN EXCESO DE LAS CARRERAS  2007 - 2024</t>
  </si>
  <si>
    <t>DURACIÓN REAL Y EN EXCESO DE CARRERAS GENÉRICAS POR TIPO INSTITUCIÓN - PREGRADO 2024</t>
  </si>
  <si>
    <t>Duración Real y en Exceso de carreras genéricas de pregrado sobre 100 titulados 2024 - Universidades</t>
  </si>
  <si>
    <t>Duración Real y en Exceso de carreras genéricas de pregrado sobre 100 titulados 2024 - Institutos Profesionales</t>
  </si>
  <si>
    <t>Duración Real y en Exceso de carreras genéricas de pregrado sobre 100 titulados 2024 - Centros de Formación Técnica</t>
  </si>
  <si>
    <t>Evolución de la Sobreduración de carreras de Pedagogía (con 100 o más casos válidos de titulación en 2024) - Universidades</t>
  </si>
  <si>
    <t>Tipo Duración</t>
  </si>
  <si>
    <t>En Exceso</t>
  </si>
  <si>
    <t xml:space="preserve">Evolución Duración Real y en Exceso de carreras de Pregrado por Sexo </t>
  </si>
  <si>
    <t>Evolución Duración Real y en Exceso de carreras de Pregrado por sexo y tipo de institución</t>
  </si>
  <si>
    <t>Evolución Duración Real y en Exceso de carreras de Pregrado por sexo y tipo de carrera</t>
  </si>
  <si>
    <t>Evolución Duración Real y en Exceso de carreras de Pregrado por sexo y tipo de carrera específica</t>
  </si>
  <si>
    <t>Evolución Duración Real y en Exceso de Carreras Profesionales por sexo y tipo de institución</t>
  </si>
  <si>
    <t>Evolución Duración Real y en Exceso de Carreras Profesionales por sexo y jornada</t>
  </si>
  <si>
    <t>DURACIÓN REAL Y EN EXCESO DE LAS CARRERAS POR SEXO  2007 - 2024</t>
  </si>
  <si>
    <t xml:space="preserve">Evolución Duración Real y en Exceso de programas de Posgrado por tipo de programa y sexo </t>
  </si>
  <si>
    <t xml:space="preserve">Evolución Duración Real y en Exceso de programas de Postítulo por tipo de programa y sexo </t>
  </si>
  <si>
    <t>DURACIÓN REAL Y EN EXCESO DE LAS CARRERAS POR SEXO 2007 - 2024</t>
  </si>
  <si>
    <t>DURACIÓN REAL DE LAS CARRERAS Y PROGRAMAS PARA TODOS LOS NIVELES 2007 - 2024</t>
  </si>
  <si>
    <t>Evolución Duración Real y Formal de las carreras y programas por nivel de formación</t>
  </si>
  <si>
    <t>Evolución Duración Real y Formal de las carreras y programas por nivel de formación y tipo de carrera</t>
  </si>
  <si>
    <t>Evolución Duración en Exceso de las carreras y programas por nivel de formación</t>
  </si>
  <si>
    <t>Evolución Duración en Exceso de las carreras y programas por nivel de formación y tipo de carrera</t>
  </si>
  <si>
    <t>Se consideran carreras desde 100 titulaciones en el año 2024.</t>
  </si>
  <si>
    <t>Se consideran carreras desde 100 titulaciones en el año 2024</t>
  </si>
  <si>
    <t xml:space="preserve">Evolución Duración Real de programas de posgrado por tipo de programa y tipo de universidad </t>
  </si>
  <si>
    <t>Evolución Duración Real de programas de doctorado por área CINE/Unesco 2013</t>
  </si>
  <si>
    <t xml:space="preserve">Evolución Duración Real de programas de magíster por área CINE/Unesco 2013 </t>
  </si>
  <si>
    <t xml:space="preserve">Evolución Duración Real y en Exceso de carreras de pregrado por sexo </t>
  </si>
  <si>
    <t>Evolución Duración Real y en Exceso de carreras de pregrado por sexo y tipo de institución</t>
  </si>
  <si>
    <t>Evolución Duración Real y en Exceso de carreras de pregrado por sexo y tipo de carrera</t>
  </si>
  <si>
    <t>Evolución Duración Real y en Exceso de carreras de pregrado por sexo y tipo de carrera específico</t>
  </si>
  <si>
    <t>Evolución Duración Real y en Exceso de carreras profesionales por sexo y tipo de institución</t>
  </si>
  <si>
    <t>Evolución Duración Real y en Exceso de carreras profesionales por sexo y jornada</t>
  </si>
  <si>
    <t>Evolución Duración Real y en Exceso de carreras profesionales por sexo y área del conocimiento</t>
  </si>
  <si>
    <t>Evolución Duración Real y en Exceso de carreras profesionales por sexo y área CINE/Unesco 2013</t>
  </si>
  <si>
    <t>Evolución Duración Real y en Exceso de carreras técnicas por sexo y tipo de institución</t>
  </si>
  <si>
    <t>Evolución Duración Real y en Exceso de carreras técnicas por sexo y jornada</t>
  </si>
  <si>
    <t>Evolución Duración Real y en Exceso de Carreras Profesionales por sexo y área del conocimiento</t>
  </si>
  <si>
    <t>Evolución Duración Real y en Exceso de Carreras Técnicas por sexo y tipo de institución</t>
  </si>
  <si>
    <t>Evolución Duración Real y en Exceso de Carreras Técnicas por sexo y jornada</t>
  </si>
  <si>
    <t>Evolución Duración Real y en Exceso de Carreras Técnicas por sexo y área del conocimiento</t>
  </si>
  <si>
    <t>Evolución Duración Real y en Exceso de carreras técnicas por sexo y área del conocimiento</t>
  </si>
  <si>
    <t>Evolución Duración Real y en Exceso de carreras técnicas por sexo y área CINE/Unesco 2013</t>
  </si>
  <si>
    <t xml:space="preserve">Evolución Duración Real y en Exceso de programas de posgrado por tipo de programa y sexo </t>
  </si>
  <si>
    <t xml:space="preserve">Evolución Duración Real y en Exceso de programas de postítulo por tipo de programa y sexo </t>
  </si>
  <si>
    <t xml:space="preserve">Evolución Duración Real de carreras de pregrado por tipo de institución </t>
  </si>
  <si>
    <t>En el caso de pregrado se consideran las carreras regulares desde 4 semestres para Carreras Técnicas, 6 para Carreras Profesionales sin Licenciatura y 8 para Carreras Profesionales con Licenciatura y Licenciaturas no conducentes a título.</t>
  </si>
  <si>
    <t>Diplomado (de al menos un semestre)</t>
  </si>
  <si>
    <t>Evolución Duración en Exceso de las carreras de Pregrado por tipo general de carrera y área CINE/Unesco 2013</t>
  </si>
  <si>
    <t>Evolución Duración en Exceso de las carreras de Pregrado por tipo general de carrera y área CINE/Unesco 2013.</t>
  </si>
  <si>
    <t>Evolución Duración Real de programas de Doctorado por área CINE/Unesco 2013</t>
  </si>
  <si>
    <t>Evolución Duración Real de programas de Magíster por área CINE/Unesco 2013</t>
  </si>
  <si>
    <t>Área del Conocimiento</t>
  </si>
  <si>
    <t>Área CINE/Unesco 2013</t>
  </si>
  <si>
    <t>Evolución Duración Real y en Exceso de Carreras Profesionales por sexo y área CINE/Unesco 2013</t>
  </si>
  <si>
    <t>Evolución Duración Real y en Exceso de Carreras Técnicas por sexo y área CINE/Unesco 2013</t>
  </si>
  <si>
    <t>Sexo y área CINE/Unesco 2013</t>
  </si>
  <si>
    <t>Tipo de carrera y área CINE/Unesco 2013</t>
  </si>
  <si>
    <t>Solo se informa el indicador para casos de 10 o más titulaciones por año.</t>
  </si>
  <si>
    <t>DURACIÓN REAL DE LOS PROGRAMAS DE POSTÍTULO 2007 - 2024</t>
  </si>
  <si>
    <t xml:space="preserve">Evolución Duración Real de programas de postítulo por tipo de programa </t>
  </si>
  <si>
    <t>Evolución Duración Real de programas de postítulo por tipo de programa y tipo de institución</t>
  </si>
  <si>
    <t>Diplomado</t>
  </si>
  <si>
    <t>Tipo de programa y tipo de institución</t>
  </si>
  <si>
    <t>Instituto Profesional</t>
  </si>
  <si>
    <t xml:space="preserve">Evolución Duración Real de programas de Postítulo por área del conocimiento </t>
  </si>
  <si>
    <t xml:space="preserve">Evolución Duración Real de programas de Diplomado por área del conocimiento </t>
  </si>
  <si>
    <t>Evolución Duración Real de programas de Postítulo por área CINE/Unesco 2013</t>
  </si>
  <si>
    <t>Evolución Duración Real de programas de Diplomado por área CINE/Unesco 2013</t>
  </si>
  <si>
    <t xml:space="preserve">Evolución Duración Real de programas de postítulo por área del conocimiento </t>
  </si>
  <si>
    <t xml:space="preserve">Evolución Duración Real de programas de diplomado por área del conocimiento </t>
  </si>
  <si>
    <t>Evolución Duración Real de programas de postítulo por área CINE/Unesco 2013</t>
  </si>
  <si>
    <t xml:space="preserve">Evolución Duración Real de programas de diplomado por área CINE/Unesco 2013 </t>
  </si>
  <si>
    <t>Total Pedagogías</t>
  </si>
  <si>
    <t>Se consideran carreras genéricas desde 100 titulaciones en el año 2024. No obstante, el total incorpora todas las pedagogías de cada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</si>
</sst>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 #,##0_ ;_ * \-#,##0_ ;_ * &quot;-&quot;_ ;_ @_ "/>
    <numFmt numFmtId="165" formatCode="_ * #,##0.00_ ;_ * \-#,##0.00_ ;_ * &quot;-&quot;??_ ;_ @_ "/>
    <numFmt numFmtId="166" formatCode="_-* #,##0.00\ _€_-;\-* #,##0.00\ _€_-;_-* &quot;-&quot;??\ _€_-;_-@_-"/>
    <numFmt numFmtId="167" formatCode="_-* #,##0.0\ _€_-;\-* #,##0.0\ _€_-;_-* &quot;-&quot;??\ _€_-;_-@_-"/>
    <numFmt numFmtId="168" formatCode="0.0%"/>
    <numFmt numFmtId="169" formatCode="_ * #,##0.0_ ;_ * \-#,##0.0_ ;_ * &quot;-&quot;??_ ;_ @_ "/>
    <numFmt numFmtId="170" formatCode="_ * #,##0.0_ ;_ * \-#,##0.0_ ;_ * &quot;-&quot;_ ;_ @_ "/>
    <numFmt numFmtId="171" formatCode="_ * #,##0.0_ ;_ * \-#,##0.0_ ;_ * &quot;-&quot;?_ ;_ @_ "/>
    <numFmt numFmtId="172" formatCode="_-* #,##0.000_-;\-* #,##0.000_-;_-* &quot;-&quot;??_-;_-@_-"/>
    <numFmt numFmtId="173" formatCode="_ * #,##0.00_ ;_ * \-#,##0.00_ ;_ * &quot;-&quot;?_ ;_ @_ "/>
    <numFmt numFmtId="174" formatCode="_-* #,##0.000000_-;\-* #,##0.000000_-;_-* &quot;-&quot;??_-;_-@_-"/>
  </numFmts>
  <fonts count="25" x14ac:knownFonts="1">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i/>
      <sz val="10"/>
      <name val="Calibri"/>
      <family val="2"/>
      <scheme val="minor"/>
    </font>
    <font>
      <b/>
      <sz val="26"/>
      <name val="Calibri"/>
      <family val="2"/>
      <scheme val="minor"/>
    </font>
    <font>
      <i/>
      <sz val="10"/>
      <color theme="1"/>
      <name val="Calibri"/>
      <family val="2"/>
      <scheme val="minor"/>
    </font>
    <font>
      <sz val="11"/>
      <color indexed="8"/>
      <name val="Calibri"/>
      <family val="2"/>
    </font>
    <font>
      <sz val="10"/>
      <name val="Arial"/>
      <family val="2"/>
    </font>
    <font>
      <sz val="10"/>
      <name val="MS Sans Serif"/>
      <family val="2"/>
    </font>
    <font>
      <sz val="11"/>
      <color theme="1"/>
      <name val="Cambria"/>
      <family val="2"/>
      <scheme val="major"/>
    </font>
    <font>
      <b/>
      <sz val="12"/>
      <color rgb="FFFF0000"/>
      <name val="Calibri"/>
      <family val="2"/>
      <scheme val="minor"/>
    </font>
    <font>
      <sz val="10"/>
      <name val="Calibri"/>
      <family val="2"/>
      <scheme val="minor"/>
    </font>
    <font>
      <sz val="8"/>
      <color theme="1"/>
      <name val="Calibri"/>
      <family val="2"/>
      <scheme val="minor"/>
    </font>
    <font>
      <sz val="8"/>
      <name val="Calibri"/>
      <family val="2"/>
      <scheme val="minor"/>
    </font>
    <font>
      <sz val="11"/>
      <color rgb="FFFF0000"/>
      <name val="Calibri"/>
      <family val="2"/>
      <scheme val="minor"/>
    </font>
    <font>
      <sz val="12"/>
      <color rgb="FFFF0000"/>
      <name val="Calibri"/>
      <family val="2"/>
      <scheme val="minor"/>
    </font>
    <font>
      <b/>
      <sz val="24"/>
      <name val="Calibri"/>
      <family val="2"/>
      <scheme val="minor"/>
    </font>
    <font>
      <u/>
      <sz val="10"/>
      <color theme="10"/>
      <name val="Calibri"/>
      <family val="2"/>
      <scheme val="minor"/>
    </font>
    <font>
      <sz val="9"/>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theme="4" tint="0.79998168889431442"/>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8">
    <xf numFmtId="0" fontId="0" fillId="0" borderId="0"/>
    <xf numFmtId="0" fontId="2" fillId="0" borderId="0" applyNumberForma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0" fontId="4"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0" fontId="1" fillId="0" borderId="0"/>
    <xf numFmtId="43" fontId="1"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3" fillId="0" borderId="0"/>
    <xf numFmtId="9" fontId="14" fillId="0" borderId="0" applyFont="0" applyFill="0" applyBorder="0" applyAlignment="0" applyProtection="0"/>
    <xf numFmtId="0" fontId="15" fillId="0" borderId="0"/>
    <xf numFmtId="43" fontId="15"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9" fontId="4" fillId="0" borderId="0" applyFont="0" applyFill="0" applyBorder="0" applyAlignment="0" applyProtection="0"/>
    <xf numFmtId="164" fontId="1" fillId="0" borderId="0" applyFont="0" applyFill="0" applyBorder="0" applyAlignment="0" applyProtection="0"/>
  </cellStyleXfs>
  <cellXfs count="223">
    <xf numFmtId="0" fontId="0" fillId="0" borderId="0" xfId="0"/>
    <xf numFmtId="0" fontId="4" fillId="2" borderId="0" xfId="0" applyFont="1" applyFill="1"/>
    <xf numFmtId="0" fontId="3" fillId="2" borderId="0" xfId="0" applyFont="1" applyFill="1" applyAlignment="1">
      <alignment horizontal="center"/>
    </xf>
    <xf numFmtId="0" fontId="0" fillId="2" borderId="0" xfId="0" applyFill="1" applyAlignment="1">
      <alignment horizontal="center"/>
    </xf>
    <xf numFmtId="0" fontId="0" fillId="2" borderId="0" xfId="0" applyFill="1"/>
    <xf numFmtId="0" fontId="5" fillId="2" borderId="0" xfId="0" applyFont="1" applyFill="1"/>
    <xf numFmtId="0" fontId="2" fillId="2" borderId="0" xfId="1" applyFill="1"/>
    <xf numFmtId="0" fontId="5"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left" vertical="center"/>
    </xf>
    <xf numFmtId="0" fontId="2" fillId="2" borderId="0" xfId="1" applyFill="1" applyAlignment="1">
      <alignment horizontal="left"/>
    </xf>
    <xf numFmtId="0" fontId="0" fillId="2" borderId="0" xfId="0" applyFill="1" applyAlignment="1">
      <alignment horizontal="left"/>
    </xf>
    <xf numFmtId="0" fontId="2" fillId="2" borderId="0" xfId="1" applyFill="1" applyAlignment="1">
      <alignment vertical="center"/>
    </xf>
    <xf numFmtId="0" fontId="7" fillId="2" borderId="0" xfId="0" applyFont="1" applyFill="1" applyAlignment="1">
      <alignment vertical="center"/>
    </xf>
    <xf numFmtId="0" fontId="3" fillId="2" borderId="0" xfId="0" applyFont="1" applyFill="1"/>
    <xf numFmtId="0" fontId="6" fillId="4" borderId="2" xfId="2" applyNumberFormat="1" applyFont="1" applyFill="1" applyBorder="1" applyAlignment="1">
      <alignment horizontal="center" vertical="center"/>
    </xf>
    <xf numFmtId="0" fontId="2" fillId="2" borderId="0" xfId="1" applyFill="1" applyBorder="1"/>
    <xf numFmtId="168" fontId="6" fillId="0" borderId="1" xfId="3" applyNumberFormat="1" applyFont="1" applyFill="1" applyBorder="1" applyAlignment="1">
      <alignment horizontal="center" vertical="center"/>
    </xf>
    <xf numFmtId="168" fontId="4" fillId="0" borderId="1" xfId="3" applyNumberFormat="1" applyFont="1" applyFill="1" applyBorder="1" applyAlignment="1">
      <alignment horizontal="center" vertical="center"/>
    </xf>
    <xf numFmtId="168" fontId="4" fillId="2" borderId="1" xfId="3" applyNumberFormat="1" applyFont="1" applyFill="1" applyBorder="1" applyAlignment="1">
      <alignment horizontal="center" vertical="center"/>
    </xf>
    <xf numFmtId="168" fontId="6" fillId="2" borderId="1" xfId="3" applyNumberFormat="1" applyFont="1" applyFill="1" applyBorder="1" applyAlignment="1">
      <alignment horizontal="center" vertical="center"/>
    </xf>
    <xf numFmtId="0" fontId="4" fillId="2" borderId="0" xfId="0" applyFont="1" applyFill="1" applyAlignment="1">
      <alignment horizontal="center" vertical="center"/>
    </xf>
    <xf numFmtId="0" fontId="8" fillId="2" borderId="0" xfId="0" applyFont="1" applyFill="1"/>
    <xf numFmtId="0" fontId="8" fillId="2" borderId="0" xfId="0" applyFont="1" applyFill="1" applyAlignment="1">
      <alignment horizontal="left"/>
    </xf>
    <xf numFmtId="0" fontId="0" fillId="2" borderId="0" xfId="0" applyFill="1" applyAlignment="1">
      <alignment horizontal="left" vertical="top"/>
    </xf>
    <xf numFmtId="0" fontId="16" fillId="0" borderId="0" xfId="0" applyFont="1" applyAlignment="1">
      <alignment vertical="center"/>
    </xf>
    <xf numFmtId="0" fontId="7" fillId="2" borderId="0" xfId="0" applyFont="1" applyFill="1" applyAlignment="1">
      <alignment horizontal="left" vertical="center"/>
    </xf>
    <xf numFmtId="0" fontId="6" fillId="4" borderId="1" xfId="0" applyFont="1" applyFill="1" applyBorder="1" applyAlignment="1">
      <alignment horizontal="center" vertical="center" wrapText="1"/>
    </xf>
    <xf numFmtId="43" fontId="6" fillId="4" borderId="1" xfId="6" applyFont="1" applyFill="1" applyBorder="1" applyAlignment="1">
      <alignment horizontal="left" vertical="center"/>
    </xf>
    <xf numFmtId="43" fontId="4" fillId="0" borderId="1" xfId="6" applyFont="1" applyFill="1" applyBorder="1" applyAlignment="1">
      <alignment horizontal="left" vertical="center"/>
    </xf>
    <xf numFmtId="43" fontId="4" fillId="2" borderId="1" xfId="6" applyFont="1" applyFill="1" applyBorder="1" applyAlignment="1">
      <alignment horizontal="left" vertical="center"/>
    </xf>
    <xf numFmtId="43" fontId="6" fillId="2" borderId="1" xfId="6" applyFont="1" applyFill="1" applyBorder="1" applyAlignment="1">
      <alignment horizontal="left" vertical="center"/>
    </xf>
    <xf numFmtId="43" fontId="6" fillId="4" borderId="1" xfId="6" applyFont="1" applyFill="1" applyBorder="1" applyAlignment="1">
      <alignment horizontal="left" vertical="center" wrapText="1"/>
    </xf>
    <xf numFmtId="43" fontId="6" fillId="0" borderId="1" xfId="6" applyFont="1" applyBorder="1" applyAlignment="1">
      <alignment horizontal="left" vertical="center"/>
    </xf>
    <xf numFmtId="43" fontId="4" fillId="0" borderId="1" xfId="6" applyFont="1" applyFill="1" applyBorder="1" applyAlignment="1">
      <alignment horizontal="left" vertical="center" indent="1"/>
    </xf>
    <xf numFmtId="43" fontId="8" fillId="2" borderId="0" xfId="6" applyFont="1" applyFill="1" applyAlignment="1">
      <alignment vertical="center"/>
    </xf>
    <xf numFmtId="43" fontId="6" fillId="4" borderId="1" xfId="6" applyFont="1" applyFill="1" applyBorder="1" applyAlignment="1">
      <alignment vertical="center"/>
    </xf>
    <xf numFmtId="43" fontId="4" fillId="2" borderId="1" xfId="6" applyFont="1" applyFill="1" applyBorder="1" applyAlignment="1">
      <alignment vertical="center"/>
    </xf>
    <xf numFmtId="43" fontId="6" fillId="0" borderId="1" xfId="6" applyFont="1" applyFill="1" applyBorder="1" applyAlignment="1">
      <alignment vertical="center"/>
    </xf>
    <xf numFmtId="43" fontId="9" fillId="2" borderId="0" xfId="6" applyFont="1" applyFill="1" applyAlignment="1">
      <alignment vertical="center"/>
    </xf>
    <xf numFmtId="43" fontId="2" fillId="0" borderId="0" xfId="6" applyFont="1" applyAlignment="1">
      <alignment horizontal="center" vertical="center"/>
    </xf>
    <xf numFmtId="43" fontId="5" fillId="2" borderId="0" xfId="6" applyFont="1" applyFill="1" applyAlignment="1">
      <alignment vertical="center"/>
    </xf>
    <xf numFmtId="43" fontId="6" fillId="0" borderId="1" xfId="6" applyFont="1" applyFill="1" applyBorder="1" applyAlignment="1">
      <alignment horizontal="left" vertical="center"/>
    </xf>
    <xf numFmtId="43" fontId="16" fillId="0" borderId="0" xfId="6" applyFont="1" applyAlignment="1">
      <alignment vertical="center"/>
    </xf>
    <xf numFmtId="43" fontId="4" fillId="2" borderId="0" xfId="6" applyFont="1" applyFill="1" applyAlignment="1">
      <alignment vertical="center"/>
    </xf>
    <xf numFmtId="43" fontId="2" fillId="2" borderId="0" xfId="6" applyFont="1" applyFill="1" applyAlignment="1">
      <alignment vertical="center"/>
    </xf>
    <xf numFmtId="0" fontId="7" fillId="0" borderId="0" xfId="0" applyFont="1"/>
    <xf numFmtId="43" fontId="6" fillId="4" borderId="2" xfId="6" applyFont="1" applyFill="1" applyBorder="1" applyAlignment="1">
      <alignment vertical="center"/>
    </xf>
    <xf numFmtId="43" fontId="8" fillId="2" borderId="0" xfId="6" applyFont="1" applyFill="1"/>
    <xf numFmtId="43" fontId="8" fillId="0" borderId="0" xfId="6" applyFont="1" applyFill="1" applyAlignment="1">
      <alignment vertical="center"/>
    </xf>
    <xf numFmtId="43" fontId="6" fillId="3" borderId="1" xfId="6" applyFont="1" applyFill="1" applyBorder="1" applyAlignment="1">
      <alignment vertical="center"/>
    </xf>
    <xf numFmtId="43" fontId="4" fillId="2" borderId="0" xfId="6" applyFont="1" applyFill="1" applyAlignment="1">
      <alignment horizontal="center" vertical="center"/>
    </xf>
    <xf numFmtId="43" fontId="11" fillId="0" borderId="0" xfId="6" applyFont="1" applyFill="1" applyBorder="1" applyAlignment="1">
      <alignment horizontal="left" vertical="top"/>
    </xf>
    <xf numFmtId="43" fontId="0" fillId="2" borderId="0" xfId="6" applyFont="1" applyFill="1" applyAlignment="1">
      <alignment vertical="center"/>
    </xf>
    <xf numFmtId="43" fontId="8" fillId="2" borderId="0" xfId="6" applyFont="1" applyFill="1" applyBorder="1"/>
    <xf numFmtId="43" fontId="4" fillId="2" borderId="0" xfId="6" applyFont="1" applyFill="1"/>
    <xf numFmtId="43" fontId="6" fillId="4" borderId="1" xfId="6" applyFont="1" applyFill="1" applyBorder="1" applyAlignment="1">
      <alignment vertical="center" wrapText="1"/>
    </xf>
    <xf numFmtId="43" fontId="8" fillId="2" borderId="0" xfId="6" applyFont="1" applyFill="1" applyAlignment="1">
      <alignment horizontal="left" vertical="center"/>
    </xf>
    <xf numFmtId="43" fontId="4" fillId="2" borderId="2" xfId="6" applyFont="1" applyFill="1" applyBorder="1" applyAlignment="1">
      <alignment horizontal="left" vertical="center"/>
    </xf>
    <xf numFmtId="43" fontId="4" fillId="2" borderId="0" xfId="6" applyFont="1" applyFill="1" applyAlignment="1">
      <alignment horizontal="left" vertical="center"/>
    </xf>
    <xf numFmtId="43" fontId="8" fillId="0" borderId="0" xfId="6" applyFont="1" applyFill="1" applyAlignment="1">
      <alignment horizontal="left" vertical="center"/>
    </xf>
    <xf numFmtId="167" fontId="4" fillId="0" borderId="1" xfId="2" applyNumberFormat="1" applyFont="1" applyFill="1" applyBorder="1" applyAlignment="1">
      <alignment horizontal="center" vertical="center"/>
    </xf>
    <xf numFmtId="167" fontId="4" fillId="0" borderId="1" xfId="2" applyNumberFormat="1" applyFont="1" applyFill="1" applyBorder="1" applyAlignment="1">
      <alignment horizontal="left" vertical="center"/>
    </xf>
    <xf numFmtId="167" fontId="7" fillId="2" borderId="0" xfId="2" applyNumberFormat="1" applyFont="1" applyFill="1" applyAlignment="1">
      <alignment horizontal="center" vertical="center"/>
    </xf>
    <xf numFmtId="167" fontId="0" fillId="2" borderId="0" xfId="2" applyNumberFormat="1" applyFont="1" applyFill="1" applyAlignment="1">
      <alignment horizontal="center" vertical="top"/>
    </xf>
    <xf numFmtId="167" fontId="5" fillId="2" borderId="0" xfId="2" applyNumberFormat="1" applyFont="1" applyFill="1" applyAlignment="1">
      <alignment horizontal="center" vertical="center"/>
    </xf>
    <xf numFmtId="167" fontId="8" fillId="2" borderId="0" xfId="2" applyNumberFormat="1" applyFont="1" applyFill="1" applyBorder="1" applyAlignment="1">
      <alignment horizontal="center"/>
    </xf>
    <xf numFmtId="167" fontId="4" fillId="2" borderId="0" xfId="2" applyNumberFormat="1" applyFont="1" applyFill="1" applyAlignment="1">
      <alignment horizontal="center" vertical="center"/>
    </xf>
    <xf numFmtId="167" fontId="4" fillId="2" borderId="0" xfId="2" applyNumberFormat="1" applyFont="1" applyFill="1" applyAlignment="1">
      <alignment horizontal="center"/>
    </xf>
    <xf numFmtId="167" fontId="8" fillId="2" borderId="0" xfId="2" applyNumberFormat="1" applyFont="1" applyFill="1" applyAlignment="1">
      <alignment horizontal="center" vertical="center"/>
    </xf>
    <xf numFmtId="167" fontId="16" fillId="0" borderId="0" xfId="2" applyNumberFormat="1" applyFont="1" applyAlignment="1">
      <alignment horizontal="center" vertical="center"/>
    </xf>
    <xf numFmtId="167" fontId="2" fillId="2" borderId="0" xfId="2" applyNumberFormat="1" applyFont="1" applyFill="1" applyAlignment="1">
      <alignment horizontal="center" vertical="center"/>
    </xf>
    <xf numFmtId="168" fontId="4" fillId="2" borderId="2" xfId="3" applyNumberFormat="1" applyFont="1" applyFill="1" applyBorder="1" applyAlignment="1">
      <alignment horizontal="center" vertical="center"/>
    </xf>
    <xf numFmtId="168" fontId="6" fillId="0" borderId="1" xfId="3" applyNumberFormat="1" applyFont="1" applyBorder="1" applyAlignment="1">
      <alignment horizontal="center" vertical="center"/>
    </xf>
    <xf numFmtId="168" fontId="4" fillId="0" borderId="1" xfId="3" applyNumberFormat="1" applyFont="1" applyBorder="1" applyAlignment="1">
      <alignment horizontal="center" vertical="center"/>
    </xf>
    <xf numFmtId="43" fontId="8" fillId="2" borderId="0" xfId="6" applyFont="1" applyFill="1" applyAlignment="1">
      <alignment horizontal="center" vertical="center"/>
    </xf>
    <xf numFmtId="0" fontId="0" fillId="2" borderId="0" xfId="0" applyFill="1" applyAlignment="1">
      <alignment vertical="center"/>
    </xf>
    <xf numFmtId="43" fontId="11" fillId="2" borderId="0" xfId="6" applyFont="1" applyFill="1" applyBorder="1" applyAlignment="1">
      <alignment horizontal="left" vertical="top"/>
    </xf>
    <xf numFmtId="0" fontId="7" fillId="2" borderId="0" xfId="0" applyFont="1" applyFill="1" applyAlignment="1">
      <alignment horizontal="center" vertical="center"/>
    </xf>
    <xf numFmtId="43" fontId="8" fillId="0" borderId="0" xfId="6" applyFont="1" applyFill="1" applyAlignment="1">
      <alignment horizontal="center" vertical="center"/>
    </xf>
    <xf numFmtId="0" fontId="16" fillId="0" borderId="0" xfId="0" applyFont="1" applyAlignment="1">
      <alignment horizontal="center" vertical="center"/>
    </xf>
    <xf numFmtId="0" fontId="2" fillId="2" borderId="0" xfId="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left" vertical="center"/>
    </xf>
    <xf numFmtId="0" fontId="7" fillId="0" borderId="0" xfId="0" applyFont="1" applyAlignment="1">
      <alignment horizontal="center" vertical="center"/>
    </xf>
    <xf numFmtId="43" fontId="5" fillId="2" borderId="0" xfId="6" applyFont="1" applyFill="1" applyAlignment="1">
      <alignment horizontal="center" vertical="center"/>
    </xf>
    <xf numFmtId="43" fontId="9" fillId="2" borderId="0" xfId="6" applyFont="1" applyFill="1" applyAlignment="1">
      <alignment horizontal="center" vertical="center"/>
    </xf>
    <xf numFmtId="168" fontId="4" fillId="2" borderId="1" xfId="3" applyNumberFormat="1" applyFont="1" applyFill="1" applyBorder="1" applyAlignment="1">
      <alignment horizontal="left" vertical="center"/>
    </xf>
    <xf numFmtId="0" fontId="6" fillId="2" borderId="0" xfId="0" applyFont="1" applyFill="1" applyAlignment="1">
      <alignment vertical="center"/>
    </xf>
    <xf numFmtId="168" fontId="4" fillId="2" borderId="0" xfId="3" applyNumberFormat="1" applyFont="1" applyFill="1" applyAlignment="1">
      <alignment horizontal="center" vertical="center"/>
    </xf>
    <xf numFmtId="43" fontId="4" fillId="0" borderId="2" xfId="6" applyFont="1" applyFill="1" applyBorder="1" applyAlignment="1">
      <alignment horizontal="left" vertical="center"/>
    </xf>
    <xf numFmtId="43" fontId="8" fillId="2" borderId="0" xfId="6" applyFont="1" applyFill="1" applyBorder="1" applyAlignment="1">
      <alignment vertical="center"/>
    </xf>
    <xf numFmtId="0" fontId="0" fillId="0" borderId="0" xfId="0" applyAlignment="1">
      <alignment vertical="center"/>
    </xf>
    <xf numFmtId="0" fontId="18" fillId="2" borderId="0" xfId="0" applyFont="1" applyFill="1" applyAlignment="1">
      <alignment horizontal="left"/>
    </xf>
    <xf numFmtId="169" fontId="18" fillId="2" borderId="0" xfId="0" applyNumberFormat="1" applyFont="1" applyFill="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xf>
    <xf numFmtId="168" fontId="4" fillId="0" borderId="1" xfId="0" applyNumberFormat="1" applyFont="1" applyBorder="1" applyAlignment="1">
      <alignment horizontal="center" vertical="center"/>
    </xf>
    <xf numFmtId="169" fontId="4" fillId="0" borderId="0" xfId="0" applyNumberFormat="1" applyFont="1" applyAlignment="1">
      <alignment horizontal="center" vertical="center"/>
    </xf>
    <xf numFmtId="0" fontId="0" fillId="2" borderId="0" xfId="0" applyFill="1" applyAlignment="1">
      <alignment horizontal="center" vertical="top"/>
    </xf>
    <xf numFmtId="0" fontId="5" fillId="2" borderId="0" xfId="0" applyFont="1" applyFill="1" applyAlignment="1">
      <alignment horizontal="center" vertical="center"/>
    </xf>
    <xf numFmtId="43" fontId="4" fillId="2" borderId="0" xfId="6" applyFont="1" applyFill="1" applyBorder="1" applyAlignment="1">
      <alignment horizontal="center" vertical="center"/>
    </xf>
    <xf numFmtId="0" fontId="4" fillId="2" borderId="0" xfId="0" applyFont="1" applyFill="1" applyAlignment="1">
      <alignment horizontal="center"/>
    </xf>
    <xf numFmtId="170" fontId="4" fillId="2" borderId="0" xfId="27" applyNumberFormat="1" applyFont="1" applyFill="1" applyAlignment="1">
      <alignment horizontal="center" vertical="center"/>
    </xf>
    <xf numFmtId="168" fontId="4" fillId="0" borderId="2" xfId="3" applyNumberFormat="1" applyFont="1" applyFill="1" applyBorder="1" applyAlignment="1">
      <alignment horizontal="center" vertical="center"/>
    </xf>
    <xf numFmtId="168" fontId="6" fillId="0" borderId="2" xfId="3" applyNumberFormat="1" applyFont="1" applyFill="1" applyBorder="1" applyAlignment="1">
      <alignment horizontal="center" vertical="center"/>
    </xf>
    <xf numFmtId="170" fontId="4" fillId="0" borderId="1" xfId="27" applyNumberFormat="1" applyFont="1" applyFill="1" applyBorder="1" applyAlignment="1">
      <alignment horizontal="center" vertical="center"/>
    </xf>
    <xf numFmtId="170" fontId="4" fillId="0" borderId="1" xfId="27" applyNumberFormat="1" applyFont="1" applyBorder="1" applyAlignment="1">
      <alignment horizontal="left" vertical="center"/>
    </xf>
    <xf numFmtId="170" fontId="4" fillId="2" borderId="1" xfId="27" applyNumberFormat="1" applyFont="1" applyFill="1" applyBorder="1" applyAlignment="1">
      <alignment horizontal="center" vertical="center"/>
    </xf>
    <xf numFmtId="167" fontId="4" fillId="2" borderId="0" xfId="2" applyNumberFormat="1" applyFont="1" applyFill="1" applyBorder="1" applyAlignment="1">
      <alignment horizontal="center" vertical="center"/>
    </xf>
    <xf numFmtId="43" fontId="8" fillId="2" borderId="0" xfId="6" applyFont="1" applyFill="1" applyBorder="1" applyAlignment="1">
      <alignment horizontal="center" vertical="center"/>
    </xf>
    <xf numFmtId="167" fontId="0" fillId="2" borderId="0" xfId="2" applyNumberFormat="1" applyFont="1" applyFill="1" applyAlignment="1">
      <alignment horizontal="center" vertical="center"/>
    </xf>
    <xf numFmtId="43" fontId="8" fillId="0" borderId="0" xfId="6" applyFont="1" applyFill="1" applyBorder="1" applyAlignment="1">
      <alignment vertical="center"/>
    </xf>
    <xf numFmtId="0" fontId="0" fillId="0" borderId="0" xfId="0" applyAlignment="1">
      <alignment horizontal="center" vertical="center"/>
    </xf>
    <xf numFmtId="167" fontId="0" fillId="0" borderId="0" xfId="2" applyNumberFormat="1" applyFont="1" applyAlignment="1">
      <alignment horizontal="center" vertical="center"/>
    </xf>
    <xf numFmtId="0" fontId="18" fillId="2" borderId="0" xfId="0" applyFont="1" applyFill="1" applyAlignment="1">
      <alignment horizontal="center" vertical="center"/>
    </xf>
    <xf numFmtId="172" fontId="4" fillId="2" borderId="0" xfId="6" applyNumberFormat="1" applyFont="1" applyFill="1"/>
    <xf numFmtId="171" fontId="4" fillId="2" borderId="0" xfId="0" applyNumberFormat="1" applyFont="1" applyFill="1"/>
    <xf numFmtId="168" fontId="4" fillId="2" borderId="0" xfId="3" applyNumberFormat="1" applyFont="1" applyFill="1" applyAlignment="1">
      <alignment horizontal="left" vertical="center"/>
    </xf>
    <xf numFmtId="0" fontId="18" fillId="2" borderId="0" xfId="0" applyFont="1" applyFill="1"/>
    <xf numFmtId="43" fontId="21" fillId="0" borderId="0" xfId="6" applyFont="1" applyAlignment="1">
      <alignment vertical="center"/>
    </xf>
    <xf numFmtId="0" fontId="20" fillId="2" borderId="0" xfId="4" applyFont="1" applyFill="1"/>
    <xf numFmtId="0" fontId="21" fillId="0" borderId="0" xfId="0" applyFont="1" applyAlignment="1">
      <alignment vertical="center"/>
    </xf>
    <xf numFmtId="168" fontId="4" fillId="0" borderId="1" xfId="3" applyNumberFormat="1" applyFont="1" applyFill="1" applyBorder="1" applyAlignment="1">
      <alignment horizontal="left" vertical="center"/>
    </xf>
    <xf numFmtId="0" fontId="4" fillId="0" borderId="0" xfId="0" applyFont="1" applyAlignment="1">
      <alignment vertical="center"/>
    </xf>
    <xf numFmtId="168" fontId="4" fillId="2" borderId="0" xfId="0" applyNumberFormat="1" applyFont="1" applyFill="1" applyAlignment="1">
      <alignment vertical="center"/>
    </xf>
    <xf numFmtId="170" fontId="6" fillId="2" borderId="1" xfId="27" applyNumberFormat="1" applyFont="1" applyFill="1" applyBorder="1" applyAlignment="1">
      <alignment horizontal="center" vertical="center"/>
    </xf>
    <xf numFmtId="170" fontId="6" fillId="0" borderId="1" xfId="27" applyNumberFormat="1" applyFont="1" applyFill="1" applyBorder="1" applyAlignment="1">
      <alignment horizontal="center" vertical="center"/>
    </xf>
    <xf numFmtId="167" fontId="0" fillId="2" borderId="0" xfId="2" applyNumberFormat="1" applyFont="1" applyFill="1" applyBorder="1" applyAlignment="1">
      <alignment horizontal="center" vertical="center"/>
    </xf>
    <xf numFmtId="43" fontId="8" fillId="2" borderId="0" xfId="6" applyFont="1" applyFill="1" applyAlignment="1">
      <alignment horizontal="center"/>
    </xf>
    <xf numFmtId="43" fontId="11" fillId="0" borderId="0" xfId="6" applyFont="1" applyFill="1" applyBorder="1" applyAlignment="1">
      <alignment horizontal="center" vertical="top"/>
    </xf>
    <xf numFmtId="43" fontId="0" fillId="2" borderId="0" xfId="6" applyFont="1" applyFill="1" applyAlignment="1">
      <alignment horizontal="center" vertical="center"/>
    </xf>
    <xf numFmtId="43" fontId="11" fillId="2" borderId="0" xfId="6" applyFont="1" applyFill="1" applyBorder="1" applyAlignment="1">
      <alignment horizontal="center" vertical="top"/>
    </xf>
    <xf numFmtId="0" fontId="6" fillId="4" borderId="1" xfId="2" applyNumberFormat="1" applyFont="1" applyFill="1" applyBorder="1" applyAlignment="1">
      <alignment horizontal="left" vertical="center"/>
    </xf>
    <xf numFmtId="0" fontId="4" fillId="0" borderId="1" xfId="0" applyFont="1" applyBorder="1" applyAlignment="1">
      <alignment horizontal="center" vertical="center"/>
    </xf>
    <xf numFmtId="0" fontId="4" fillId="0" borderId="1" xfId="27" applyNumberFormat="1"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xf>
    <xf numFmtId="170" fontId="6" fillId="2" borderId="0" xfId="27" applyNumberFormat="1" applyFont="1" applyFill="1" applyAlignment="1">
      <alignment vertical="center"/>
    </xf>
    <xf numFmtId="171" fontId="4" fillId="2" borderId="0" xfId="0" applyNumberFormat="1" applyFont="1" applyFill="1" applyAlignment="1">
      <alignment vertical="center"/>
    </xf>
    <xf numFmtId="173" fontId="4" fillId="2" borderId="0" xfId="0" applyNumberFormat="1" applyFont="1" applyFill="1"/>
    <xf numFmtId="166" fontId="4" fillId="2" borderId="0" xfId="2" applyFont="1" applyFill="1" applyAlignment="1">
      <alignment horizontal="center" vertical="center"/>
    </xf>
    <xf numFmtId="168" fontId="4" fillId="2" borderId="0" xfId="0" applyNumberFormat="1" applyFont="1" applyFill="1" applyAlignment="1">
      <alignment horizontal="center" vertical="center"/>
    </xf>
    <xf numFmtId="168" fontId="16" fillId="0" borderId="0" xfId="0" applyNumberFormat="1" applyFont="1" applyAlignment="1">
      <alignment horizontal="center" vertical="center"/>
    </xf>
    <xf numFmtId="0" fontId="4" fillId="0" borderId="0" xfId="0" applyFont="1"/>
    <xf numFmtId="0" fontId="10" fillId="2" borderId="0" xfId="0" applyFont="1" applyFill="1" applyAlignment="1">
      <alignment vertical="center"/>
    </xf>
    <xf numFmtId="0" fontId="22" fillId="2" borderId="0" xfId="0" applyFont="1" applyFill="1" applyAlignment="1">
      <alignment vertical="center"/>
    </xf>
    <xf numFmtId="43" fontId="6" fillId="4" borderId="2" xfId="6" applyFont="1" applyFill="1" applyBorder="1" applyAlignment="1">
      <alignment horizontal="center" vertical="center" wrapText="1"/>
    </xf>
    <xf numFmtId="43" fontId="6" fillId="2" borderId="1" xfId="6" applyFont="1" applyFill="1" applyBorder="1" applyAlignment="1">
      <alignment vertical="center"/>
    </xf>
    <xf numFmtId="43" fontId="6" fillId="5" borderId="1" xfId="6" applyFont="1" applyFill="1" applyBorder="1" applyAlignment="1">
      <alignment horizontal="left" vertical="center"/>
    </xf>
    <xf numFmtId="43" fontId="6" fillId="5" borderId="1" xfId="6" applyFont="1" applyFill="1" applyBorder="1" applyAlignment="1">
      <alignment vertical="center"/>
    </xf>
    <xf numFmtId="167" fontId="6" fillId="5" borderId="1" xfId="2" applyNumberFormat="1" applyFont="1" applyFill="1" applyBorder="1" applyAlignment="1">
      <alignment horizontal="center" vertical="center"/>
    </xf>
    <xf numFmtId="0" fontId="6" fillId="0" borderId="0" xfId="0" applyFont="1"/>
    <xf numFmtId="43" fontId="23" fillId="0" borderId="0" xfId="6" applyFont="1" applyAlignment="1">
      <alignment horizontal="center" vertical="center"/>
    </xf>
    <xf numFmtId="174" fontId="5" fillId="2" borderId="0" xfId="6" applyNumberFormat="1" applyFont="1" applyFill="1" applyAlignment="1">
      <alignment vertical="center"/>
    </xf>
    <xf numFmtId="43" fontId="4" fillId="5" borderId="1" xfId="6" applyFont="1" applyFill="1" applyBorder="1" applyAlignment="1">
      <alignment vertical="center"/>
    </xf>
    <xf numFmtId="0" fontId="22" fillId="2" borderId="0" xfId="0" applyFont="1" applyFill="1" applyAlignment="1">
      <alignment horizontal="left" vertical="center"/>
    </xf>
    <xf numFmtId="167" fontId="24" fillId="2" borderId="0" xfId="2" applyNumberFormat="1" applyFont="1" applyFill="1" applyAlignment="1">
      <alignment horizontal="left" vertical="center"/>
    </xf>
    <xf numFmtId="43" fontId="11" fillId="2" borderId="0" xfId="6" applyFont="1" applyFill="1" applyAlignment="1">
      <alignment vertical="center"/>
    </xf>
    <xf numFmtId="43" fontId="8" fillId="0" borderId="0" xfId="6" applyFont="1" applyFill="1" applyBorder="1"/>
    <xf numFmtId="0" fontId="6" fillId="4" borderId="2" xfId="2" applyNumberFormat="1" applyFont="1" applyFill="1" applyBorder="1" applyAlignment="1">
      <alignment horizontal="center" vertical="center" wrapText="1"/>
    </xf>
    <xf numFmtId="167" fontId="6" fillId="0" borderId="0" xfId="2" applyNumberFormat="1" applyFont="1" applyFill="1" applyBorder="1" applyAlignment="1">
      <alignment horizontal="left" vertical="center"/>
    </xf>
    <xf numFmtId="167" fontId="6" fillId="0" borderId="0" xfId="2" applyNumberFormat="1" applyFont="1" applyFill="1" applyBorder="1" applyAlignment="1">
      <alignment horizontal="center" vertical="center"/>
    </xf>
    <xf numFmtId="0" fontId="4" fillId="2" borderId="0" xfId="0" applyFont="1" applyFill="1" applyAlignment="1">
      <alignment horizontal="left"/>
    </xf>
    <xf numFmtId="166" fontId="4" fillId="0" borderId="1" xfId="2" applyFont="1" applyFill="1" applyBorder="1" applyAlignment="1">
      <alignment horizontal="center" vertical="center"/>
    </xf>
    <xf numFmtId="166" fontId="6" fillId="0" borderId="1" xfId="2" applyFont="1" applyFill="1" applyBorder="1" applyAlignment="1">
      <alignment horizontal="center" vertical="center"/>
    </xf>
    <xf numFmtId="166" fontId="6" fillId="0" borderId="1" xfId="2" applyFont="1" applyFill="1" applyBorder="1" applyAlignment="1">
      <alignment horizontal="left" vertical="center"/>
    </xf>
    <xf numFmtId="166" fontId="4" fillId="0" borderId="1" xfId="2" applyFont="1" applyFill="1" applyBorder="1" applyAlignment="1">
      <alignment horizontal="left" vertical="center" indent="1"/>
    </xf>
    <xf numFmtId="166" fontId="6" fillId="0" borderId="1" xfId="2" applyFont="1" applyBorder="1" applyAlignment="1">
      <alignment horizontal="left" vertical="center"/>
    </xf>
    <xf numFmtId="43" fontId="4" fillId="0" borderId="3" xfId="6" applyFont="1" applyFill="1" applyBorder="1" applyAlignment="1">
      <alignment horizontal="left" vertical="center" indent="1"/>
    </xf>
    <xf numFmtId="168" fontId="4" fillId="0" borderId="0" xfId="3" applyNumberFormat="1" applyFont="1" applyFill="1" applyAlignment="1">
      <alignment vertical="center"/>
    </xf>
    <xf numFmtId="43" fontId="4" fillId="0" borderId="0" xfId="6" applyFont="1" applyFill="1" applyAlignment="1">
      <alignment vertical="center"/>
    </xf>
    <xf numFmtId="0" fontId="5" fillId="0" borderId="0" xfId="0" applyFont="1"/>
    <xf numFmtId="166" fontId="4" fillId="0" borderId="1" xfId="2" applyFont="1" applyFill="1" applyBorder="1" applyAlignment="1">
      <alignment horizontal="left" vertical="center"/>
    </xf>
    <xf numFmtId="166" fontId="4" fillId="0" borderId="1" xfId="2" applyFont="1" applyFill="1" applyBorder="1" applyAlignment="1">
      <alignment vertical="center"/>
    </xf>
    <xf numFmtId="166" fontId="6" fillId="0" borderId="1" xfId="2" applyFont="1" applyFill="1" applyBorder="1" applyAlignment="1">
      <alignment vertical="center"/>
    </xf>
    <xf numFmtId="166" fontId="4" fillId="2" borderId="1" xfId="2" applyFont="1" applyFill="1" applyBorder="1" applyAlignment="1">
      <alignment horizontal="left" vertical="center"/>
    </xf>
    <xf numFmtId="166" fontId="4" fillId="2" borderId="1" xfId="2" applyFont="1" applyFill="1" applyBorder="1" applyAlignment="1">
      <alignment horizontal="center" vertical="center"/>
    </xf>
    <xf numFmtId="166" fontId="6" fillId="0" borderId="1" xfId="2" applyFont="1" applyFill="1" applyBorder="1" applyAlignment="1">
      <alignment horizontal="left" vertical="center" indent="1"/>
    </xf>
    <xf numFmtId="43" fontId="6" fillId="0" borderId="0" xfId="6" applyFont="1" applyFill="1" applyBorder="1" applyAlignment="1">
      <alignment horizontal="left" vertical="center"/>
    </xf>
    <xf numFmtId="166" fontId="6" fillId="0" borderId="0" xfId="2" applyFont="1" applyFill="1" applyBorder="1" applyAlignment="1">
      <alignment horizontal="left" vertical="center"/>
    </xf>
    <xf numFmtId="166" fontId="6" fillId="0" borderId="0" xfId="2" applyFont="1" applyFill="1" applyBorder="1" applyAlignment="1">
      <alignment horizontal="center" vertical="center"/>
    </xf>
    <xf numFmtId="167" fontId="6" fillId="0" borderId="3" xfId="2" applyNumberFormat="1" applyFont="1" applyFill="1" applyBorder="1" applyAlignment="1">
      <alignment horizontal="left" vertical="center"/>
    </xf>
    <xf numFmtId="167" fontId="6" fillId="0" borderId="4" xfId="2" applyNumberFormat="1" applyFont="1" applyFill="1" applyBorder="1" applyAlignment="1">
      <alignment horizontal="left" vertical="center"/>
    </xf>
    <xf numFmtId="168" fontId="4" fillId="2" borderId="0" xfId="3" applyNumberFormat="1" applyFont="1" applyFill="1" applyBorder="1" applyAlignment="1">
      <alignment horizontal="left" vertical="center"/>
    </xf>
    <xf numFmtId="168" fontId="4" fillId="2" borderId="0" xfId="3" applyNumberFormat="1" applyFont="1" applyFill="1" applyBorder="1" applyAlignment="1">
      <alignment horizontal="center" vertical="center"/>
    </xf>
    <xf numFmtId="170" fontId="4" fillId="2" borderId="0" xfId="27" applyNumberFormat="1" applyFont="1" applyFill="1" applyBorder="1" applyAlignment="1">
      <alignment horizontal="center" vertical="center"/>
    </xf>
    <xf numFmtId="166" fontId="6" fillId="0" borderId="0" xfId="2" applyFont="1" applyFill="1" applyBorder="1" applyAlignment="1">
      <alignment vertical="center"/>
    </xf>
    <xf numFmtId="165" fontId="4" fillId="2" borderId="0" xfId="0" applyNumberFormat="1" applyFont="1" applyFill="1" applyAlignment="1">
      <alignment vertical="center"/>
    </xf>
    <xf numFmtId="168" fontId="6" fillId="0" borderId="0" xfId="3" applyNumberFormat="1" applyFont="1" applyFill="1" applyBorder="1" applyAlignment="1">
      <alignment horizontal="center" vertical="center"/>
    </xf>
    <xf numFmtId="0" fontId="17" fillId="2" borderId="0" xfId="0" applyFont="1" applyFill="1" applyAlignment="1">
      <alignment horizontal="justify" vertical="top" wrapText="1"/>
    </xf>
    <xf numFmtId="0" fontId="0" fillId="2" borderId="0" xfId="0" applyFill="1" applyAlignment="1">
      <alignment horizontal="left" vertical="center"/>
    </xf>
    <xf numFmtId="43" fontId="6" fillId="4" borderId="3" xfId="6" applyFont="1" applyFill="1" applyBorder="1" applyAlignment="1">
      <alignment horizontal="center" vertical="center"/>
    </xf>
    <xf numFmtId="43" fontId="6" fillId="4" borderId="4" xfId="6" applyFont="1" applyFill="1" applyBorder="1" applyAlignment="1">
      <alignment horizontal="center" vertical="center"/>
    </xf>
    <xf numFmtId="43" fontId="4" fillId="2" borderId="3" xfId="6" applyFont="1" applyFill="1" applyBorder="1" applyAlignment="1">
      <alignment horizontal="left" vertical="center"/>
    </xf>
    <xf numFmtId="43" fontId="4" fillId="2" borderId="4" xfId="6" applyFont="1" applyFill="1" applyBorder="1" applyAlignment="1">
      <alignment horizontal="left" vertical="center"/>
    </xf>
    <xf numFmtId="43" fontId="6" fillId="0" borderId="3" xfId="6" applyFont="1" applyFill="1" applyBorder="1" applyAlignment="1">
      <alignment horizontal="left" vertical="center"/>
    </xf>
    <xf numFmtId="43" fontId="6" fillId="0" borderId="4" xfId="6" applyFont="1" applyFill="1" applyBorder="1" applyAlignment="1">
      <alignment horizontal="left" vertical="center"/>
    </xf>
    <xf numFmtId="43" fontId="6" fillId="4" borderId="3" xfId="6" applyFont="1" applyFill="1" applyBorder="1" applyAlignment="1">
      <alignment horizontal="left" vertical="center"/>
    </xf>
    <xf numFmtId="43" fontId="6" fillId="4" borderId="4" xfId="6" applyFont="1" applyFill="1" applyBorder="1" applyAlignment="1">
      <alignment horizontal="left" vertical="center"/>
    </xf>
    <xf numFmtId="43" fontId="6" fillId="0" borderId="3" xfId="6" applyFont="1" applyBorder="1" applyAlignment="1">
      <alignment horizontal="left" vertical="center"/>
    </xf>
    <xf numFmtId="43" fontId="6" fillId="0" borderId="4" xfId="6" applyFont="1" applyBorder="1" applyAlignment="1">
      <alignment horizontal="left" vertical="center"/>
    </xf>
    <xf numFmtId="43" fontId="4" fillId="0" borderId="3" xfId="6" applyFont="1" applyFill="1" applyBorder="1" applyAlignment="1">
      <alignment horizontal="left" vertical="center" indent="1"/>
    </xf>
    <xf numFmtId="43" fontId="4" fillId="0" borderId="4" xfId="6" applyFont="1" applyFill="1" applyBorder="1" applyAlignment="1">
      <alignment horizontal="left" vertical="center" indent="1"/>
    </xf>
    <xf numFmtId="0" fontId="0" fillId="2" borderId="0" xfId="0" applyFill="1" applyAlignment="1">
      <alignment horizontal="left" vertical="top"/>
    </xf>
    <xf numFmtId="167" fontId="6" fillId="0" borderId="3" xfId="2" applyNumberFormat="1" applyFont="1" applyFill="1" applyBorder="1" applyAlignment="1">
      <alignment horizontal="left" vertical="center"/>
    </xf>
    <xf numFmtId="167" fontId="6" fillId="0" borderId="4" xfId="2" applyNumberFormat="1" applyFont="1" applyFill="1" applyBorder="1" applyAlignment="1">
      <alignment horizontal="left" vertical="center"/>
    </xf>
    <xf numFmtId="167" fontId="4" fillId="0" borderId="3" xfId="2" applyNumberFormat="1" applyFont="1" applyFill="1" applyBorder="1" applyAlignment="1">
      <alignment horizontal="left" vertical="center" indent="1"/>
    </xf>
    <xf numFmtId="167" fontId="4" fillId="0" borderId="4" xfId="2" applyNumberFormat="1" applyFont="1" applyFill="1" applyBorder="1" applyAlignment="1">
      <alignment horizontal="left" vertical="center" indent="1"/>
    </xf>
    <xf numFmtId="0" fontId="6" fillId="4" borderId="3" xfId="2" applyNumberFormat="1" applyFont="1" applyFill="1" applyBorder="1" applyAlignment="1">
      <alignment horizontal="left" vertical="center"/>
    </xf>
    <xf numFmtId="0" fontId="6" fillId="4" borderId="4" xfId="2" applyNumberFormat="1" applyFont="1" applyFill="1" applyBorder="1" applyAlignment="1">
      <alignment horizontal="left" vertical="center"/>
    </xf>
    <xf numFmtId="167" fontId="4" fillId="5" borderId="1" xfId="2" applyNumberFormat="1" applyFont="1" applyFill="1" applyBorder="1" applyAlignment="1">
      <alignment horizontal="center" vertical="center"/>
    </xf>
    <xf numFmtId="167" fontId="6" fillId="0" borderId="1" xfId="2" applyNumberFormat="1" applyFont="1" applyFill="1" applyBorder="1" applyAlignment="1">
      <alignment horizontal="center" vertical="center"/>
    </xf>
    <xf numFmtId="167" fontId="6" fillId="5" borderId="1" xfId="2" applyNumberFormat="1" applyFont="1" applyFill="1" applyBorder="1" applyAlignment="1">
      <alignment horizontal="left" vertical="center"/>
    </xf>
    <xf numFmtId="167" fontId="4" fillId="0" borderId="1" xfId="2" applyNumberFormat="1" applyFont="1" applyFill="1" applyBorder="1" applyAlignment="1">
      <alignment vertical="center"/>
    </xf>
    <xf numFmtId="167" fontId="6" fillId="0" borderId="1" xfId="2" applyNumberFormat="1" applyFont="1" applyFill="1" applyBorder="1" applyAlignment="1">
      <alignment horizontal="left" vertical="center"/>
    </xf>
    <xf numFmtId="167" fontId="6" fillId="0" borderId="1" xfId="2" applyNumberFormat="1" applyFont="1" applyFill="1" applyBorder="1" applyAlignment="1">
      <alignment vertical="center"/>
    </xf>
    <xf numFmtId="167" fontId="4" fillId="2" borderId="1" xfId="2" applyNumberFormat="1" applyFont="1" applyFill="1" applyBorder="1" applyAlignment="1">
      <alignment horizontal="left" vertical="center"/>
    </xf>
    <xf numFmtId="167" fontId="4" fillId="2" borderId="1" xfId="2" applyNumberFormat="1" applyFont="1" applyFill="1" applyBorder="1" applyAlignment="1">
      <alignment horizontal="center" vertical="center"/>
    </xf>
    <xf numFmtId="167" fontId="4" fillId="0" borderId="1" xfId="2" applyNumberFormat="1" applyFont="1" applyFill="1" applyBorder="1" applyAlignment="1">
      <alignment horizontal="left" vertical="center" indent="1"/>
    </xf>
    <xf numFmtId="167" fontId="6" fillId="0" borderId="1" xfId="2" applyNumberFormat="1" applyFont="1" applyBorder="1" applyAlignment="1">
      <alignment horizontal="left" vertical="center"/>
    </xf>
    <xf numFmtId="170" fontId="4" fillId="0" borderId="1" xfId="27" applyNumberFormat="1" applyFont="1" applyBorder="1" applyAlignment="1">
      <alignment horizontal="center" vertical="center"/>
    </xf>
    <xf numFmtId="170" fontId="4" fillId="0" borderId="1" xfId="2" applyNumberFormat="1" applyFont="1" applyFill="1" applyBorder="1" applyAlignment="1">
      <alignment horizontal="center" vertical="center"/>
    </xf>
  </cellXfs>
  <cellStyles count="28">
    <cellStyle name="Hipervínculo" xfId="1" builtinId="8"/>
    <cellStyle name="Millares" xfId="2" builtinId="3"/>
    <cellStyle name="Millares [0]" xfId="27" builtinId="6"/>
    <cellStyle name="Millares 2" xfId="6" xr:uid="{00000000-0005-0000-0000-000003000000}"/>
    <cellStyle name="Millares 2 2" xfId="11" xr:uid="{00000000-0005-0000-0000-000004000000}"/>
    <cellStyle name="Millares 3" xfId="16" xr:uid="{00000000-0005-0000-0000-000005000000}"/>
    <cellStyle name="Millares 4" xfId="8" xr:uid="{00000000-0005-0000-0000-000006000000}"/>
    <cellStyle name="Millares 4 2" xfId="24" xr:uid="{00000000-0005-0000-0000-000007000000}"/>
    <cellStyle name="Millares 5" xfId="10" xr:uid="{00000000-0005-0000-0000-000008000000}"/>
    <cellStyle name="Millares 6" xfId="25" xr:uid="{00000000-0005-0000-0000-000009000000}"/>
    <cellStyle name="Normal" xfId="0" builtinId="0"/>
    <cellStyle name="Normal 2" xfId="5" xr:uid="{00000000-0005-0000-0000-00000B000000}"/>
    <cellStyle name="Normal 2 2" xfId="17" xr:uid="{00000000-0005-0000-0000-00000C000000}"/>
    <cellStyle name="Normal 2 3" xfId="13" xr:uid="{00000000-0005-0000-0000-00000D000000}"/>
    <cellStyle name="Normal 3" xfId="15" xr:uid="{00000000-0005-0000-0000-00000E000000}"/>
    <cellStyle name="Normal 3 2" xfId="18" xr:uid="{00000000-0005-0000-0000-00000F000000}"/>
    <cellStyle name="Normal 3 3" xfId="19" xr:uid="{00000000-0005-0000-0000-000010000000}"/>
    <cellStyle name="Normal 3 4" xfId="20" xr:uid="{00000000-0005-0000-0000-000011000000}"/>
    <cellStyle name="Normal 4" xfId="21" xr:uid="{00000000-0005-0000-0000-000012000000}"/>
    <cellStyle name="Normal 5" xfId="9" xr:uid="{00000000-0005-0000-0000-000013000000}"/>
    <cellStyle name="Normal 5 2" xfId="22" xr:uid="{00000000-0005-0000-0000-000014000000}"/>
    <cellStyle name="Normal 6" xfId="4" xr:uid="{00000000-0005-0000-0000-000015000000}"/>
    <cellStyle name="Porcentaje" xfId="3" builtinId="5"/>
    <cellStyle name="Porcentaje 2" xfId="7" xr:uid="{00000000-0005-0000-0000-000017000000}"/>
    <cellStyle name="Porcentaje 2 2" xfId="12" xr:uid="{00000000-0005-0000-0000-000018000000}"/>
    <cellStyle name="Porcentaje 3" xfId="23" xr:uid="{00000000-0005-0000-0000-000019000000}"/>
    <cellStyle name="Porcentaje 4" xfId="26" xr:uid="{00000000-0005-0000-0000-00001A000000}"/>
    <cellStyle name="Porcentual 2" xfId="14"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140758</xdr:colOff>
      <xdr:row>0</xdr:row>
      <xdr:rowOff>20714</xdr:rowOff>
    </xdr:from>
    <xdr:to>
      <xdr:col>7</xdr:col>
      <xdr:colOff>369358</xdr:colOff>
      <xdr:row>2</xdr:row>
      <xdr:rowOff>215276</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89758" y="20714"/>
          <a:ext cx="990600" cy="6813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781050</xdr:colOff>
      <xdr:row>0</xdr:row>
      <xdr:rowOff>0</xdr:rowOff>
    </xdr:from>
    <xdr:to>
      <xdr:col>23</xdr:col>
      <xdr:colOff>209550</xdr:colOff>
      <xdr:row>3</xdr:row>
      <xdr:rowOff>32637</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39500" y="0"/>
          <a:ext cx="990600" cy="6803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752475</xdr:colOff>
      <xdr:row>0</xdr:row>
      <xdr:rowOff>0</xdr:rowOff>
    </xdr:from>
    <xdr:to>
      <xdr:col>22</xdr:col>
      <xdr:colOff>178858</xdr:colOff>
      <xdr:row>3</xdr:row>
      <xdr:rowOff>32637</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72800" y="0"/>
          <a:ext cx="990600" cy="6803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514350</xdr:colOff>
      <xdr:row>0</xdr:row>
      <xdr:rowOff>0</xdr:rowOff>
    </xdr:from>
    <xdr:to>
      <xdr:col>18</xdr:col>
      <xdr:colOff>369621</xdr:colOff>
      <xdr:row>3</xdr:row>
      <xdr:rowOff>3180</xdr:rowOff>
    </xdr:to>
    <xdr:pic>
      <xdr:nvPicPr>
        <xdr:cNvPr id="2" name="Imagen 1">
          <a:extLst>
            <a:ext uri="{FF2B5EF4-FFF2-40B4-BE49-F238E27FC236}">
              <a16:creationId xmlns:a16="http://schemas.microsoft.com/office/drawing/2014/main" id="{9F124EC7-4833-4C69-836F-9888E67B33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00" y="0"/>
          <a:ext cx="1017056" cy="6604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790575</xdr:colOff>
      <xdr:row>0</xdr:row>
      <xdr:rowOff>0</xdr:rowOff>
    </xdr:from>
    <xdr:to>
      <xdr:col>22</xdr:col>
      <xdr:colOff>171451</xdr:colOff>
      <xdr:row>3</xdr:row>
      <xdr:rowOff>32637</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72800" y="0"/>
          <a:ext cx="990600" cy="6803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766020</xdr:colOff>
      <xdr:row>0</xdr:row>
      <xdr:rowOff>1</xdr:rowOff>
    </xdr:from>
    <xdr:to>
      <xdr:col>22</xdr:col>
      <xdr:colOff>90488</xdr:colOff>
      <xdr:row>3</xdr:row>
      <xdr:rowOff>23813</xdr:rowOff>
    </xdr:to>
    <xdr:pic>
      <xdr:nvPicPr>
        <xdr:cNvPr id="2" name="Imagen 1">
          <a:extLst>
            <a:ext uri="{FF2B5EF4-FFF2-40B4-BE49-F238E27FC236}">
              <a16:creationId xmlns:a16="http://schemas.microsoft.com/office/drawing/2014/main" id="{68EC9DBB-DD01-45E4-8D8A-963FA2EED1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34520" y="1"/>
          <a:ext cx="1015155" cy="666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504825</xdr:colOff>
      <xdr:row>0</xdr:row>
      <xdr:rowOff>19050</xdr:rowOff>
    </xdr:from>
    <xdr:to>
      <xdr:col>22</xdr:col>
      <xdr:colOff>695325</xdr:colOff>
      <xdr:row>3</xdr:row>
      <xdr:rowOff>51687</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77625" y="19050"/>
          <a:ext cx="990600" cy="6803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154782</xdr:colOff>
      <xdr:row>0</xdr:row>
      <xdr:rowOff>0</xdr:rowOff>
    </xdr:from>
    <xdr:to>
      <xdr:col>8</xdr:col>
      <xdr:colOff>383381</xdr:colOff>
      <xdr:row>3</xdr:row>
      <xdr:rowOff>108837</xdr:rowOff>
    </xdr:to>
    <xdr:pic>
      <xdr:nvPicPr>
        <xdr:cNvPr id="2" name="Imagen 1">
          <a:extLst>
            <a:ext uri="{FF2B5EF4-FFF2-40B4-BE49-F238E27FC236}">
              <a16:creationId xmlns:a16="http://schemas.microsoft.com/office/drawing/2014/main" id="{CEB0D8EF-44F6-48BA-9F5E-BA2A0A318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48688" y="0"/>
          <a:ext cx="990599" cy="7636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20</xdr:col>
      <xdr:colOff>695325</xdr:colOff>
      <xdr:row>0</xdr:row>
      <xdr:rowOff>0</xdr:rowOff>
    </xdr:from>
    <xdr:to>
      <xdr:col>21</xdr:col>
      <xdr:colOff>842433</xdr:colOff>
      <xdr:row>2</xdr:row>
      <xdr:rowOff>127887</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96550" y="0"/>
          <a:ext cx="990600" cy="6803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790575</xdr:colOff>
      <xdr:row>0</xdr:row>
      <xdr:rowOff>9525</xdr:rowOff>
    </xdr:from>
    <xdr:to>
      <xdr:col>20</xdr:col>
      <xdr:colOff>76201</xdr:colOff>
      <xdr:row>3</xdr:row>
      <xdr:rowOff>42162</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4475" y="9525"/>
          <a:ext cx="990600" cy="68033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12"/>
  <sheetViews>
    <sheetView tabSelected="1" zoomScale="90" zoomScaleNormal="90" workbookViewId="0">
      <pane ySplit="5" topLeftCell="A32" activePane="bottomLeft" state="frozenSplit"/>
      <selection pane="bottomLeft" activeCell="C2" sqref="C2"/>
    </sheetView>
  </sheetViews>
  <sheetFormatPr baseColWidth="10" defaultRowHeight="12.75" x14ac:dyDescent="0.2"/>
  <cols>
    <col min="1" max="2" width="7.7109375" style="1" customWidth="1"/>
    <col min="3" max="3" width="115.85546875" style="1" customWidth="1"/>
    <col min="4" max="16384" width="11.42578125" style="1"/>
  </cols>
  <sheetData>
    <row r="2" spans="1:6" ht="26.1" customHeight="1" x14ac:dyDescent="0.2">
      <c r="B2" s="156" t="s">
        <v>383</v>
      </c>
      <c r="C2" s="146"/>
      <c r="D2" s="146"/>
      <c r="E2" s="145"/>
    </row>
    <row r="3" spans="1:6" ht="26.1" customHeight="1" x14ac:dyDescent="0.2">
      <c r="B3" s="190" t="s">
        <v>387</v>
      </c>
      <c r="C3" s="190"/>
      <c r="D3" s="190"/>
      <c r="E3" s="190"/>
    </row>
    <row r="4" spans="1:6" ht="26.1" customHeight="1" x14ac:dyDescent="0.2">
      <c r="B4" s="190"/>
      <c r="C4" s="190"/>
      <c r="D4" s="190"/>
      <c r="E4" s="190"/>
    </row>
    <row r="5" spans="1:6" x14ac:dyDescent="0.2">
      <c r="B5" s="190"/>
      <c r="C5" s="190"/>
      <c r="D5" s="190"/>
      <c r="E5" s="190"/>
    </row>
    <row r="6" spans="1:6" ht="15" x14ac:dyDescent="0.25">
      <c r="A6" s="2" t="s">
        <v>78</v>
      </c>
      <c r="B6" s="2" t="s">
        <v>79</v>
      </c>
      <c r="C6" s="14" t="s">
        <v>80</v>
      </c>
      <c r="D6" s="4"/>
      <c r="E6" s="4"/>
      <c r="F6" s="4"/>
    </row>
    <row r="7" spans="1:6" ht="15" x14ac:dyDescent="0.25">
      <c r="A7" s="3">
        <v>1</v>
      </c>
      <c r="B7" s="3">
        <v>1</v>
      </c>
      <c r="C7" s="4" t="s">
        <v>81</v>
      </c>
      <c r="E7" s="4"/>
      <c r="F7" s="4"/>
    </row>
    <row r="8" spans="1:6" ht="15" x14ac:dyDescent="0.25">
      <c r="A8" s="3"/>
      <c r="B8" s="3"/>
      <c r="C8" s="4"/>
      <c r="E8" s="4"/>
      <c r="F8" s="4"/>
    </row>
    <row r="9" spans="1:6" ht="15.75" x14ac:dyDescent="0.25">
      <c r="A9" s="2" t="s">
        <v>78</v>
      </c>
      <c r="B9" s="2" t="s">
        <v>79</v>
      </c>
      <c r="C9" s="22" t="s">
        <v>542</v>
      </c>
      <c r="D9" s="4"/>
      <c r="E9" s="4"/>
      <c r="F9" s="4"/>
    </row>
    <row r="10" spans="1:6" ht="15" x14ac:dyDescent="0.25">
      <c r="A10" s="3">
        <v>2</v>
      </c>
      <c r="B10" s="3">
        <v>1</v>
      </c>
      <c r="C10" s="16" t="s">
        <v>543</v>
      </c>
      <c r="D10" s="4"/>
      <c r="E10" s="4"/>
      <c r="F10" s="10"/>
    </row>
    <row r="11" spans="1:6" ht="15" x14ac:dyDescent="0.25">
      <c r="A11" s="3">
        <v>2</v>
      </c>
      <c r="B11" s="3">
        <v>2</v>
      </c>
      <c r="C11" s="16" t="s">
        <v>544</v>
      </c>
      <c r="D11" s="4"/>
      <c r="E11" s="4"/>
      <c r="F11" s="10"/>
    </row>
    <row r="12" spans="1:6" ht="15" x14ac:dyDescent="0.25">
      <c r="A12" s="3">
        <v>2</v>
      </c>
      <c r="B12" s="3">
        <v>3</v>
      </c>
      <c r="C12" s="16" t="s">
        <v>545</v>
      </c>
      <c r="D12" s="4"/>
      <c r="E12" s="4"/>
      <c r="F12" s="10"/>
    </row>
    <row r="13" spans="1:6" ht="15" x14ac:dyDescent="0.25">
      <c r="A13" s="3">
        <v>2</v>
      </c>
      <c r="B13" s="3">
        <v>4</v>
      </c>
      <c r="C13" s="16" t="s">
        <v>546</v>
      </c>
      <c r="D13" s="4"/>
      <c r="E13" s="4"/>
      <c r="F13" s="10"/>
    </row>
    <row r="14" spans="1:6" ht="15" x14ac:dyDescent="0.25">
      <c r="A14" s="3"/>
      <c r="B14" s="3"/>
      <c r="C14" s="4"/>
      <c r="D14" s="4"/>
      <c r="E14" s="4"/>
      <c r="F14" s="10"/>
    </row>
    <row r="15" spans="1:6" ht="15.75" x14ac:dyDescent="0.25">
      <c r="A15" s="2" t="s">
        <v>78</v>
      </c>
      <c r="B15" s="2" t="s">
        <v>79</v>
      </c>
      <c r="C15" s="22" t="s">
        <v>472</v>
      </c>
      <c r="D15" s="4"/>
      <c r="E15" s="4"/>
      <c r="F15" s="10"/>
    </row>
    <row r="16" spans="1:6" ht="15" x14ac:dyDescent="0.25">
      <c r="A16" s="3">
        <v>3</v>
      </c>
      <c r="B16" s="3">
        <v>1</v>
      </c>
      <c r="C16" s="16" t="s">
        <v>121</v>
      </c>
      <c r="D16" s="4"/>
      <c r="E16" s="4"/>
      <c r="F16" s="10"/>
    </row>
    <row r="17" spans="1:6" ht="15" x14ac:dyDescent="0.25">
      <c r="A17" s="3">
        <v>3</v>
      </c>
      <c r="B17" s="3">
        <v>2</v>
      </c>
      <c r="C17" s="16" t="s">
        <v>122</v>
      </c>
      <c r="D17" s="4"/>
      <c r="E17" s="4"/>
      <c r="F17" s="10"/>
    </row>
    <row r="18" spans="1:6" ht="15" x14ac:dyDescent="0.25">
      <c r="A18" s="3">
        <v>3</v>
      </c>
      <c r="B18" s="3">
        <v>3</v>
      </c>
      <c r="C18" s="16" t="s">
        <v>123</v>
      </c>
      <c r="D18" s="4"/>
      <c r="E18" s="4"/>
      <c r="F18" s="10"/>
    </row>
    <row r="19" spans="1:6" ht="15" x14ac:dyDescent="0.25">
      <c r="A19" s="3">
        <v>3</v>
      </c>
      <c r="B19" s="3">
        <v>4</v>
      </c>
      <c r="C19" s="16" t="s">
        <v>124</v>
      </c>
      <c r="D19" s="4"/>
      <c r="E19" s="4"/>
      <c r="F19" s="10"/>
    </row>
    <row r="20" spans="1:6" ht="15" x14ac:dyDescent="0.25">
      <c r="A20" s="3">
        <v>3</v>
      </c>
      <c r="B20" s="3">
        <v>5</v>
      </c>
      <c r="C20" s="16" t="s">
        <v>125</v>
      </c>
      <c r="D20" s="4"/>
      <c r="E20" s="4"/>
      <c r="F20" s="10"/>
    </row>
    <row r="21" spans="1:6" ht="15" x14ac:dyDescent="0.25">
      <c r="A21" s="3">
        <v>3</v>
      </c>
      <c r="B21" s="3">
        <v>6</v>
      </c>
      <c r="C21" s="16" t="s">
        <v>479</v>
      </c>
      <c r="D21" s="4"/>
      <c r="E21" s="4"/>
      <c r="F21" s="10"/>
    </row>
    <row r="22" spans="1:6" ht="15" x14ac:dyDescent="0.25">
      <c r="A22" s="3">
        <v>3</v>
      </c>
      <c r="B22" s="3">
        <v>7</v>
      </c>
      <c r="C22" s="16" t="s">
        <v>126</v>
      </c>
      <c r="D22" s="4"/>
      <c r="E22" s="4"/>
      <c r="F22" s="10"/>
    </row>
    <row r="23" spans="1:6" ht="15" x14ac:dyDescent="0.25">
      <c r="A23" s="3">
        <v>3</v>
      </c>
      <c r="B23" s="3">
        <v>8</v>
      </c>
      <c r="C23" s="16" t="s">
        <v>127</v>
      </c>
      <c r="D23" s="4"/>
      <c r="E23" s="4"/>
      <c r="F23" s="10"/>
    </row>
    <row r="24" spans="1:6" ht="15" x14ac:dyDescent="0.25">
      <c r="A24" s="3">
        <v>3</v>
      </c>
      <c r="B24" s="3">
        <v>9</v>
      </c>
      <c r="C24" s="16" t="s">
        <v>128</v>
      </c>
      <c r="D24" s="4"/>
      <c r="E24" s="4"/>
      <c r="F24" s="10"/>
    </row>
    <row r="25" spans="1:6" ht="15" x14ac:dyDescent="0.25">
      <c r="A25" s="3">
        <v>3</v>
      </c>
      <c r="B25" s="3">
        <v>10</v>
      </c>
      <c r="C25" s="16" t="s">
        <v>129</v>
      </c>
      <c r="D25" s="4"/>
      <c r="E25" s="4"/>
      <c r="F25" s="10"/>
    </row>
    <row r="26" spans="1:6" ht="15" x14ac:dyDescent="0.25">
      <c r="A26" s="3">
        <v>3</v>
      </c>
      <c r="B26" s="3">
        <v>11</v>
      </c>
      <c r="C26" s="16" t="s">
        <v>130</v>
      </c>
      <c r="D26" s="4"/>
      <c r="E26" s="4"/>
      <c r="F26" s="10"/>
    </row>
    <row r="27" spans="1:6" ht="15" x14ac:dyDescent="0.25">
      <c r="A27" s="3">
        <v>3</v>
      </c>
      <c r="B27" s="3">
        <v>12</v>
      </c>
      <c r="C27" s="16" t="s">
        <v>132</v>
      </c>
      <c r="D27" s="4"/>
      <c r="E27" s="4"/>
      <c r="F27" s="10"/>
    </row>
    <row r="28" spans="1:6" ht="15" x14ac:dyDescent="0.25">
      <c r="A28" s="3">
        <v>3</v>
      </c>
      <c r="B28" s="3">
        <v>13</v>
      </c>
      <c r="C28" s="16" t="s">
        <v>166</v>
      </c>
      <c r="D28" s="4"/>
      <c r="E28" s="4"/>
      <c r="F28" s="10"/>
    </row>
    <row r="29" spans="1:6" ht="15" x14ac:dyDescent="0.25">
      <c r="A29" s="3">
        <v>3</v>
      </c>
      <c r="B29" s="3">
        <v>14</v>
      </c>
      <c r="C29" s="16" t="s">
        <v>131</v>
      </c>
      <c r="D29" s="4"/>
      <c r="E29" s="4"/>
      <c r="F29" s="10"/>
    </row>
    <row r="30" spans="1:6" ht="15" x14ac:dyDescent="0.25">
      <c r="A30" s="3">
        <v>3</v>
      </c>
      <c r="B30" s="3">
        <v>15</v>
      </c>
      <c r="C30" s="16" t="s">
        <v>522</v>
      </c>
      <c r="D30" s="4"/>
      <c r="E30" s="4"/>
      <c r="F30" s="10"/>
    </row>
    <row r="31" spans="1:6" ht="15" x14ac:dyDescent="0.25">
      <c r="A31" s="3"/>
      <c r="B31" s="3"/>
      <c r="C31" s="4"/>
      <c r="D31" s="4"/>
      <c r="E31" s="4"/>
      <c r="F31" s="10"/>
    </row>
    <row r="32" spans="1:6" ht="15.75" x14ac:dyDescent="0.25">
      <c r="A32" s="2" t="s">
        <v>78</v>
      </c>
      <c r="B32" s="2" t="s">
        <v>79</v>
      </c>
      <c r="C32" s="22" t="s">
        <v>524</v>
      </c>
      <c r="D32" s="4"/>
      <c r="E32" s="4"/>
      <c r="F32" s="10"/>
    </row>
    <row r="33" spans="1:6" ht="15" x14ac:dyDescent="0.25">
      <c r="A33" s="3">
        <v>4</v>
      </c>
      <c r="B33" s="3">
        <v>1</v>
      </c>
      <c r="C33" s="16" t="s">
        <v>382</v>
      </c>
      <c r="D33" s="4"/>
      <c r="E33" s="4"/>
      <c r="F33" s="10"/>
    </row>
    <row r="34" spans="1:6" ht="15" x14ac:dyDescent="0.25">
      <c r="A34" s="3">
        <v>4</v>
      </c>
      <c r="B34" s="3">
        <v>2</v>
      </c>
      <c r="C34" s="16" t="s">
        <v>376</v>
      </c>
      <c r="D34" s="4"/>
      <c r="E34" s="4"/>
      <c r="F34" s="10"/>
    </row>
    <row r="35" spans="1:6" ht="15" x14ac:dyDescent="0.25">
      <c r="A35" s="3">
        <v>4</v>
      </c>
      <c r="B35" s="3">
        <v>3</v>
      </c>
      <c r="C35" s="16" t="s">
        <v>377</v>
      </c>
      <c r="D35" s="4"/>
      <c r="E35" s="4"/>
      <c r="F35" s="10"/>
    </row>
    <row r="36" spans="1:6" ht="15" x14ac:dyDescent="0.25">
      <c r="A36" s="3">
        <v>4</v>
      </c>
      <c r="B36" s="3">
        <v>4</v>
      </c>
      <c r="C36" s="16" t="s">
        <v>378</v>
      </c>
      <c r="D36" s="4"/>
      <c r="E36" s="4"/>
      <c r="F36" s="10"/>
    </row>
    <row r="37" spans="1:6" ht="15" x14ac:dyDescent="0.25">
      <c r="A37" s="3">
        <v>4</v>
      </c>
      <c r="B37" s="3">
        <v>5</v>
      </c>
      <c r="C37" s="16" t="s">
        <v>379</v>
      </c>
      <c r="D37" s="4"/>
      <c r="E37" s="4"/>
      <c r="F37" s="10"/>
    </row>
    <row r="38" spans="1:6" ht="15" x14ac:dyDescent="0.25">
      <c r="A38" s="3">
        <v>4</v>
      </c>
      <c r="B38" s="3">
        <v>6</v>
      </c>
      <c r="C38" s="16" t="s">
        <v>573</v>
      </c>
      <c r="D38" s="4"/>
      <c r="E38" s="4"/>
      <c r="F38" s="10"/>
    </row>
    <row r="39" spans="1:6" ht="15" x14ac:dyDescent="0.25">
      <c r="A39" s="3">
        <v>4</v>
      </c>
      <c r="B39" s="3">
        <v>7</v>
      </c>
      <c r="C39" s="16" t="s">
        <v>380</v>
      </c>
      <c r="D39" s="4"/>
      <c r="E39" s="4"/>
      <c r="F39" s="10"/>
    </row>
    <row r="40" spans="1:6" ht="15" x14ac:dyDescent="0.25">
      <c r="A40" s="3">
        <v>4</v>
      </c>
      <c r="B40" s="3">
        <v>8</v>
      </c>
      <c r="C40" s="16" t="s">
        <v>381</v>
      </c>
      <c r="D40" s="4"/>
      <c r="E40" s="4"/>
      <c r="F40" s="10"/>
    </row>
    <row r="41" spans="1:6" ht="15" x14ac:dyDescent="0.25">
      <c r="A41" s="3">
        <v>4</v>
      </c>
      <c r="B41" s="3">
        <v>9</v>
      </c>
      <c r="C41" s="16" t="s">
        <v>416</v>
      </c>
      <c r="D41" s="4"/>
      <c r="E41" s="4"/>
      <c r="F41" s="10"/>
    </row>
    <row r="42" spans="1:6" ht="15" x14ac:dyDescent="0.25">
      <c r="A42" s="3">
        <v>4</v>
      </c>
      <c r="B42" s="3">
        <v>10</v>
      </c>
      <c r="C42" s="16" t="s">
        <v>523</v>
      </c>
      <c r="D42" s="4"/>
      <c r="E42" s="4"/>
      <c r="F42" s="10"/>
    </row>
    <row r="43" spans="1:6" ht="15" x14ac:dyDescent="0.25">
      <c r="A43" s="3"/>
      <c r="B43" s="3"/>
      <c r="C43" s="4"/>
      <c r="D43" s="4"/>
      <c r="E43" s="4"/>
      <c r="F43" s="10"/>
    </row>
    <row r="44" spans="1:6" ht="15.75" x14ac:dyDescent="0.25">
      <c r="A44" s="2" t="s">
        <v>78</v>
      </c>
      <c r="B44" s="2" t="s">
        <v>79</v>
      </c>
      <c r="C44" s="23" t="s">
        <v>501</v>
      </c>
      <c r="D44" s="4"/>
      <c r="E44" s="4"/>
      <c r="F44" s="10"/>
    </row>
    <row r="45" spans="1:6" ht="15" x14ac:dyDescent="0.25">
      <c r="A45" s="3">
        <v>5</v>
      </c>
      <c r="B45" s="3">
        <v>1</v>
      </c>
      <c r="C45" s="6" t="s">
        <v>136</v>
      </c>
      <c r="D45" s="4"/>
      <c r="E45" s="4"/>
      <c r="F45" s="10"/>
    </row>
    <row r="46" spans="1:6" ht="15" x14ac:dyDescent="0.25">
      <c r="A46" s="3">
        <v>5</v>
      </c>
      <c r="B46" s="3">
        <v>2</v>
      </c>
      <c r="C46" s="6" t="s">
        <v>549</v>
      </c>
      <c r="D46" s="4"/>
      <c r="E46" s="4"/>
      <c r="F46" s="10"/>
    </row>
    <row r="47" spans="1:6" ht="15" x14ac:dyDescent="0.25">
      <c r="A47" s="3">
        <v>5</v>
      </c>
      <c r="B47" s="3">
        <v>3</v>
      </c>
      <c r="C47" s="6" t="s">
        <v>134</v>
      </c>
      <c r="D47" s="4"/>
      <c r="E47" s="4"/>
      <c r="F47" s="4"/>
    </row>
    <row r="48" spans="1:6" ht="15" x14ac:dyDescent="0.25">
      <c r="A48" s="3">
        <v>5</v>
      </c>
      <c r="B48" s="3">
        <v>4</v>
      </c>
      <c r="C48" s="6" t="s">
        <v>135</v>
      </c>
      <c r="D48" s="4"/>
      <c r="E48" s="4"/>
      <c r="F48" s="4"/>
    </row>
    <row r="49" spans="1:6" ht="15" x14ac:dyDescent="0.25">
      <c r="A49" s="3">
        <v>5</v>
      </c>
      <c r="B49" s="3">
        <v>5</v>
      </c>
      <c r="C49" s="6" t="s">
        <v>550</v>
      </c>
      <c r="D49" s="4"/>
      <c r="E49" s="4"/>
      <c r="F49" s="4"/>
    </row>
    <row r="50" spans="1:6" ht="15" x14ac:dyDescent="0.25">
      <c r="A50" s="3">
        <v>5</v>
      </c>
      <c r="B50" s="3">
        <v>6</v>
      </c>
      <c r="C50" s="6" t="s">
        <v>551</v>
      </c>
      <c r="D50" s="4"/>
      <c r="E50" s="4"/>
      <c r="F50" s="4"/>
    </row>
    <row r="51" spans="1:6" ht="15" x14ac:dyDescent="0.25">
      <c r="A51" s="3"/>
      <c r="B51" s="3"/>
      <c r="C51" s="6"/>
      <c r="D51" s="4"/>
      <c r="E51" s="4"/>
      <c r="F51" s="4"/>
    </row>
    <row r="52" spans="1:6" ht="15.75" x14ac:dyDescent="0.25">
      <c r="A52" s="2" t="s">
        <v>78</v>
      </c>
      <c r="B52" s="2" t="s">
        <v>79</v>
      </c>
      <c r="C52" s="23" t="s">
        <v>584</v>
      </c>
      <c r="D52" s="4"/>
      <c r="E52" s="4"/>
      <c r="F52" s="4"/>
    </row>
    <row r="53" spans="1:6" ht="15" x14ac:dyDescent="0.25">
      <c r="A53" s="3">
        <v>5</v>
      </c>
      <c r="B53" s="3">
        <v>1</v>
      </c>
      <c r="C53" s="6" t="s">
        <v>585</v>
      </c>
      <c r="D53" s="4"/>
      <c r="E53" s="4"/>
      <c r="F53" s="4"/>
    </row>
    <row r="54" spans="1:6" ht="15" x14ac:dyDescent="0.25">
      <c r="A54" s="3">
        <v>5</v>
      </c>
      <c r="B54" s="3">
        <v>2</v>
      </c>
      <c r="C54" s="6" t="s">
        <v>586</v>
      </c>
      <c r="D54" s="4"/>
      <c r="E54" s="4"/>
      <c r="F54" s="4"/>
    </row>
    <row r="55" spans="1:6" ht="15" x14ac:dyDescent="0.25">
      <c r="A55" s="3">
        <v>5</v>
      </c>
      <c r="B55" s="3">
        <v>3</v>
      </c>
      <c r="C55" s="6" t="s">
        <v>594</v>
      </c>
      <c r="D55" s="4"/>
      <c r="E55" s="4"/>
      <c r="F55" s="4"/>
    </row>
    <row r="56" spans="1:6" ht="15" x14ac:dyDescent="0.25">
      <c r="A56" s="3">
        <v>5</v>
      </c>
      <c r="B56" s="3">
        <v>4</v>
      </c>
      <c r="C56" s="6" t="s">
        <v>595</v>
      </c>
      <c r="D56" s="4"/>
      <c r="E56" s="4"/>
      <c r="F56" s="4"/>
    </row>
    <row r="57" spans="1:6" ht="15" x14ac:dyDescent="0.25">
      <c r="A57" s="3">
        <v>5</v>
      </c>
      <c r="B57" s="3">
        <v>5</v>
      </c>
      <c r="C57" s="6" t="s">
        <v>596</v>
      </c>
      <c r="D57" s="4"/>
      <c r="E57" s="4"/>
      <c r="F57" s="4"/>
    </row>
    <row r="58" spans="1:6" ht="15" x14ac:dyDescent="0.25">
      <c r="A58" s="3">
        <v>5</v>
      </c>
      <c r="B58" s="3">
        <v>6</v>
      </c>
      <c r="C58" s="6" t="s">
        <v>597</v>
      </c>
      <c r="D58" s="4"/>
      <c r="E58" s="4"/>
      <c r="F58" s="4"/>
    </row>
    <row r="59" spans="1:6" ht="15" x14ac:dyDescent="0.25">
      <c r="A59" s="3"/>
      <c r="B59" s="3"/>
      <c r="C59" s="6"/>
      <c r="D59" s="4"/>
      <c r="E59" s="4"/>
      <c r="F59" s="4"/>
    </row>
    <row r="60" spans="1:6" ht="15.75" x14ac:dyDescent="0.25">
      <c r="A60" s="2" t="s">
        <v>78</v>
      </c>
      <c r="B60" s="2" t="s">
        <v>79</v>
      </c>
      <c r="C60" s="22" t="s">
        <v>541</v>
      </c>
      <c r="D60" s="4"/>
      <c r="E60" s="4"/>
      <c r="F60" s="4"/>
    </row>
    <row r="61" spans="1:6" ht="15" x14ac:dyDescent="0.25">
      <c r="A61" s="3">
        <v>6</v>
      </c>
      <c r="B61" s="3">
        <v>1</v>
      </c>
      <c r="C61" s="6" t="s">
        <v>552</v>
      </c>
      <c r="D61" s="4"/>
      <c r="E61" s="4"/>
      <c r="F61" s="4"/>
    </row>
    <row r="62" spans="1:6" ht="15" x14ac:dyDescent="0.25">
      <c r="A62" s="3">
        <v>6</v>
      </c>
      <c r="B62" s="3">
        <v>2</v>
      </c>
      <c r="C62" s="6" t="s">
        <v>553</v>
      </c>
      <c r="D62" s="4"/>
      <c r="E62" s="4"/>
      <c r="F62" s="4"/>
    </row>
    <row r="63" spans="1:6" ht="15" x14ac:dyDescent="0.25">
      <c r="A63" s="3">
        <v>6</v>
      </c>
      <c r="B63" s="3">
        <v>3</v>
      </c>
      <c r="C63" s="6" t="s">
        <v>554</v>
      </c>
      <c r="D63" s="4"/>
      <c r="E63" s="4"/>
      <c r="F63" s="4"/>
    </row>
    <row r="64" spans="1:6" ht="15" x14ac:dyDescent="0.25">
      <c r="A64" s="3">
        <v>6</v>
      </c>
      <c r="B64" s="3">
        <v>4</v>
      </c>
      <c r="C64" s="6" t="s">
        <v>555</v>
      </c>
      <c r="D64" s="4"/>
      <c r="E64" s="4"/>
      <c r="F64" s="4"/>
    </row>
    <row r="65" spans="1:6" ht="15" x14ac:dyDescent="0.25">
      <c r="A65" s="3">
        <v>6</v>
      </c>
      <c r="B65" s="3">
        <v>5</v>
      </c>
      <c r="C65" s="6" t="s">
        <v>556</v>
      </c>
      <c r="D65" s="4"/>
      <c r="E65" s="4"/>
      <c r="F65" s="4"/>
    </row>
    <row r="66" spans="1:6" ht="15" x14ac:dyDescent="0.25">
      <c r="A66" s="3">
        <v>6</v>
      </c>
      <c r="B66" s="3">
        <v>6</v>
      </c>
      <c r="C66" s="6" t="s">
        <v>557</v>
      </c>
      <c r="D66" s="4"/>
      <c r="E66" s="4"/>
      <c r="F66" s="4"/>
    </row>
    <row r="67" spans="1:6" ht="15" x14ac:dyDescent="0.25">
      <c r="A67" s="3">
        <v>6</v>
      </c>
      <c r="B67" s="3">
        <v>7</v>
      </c>
      <c r="C67" s="6" t="s">
        <v>558</v>
      </c>
      <c r="D67" s="4"/>
      <c r="E67" s="4"/>
      <c r="F67" s="4"/>
    </row>
    <row r="68" spans="1:6" ht="15" x14ac:dyDescent="0.25">
      <c r="A68" s="3">
        <v>6</v>
      </c>
      <c r="B68" s="3">
        <v>8</v>
      </c>
      <c r="C68" s="6" t="s">
        <v>559</v>
      </c>
      <c r="D68" s="4"/>
      <c r="E68" s="4"/>
      <c r="F68" s="4"/>
    </row>
    <row r="69" spans="1:6" ht="15" x14ac:dyDescent="0.25">
      <c r="A69" s="3">
        <v>6</v>
      </c>
      <c r="B69" s="3">
        <v>9</v>
      </c>
      <c r="C69" s="6" t="s">
        <v>560</v>
      </c>
      <c r="D69" s="6"/>
      <c r="E69" s="4"/>
      <c r="F69" s="4"/>
    </row>
    <row r="70" spans="1:6" ht="15" x14ac:dyDescent="0.25">
      <c r="A70" s="3">
        <v>6</v>
      </c>
      <c r="B70" s="3">
        <v>10</v>
      </c>
      <c r="C70" s="6" t="s">
        <v>561</v>
      </c>
      <c r="D70" s="6"/>
      <c r="E70" s="4"/>
      <c r="F70" s="4"/>
    </row>
    <row r="71" spans="1:6" ht="15" x14ac:dyDescent="0.25">
      <c r="A71" s="3">
        <v>6</v>
      </c>
      <c r="B71" s="3">
        <v>11</v>
      </c>
      <c r="C71" s="6" t="s">
        <v>566</v>
      </c>
      <c r="D71" s="6"/>
      <c r="E71" s="4"/>
      <c r="F71" s="4"/>
    </row>
    <row r="72" spans="1:6" ht="15" x14ac:dyDescent="0.25">
      <c r="A72" s="3">
        <v>6</v>
      </c>
      <c r="B72" s="3">
        <v>12</v>
      </c>
      <c r="C72" s="6" t="s">
        <v>567</v>
      </c>
      <c r="D72" s="6"/>
      <c r="E72" s="4"/>
      <c r="F72" s="4"/>
    </row>
    <row r="73" spans="1:6" ht="15" x14ac:dyDescent="0.25">
      <c r="A73" s="3">
        <v>6</v>
      </c>
      <c r="B73" s="3">
        <v>13</v>
      </c>
      <c r="C73" s="6" t="s">
        <v>373</v>
      </c>
      <c r="D73" s="4"/>
      <c r="E73" s="4"/>
      <c r="F73" s="4"/>
    </row>
    <row r="74" spans="1:6" ht="15" x14ac:dyDescent="0.25">
      <c r="A74" s="3">
        <v>6</v>
      </c>
      <c r="B74" s="3">
        <v>14</v>
      </c>
      <c r="C74" s="6" t="s">
        <v>374</v>
      </c>
      <c r="D74" s="4"/>
      <c r="E74" s="4"/>
      <c r="F74" s="4"/>
    </row>
    <row r="75" spans="1:6" ht="15" x14ac:dyDescent="0.25">
      <c r="A75" s="3">
        <v>6</v>
      </c>
      <c r="B75" s="3">
        <v>15</v>
      </c>
      <c r="C75" s="6" t="s">
        <v>375</v>
      </c>
      <c r="D75" s="4"/>
      <c r="E75" s="4"/>
      <c r="F75" s="4"/>
    </row>
    <row r="76" spans="1:6" ht="15" x14ac:dyDescent="0.25">
      <c r="A76" s="3">
        <v>6</v>
      </c>
      <c r="B76" s="3">
        <v>16</v>
      </c>
      <c r="C76" s="6" t="s">
        <v>568</v>
      </c>
      <c r="D76" s="4"/>
      <c r="E76" s="4"/>
      <c r="F76" s="4"/>
    </row>
    <row r="77" spans="1:6" ht="15" x14ac:dyDescent="0.25">
      <c r="A77" s="3">
        <v>6</v>
      </c>
      <c r="B77" s="3">
        <v>17</v>
      </c>
      <c r="C77" s="6" t="s">
        <v>569</v>
      </c>
      <c r="D77" s="4"/>
      <c r="E77" s="4"/>
      <c r="F77" s="4"/>
    </row>
    <row r="78" spans="1:6" ht="15" x14ac:dyDescent="0.25">
      <c r="A78" s="3"/>
      <c r="B78" s="3"/>
      <c r="C78" s="6"/>
      <c r="D78" s="4"/>
      <c r="E78" s="4"/>
      <c r="F78" s="4"/>
    </row>
    <row r="79" spans="1:6" ht="15.75" x14ac:dyDescent="0.25">
      <c r="A79" s="2" t="s">
        <v>78</v>
      </c>
      <c r="B79" s="2" t="s">
        <v>79</v>
      </c>
      <c r="C79" s="22" t="s">
        <v>525</v>
      </c>
      <c r="D79" s="4"/>
      <c r="E79" s="4"/>
      <c r="F79" s="4"/>
    </row>
    <row r="80" spans="1:6" ht="15" x14ac:dyDescent="0.25">
      <c r="A80" s="3">
        <v>7</v>
      </c>
      <c r="B80" s="3">
        <v>1</v>
      </c>
      <c r="C80" s="6" t="s">
        <v>526</v>
      </c>
      <c r="D80" s="4"/>
      <c r="E80" s="4"/>
      <c r="F80" s="4"/>
    </row>
    <row r="81" spans="1:6" ht="15" x14ac:dyDescent="0.25">
      <c r="A81" s="3">
        <v>7</v>
      </c>
      <c r="B81" s="3">
        <v>2</v>
      </c>
      <c r="C81" s="6" t="s">
        <v>527</v>
      </c>
      <c r="D81" s="4"/>
      <c r="E81" s="4"/>
      <c r="F81" s="4"/>
    </row>
    <row r="82" spans="1:6" ht="15" x14ac:dyDescent="0.25">
      <c r="A82" s="3">
        <v>7</v>
      </c>
      <c r="B82" s="3">
        <v>3</v>
      </c>
      <c r="C82" s="6" t="s">
        <v>528</v>
      </c>
      <c r="D82" s="4"/>
      <c r="E82" s="4"/>
      <c r="F82" s="4"/>
    </row>
    <row r="83" spans="1:6" ht="15" x14ac:dyDescent="0.25">
      <c r="A83" s="4"/>
      <c r="B83" s="4"/>
      <c r="C83" s="4"/>
      <c r="D83" s="4"/>
      <c r="E83" s="4"/>
      <c r="F83" s="4"/>
    </row>
    <row r="84" spans="1:6" ht="15.75" x14ac:dyDescent="0.25">
      <c r="A84" s="2" t="s">
        <v>78</v>
      </c>
      <c r="B84" s="2" t="s">
        <v>79</v>
      </c>
      <c r="C84" s="22" t="s">
        <v>474</v>
      </c>
      <c r="D84" s="4"/>
      <c r="E84" s="4"/>
      <c r="F84" s="4"/>
    </row>
    <row r="85" spans="1:6" ht="15" x14ac:dyDescent="0.25">
      <c r="A85" s="3">
        <v>8</v>
      </c>
      <c r="B85" s="3">
        <v>1</v>
      </c>
      <c r="C85" s="10" t="s">
        <v>137</v>
      </c>
      <c r="D85" s="4"/>
      <c r="E85" s="4"/>
      <c r="F85" s="4"/>
    </row>
    <row r="86" spans="1:6" ht="15" x14ac:dyDescent="0.25">
      <c r="A86" s="3">
        <v>8</v>
      </c>
      <c r="B86" s="3">
        <v>2</v>
      </c>
      <c r="C86" s="10" t="s">
        <v>338</v>
      </c>
      <c r="D86" s="4"/>
      <c r="E86" s="4"/>
      <c r="F86" s="4"/>
    </row>
    <row r="87" spans="1:6" ht="15" x14ac:dyDescent="0.25">
      <c r="A87" s="3">
        <v>8</v>
      </c>
      <c r="B87" s="3">
        <v>3</v>
      </c>
      <c r="C87" s="10" t="s">
        <v>106</v>
      </c>
      <c r="D87" s="4"/>
      <c r="E87" s="4"/>
      <c r="F87" s="4"/>
    </row>
    <row r="88" spans="1:6" ht="15" x14ac:dyDescent="0.25">
      <c r="A88" s="3">
        <v>8</v>
      </c>
      <c r="B88" s="3">
        <v>4</v>
      </c>
      <c r="C88" s="10" t="s">
        <v>105</v>
      </c>
      <c r="D88" s="4"/>
      <c r="E88" s="4"/>
      <c r="F88" s="4"/>
    </row>
    <row r="89" spans="1:6" ht="15" x14ac:dyDescent="0.25">
      <c r="A89" s="3">
        <v>8</v>
      </c>
      <c r="B89" s="3">
        <v>5</v>
      </c>
      <c r="C89" s="10" t="s">
        <v>138</v>
      </c>
      <c r="D89" s="4"/>
      <c r="E89" s="4"/>
      <c r="F89" s="4"/>
    </row>
    <row r="90" spans="1:6" ht="15" x14ac:dyDescent="0.25">
      <c r="A90" s="3">
        <v>8</v>
      </c>
      <c r="B90" s="3">
        <v>6</v>
      </c>
      <c r="C90" s="10" t="s">
        <v>104</v>
      </c>
      <c r="E90" s="4"/>
      <c r="F90" s="4"/>
    </row>
    <row r="91" spans="1:6" ht="15" x14ac:dyDescent="0.25">
      <c r="A91" s="3">
        <v>8</v>
      </c>
      <c r="B91" s="3">
        <v>7</v>
      </c>
      <c r="C91" s="10" t="s">
        <v>102</v>
      </c>
      <c r="E91" s="4"/>
      <c r="F91" s="4"/>
    </row>
    <row r="92" spans="1:6" ht="15" x14ac:dyDescent="0.25">
      <c r="A92" s="3">
        <v>8</v>
      </c>
      <c r="B92" s="3">
        <v>8</v>
      </c>
      <c r="C92" s="10" t="s">
        <v>103</v>
      </c>
      <c r="E92" s="4"/>
      <c r="F92" s="4"/>
    </row>
    <row r="93" spans="1:6" ht="15" x14ac:dyDescent="0.25">
      <c r="A93" s="3">
        <v>8</v>
      </c>
      <c r="B93" s="3">
        <v>9</v>
      </c>
      <c r="C93" s="10" t="s">
        <v>139</v>
      </c>
      <c r="E93" s="4"/>
      <c r="F93" s="4"/>
    </row>
    <row r="94" spans="1:6" ht="15" x14ac:dyDescent="0.25">
      <c r="A94" s="3">
        <v>8</v>
      </c>
      <c r="B94" s="3">
        <v>10</v>
      </c>
      <c r="C94" s="10" t="s">
        <v>140</v>
      </c>
      <c r="E94" s="4"/>
      <c r="F94" s="4"/>
    </row>
    <row r="95" spans="1:6" ht="15" x14ac:dyDescent="0.25">
      <c r="A95" s="3">
        <v>8</v>
      </c>
      <c r="B95" s="3">
        <v>11</v>
      </c>
      <c r="C95" s="10" t="s">
        <v>141</v>
      </c>
      <c r="E95" s="4"/>
      <c r="F95" s="4"/>
    </row>
    <row r="96" spans="1:6" ht="15" x14ac:dyDescent="0.25">
      <c r="A96" s="3">
        <v>8</v>
      </c>
      <c r="B96" s="3">
        <v>12</v>
      </c>
      <c r="C96" s="10" t="s">
        <v>529</v>
      </c>
      <c r="E96" s="4"/>
      <c r="F96" s="4"/>
    </row>
    <row r="97" spans="1:6" ht="15" x14ac:dyDescent="0.25">
      <c r="A97" s="3">
        <v>8</v>
      </c>
      <c r="B97" s="3">
        <v>13</v>
      </c>
      <c r="C97" s="10" t="s">
        <v>109</v>
      </c>
      <c r="E97" s="4"/>
      <c r="F97" s="4"/>
    </row>
    <row r="98" spans="1:6" ht="15" x14ac:dyDescent="0.25">
      <c r="A98" s="3">
        <v>8</v>
      </c>
      <c r="B98" s="3">
        <v>14</v>
      </c>
      <c r="C98" s="10" t="s">
        <v>142</v>
      </c>
      <c r="E98" s="4"/>
      <c r="F98" s="4"/>
    </row>
    <row r="99" spans="1:6" ht="15" x14ac:dyDescent="0.25">
      <c r="A99" s="3">
        <v>8</v>
      </c>
      <c r="B99" s="3">
        <v>15</v>
      </c>
      <c r="C99" s="10" t="s">
        <v>193</v>
      </c>
      <c r="E99" s="4"/>
      <c r="F99" s="4"/>
    </row>
    <row r="100" spans="1:6" ht="15" x14ac:dyDescent="0.25">
      <c r="A100" s="3">
        <v>8</v>
      </c>
      <c r="B100" s="3">
        <v>16</v>
      </c>
      <c r="C100" s="10" t="s">
        <v>194</v>
      </c>
      <c r="E100" s="4"/>
      <c r="F100" s="4"/>
    </row>
    <row r="101" spans="1:6" ht="15" x14ac:dyDescent="0.25">
      <c r="F101" s="11"/>
    </row>
    <row r="102" spans="1:6" ht="15.75" x14ac:dyDescent="0.25">
      <c r="A102" s="2" t="s">
        <v>78</v>
      </c>
      <c r="B102" s="2" t="s">
        <v>79</v>
      </c>
      <c r="C102" s="22" t="s">
        <v>475</v>
      </c>
      <c r="F102" s="11"/>
    </row>
    <row r="103" spans="1:6" ht="15" x14ac:dyDescent="0.25">
      <c r="A103" s="21">
        <v>9</v>
      </c>
      <c r="B103" s="21">
        <v>1</v>
      </c>
      <c r="C103" s="16" t="s">
        <v>279</v>
      </c>
      <c r="F103" s="11"/>
    </row>
    <row r="104" spans="1:6" ht="15" x14ac:dyDescent="0.25">
      <c r="A104" s="21">
        <v>9</v>
      </c>
      <c r="B104" s="21">
        <v>2</v>
      </c>
      <c r="C104" s="16" t="s">
        <v>280</v>
      </c>
      <c r="F104" s="11"/>
    </row>
    <row r="105" spans="1:6" ht="15" x14ac:dyDescent="0.25">
      <c r="A105" s="21">
        <v>9</v>
      </c>
      <c r="B105" s="21">
        <v>3</v>
      </c>
      <c r="C105" s="16" t="s">
        <v>281</v>
      </c>
      <c r="F105" s="11"/>
    </row>
    <row r="106" spans="1:6" ht="15" x14ac:dyDescent="0.25">
      <c r="A106" s="21">
        <v>9</v>
      </c>
      <c r="B106" s="21">
        <v>4</v>
      </c>
      <c r="C106" s="16" t="s">
        <v>282</v>
      </c>
      <c r="F106" s="11"/>
    </row>
    <row r="107" spans="1:6" ht="15" x14ac:dyDescent="0.25">
      <c r="A107" s="21">
        <v>9</v>
      </c>
      <c r="B107" s="21">
        <v>5</v>
      </c>
      <c r="C107" s="16" t="s">
        <v>283</v>
      </c>
      <c r="F107" s="11"/>
    </row>
    <row r="108" spans="1:6" ht="15" x14ac:dyDescent="0.25">
      <c r="F108" s="11"/>
    </row>
    <row r="109" spans="1:6" ht="15" x14ac:dyDescent="0.25">
      <c r="C109" s="121" t="s">
        <v>146</v>
      </c>
      <c r="F109" s="11"/>
    </row>
    <row r="110" spans="1:6" ht="15" x14ac:dyDescent="0.25">
      <c r="F110" s="11"/>
    </row>
    <row r="111" spans="1:6" ht="15" x14ac:dyDescent="0.25">
      <c r="F111" s="11"/>
    </row>
    <row r="112" spans="1:6" ht="15" x14ac:dyDescent="0.25">
      <c r="F112" s="11"/>
    </row>
    <row r="113" spans="6:8" ht="15" x14ac:dyDescent="0.25">
      <c r="F113" s="11"/>
    </row>
    <row r="114" spans="6:8" ht="15" x14ac:dyDescent="0.25">
      <c r="F114" s="11"/>
    </row>
    <row r="115" spans="6:8" ht="15" x14ac:dyDescent="0.25">
      <c r="F115" s="11"/>
    </row>
    <row r="116" spans="6:8" ht="15" x14ac:dyDescent="0.25">
      <c r="F116" s="11"/>
    </row>
    <row r="117" spans="6:8" ht="15" x14ac:dyDescent="0.25">
      <c r="F117" s="11"/>
    </row>
    <row r="118" spans="6:8" ht="15" x14ac:dyDescent="0.25">
      <c r="F118" s="11"/>
    </row>
    <row r="119" spans="6:8" ht="15" x14ac:dyDescent="0.25">
      <c r="F119" s="11"/>
    </row>
    <row r="120" spans="6:8" ht="15" x14ac:dyDescent="0.25">
      <c r="F120" s="11"/>
      <c r="G120" s="11"/>
      <c r="H120" s="11"/>
    </row>
    <row r="121" spans="6:8" ht="15" x14ac:dyDescent="0.25">
      <c r="F121" s="11"/>
      <c r="G121" s="11"/>
      <c r="H121" s="11"/>
    </row>
    <row r="122" spans="6:8" ht="15" x14ac:dyDescent="0.25">
      <c r="F122" s="11"/>
      <c r="G122" s="11"/>
      <c r="H122" s="11"/>
    </row>
    <row r="123" spans="6:8" ht="15" x14ac:dyDescent="0.25">
      <c r="F123" s="11"/>
      <c r="G123" s="11"/>
      <c r="H123" s="11"/>
    </row>
    <row r="124" spans="6:8" ht="15" x14ac:dyDescent="0.25">
      <c r="F124" s="11"/>
      <c r="G124" s="11"/>
      <c r="H124" s="11"/>
    </row>
    <row r="125" spans="6:8" ht="15" x14ac:dyDescent="0.25">
      <c r="F125" s="11"/>
      <c r="G125" s="11"/>
      <c r="H125" s="11"/>
    </row>
    <row r="126" spans="6:8" ht="15" x14ac:dyDescent="0.25">
      <c r="F126" s="11"/>
      <c r="G126" s="11"/>
      <c r="H126" s="11"/>
    </row>
    <row r="127" spans="6:8" ht="15" x14ac:dyDescent="0.25">
      <c r="F127" s="11"/>
      <c r="G127" s="11"/>
      <c r="H127" s="11"/>
    </row>
    <row r="128" spans="6:8" ht="15" x14ac:dyDescent="0.25">
      <c r="F128" s="11"/>
      <c r="G128" s="11"/>
      <c r="H128" s="11"/>
    </row>
    <row r="129" spans="6:8" ht="15" x14ac:dyDescent="0.25">
      <c r="F129" s="11"/>
      <c r="G129" s="11"/>
      <c r="H129" s="11"/>
    </row>
    <row r="130" spans="6:8" ht="15" x14ac:dyDescent="0.25">
      <c r="F130" s="11"/>
      <c r="G130" s="11"/>
      <c r="H130" s="11"/>
    </row>
    <row r="131" spans="6:8" ht="15" x14ac:dyDescent="0.25">
      <c r="F131" s="11"/>
      <c r="G131" s="11"/>
      <c r="H131" s="11"/>
    </row>
    <row r="132" spans="6:8" ht="15" x14ac:dyDescent="0.25">
      <c r="F132" s="11"/>
      <c r="G132" s="11"/>
      <c r="H132" s="11"/>
    </row>
    <row r="133" spans="6:8" ht="15" x14ac:dyDescent="0.25">
      <c r="F133" s="11"/>
      <c r="G133" s="11"/>
      <c r="H133" s="11"/>
    </row>
    <row r="134" spans="6:8" ht="15" x14ac:dyDescent="0.25">
      <c r="F134" s="11"/>
      <c r="G134" s="11"/>
      <c r="H134" s="11"/>
    </row>
    <row r="135" spans="6:8" ht="15" x14ac:dyDescent="0.25">
      <c r="F135" s="11"/>
      <c r="G135" s="11"/>
      <c r="H135" s="11"/>
    </row>
    <row r="136" spans="6:8" ht="15" x14ac:dyDescent="0.25">
      <c r="F136" s="11"/>
      <c r="G136" s="11"/>
      <c r="H136" s="11"/>
    </row>
    <row r="137" spans="6:8" ht="15" x14ac:dyDescent="0.25">
      <c r="F137" s="11"/>
      <c r="G137" s="11"/>
      <c r="H137" s="11"/>
    </row>
    <row r="138" spans="6:8" ht="15" x14ac:dyDescent="0.25">
      <c r="F138" s="11"/>
      <c r="G138" s="11"/>
      <c r="H138" s="11"/>
    </row>
    <row r="139" spans="6:8" ht="15" x14ac:dyDescent="0.25">
      <c r="F139" s="11"/>
      <c r="G139" s="11"/>
      <c r="H139" s="11"/>
    </row>
    <row r="140" spans="6:8" ht="15" x14ac:dyDescent="0.25">
      <c r="F140" s="11"/>
      <c r="G140" s="11"/>
      <c r="H140" s="11"/>
    </row>
    <row r="141" spans="6:8" ht="15" x14ac:dyDescent="0.25">
      <c r="F141" s="11"/>
      <c r="G141" s="11"/>
      <c r="H141" s="11"/>
    </row>
    <row r="142" spans="6:8" ht="15" x14ac:dyDescent="0.25">
      <c r="F142" s="11"/>
      <c r="G142" s="11"/>
      <c r="H142" s="11"/>
    </row>
    <row r="143" spans="6:8" ht="15" x14ac:dyDescent="0.25">
      <c r="F143" s="11"/>
      <c r="G143" s="11"/>
      <c r="H143" s="11"/>
    </row>
    <row r="144" spans="6:8" ht="15" x14ac:dyDescent="0.25">
      <c r="F144" s="11"/>
      <c r="G144" s="11"/>
      <c r="H144" s="11"/>
    </row>
    <row r="145" spans="6:8" ht="15" x14ac:dyDescent="0.25">
      <c r="F145" s="11"/>
      <c r="G145" s="11"/>
      <c r="H145" s="11"/>
    </row>
    <row r="146" spans="6:8" ht="15" x14ac:dyDescent="0.25">
      <c r="F146" s="11"/>
      <c r="G146" s="11"/>
      <c r="H146" s="11"/>
    </row>
    <row r="147" spans="6:8" ht="15" x14ac:dyDescent="0.25">
      <c r="F147" s="11"/>
      <c r="G147" s="11"/>
      <c r="H147" s="11"/>
    </row>
    <row r="148" spans="6:8" ht="15" x14ac:dyDescent="0.25">
      <c r="F148" s="11"/>
      <c r="G148" s="11"/>
      <c r="H148" s="11"/>
    </row>
    <row r="149" spans="6:8" ht="15" x14ac:dyDescent="0.25">
      <c r="F149" s="11"/>
      <c r="G149" s="11"/>
      <c r="H149" s="11"/>
    </row>
    <row r="150" spans="6:8" ht="15" x14ac:dyDescent="0.25">
      <c r="F150" s="11"/>
      <c r="G150" s="11"/>
      <c r="H150" s="11"/>
    </row>
    <row r="151" spans="6:8" ht="15" x14ac:dyDescent="0.25">
      <c r="F151" s="11"/>
      <c r="G151" s="11"/>
      <c r="H151" s="11"/>
    </row>
    <row r="152" spans="6:8" ht="15" x14ac:dyDescent="0.25">
      <c r="F152" s="11"/>
      <c r="G152" s="11"/>
      <c r="H152" s="11"/>
    </row>
    <row r="153" spans="6:8" ht="15" x14ac:dyDescent="0.25">
      <c r="F153" s="11"/>
      <c r="G153" s="11"/>
      <c r="H153" s="11"/>
    </row>
    <row r="154" spans="6:8" ht="15" x14ac:dyDescent="0.25">
      <c r="F154" s="11"/>
      <c r="G154" s="11"/>
      <c r="H154" s="11"/>
    </row>
    <row r="155" spans="6:8" ht="15" x14ac:dyDescent="0.25">
      <c r="F155" s="11"/>
      <c r="G155" s="11"/>
      <c r="H155" s="11"/>
    </row>
    <row r="156" spans="6:8" ht="15" x14ac:dyDescent="0.25">
      <c r="F156" s="11"/>
      <c r="G156" s="11"/>
      <c r="H156" s="11"/>
    </row>
    <row r="157" spans="6:8" ht="15" x14ac:dyDescent="0.25">
      <c r="F157" s="11"/>
      <c r="G157" s="11"/>
      <c r="H157" s="11"/>
    </row>
    <row r="158" spans="6:8" ht="15" x14ac:dyDescent="0.25">
      <c r="F158" s="11"/>
      <c r="G158" s="11"/>
      <c r="H158" s="11"/>
    </row>
    <row r="159" spans="6:8" ht="15" x14ac:dyDescent="0.25">
      <c r="F159" s="11"/>
      <c r="G159" s="11"/>
      <c r="H159" s="11"/>
    </row>
    <row r="160" spans="6:8" ht="15" x14ac:dyDescent="0.25">
      <c r="F160" s="11"/>
      <c r="G160" s="11"/>
      <c r="H160" s="11"/>
    </row>
    <row r="161" spans="6:8" ht="15" x14ac:dyDescent="0.25">
      <c r="F161" s="11"/>
      <c r="G161" s="11"/>
      <c r="H161" s="11"/>
    </row>
    <row r="162" spans="6:8" ht="15" x14ac:dyDescent="0.25">
      <c r="F162" s="11"/>
      <c r="G162" s="11"/>
      <c r="H162" s="11"/>
    </row>
    <row r="163" spans="6:8" ht="15" x14ac:dyDescent="0.25">
      <c r="F163" s="11"/>
      <c r="G163" s="11"/>
      <c r="H163" s="11"/>
    </row>
    <row r="164" spans="6:8" ht="15" x14ac:dyDescent="0.25">
      <c r="F164" s="11"/>
      <c r="G164" s="11"/>
      <c r="H164" s="11"/>
    </row>
    <row r="165" spans="6:8" ht="15" x14ac:dyDescent="0.25">
      <c r="F165" s="11"/>
      <c r="G165" s="11"/>
      <c r="H165" s="11"/>
    </row>
    <row r="166" spans="6:8" ht="15" x14ac:dyDescent="0.25">
      <c r="F166" s="11"/>
      <c r="G166" s="11"/>
      <c r="H166" s="11"/>
    </row>
    <row r="167" spans="6:8" ht="15" x14ac:dyDescent="0.25">
      <c r="F167" s="11"/>
      <c r="G167" s="11"/>
      <c r="H167" s="11"/>
    </row>
    <row r="168" spans="6:8" ht="15" x14ac:dyDescent="0.25">
      <c r="F168" s="11"/>
      <c r="G168" s="11"/>
      <c r="H168" s="11"/>
    </row>
    <row r="169" spans="6:8" ht="15" x14ac:dyDescent="0.25">
      <c r="F169" s="11"/>
      <c r="G169" s="11"/>
      <c r="H169" s="11"/>
    </row>
    <row r="170" spans="6:8" ht="15" x14ac:dyDescent="0.25">
      <c r="F170" s="11"/>
      <c r="G170" s="11"/>
      <c r="H170" s="11"/>
    </row>
    <row r="171" spans="6:8" ht="15" x14ac:dyDescent="0.25">
      <c r="F171" s="11"/>
      <c r="G171" s="11"/>
      <c r="H171" s="11"/>
    </row>
    <row r="172" spans="6:8" ht="15" x14ac:dyDescent="0.25">
      <c r="F172" s="11"/>
      <c r="G172" s="11"/>
      <c r="H172" s="11"/>
    </row>
    <row r="173" spans="6:8" ht="15" x14ac:dyDescent="0.25">
      <c r="F173" s="11"/>
      <c r="G173" s="11"/>
      <c r="H173" s="11"/>
    </row>
    <row r="174" spans="6:8" ht="15" x14ac:dyDescent="0.25">
      <c r="F174" s="11"/>
      <c r="G174" s="11"/>
      <c r="H174" s="11"/>
    </row>
    <row r="175" spans="6:8" ht="15" x14ac:dyDescent="0.25">
      <c r="F175" s="11"/>
      <c r="G175" s="11"/>
      <c r="H175" s="11"/>
    </row>
    <row r="176" spans="6:8" ht="15" x14ac:dyDescent="0.25">
      <c r="F176" s="11"/>
      <c r="G176" s="11"/>
      <c r="H176" s="11"/>
    </row>
    <row r="177" spans="6:8" ht="15" x14ac:dyDescent="0.25">
      <c r="F177" s="11"/>
      <c r="G177" s="11"/>
      <c r="H177" s="11"/>
    </row>
    <row r="178" spans="6:8" ht="15" x14ac:dyDescent="0.25">
      <c r="F178" s="11"/>
      <c r="G178" s="11"/>
      <c r="H178" s="11"/>
    </row>
    <row r="179" spans="6:8" ht="15" x14ac:dyDescent="0.25">
      <c r="F179" s="11"/>
      <c r="G179" s="11"/>
      <c r="H179" s="11"/>
    </row>
    <row r="180" spans="6:8" ht="15" x14ac:dyDescent="0.25">
      <c r="F180" s="11"/>
      <c r="G180" s="11"/>
      <c r="H180" s="11"/>
    </row>
    <row r="181" spans="6:8" ht="15" x14ac:dyDescent="0.25">
      <c r="F181" s="11"/>
      <c r="G181" s="11"/>
      <c r="H181" s="11"/>
    </row>
    <row r="182" spans="6:8" ht="15" x14ac:dyDescent="0.25">
      <c r="F182" s="11"/>
      <c r="G182" s="11"/>
      <c r="H182" s="11"/>
    </row>
    <row r="183" spans="6:8" ht="15" x14ac:dyDescent="0.25">
      <c r="F183" s="11"/>
      <c r="G183" s="11"/>
      <c r="H183" s="11"/>
    </row>
    <row r="184" spans="6:8" ht="15" x14ac:dyDescent="0.25">
      <c r="F184" s="11"/>
      <c r="G184" s="11"/>
      <c r="H184" s="11"/>
    </row>
    <row r="185" spans="6:8" ht="15" x14ac:dyDescent="0.25">
      <c r="F185" s="11"/>
      <c r="G185" s="11"/>
      <c r="H185" s="11"/>
    </row>
    <row r="186" spans="6:8" ht="15" x14ac:dyDescent="0.25">
      <c r="F186" s="11"/>
      <c r="G186" s="11"/>
      <c r="H186" s="11"/>
    </row>
    <row r="187" spans="6:8" ht="15" x14ac:dyDescent="0.25">
      <c r="F187" s="11"/>
      <c r="G187" s="11"/>
      <c r="H187" s="11"/>
    </row>
    <row r="188" spans="6:8" ht="15" x14ac:dyDescent="0.25">
      <c r="F188" s="11"/>
      <c r="G188" s="11"/>
      <c r="H188" s="11"/>
    </row>
    <row r="189" spans="6:8" ht="15" x14ac:dyDescent="0.25">
      <c r="F189" s="11"/>
      <c r="G189" s="11"/>
      <c r="H189" s="11"/>
    </row>
    <row r="190" spans="6:8" ht="15" x14ac:dyDescent="0.25">
      <c r="F190" s="11"/>
      <c r="G190" s="11"/>
      <c r="H190" s="11"/>
    </row>
    <row r="191" spans="6:8" ht="15" x14ac:dyDescent="0.25">
      <c r="F191" s="11"/>
      <c r="G191" s="11"/>
      <c r="H191" s="11"/>
    </row>
    <row r="192" spans="6:8" ht="15" x14ac:dyDescent="0.25">
      <c r="F192" s="11"/>
      <c r="G192" s="11"/>
      <c r="H192" s="11"/>
    </row>
    <row r="193" spans="6:8" ht="15" x14ac:dyDescent="0.25">
      <c r="F193" s="11"/>
      <c r="G193" s="11"/>
      <c r="H193" s="11"/>
    </row>
    <row r="194" spans="6:8" ht="15" x14ac:dyDescent="0.25">
      <c r="F194" s="11"/>
      <c r="G194" s="11"/>
      <c r="H194" s="11"/>
    </row>
    <row r="195" spans="6:8" ht="15" x14ac:dyDescent="0.25">
      <c r="F195" s="11"/>
      <c r="G195" s="11"/>
      <c r="H195" s="11"/>
    </row>
    <row r="196" spans="6:8" ht="15" x14ac:dyDescent="0.25">
      <c r="F196" s="11"/>
      <c r="G196" s="11"/>
      <c r="H196" s="11"/>
    </row>
    <row r="197" spans="6:8" ht="15" x14ac:dyDescent="0.25">
      <c r="F197" s="11"/>
      <c r="G197" s="11"/>
      <c r="H197" s="11"/>
    </row>
    <row r="198" spans="6:8" ht="15" x14ac:dyDescent="0.25">
      <c r="F198" s="11"/>
      <c r="G198" s="11"/>
      <c r="H198" s="11"/>
    </row>
    <row r="199" spans="6:8" ht="15" x14ac:dyDescent="0.25">
      <c r="F199" s="11"/>
      <c r="G199" s="11"/>
      <c r="H199" s="11"/>
    </row>
    <row r="200" spans="6:8" ht="15" x14ac:dyDescent="0.25">
      <c r="F200" s="11"/>
      <c r="G200" s="11"/>
      <c r="H200" s="11"/>
    </row>
    <row r="201" spans="6:8" ht="15" x14ac:dyDescent="0.25">
      <c r="F201" s="11"/>
      <c r="G201" s="11"/>
      <c r="H201" s="11"/>
    </row>
    <row r="202" spans="6:8" ht="15" x14ac:dyDescent="0.25">
      <c r="F202" s="11"/>
      <c r="G202" s="11"/>
      <c r="H202" s="11"/>
    </row>
    <row r="203" spans="6:8" ht="15" x14ac:dyDescent="0.25">
      <c r="F203" s="11"/>
      <c r="G203" s="11"/>
      <c r="H203" s="11"/>
    </row>
    <row r="204" spans="6:8" ht="15" x14ac:dyDescent="0.25">
      <c r="F204" s="11"/>
      <c r="G204" s="11"/>
      <c r="H204" s="11"/>
    </row>
    <row r="205" spans="6:8" ht="15" x14ac:dyDescent="0.25">
      <c r="F205" s="11"/>
      <c r="G205" s="11"/>
      <c r="H205" s="11"/>
    </row>
    <row r="206" spans="6:8" ht="15" x14ac:dyDescent="0.25">
      <c r="F206" s="11"/>
      <c r="G206" s="11"/>
      <c r="H206" s="11"/>
    </row>
    <row r="207" spans="6:8" ht="15" x14ac:dyDescent="0.25">
      <c r="F207" s="11"/>
      <c r="G207" s="11"/>
      <c r="H207" s="11"/>
    </row>
    <row r="208" spans="6:8" ht="15" x14ac:dyDescent="0.25">
      <c r="F208" s="11"/>
      <c r="G208" s="11"/>
      <c r="H208" s="11"/>
    </row>
    <row r="209" spans="6:8" ht="15" x14ac:dyDescent="0.25">
      <c r="F209" s="11"/>
      <c r="G209" s="11"/>
      <c r="H209" s="11"/>
    </row>
    <row r="210" spans="6:8" ht="15" x14ac:dyDescent="0.25">
      <c r="F210" s="11"/>
      <c r="G210" s="11"/>
      <c r="H210" s="11"/>
    </row>
    <row r="211" spans="6:8" ht="15" x14ac:dyDescent="0.25">
      <c r="F211" s="11"/>
      <c r="G211" s="11"/>
      <c r="H211" s="11"/>
    </row>
    <row r="212" spans="6:8" ht="15" x14ac:dyDescent="0.25">
      <c r="F212" s="11"/>
      <c r="G212" s="11"/>
      <c r="H212" s="11"/>
    </row>
    <row r="213" spans="6:8" ht="15" x14ac:dyDescent="0.25">
      <c r="F213" s="11"/>
      <c r="G213" s="11"/>
      <c r="H213" s="11"/>
    </row>
    <row r="214" spans="6:8" ht="15" x14ac:dyDescent="0.25">
      <c r="F214" s="11"/>
      <c r="G214" s="11"/>
      <c r="H214" s="11"/>
    </row>
    <row r="215" spans="6:8" ht="15" x14ac:dyDescent="0.25">
      <c r="F215" s="11"/>
      <c r="G215" s="11"/>
      <c r="H215" s="11"/>
    </row>
    <row r="216" spans="6:8" ht="15" x14ac:dyDescent="0.25">
      <c r="F216" s="11"/>
      <c r="G216" s="11"/>
      <c r="H216" s="11"/>
    </row>
    <row r="217" spans="6:8" ht="15" x14ac:dyDescent="0.25">
      <c r="F217" s="11"/>
      <c r="G217" s="11"/>
      <c r="H217" s="11"/>
    </row>
    <row r="218" spans="6:8" ht="15" x14ac:dyDescent="0.25">
      <c r="F218" s="11"/>
      <c r="G218" s="11"/>
      <c r="H218" s="11"/>
    </row>
    <row r="219" spans="6:8" ht="15" x14ac:dyDescent="0.25">
      <c r="F219" s="11"/>
      <c r="G219" s="11"/>
      <c r="H219" s="11"/>
    </row>
    <row r="220" spans="6:8" ht="15" x14ac:dyDescent="0.25">
      <c r="F220" s="11"/>
      <c r="G220" s="11"/>
      <c r="H220" s="11"/>
    </row>
    <row r="221" spans="6:8" ht="15" x14ac:dyDescent="0.25">
      <c r="F221" s="11"/>
      <c r="G221" s="11"/>
      <c r="H221" s="11"/>
    </row>
    <row r="222" spans="6:8" ht="15" x14ac:dyDescent="0.25">
      <c r="F222" s="11"/>
      <c r="G222" s="11"/>
      <c r="H222" s="11"/>
    </row>
    <row r="223" spans="6:8" ht="15" x14ac:dyDescent="0.25">
      <c r="F223" s="11"/>
      <c r="G223" s="11"/>
      <c r="H223" s="11"/>
    </row>
    <row r="224" spans="6:8" ht="15" x14ac:dyDescent="0.25">
      <c r="F224" s="11"/>
      <c r="G224" s="11"/>
      <c r="H224" s="11"/>
    </row>
    <row r="225" spans="6:8" ht="15" x14ac:dyDescent="0.25">
      <c r="F225" s="11"/>
      <c r="G225" s="11"/>
      <c r="H225" s="11"/>
    </row>
    <row r="226" spans="6:8" ht="15" x14ac:dyDescent="0.25">
      <c r="F226" s="11"/>
      <c r="G226" s="11"/>
      <c r="H226" s="11"/>
    </row>
    <row r="227" spans="6:8" ht="15" x14ac:dyDescent="0.25">
      <c r="F227" s="11"/>
      <c r="G227" s="11"/>
      <c r="H227" s="11"/>
    </row>
    <row r="228" spans="6:8" ht="15" x14ac:dyDescent="0.25">
      <c r="F228" s="11"/>
      <c r="G228" s="11"/>
      <c r="H228" s="11"/>
    </row>
    <row r="229" spans="6:8" ht="15" x14ac:dyDescent="0.25">
      <c r="F229" s="11"/>
      <c r="G229" s="11"/>
      <c r="H229" s="11"/>
    </row>
    <row r="230" spans="6:8" ht="15" x14ac:dyDescent="0.25">
      <c r="F230" s="11"/>
      <c r="G230" s="11"/>
      <c r="H230" s="11"/>
    </row>
    <row r="231" spans="6:8" ht="15" x14ac:dyDescent="0.25">
      <c r="F231" s="11"/>
      <c r="G231" s="11"/>
      <c r="H231" s="11"/>
    </row>
    <row r="232" spans="6:8" ht="15" x14ac:dyDescent="0.25">
      <c r="F232" s="11"/>
      <c r="G232" s="11"/>
      <c r="H232" s="11"/>
    </row>
    <row r="233" spans="6:8" ht="15" x14ac:dyDescent="0.25">
      <c r="F233" s="11"/>
      <c r="G233" s="11"/>
      <c r="H233" s="11"/>
    </row>
    <row r="234" spans="6:8" ht="15" x14ac:dyDescent="0.25">
      <c r="F234" s="11"/>
      <c r="G234" s="11"/>
      <c r="H234" s="11"/>
    </row>
    <row r="235" spans="6:8" ht="15" x14ac:dyDescent="0.25">
      <c r="F235" s="11"/>
      <c r="G235" s="11"/>
      <c r="H235" s="11"/>
    </row>
    <row r="236" spans="6:8" ht="15" x14ac:dyDescent="0.25">
      <c r="F236" s="11"/>
      <c r="G236" s="11"/>
      <c r="H236" s="11"/>
    </row>
    <row r="237" spans="6:8" ht="15" x14ac:dyDescent="0.25">
      <c r="F237" s="11"/>
      <c r="G237" s="11"/>
      <c r="H237" s="11"/>
    </row>
    <row r="238" spans="6:8" ht="15" x14ac:dyDescent="0.25">
      <c r="F238" s="11"/>
      <c r="G238" s="11"/>
      <c r="H238" s="11"/>
    </row>
    <row r="239" spans="6:8" ht="15" x14ac:dyDescent="0.25">
      <c r="F239" s="11"/>
      <c r="G239" s="11"/>
      <c r="H239" s="11"/>
    </row>
    <row r="240" spans="6:8" ht="15" x14ac:dyDescent="0.25">
      <c r="F240" s="11"/>
      <c r="G240" s="11"/>
      <c r="H240" s="11"/>
    </row>
    <row r="241" spans="6:8" ht="15" x14ac:dyDescent="0.25">
      <c r="F241" s="11"/>
      <c r="G241" s="11"/>
      <c r="H241" s="11"/>
    </row>
    <row r="242" spans="6:8" ht="15" x14ac:dyDescent="0.25">
      <c r="F242" s="11"/>
      <c r="G242" s="11"/>
      <c r="H242" s="11"/>
    </row>
    <row r="243" spans="6:8" ht="15" x14ac:dyDescent="0.25">
      <c r="F243" s="11"/>
      <c r="G243" s="11"/>
      <c r="H243" s="11"/>
    </row>
    <row r="244" spans="6:8" ht="15" x14ac:dyDescent="0.25">
      <c r="F244" s="11"/>
      <c r="G244" s="11"/>
      <c r="H244" s="11"/>
    </row>
    <row r="245" spans="6:8" ht="15" x14ac:dyDescent="0.25">
      <c r="F245" s="11"/>
      <c r="G245" s="11"/>
      <c r="H245" s="11"/>
    </row>
    <row r="246" spans="6:8" ht="15" x14ac:dyDescent="0.25">
      <c r="F246" s="11"/>
      <c r="G246" s="11"/>
      <c r="H246" s="11"/>
    </row>
    <row r="247" spans="6:8" ht="15" x14ac:dyDescent="0.25">
      <c r="F247" s="11"/>
      <c r="G247" s="11"/>
      <c r="H247" s="11"/>
    </row>
    <row r="248" spans="6:8" ht="15" x14ac:dyDescent="0.25">
      <c r="F248" s="11"/>
      <c r="G248" s="11"/>
      <c r="H248" s="11"/>
    </row>
    <row r="249" spans="6:8" ht="15" x14ac:dyDescent="0.25">
      <c r="F249" s="11"/>
      <c r="G249" s="11"/>
      <c r="H249" s="11"/>
    </row>
    <row r="250" spans="6:8" ht="15" x14ac:dyDescent="0.25">
      <c r="F250" s="11"/>
      <c r="G250" s="11"/>
      <c r="H250" s="11"/>
    </row>
    <row r="251" spans="6:8" ht="15" x14ac:dyDescent="0.25">
      <c r="F251" s="11"/>
      <c r="G251" s="11"/>
      <c r="H251" s="11"/>
    </row>
    <row r="252" spans="6:8" ht="15" x14ac:dyDescent="0.25">
      <c r="F252" s="11"/>
      <c r="G252" s="11"/>
      <c r="H252" s="11"/>
    </row>
    <row r="253" spans="6:8" ht="15" x14ac:dyDescent="0.25">
      <c r="F253" s="11"/>
      <c r="G253" s="11"/>
      <c r="H253" s="11"/>
    </row>
    <row r="254" spans="6:8" ht="15" x14ac:dyDescent="0.25">
      <c r="F254" s="11"/>
      <c r="G254" s="11"/>
      <c r="H254" s="11"/>
    </row>
    <row r="255" spans="6:8" ht="15" x14ac:dyDescent="0.25">
      <c r="F255" s="11"/>
      <c r="G255" s="11"/>
      <c r="H255" s="11"/>
    </row>
    <row r="256" spans="6:8" ht="15" x14ac:dyDescent="0.25">
      <c r="F256" s="11"/>
      <c r="G256" s="11"/>
      <c r="H256" s="11"/>
    </row>
    <row r="257" spans="6:8" ht="15" x14ac:dyDescent="0.25">
      <c r="F257" s="11"/>
      <c r="G257" s="11"/>
      <c r="H257" s="11"/>
    </row>
    <row r="258" spans="6:8" ht="15" x14ac:dyDescent="0.25">
      <c r="F258" s="11"/>
      <c r="G258" s="11"/>
      <c r="H258" s="11"/>
    </row>
    <row r="259" spans="6:8" ht="15" x14ac:dyDescent="0.25">
      <c r="F259" s="11"/>
      <c r="G259" s="11"/>
      <c r="H259" s="11"/>
    </row>
    <row r="260" spans="6:8" ht="15" x14ac:dyDescent="0.25">
      <c r="F260" s="11"/>
      <c r="G260" s="11"/>
      <c r="H260" s="11"/>
    </row>
    <row r="261" spans="6:8" ht="15" x14ac:dyDescent="0.25">
      <c r="F261" s="11"/>
      <c r="G261" s="11"/>
      <c r="H261" s="11"/>
    </row>
    <row r="262" spans="6:8" ht="15" x14ac:dyDescent="0.25">
      <c r="F262" s="11"/>
      <c r="G262" s="11"/>
      <c r="H262" s="11"/>
    </row>
    <row r="263" spans="6:8" ht="15" x14ac:dyDescent="0.25">
      <c r="F263" s="11"/>
      <c r="G263" s="11"/>
      <c r="H263" s="11"/>
    </row>
    <row r="264" spans="6:8" ht="15" x14ac:dyDescent="0.25">
      <c r="F264" s="11"/>
      <c r="G264" s="11"/>
      <c r="H264" s="11"/>
    </row>
    <row r="265" spans="6:8" ht="15" x14ac:dyDescent="0.25">
      <c r="F265" s="11"/>
      <c r="G265" s="11"/>
      <c r="H265" s="11"/>
    </row>
    <row r="266" spans="6:8" ht="15" x14ac:dyDescent="0.25">
      <c r="F266" s="11"/>
      <c r="G266" s="11"/>
      <c r="H266" s="11"/>
    </row>
    <row r="267" spans="6:8" ht="15" x14ac:dyDescent="0.25">
      <c r="F267" s="11"/>
      <c r="G267" s="11"/>
      <c r="H267" s="11"/>
    </row>
    <row r="268" spans="6:8" ht="15" x14ac:dyDescent="0.25">
      <c r="F268" s="11"/>
      <c r="G268" s="11"/>
      <c r="H268" s="11"/>
    </row>
    <row r="269" spans="6:8" ht="15" x14ac:dyDescent="0.25">
      <c r="F269" s="11"/>
      <c r="G269" s="11"/>
      <c r="H269" s="11"/>
    </row>
    <row r="270" spans="6:8" ht="15" x14ac:dyDescent="0.25">
      <c r="F270" s="11"/>
      <c r="G270" s="11"/>
      <c r="H270" s="11"/>
    </row>
    <row r="271" spans="6:8" ht="15" x14ac:dyDescent="0.25">
      <c r="F271" s="11"/>
      <c r="G271" s="11"/>
      <c r="H271" s="11"/>
    </row>
    <row r="272" spans="6:8" ht="15" x14ac:dyDescent="0.25">
      <c r="F272" s="11"/>
      <c r="G272" s="11"/>
      <c r="H272" s="11"/>
    </row>
    <row r="273" spans="6:8" ht="15" x14ac:dyDescent="0.25">
      <c r="F273" s="11"/>
      <c r="G273" s="11"/>
      <c r="H273" s="11"/>
    </row>
    <row r="274" spans="6:8" ht="15" x14ac:dyDescent="0.25">
      <c r="F274" s="11"/>
      <c r="G274" s="11"/>
      <c r="H274" s="11"/>
    </row>
    <row r="275" spans="6:8" ht="15" x14ac:dyDescent="0.25">
      <c r="F275" s="11"/>
      <c r="G275" s="11"/>
      <c r="H275" s="11"/>
    </row>
    <row r="276" spans="6:8" ht="15" x14ac:dyDescent="0.25">
      <c r="F276" s="11"/>
      <c r="G276" s="11"/>
      <c r="H276" s="11"/>
    </row>
    <row r="277" spans="6:8" ht="15" x14ac:dyDescent="0.25">
      <c r="F277" s="11"/>
      <c r="G277" s="11"/>
      <c r="H277" s="11"/>
    </row>
    <row r="278" spans="6:8" ht="15" x14ac:dyDescent="0.25">
      <c r="F278" s="11"/>
      <c r="G278" s="11"/>
      <c r="H278" s="11"/>
    </row>
    <row r="279" spans="6:8" ht="15" x14ac:dyDescent="0.25">
      <c r="F279" s="11"/>
      <c r="G279" s="11"/>
      <c r="H279" s="11"/>
    </row>
    <row r="280" spans="6:8" ht="15" x14ac:dyDescent="0.25">
      <c r="F280" s="11"/>
      <c r="G280" s="11"/>
      <c r="H280" s="11"/>
    </row>
    <row r="281" spans="6:8" ht="15" x14ac:dyDescent="0.25">
      <c r="F281" s="11"/>
      <c r="G281" s="11"/>
      <c r="H281" s="11"/>
    </row>
    <row r="282" spans="6:8" ht="15" x14ac:dyDescent="0.25">
      <c r="F282" s="11"/>
      <c r="G282" s="11"/>
      <c r="H282" s="11"/>
    </row>
    <row r="283" spans="6:8" ht="15" x14ac:dyDescent="0.25">
      <c r="F283" s="11"/>
      <c r="G283" s="11"/>
      <c r="H283" s="11"/>
    </row>
    <row r="284" spans="6:8" ht="15" x14ac:dyDescent="0.25">
      <c r="F284" s="11"/>
      <c r="G284" s="11"/>
      <c r="H284" s="11"/>
    </row>
    <row r="285" spans="6:8" ht="15" x14ac:dyDescent="0.25">
      <c r="F285" s="11"/>
      <c r="G285" s="11"/>
      <c r="H285" s="11"/>
    </row>
    <row r="286" spans="6:8" ht="15" x14ac:dyDescent="0.25">
      <c r="F286" s="11"/>
      <c r="G286" s="11"/>
      <c r="H286" s="11"/>
    </row>
    <row r="287" spans="6:8" ht="15" x14ac:dyDescent="0.25">
      <c r="F287" s="11"/>
      <c r="G287" s="11"/>
      <c r="H287" s="11"/>
    </row>
    <row r="288" spans="6:8" ht="15" x14ac:dyDescent="0.25">
      <c r="F288" s="11"/>
      <c r="G288" s="11"/>
      <c r="H288" s="11"/>
    </row>
    <row r="289" spans="6:8" ht="15" x14ac:dyDescent="0.25">
      <c r="F289" s="11"/>
      <c r="G289" s="11"/>
      <c r="H289" s="11"/>
    </row>
    <row r="290" spans="6:8" ht="15" x14ac:dyDescent="0.25">
      <c r="F290" s="11"/>
      <c r="G290" s="11"/>
      <c r="H290" s="11"/>
    </row>
    <row r="291" spans="6:8" ht="15" x14ac:dyDescent="0.25">
      <c r="F291" s="11"/>
      <c r="G291" s="11"/>
      <c r="H291" s="11"/>
    </row>
    <row r="292" spans="6:8" ht="15" x14ac:dyDescent="0.25">
      <c r="F292" s="11"/>
      <c r="G292" s="11"/>
      <c r="H292" s="11"/>
    </row>
    <row r="293" spans="6:8" ht="15" x14ac:dyDescent="0.25">
      <c r="F293" s="11"/>
      <c r="G293" s="11"/>
      <c r="H293" s="11"/>
    </row>
    <row r="294" spans="6:8" ht="15" x14ac:dyDescent="0.25">
      <c r="F294" s="11"/>
      <c r="G294" s="11"/>
      <c r="H294" s="11"/>
    </row>
    <row r="295" spans="6:8" ht="15" x14ac:dyDescent="0.25">
      <c r="F295" s="11"/>
      <c r="G295" s="11"/>
      <c r="H295" s="11"/>
    </row>
    <row r="296" spans="6:8" ht="15" x14ac:dyDescent="0.25">
      <c r="F296" s="11"/>
      <c r="G296" s="11"/>
      <c r="H296" s="11"/>
    </row>
    <row r="297" spans="6:8" ht="15" x14ac:dyDescent="0.25">
      <c r="F297" s="11"/>
      <c r="G297" s="11"/>
      <c r="H297" s="11"/>
    </row>
    <row r="298" spans="6:8" ht="15" x14ac:dyDescent="0.25">
      <c r="F298" s="11"/>
      <c r="G298" s="11"/>
      <c r="H298" s="11"/>
    </row>
    <row r="299" spans="6:8" ht="15" x14ac:dyDescent="0.25">
      <c r="F299" s="11"/>
      <c r="G299" s="11"/>
      <c r="H299" s="11"/>
    </row>
    <row r="300" spans="6:8" ht="15" x14ac:dyDescent="0.25">
      <c r="F300" s="11"/>
      <c r="G300" s="11"/>
      <c r="H300" s="11"/>
    </row>
    <row r="301" spans="6:8" ht="15" x14ac:dyDescent="0.25">
      <c r="F301" s="11"/>
      <c r="G301" s="11"/>
      <c r="H301" s="11"/>
    </row>
    <row r="302" spans="6:8" ht="15" x14ac:dyDescent="0.25">
      <c r="F302" s="11"/>
      <c r="G302" s="11"/>
      <c r="H302" s="11"/>
    </row>
    <row r="303" spans="6:8" ht="15" x14ac:dyDescent="0.25">
      <c r="F303" s="11"/>
      <c r="G303" s="11"/>
      <c r="H303" s="11"/>
    </row>
    <row r="304" spans="6:8" ht="15" x14ac:dyDescent="0.25">
      <c r="F304" s="11"/>
      <c r="G304" s="11"/>
      <c r="H304" s="11"/>
    </row>
    <row r="305" spans="6:8" ht="15" x14ac:dyDescent="0.25">
      <c r="F305" s="11"/>
      <c r="G305" s="11"/>
      <c r="H305" s="11"/>
    </row>
    <row r="306" spans="6:8" ht="15" x14ac:dyDescent="0.25">
      <c r="F306" s="11"/>
      <c r="G306" s="11"/>
      <c r="H306" s="11"/>
    </row>
    <row r="307" spans="6:8" ht="15" x14ac:dyDescent="0.25">
      <c r="F307" s="11"/>
      <c r="G307" s="11"/>
      <c r="H307" s="11"/>
    </row>
    <row r="308" spans="6:8" ht="15" x14ac:dyDescent="0.25">
      <c r="F308" s="11"/>
      <c r="G308" s="11"/>
      <c r="H308" s="11"/>
    </row>
    <row r="309" spans="6:8" ht="15" x14ac:dyDescent="0.25">
      <c r="F309" s="11"/>
      <c r="G309" s="11"/>
      <c r="H309" s="11"/>
    </row>
    <row r="310" spans="6:8" ht="15" x14ac:dyDescent="0.25">
      <c r="F310" s="11"/>
      <c r="G310" s="11"/>
      <c r="H310" s="11"/>
    </row>
    <row r="311" spans="6:8" ht="15" x14ac:dyDescent="0.25">
      <c r="F311" s="11"/>
      <c r="G311" s="11"/>
      <c r="H311" s="11"/>
    </row>
    <row r="312" spans="6:8" ht="15" x14ac:dyDescent="0.25">
      <c r="F312" s="11"/>
      <c r="G312" s="11"/>
      <c r="H312" s="11"/>
    </row>
  </sheetData>
  <sortState xmlns:xlrd2="http://schemas.microsoft.com/office/spreadsheetml/2017/richdata2" ref="E67:F89">
    <sortCondition ref="E67:E89"/>
  </sortState>
  <mergeCells count="1">
    <mergeCell ref="B3:E5"/>
  </mergeCells>
  <phoneticPr fontId="19" type="noConversion"/>
  <hyperlinks>
    <hyperlink ref="C10:C11" location="'Todos los Niveles'!A1" display="Evolución de la duración real por nivel global de formación " xr:uid="{00000000-0004-0000-0000-000000000000}"/>
    <hyperlink ref="C16:C29" location="Pregrado!A1" display="Evolución de la duración real de las carreras de pregrado por tipo de institución " xr:uid="{00000000-0004-0000-0000-000001000000}"/>
    <hyperlink ref="C45:C48" location="Posgrado!A1" display="Evolución de duración real de programas de posgrado por tipo de programa ." xr:uid="{00000000-0004-0000-0000-000002000000}"/>
    <hyperlink ref="C69:D71" location="Género!A1" display="Evolución de la duración real de las 20 carrera de pregrado con mayor nº de titulados - Universidades, según sexo " xr:uid="{00000000-0004-0000-0000-000003000000}"/>
    <hyperlink ref="C10" location="'Todos los Niveles'!A5" display="Evolución de la duración real por nivel global de formación " xr:uid="{00000000-0004-0000-0000-000004000000}"/>
    <hyperlink ref="C11" location="'Todos los Niveles'!A17" display="Evolución Duración Real y Formal de las carreras por nivel de formación y tipo de carrera" xr:uid="{00000000-0004-0000-0000-000005000000}"/>
    <hyperlink ref="C16" location="'Duración Real Pregrado'!A6" display="Evolución Duración Real de las carreras de pregrado por tipo de institución " xr:uid="{00000000-0004-0000-0000-000006000000}"/>
    <hyperlink ref="C17" location="'Duración Real Pregrado'!A13" display="Evolución Duración Real de las carreras de pregrado por tipo específico de institución " xr:uid="{00000000-0004-0000-0000-000007000000}"/>
    <hyperlink ref="C18" location="'Duración Real Pregrado'!A23" display="Evolución Duración Real de las carreras de pregrado por tipo de carrera " xr:uid="{00000000-0004-0000-0000-000008000000}"/>
    <hyperlink ref="C19" location="'Duración Real Pregrado'!A33" display="Evolución Duración Real de las carreras de pregrado por tipo de institución y carrera " xr:uid="{00000000-0004-0000-0000-000009000000}"/>
    <hyperlink ref="C20" location="'Duración Real Pregrado'!A47" display="Evolución Duración Real de las carreras de pregrado por tipo general de carrera y área del conocimiento " xr:uid="{00000000-0004-0000-0000-00000A000000}"/>
    <hyperlink ref="C22" location="'Duración Real Pregrado'!A99" display="Evolución Duración Real de las carreras de pregrado por tipo general de carrera y jornada " xr:uid="{00000000-0004-0000-0000-00000B000000}"/>
    <hyperlink ref="C23" location="'Duración Real Pregrado'!A116" display="Evolución Duración Real de las carreras de pregrado por tipo general de carrera y región " xr:uid="{00000000-0004-0000-0000-00000C000000}"/>
    <hyperlink ref="C24" location="'Duración Real Pregrado'!A154" display="Evolución Duración Real de las 20 carreras de pregrado con más titulados - Universidades " xr:uid="{00000000-0004-0000-0000-00000D000000}"/>
    <hyperlink ref="C25" location="'Duración Real Pregrado'!A178" display="Evolución Duración Real de las 20 carreras de pregrado con más titulados - IP " xr:uid="{00000000-0004-0000-0000-00000E000000}"/>
    <hyperlink ref="C26" location="'Duración Real Pregrado'!A201" display="Evolución Duración Real de las 20 carreras de pregrado con más titulados - CFT " xr:uid="{00000000-0004-0000-0000-00000F000000}"/>
    <hyperlink ref="C27" location="'Duración Real Pregrado'!A224" display="Evolución Duración Real de las carreras de pregrado con mayor duración - Universidades " xr:uid="{00000000-0004-0000-0000-000010000000}"/>
    <hyperlink ref="C28" location="'Duración Real Pregrado'!A248" display="Evolución Duración Real de las carreras de pregrado con mayor duración - IP  " xr:uid="{00000000-0004-0000-0000-000011000000}"/>
    <hyperlink ref="C29" location="'Duración Real Pregrado'!A272" display="Evolución Duración Real de las carreras de pregrado con mayor duración - CFT  " xr:uid="{00000000-0004-0000-0000-000012000000}"/>
    <hyperlink ref="C45" location="'Duración Real Posgrado'!A6" display="Evolución Duración Real de programas de posgrado por tipo de programa " xr:uid="{00000000-0004-0000-0000-000013000000}"/>
    <hyperlink ref="C46" location="'Duración Real Posgrado'!A12" display="Evolución Duración Real de programas de posgrado por tipo de programa y tipo de universidad " xr:uid="{00000000-0004-0000-0000-000014000000}"/>
    <hyperlink ref="C47" location="'Duración Real Posgrado'!A25" display="Evolución Duración Real de programas de doctorado por área del conocimiento " xr:uid="{00000000-0004-0000-0000-000015000000}"/>
    <hyperlink ref="C48" location="'Duración Real Posgrado'!A40" display="Evolución Duración Real de programas de magíster por área del conocimiento " xr:uid="{00000000-0004-0000-0000-000016000000}"/>
    <hyperlink ref="C61" location="'DR y DEE por Sexo'!A6" display="Evolución Duración Real de carreras de pregrado por sexo " xr:uid="{00000000-0004-0000-0000-000017000000}"/>
    <hyperlink ref="C62" location="'DR y DEE por Sexo'!A15" display="Evolución Duración Real de carreras de pregrado por sexo y tipo de institución" xr:uid="{00000000-0004-0000-0000-000018000000}"/>
    <hyperlink ref="C63" location="'DR y DEE por Sexo'!A31" display="Evolución Duración Real de carreras de pregrado por sexo y tipo de carrera" xr:uid="{00000000-0004-0000-0000-000019000000}"/>
    <hyperlink ref="C64" location="'DR y DEE por Sexo'!A45" display="Evolución Duración Real de carreras de pregrado por sexo y tipo de carrera específico" xr:uid="{00000000-0004-0000-0000-00001A000000}"/>
    <hyperlink ref="C65" location="'DR y DEE por Sexo'!A66" display="Evolución Duración Real de carreras profesionales por sexo y tipo de institución" xr:uid="{00000000-0004-0000-0000-00001B000000}"/>
    <hyperlink ref="C66" location="'DR y DEE por Sexo'!A79" display="Evolución Duración Real de carreras profesionales por sexo y jornada" xr:uid="{00000000-0004-0000-0000-00001D000000}"/>
    <hyperlink ref="C67" location="'DR y DEE por Sexo'!A105" display="Evolución Duración Real y en Exceso de carreras profesionales por sexo y área del conocimiento" xr:uid="{00000000-0004-0000-0000-00001E000000}"/>
    <hyperlink ref="C69" location="'DR y DEE por Sexo'!A195" display="Evolución Duración Real y en Exceso de carreras técnicas por sexo y tipo de institución" xr:uid="{00000000-0004-0000-0000-00001F000000}"/>
    <hyperlink ref="C70" location="'DR y DEE por Sexo'!A212" display="Evolución Duración Real y en Exceso de carreras técnicas por sexo y jornada" xr:uid="{00000000-0004-0000-0000-000020000000}"/>
    <hyperlink ref="C71" location="'DR y DEE por Sexo'!A237" display="Evolución Duración Real y en Exceso de carreras técnicas por sexo y área del conocimiento" xr:uid="{00000000-0004-0000-0000-000021000000}"/>
    <hyperlink ref="C73" location="'DR y DEE por Sexo'!A328" display="Evolución Duración Real de las 20 carreras de pregrado con más titulados según sexo - Universidades" xr:uid="{00000000-0004-0000-0000-000022000000}"/>
    <hyperlink ref="C74" location="'DR y DEE por Sexo'!A391" display="Evolución Duración Real de las 20 carreras de pregrado con más titulados según sexo - IP" xr:uid="{00000000-0004-0000-0000-000023000000}"/>
    <hyperlink ref="C75" location="'DR y DEE por Sexo'!A454" display="Evolución Duración Real de las 20 carreras de pregrado con más titulados según sexo - CFT" xr:uid="{00000000-0004-0000-0000-000024000000}"/>
    <hyperlink ref="C76" location="'DR y DEE por Sexo'!A517" display="Evolución Duración Real y en Exceso de programas de posgrado por tipo de programa y sexo " xr:uid="{00000000-0004-0000-0000-000025000000}"/>
    <hyperlink ref="C88" location="'Sobreduración de las carreras'!A35" display="Evolución del porcentaje de sobreduración de las carreras según tipo de carrera - Pregrado" xr:uid="{00000000-0004-0000-0000-000027000000}"/>
    <hyperlink ref="C89" location="'Sobreduración de las carreras'!A43" display="Evolución del porcentaje de sobreduración de las carreras según tipo de institución y de carrera - Pregrado" xr:uid="{00000000-0004-0000-0000-000028000000}"/>
    <hyperlink ref="C90" location="'Sobreduración de las carreras'!A57" display="Evolución del porcentaje de sobreduración de las carreras según área del conocimiento - Pregrado" xr:uid="{00000000-0004-0000-0000-000029000000}"/>
    <hyperlink ref="C91" location="'Sobreduración de las carreras'!A83" display="Evolución del porcentaje de sobreduración de las carreras según jornada - Pregrado" xr:uid="{00000000-0004-0000-0000-00002A000000}"/>
    <hyperlink ref="C92" location="'Sobreduración de las carreras'!A92" display="Evolución del porcentaje de sobreduración de las carreras según región - Pregrado" xr:uid="{00000000-0004-0000-0000-00002B000000}"/>
    <hyperlink ref="C93" location="'Sobreduración de las carreras'!A112" display="Evolución del porcentaje de sobreduración de las carreras pregrado con más titulados - Universidades" xr:uid="{00000000-0004-0000-0000-00002C000000}"/>
    <hyperlink ref="C94" location="'Sobreduración de las carreras'!A123" display="Evolución del porcentaje de sobreduración de las carreras pregrado con más titulados - IP" xr:uid="{00000000-0004-0000-0000-00002D000000}"/>
    <hyperlink ref="C95" location="'Sobreduración de las carreras'!A164" display="Evolución del porcentaje de sobreduración de las carreras pregrado con más titulados - CFT" xr:uid="{00000000-0004-0000-0000-00002E000000}"/>
    <hyperlink ref="C97" location="'Sobreduración de las carreras'!A201" display="Evolución del porcentaje de sobreduración de los programas según tipo de programa - Posgrado" xr:uid="{00000000-0004-0000-0000-00002F000000}"/>
    <hyperlink ref="C98" location="'Sobreduración de las carreras'!A207" display="Evolución del porcentaje de sobreduración de los programas según tipo de programa y de universidad - Posgrado" xr:uid="{00000000-0004-0000-0000-000030000000}"/>
    <hyperlink ref="C99:C100" location="Sobreduración!A1" display="Evolución del porcentaje de sobreduración de los programas por nivel global de formación" xr:uid="{00000000-0004-0000-0000-000031000000}"/>
    <hyperlink ref="C99" location="'Sobreduración de las carreras'!A217" display="Evolución del porcentaje de sobreduración de los programas según tipo de programa - Postítulo" xr:uid="{00000000-0004-0000-0000-000032000000}"/>
    <hyperlink ref="C100" location="'Sobreduración de las carreras'!A224" display="Evolución del porcentaje de sobreduración de los programas según tipo de programa y de universidad - Postítulo" xr:uid="{00000000-0004-0000-0000-000033000000}"/>
    <hyperlink ref="C103:C107" location="'Duración Real Instituciones'!A1" display="Evolución Duración Real de Carreras Técnicas de CFT " xr:uid="{00000000-0004-0000-0000-000034000000}"/>
    <hyperlink ref="C103" location="'Duración Real Instituciones'!A5" display="Evolución Duración Real de Carreras Técnicas de CFT " xr:uid="{00000000-0004-0000-0000-000035000000}"/>
    <hyperlink ref="C104" location="'Duración Real Instituciones'!A47" display="Evolución Duración Real de Carreras Técnicas de IP" xr:uid="{00000000-0004-0000-0000-000036000000}"/>
    <hyperlink ref="C105" location="'Duración Real Instituciones'!A78" display="Evolución Duración Real de Carreras Técnicas de Universidades" xr:uid="{00000000-0004-0000-0000-000037000000}"/>
    <hyperlink ref="C106" location="'Duración Real Instituciones'!A106" display="Evolución Duración Real de Carreras Profesionales de IP" xr:uid="{00000000-0004-0000-0000-000038000000}"/>
    <hyperlink ref="C107" location="'Duración Real Instituciones'!A139" display="Evolución Duración Real de Carreras Profesionales de Universidades" xr:uid="{00000000-0004-0000-0000-000039000000}"/>
    <hyperlink ref="C77" location="'DR y DEE por Sexo'!A534" display="Evolución Duración Real y en Exceso de programas de postítulo por tipo de programa y sexo " xr:uid="{00000000-0004-0000-0000-00003A000000}"/>
    <hyperlink ref="C33:C40" location="Pregrado!A1" display="Evolución de la duración real de las carreras de pregrado por tipo de institución " xr:uid="{00000000-0004-0000-0000-00003B000000}"/>
    <hyperlink ref="C33" location="'Duración en Exceso'!A5" display="Evolución Duración en Exceso de las carreras de pregrado por tipo de institución " xr:uid="{00000000-0004-0000-0000-00003C000000}"/>
    <hyperlink ref="C34" location="'Duración en Exceso'!A12" display="Evolución Duración en Exceso de las carreras de pregrado por tipo específico de institución " xr:uid="{00000000-0004-0000-0000-00003D000000}"/>
    <hyperlink ref="C35" location="'Duración en Exceso'!A22" display="Evolución Duración en Exceso de las carreras de pregrado por tipo de carrera " xr:uid="{00000000-0004-0000-0000-00003E000000}"/>
    <hyperlink ref="C36" location="'Duración en Exceso'!A32" display="Evolución Duración en Exceso de las carreras de pregrado por tipo de institución y carrera " xr:uid="{00000000-0004-0000-0000-00003F000000}"/>
    <hyperlink ref="C37" location="'Duración en Exceso'!A47" display="Evolución Duración en Exceso de las carreras de pregrado por tipo general de carrera y área del conocimiento " xr:uid="{00000000-0004-0000-0000-000040000000}"/>
    <hyperlink ref="C39" location="'Duración en Exceso'!A99" display="Evolución Duración en Exceso de las carreras de pregrado por tipo general de carrera y jornada " xr:uid="{00000000-0004-0000-0000-000041000000}"/>
    <hyperlink ref="C40" location="'Duración en Exceso'!A121" display="Evolución Duración en Exceso de las carreras de pregrado por tipo general de carrera y región " xr:uid="{00000000-0004-0000-0000-000042000000}"/>
    <hyperlink ref="C87" location="'Sobreduración de las carreras'!A28" display="Evolución del porcentaje de sobreduración de las carreras según tipo de institución - Pregrado" xr:uid="{00000000-0004-0000-0000-000043000000}"/>
    <hyperlink ref="C86" location="'Sobreduración de las carreras'!A13" display="Evolución del porcentaje de sobreduración de los programas por nivel de formación y sexo" xr:uid="{00000000-0004-0000-0000-000044000000}"/>
    <hyperlink ref="C85" location="'Sobreduración de las carreras'!A6" display="Evolución del porcentaje de sobreduración de los programas por nivel de formación" xr:uid="{00000000-0004-0000-0000-000045000000}"/>
    <hyperlink ref="C12" location="'Todos los Niveles'!A45" display="Evolución Duración en Exceso de las carreras por nivel de formación" xr:uid="{00000000-0004-0000-0000-000046000000}"/>
    <hyperlink ref="C13" location="'Todos los Niveles'!A54" display="Evolución Duración en Exceso de las carreras por nivel de formación y carrera" xr:uid="{00000000-0004-0000-0000-000047000000}"/>
    <hyperlink ref="C41" location="'Duración en Exceso'!A159" display="Evolución Duración en Exceso según nivel global y tipo general de carrera" xr:uid="{CE5D1CB2-8019-442F-B4B3-D51758EFA9D0}"/>
    <hyperlink ref="C80" location="'Durac. Real y Exceso Carr'!A5" display="Duración Real y en Exceso de carreras genéricas de pregrado sobre 100 titulados 2023 - Universidades" xr:uid="{BBBA70D0-7CEF-4170-A57A-9E6517B8AB50}"/>
    <hyperlink ref="C81" location="'Durac. Real y Exceso Carr'!A101" display="Duración Real y en Exceso de carreras genéricas de pregrado sobre 100 titulados 2023 - Institutos Profesionales" xr:uid="{102C9906-7D65-411A-822B-1211D0F1F3EE}"/>
    <hyperlink ref="C82" location="'Durac. Real y Exceso Carr'!A194" display="Duración Real y en Exceso de carreras genéricas de pregrado sobre 100 titulados 2023 - Centros de Formación Técnica" xr:uid="{2D6664C7-77EE-4551-B99E-823192A28C8F}"/>
    <hyperlink ref="C21" location="'Duración Real Pregrado'!A73" display="Evolución Duración Real de las carreras de pregrado por tipo general de carrera y campo amplio CINE-P 2013." xr:uid="{A4B3CD67-AD02-4C3D-AFCE-24234FF1FCE3}"/>
    <hyperlink ref="C30" location="'Duración Real Pregrado'!A296" display="Evolución de la Duración Real de carreras de Pedagogía (con 100 o más casos válidos de titulación en 2024) - Universidades" xr:uid="{895A6273-4CF3-4FB8-BF8B-7B6C59C0C0D9}"/>
    <hyperlink ref="C38" location="'Duración en Exceso'!A73" display="Evolución Duración en Exceso de las carreras de Pregrado por tipo general de carrera y campo amplio CINE-P 2013" xr:uid="{35D494D2-2B10-4697-A5E8-24B479C2E03E}"/>
    <hyperlink ref="C42" location="'Duración en Exceso'!A175" display="Evolución de la Duración en Exceso de carreras de Pedagogía (con 100 o más casos válidos de titulación en 2024) - Universidades" xr:uid="{EB1D8A3F-82D8-493A-AFB2-E627B7A8002E}"/>
    <hyperlink ref="C49:C50" location="Posgrado!A1" display="Evolución de duración real de programas de posgrado por tipo de programa ." xr:uid="{3F84AD65-AD13-4338-A456-9098754FF9B1}"/>
    <hyperlink ref="C68" location="'DR y DEE por Sexo'!A150" display="Evolución Duración Real y en Exceso de carreras profesionales por sexo y área CINE/Unesco 2013" xr:uid="{6BBEBFB8-8CE3-461F-A691-F05A69538D50}"/>
    <hyperlink ref="C72" location="'DR y DEE por Sexo'!A282" display="Evolución Duración Real y en Exceso de carreras técnicas por sexo y área CINE/Unesco 2013" xr:uid="{AC70CDE6-CBC3-4D79-B8B4-1A1F243DEAC8}"/>
    <hyperlink ref="C96" location="'Sobreduración de las carreras'!A188" display="Evolución de la Sobreduración de carreras de Pedagogía (con 100 o más casos válidos de titulación en 2024) - Universidades" xr:uid="{29EDC860-5A08-426D-A726-F21D84860A80}"/>
    <hyperlink ref="C49" location="'Duración Real Posgrado'!A54" display="Evolución Duración Real de programas de doctorado por área CINE/Unesco 2013" xr:uid="{57AB04CD-47D0-4C02-A389-9029D9117781}"/>
    <hyperlink ref="C50" location="'Duración Real Posgrado'!A69" display="Evolución Duración Real de programas de magíster por área CINE/Unesco 2013 " xr:uid="{B708ACB9-09B1-4133-A048-602161FBF32B}"/>
    <hyperlink ref="C53:C56" location="Posgrado!A1" display="Evolución de duración real de programas de posgrado por tipo de programa ." xr:uid="{2C8DBC9D-519D-488A-BEEF-53EF0D57D943}"/>
    <hyperlink ref="C53" location="'Duración Real Postítulo'!A6" display="Evolución Duración Real de programas de postítulo por tipo de programa " xr:uid="{300B442A-329A-4352-B9A3-23E9E561CD9A}"/>
    <hyperlink ref="C54" location="'Duración Real Postítulo'!A13" display="Evolución Duración Real de programas de postítulo por tipo de programa y tipo de institución" xr:uid="{6812812E-0823-4834-961C-6CA22D3A3F34}"/>
    <hyperlink ref="C55" location="'Duración Real Postítulo'!A33" display="Evolución Duración Real de programas de postítulo por área del conocimiento " xr:uid="{F7689B39-1D9E-4F2A-A070-1F90E1BF6A47}"/>
    <hyperlink ref="C56" location="'Duración Real Postítulo'!A48" display="Evolución Duración Real de programas de diplomado por área del conocimiento " xr:uid="{A08D86FC-FE98-43A8-B374-40A5936DF4DF}"/>
    <hyperlink ref="C57:C58" location="Posgrado!A1" display="Evolución de duración real de programas de posgrado por tipo de programa ." xr:uid="{7DD7C9F2-F6AC-43D5-AD89-7193BA7C871B}"/>
    <hyperlink ref="C57" location="'Duración Real Postítulo'!A63" display="Evolución Duración Real de programas de postítulo por área CINE/Unesco 2013" xr:uid="{D60CA01E-970F-4BB4-BB55-CE1A016E65F2}"/>
    <hyperlink ref="C58" location="'Duración Real Postítulo'!A78" display="Evolución Duración Real de programas de diplomado por área CINE/Unesco 2013 " xr:uid="{94563D2F-88B1-45BC-9345-85065CDC0E37}"/>
  </hyperlink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B416"/>
  <sheetViews>
    <sheetView showGridLines="0" zoomScale="80" zoomScaleNormal="80" workbookViewId="0">
      <pane ySplit="3" topLeftCell="A4" activePane="bottomLeft" state="frozenSplit"/>
      <selection pane="bottomLeft" activeCell="A6" sqref="A6"/>
    </sheetView>
  </sheetViews>
  <sheetFormatPr baseColWidth="10" defaultRowHeight="15.75" x14ac:dyDescent="0.25"/>
  <cols>
    <col min="1" max="1" width="34.42578125" style="41" customWidth="1"/>
    <col min="2" max="2" width="8.7109375" style="41" customWidth="1"/>
    <col min="3" max="20" width="9.28515625" style="85" customWidth="1"/>
    <col min="21" max="23" width="11.7109375" style="41" customWidth="1"/>
    <col min="24" max="24" width="8" style="44" customWidth="1"/>
    <col min="25" max="30" width="8" style="5" customWidth="1"/>
    <col min="31" max="16384" width="11.42578125" style="5"/>
  </cols>
  <sheetData>
    <row r="1" spans="1:24" ht="21" customHeight="1" x14ac:dyDescent="0.35">
      <c r="A1" s="46" t="s">
        <v>542</v>
      </c>
      <c r="B1" s="46"/>
      <c r="C1" s="84"/>
      <c r="D1" s="84"/>
      <c r="E1" s="84"/>
      <c r="F1" s="84"/>
      <c r="G1" s="84"/>
      <c r="H1" s="84"/>
      <c r="I1" s="84"/>
      <c r="J1" s="84"/>
      <c r="K1" s="84"/>
      <c r="L1" s="84"/>
      <c r="M1" s="84"/>
      <c r="N1" s="84"/>
      <c r="O1" s="84"/>
      <c r="P1" s="84"/>
      <c r="Q1" s="84"/>
      <c r="R1" s="84"/>
      <c r="S1" s="84"/>
      <c r="T1" s="84"/>
      <c r="U1" s="46"/>
      <c r="V1" s="46"/>
      <c r="W1" s="46"/>
      <c r="X1" s="152"/>
    </row>
    <row r="2" spans="1:24" ht="15" customHeight="1" x14ac:dyDescent="0.25">
      <c r="A2" s="191" t="s">
        <v>133</v>
      </c>
      <c r="B2" s="191"/>
      <c r="C2" s="191"/>
      <c r="D2" s="191"/>
      <c r="E2" s="191"/>
      <c r="F2" s="191"/>
      <c r="G2" s="191"/>
      <c r="H2" s="191"/>
      <c r="I2" s="191"/>
      <c r="J2" s="191"/>
      <c r="K2" s="191"/>
      <c r="L2" s="191"/>
      <c r="M2" s="191"/>
      <c r="N2" s="191"/>
      <c r="O2" s="191"/>
      <c r="P2" s="191"/>
      <c r="Q2" s="191"/>
      <c r="R2" s="191"/>
      <c r="S2" s="191"/>
      <c r="T2" s="191"/>
      <c r="U2" s="191"/>
      <c r="V2" s="191"/>
      <c r="W2" s="191"/>
      <c r="X2" s="191"/>
    </row>
    <row r="3" spans="1:24" ht="15" customHeight="1" x14ac:dyDescent="0.25">
      <c r="A3" s="45" t="s">
        <v>94</v>
      </c>
      <c r="B3" s="45"/>
      <c r="C3" s="40"/>
      <c r="D3" s="40"/>
      <c r="E3" s="40"/>
      <c r="F3" s="40"/>
      <c r="G3" s="40"/>
      <c r="H3" s="40"/>
      <c r="I3" s="40"/>
      <c r="J3" s="40"/>
      <c r="K3" s="40"/>
      <c r="L3" s="40"/>
      <c r="M3" s="40"/>
      <c r="N3" s="40"/>
      <c r="O3" s="40"/>
      <c r="P3" s="40"/>
      <c r="Q3" s="40"/>
      <c r="R3" s="40"/>
      <c r="S3" s="40"/>
      <c r="T3" s="40"/>
      <c r="U3" s="40"/>
      <c r="V3" s="40"/>
      <c r="W3" s="40"/>
      <c r="X3" s="153"/>
    </row>
    <row r="4" spans="1:24" ht="15" customHeight="1" x14ac:dyDescent="0.25"/>
    <row r="5" spans="1:24" ht="15" customHeight="1" x14ac:dyDescent="0.25">
      <c r="A5" s="35" t="s">
        <v>543</v>
      </c>
      <c r="B5" s="35"/>
      <c r="C5" s="75"/>
      <c r="D5" s="75"/>
      <c r="E5" s="75"/>
      <c r="F5" s="75"/>
      <c r="G5" s="75"/>
      <c r="H5" s="75"/>
      <c r="I5" s="75"/>
      <c r="J5" s="75"/>
      <c r="K5" s="75"/>
      <c r="L5" s="75"/>
      <c r="M5" s="75"/>
      <c r="N5" s="75"/>
      <c r="O5" s="75"/>
      <c r="P5" s="75"/>
      <c r="Q5" s="75"/>
      <c r="R5" s="75"/>
      <c r="S5" s="75"/>
      <c r="T5" s="75"/>
      <c r="U5" s="35"/>
      <c r="V5" s="35"/>
      <c r="W5" s="35"/>
    </row>
    <row r="6" spans="1:24" ht="38.25" x14ac:dyDescent="0.25">
      <c r="A6" s="36" t="s">
        <v>117</v>
      </c>
      <c r="B6" s="147" t="s">
        <v>386</v>
      </c>
      <c r="C6" s="15">
        <v>2007</v>
      </c>
      <c r="D6" s="15">
        <v>2008</v>
      </c>
      <c r="E6" s="15">
        <v>2009</v>
      </c>
      <c r="F6" s="15">
        <v>2010</v>
      </c>
      <c r="G6" s="15">
        <v>2011</v>
      </c>
      <c r="H6" s="15">
        <v>2012</v>
      </c>
      <c r="I6" s="15">
        <v>2013</v>
      </c>
      <c r="J6" s="15">
        <v>2014</v>
      </c>
      <c r="K6" s="15">
        <v>2015</v>
      </c>
      <c r="L6" s="15">
        <v>2016</v>
      </c>
      <c r="M6" s="15">
        <v>2017</v>
      </c>
      <c r="N6" s="15">
        <v>2018</v>
      </c>
      <c r="O6" s="15">
        <v>2019</v>
      </c>
      <c r="P6" s="15">
        <v>2020</v>
      </c>
      <c r="Q6" s="15">
        <v>2021</v>
      </c>
      <c r="R6" s="15">
        <v>2022</v>
      </c>
      <c r="S6" s="15">
        <v>2023</v>
      </c>
      <c r="T6" s="15">
        <v>2024</v>
      </c>
      <c r="U6" s="27" t="s">
        <v>469</v>
      </c>
      <c r="V6" s="27" t="s">
        <v>470</v>
      </c>
      <c r="W6" s="27" t="s">
        <v>471</v>
      </c>
    </row>
    <row r="7" spans="1:24" ht="15" customHeight="1" x14ac:dyDescent="0.25">
      <c r="A7" s="155" t="s">
        <v>83</v>
      </c>
      <c r="B7" s="155" t="s">
        <v>384</v>
      </c>
      <c r="C7" s="211">
        <v>11.307060977073581</v>
      </c>
      <c r="D7" s="211">
        <v>10.714235353138177</v>
      </c>
      <c r="E7" s="211">
        <v>10.722611727885457</v>
      </c>
      <c r="F7" s="211">
        <v>10.945505891761531</v>
      </c>
      <c r="G7" s="211">
        <v>10.2730697398022</v>
      </c>
      <c r="H7" s="211">
        <v>10.084574195651161</v>
      </c>
      <c r="I7" s="211">
        <v>10.072292412121609</v>
      </c>
      <c r="J7" s="211">
        <v>10.000957079793746</v>
      </c>
      <c r="K7" s="211">
        <v>9.7481050324017122</v>
      </c>
      <c r="L7" s="211">
        <v>9.6190476190476186</v>
      </c>
      <c r="M7" s="211">
        <v>9.644967123152222</v>
      </c>
      <c r="N7" s="211">
        <v>9.8078211838654141</v>
      </c>
      <c r="O7" s="211">
        <v>9.6718656893429671</v>
      </c>
      <c r="P7" s="211">
        <v>9.5981580479542696</v>
      </c>
      <c r="Q7" s="211">
        <v>10.079722792083857</v>
      </c>
      <c r="R7" s="211">
        <v>10.119079670117131</v>
      </c>
      <c r="S7" s="211">
        <v>9.9733307880032402</v>
      </c>
      <c r="T7" s="211">
        <v>9.7231949377980893</v>
      </c>
      <c r="U7" s="211">
        <f>(T7-K7)</f>
        <v>-2.4910094603622923E-2</v>
      </c>
      <c r="V7" s="211">
        <f>(T7-P7)</f>
        <v>0.12503688984381967</v>
      </c>
      <c r="W7" s="211">
        <f>(T7-S7)</f>
        <v>-0.25013585020515094</v>
      </c>
    </row>
    <row r="8" spans="1:24" ht="15" customHeight="1" x14ac:dyDescent="0.25">
      <c r="A8" s="37"/>
      <c r="B8" s="37" t="s">
        <v>385</v>
      </c>
      <c r="C8" s="61">
        <v>8.5564458048253513</v>
      </c>
      <c r="D8" s="61">
        <v>8.2371428958822008</v>
      </c>
      <c r="E8" s="61">
        <v>8.2359993592666072</v>
      </c>
      <c r="F8" s="61">
        <v>8.3139440438851882</v>
      </c>
      <c r="G8" s="61">
        <v>7.8333970032683897</v>
      </c>
      <c r="H8" s="61">
        <v>7.6988964939237325</v>
      </c>
      <c r="I8" s="61">
        <v>7.6475284330502991</v>
      </c>
      <c r="J8" s="61">
        <v>7.640924435211633</v>
      </c>
      <c r="K8" s="61">
        <v>7.4960794958664625</v>
      </c>
      <c r="L8" s="61">
        <v>7.4189597705604218</v>
      </c>
      <c r="M8" s="61">
        <v>7.4409020121619616</v>
      </c>
      <c r="N8" s="61">
        <v>7.4557523657665774</v>
      </c>
      <c r="O8" s="61">
        <v>7.402642707965728</v>
      </c>
      <c r="P8" s="61">
        <v>7.3052831358553059</v>
      </c>
      <c r="Q8" s="61">
        <v>7.5698735417495939</v>
      </c>
      <c r="R8" s="61">
        <v>7.7096349935787343</v>
      </c>
      <c r="S8" s="61">
        <v>7.6972845799431431</v>
      </c>
      <c r="T8" s="61">
        <v>7.6344542444737105</v>
      </c>
      <c r="U8" s="211">
        <f t="shared" ref="U8:U14" si="0">(T8-K8)</f>
        <v>0.13837474860724797</v>
      </c>
      <c r="V8" s="61">
        <f t="shared" ref="V8:V14" si="1">(T8-P8)</f>
        <v>0.3291711086184046</v>
      </c>
      <c r="W8" s="61">
        <f t="shared" ref="W8:W14" si="2">(T8-S8)</f>
        <v>-6.2830335469432619E-2</v>
      </c>
    </row>
    <row r="9" spans="1:24" ht="15" customHeight="1" x14ac:dyDescent="0.25">
      <c r="A9" s="155" t="s">
        <v>93</v>
      </c>
      <c r="B9" s="155" t="s">
        <v>384</v>
      </c>
      <c r="C9" s="211">
        <v>6.247247486835807</v>
      </c>
      <c r="D9" s="211">
        <v>6.0860545524394931</v>
      </c>
      <c r="E9" s="211">
        <v>5.8530020703933747</v>
      </c>
      <c r="F9" s="211">
        <v>6.2402251184834121</v>
      </c>
      <c r="G9" s="211">
        <v>6.0792925039104801</v>
      </c>
      <c r="H9" s="211">
        <v>6.0130726651748914</v>
      </c>
      <c r="I9" s="211">
        <v>5.9220412390547033</v>
      </c>
      <c r="J9" s="211">
        <v>6.1039667896678971</v>
      </c>
      <c r="K9" s="211">
        <v>6.1285998443310561</v>
      </c>
      <c r="L9" s="211">
        <v>6.0718943178931326</v>
      </c>
      <c r="M9" s="211">
        <v>6.1154282933160289</v>
      </c>
      <c r="N9" s="211">
        <v>6.2435897435897436</v>
      </c>
      <c r="O9" s="211">
        <v>6.1179644757550777</v>
      </c>
      <c r="P9" s="211">
        <v>6.133129123468426</v>
      </c>
      <c r="Q9" s="211">
        <v>6.2388168262819734</v>
      </c>
      <c r="R9" s="211">
        <v>5.9091069330199764</v>
      </c>
      <c r="S9" s="211">
        <v>5.9025750202757505</v>
      </c>
      <c r="T9" s="211">
        <v>5.8497376030845025</v>
      </c>
      <c r="U9" s="211">
        <f t="shared" si="0"/>
        <v>-0.27886224124655357</v>
      </c>
      <c r="V9" s="211">
        <f t="shared" si="1"/>
        <v>-0.28339152038392346</v>
      </c>
      <c r="W9" s="211">
        <f t="shared" si="2"/>
        <v>-5.2837417191248015E-2</v>
      </c>
    </row>
    <row r="10" spans="1:24" ht="15" customHeight="1" x14ac:dyDescent="0.25">
      <c r="A10" s="37"/>
      <c r="B10" s="37" t="s">
        <v>385</v>
      </c>
      <c r="C10" s="61">
        <v>4.1653901388224028</v>
      </c>
      <c r="D10" s="61">
        <v>4.0195927775643492</v>
      </c>
      <c r="E10" s="61">
        <v>4.0266390614216698</v>
      </c>
      <c r="F10" s="61">
        <v>4.2947274881516586</v>
      </c>
      <c r="G10" s="61">
        <v>4.0565515581759115</v>
      </c>
      <c r="H10" s="61">
        <v>4.0388646802496764</v>
      </c>
      <c r="I10" s="61">
        <v>4.0194896902363242</v>
      </c>
      <c r="J10" s="61">
        <v>3.9994464944649448</v>
      </c>
      <c r="K10" s="61">
        <v>4.0742021966617656</v>
      </c>
      <c r="L10" s="61">
        <v>3.9983063764925055</v>
      </c>
      <c r="M10" s="61">
        <v>4.0270927968851398</v>
      </c>
      <c r="N10" s="61">
        <v>4.066860465116279</v>
      </c>
      <c r="O10" s="61">
        <v>4.059057183541932</v>
      </c>
      <c r="P10" s="61">
        <v>3.9934024505183787</v>
      </c>
      <c r="Q10" s="61">
        <v>3.9527215420050914</v>
      </c>
      <c r="R10" s="61">
        <v>3.9045240893066979</v>
      </c>
      <c r="S10" s="61">
        <v>3.8902575020275751</v>
      </c>
      <c r="T10" s="61">
        <v>3.9086965834850593</v>
      </c>
      <c r="U10" s="61">
        <f t="shared" si="0"/>
        <v>-0.16550561317670631</v>
      </c>
      <c r="V10" s="61">
        <f t="shared" si="1"/>
        <v>-8.4705867033319393E-2</v>
      </c>
      <c r="W10" s="61">
        <f t="shared" si="2"/>
        <v>1.8439081457484185E-2</v>
      </c>
    </row>
    <row r="11" spans="1:24" ht="15" customHeight="1" x14ac:dyDescent="0.25">
      <c r="A11" s="155" t="s">
        <v>82</v>
      </c>
      <c r="B11" s="155" t="s">
        <v>384</v>
      </c>
      <c r="C11" s="211">
        <v>3.6488447071466954</v>
      </c>
      <c r="D11" s="211">
        <v>3.3248313312489715</v>
      </c>
      <c r="E11" s="211">
        <v>3.3424979276043105</v>
      </c>
      <c r="F11" s="211">
        <v>3.2665151109922439</v>
      </c>
      <c r="G11" s="211">
        <v>3.3194986072423398</v>
      </c>
      <c r="H11" s="211">
        <v>3.2597797189517661</v>
      </c>
      <c r="I11" s="211">
        <v>3.106184364060677</v>
      </c>
      <c r="J11" s="211">
        <v>3.0560282404055035</v>
      </c>
      <c r="K11" s="211">
        <v>3.1272695832612829</v>
      </c>
      <c r="L11" s="211">
        <v>3.3119329673504767</v>
      </c>
      <c r="M11" s="211">
        <v>3.0947196128664958</v>
      </c>
      <c r="N11" s="211">
        <v>2.8500097904836501</v>
      </c>
      <c r="O11" s="211">
        <v>2.7972096595272635</v>
      </c>
      <c r="P11" s="211">
        <v>2.6032767700409596</v>
      </c>
      <c r="Q11" s="211">
        <v>2.6859674212564095</v>
      </c>
      <c r="R11" s="211">
        <v>2.6277019776176607</v>
      </c>
      <c r="S11" s="211">
        <v>2.578964061775685</v>
      </c>
      <c r="T11" s="211">
        <v>2.2371865606331571</v>
      </c>
      <c r="U11" s="211">
        <f t="shared" si="0"/>
        <v>-0.89008302262812578</v>
      </c>
      <c r="V11" s="211">
        <f t="shared" si="1"/>
        <v>-0.36609020940780246</v>
      </c>
      <c r="W11" s="211">
        <f t="shared" si="2"/>
        <v>-0.34177750114252792</v>
      </c>
    </row>
    <row r="12" spans="1:24" ht="15" customHeight="1" x14ac:dyDescent="0.25">
      <c r="A12" s="37"/>
      <c r="B12" s="37" t="s">
        <v>385</v>
      </c>
      <c r="C12" s="61">
        <v>2.5811391724879096</v>
      </c>
      <c r="D12" s="61">
        <v>2.3259832154023368</v>
      </c>
      <c r="E12" s="61">
        <v>2.3038132080685272</v>
      </c>
      <c r="F12" s="61">
        <v>2.3785771596683607</v>
      </c>
      <c r="G12" s="61">
        <v>2.4206128133704734</v>
      </c>
      <c r="H12" s="61">
        <v>2.2692745917204711</v>
      </c>
      <c r="I12" s="61">
        <v>2.2092271788887889</v>
      </c>
      <c r="J12" s="61">
        <v>2.1676321506154959</v>
      </c>
      <c r="K12" s="61">
        <v>2.186235517897285</v>
      </c>
      <c r="L12" s="61">
        <v>2.4564576711932968</v>
      </c>
      <c r="M12" s="61">
        <v>2.2582550526615428</v>
      </c>
      <c r="N12" s="61">
        <v>2.0070981006461719</v>
      </c>
      <c r="O12" s="61">
        <v>1.9971413943169212</v>
      </c>
      <c r="P12" s="61">
        <v>1.871729499289476</v>
      </c>
      <c r="Q12" s="61">
        <v>1.8550350552861976</v>
      </c>
      <c r="R12" s="61">
        <v>1.7780418008073995</v>
      </c>
      <c r="S12" s="61">
        <v>1.7862005025983849</v>
      </c>
      <c r="T12" s="61">
        <v>1.6053422624709865</v>
      </c>
      <c r="U12" s="61">
        <f t="shared" si="0"/>
        <v>-0.58089325542629844</v>
      </c>
      <c r="V12" s="61">
        <f t="shared" si="1"/>
        <v>-0.26638723681848941</v>
      </c>
      <c r="W12" s="61">
        <f t="shared" si="2"/>
        <v>-0.18085824012739837</v>
      </c>
    </row>
    <row r="13" spans="1:24" ht="15" customHeight="1" x14ac:dyDescent="0.25">
      <c r="A13" s="150" t="s">
        <v>0</v>
      </c>
      <c r="B13" s="150" t="s">
        <v>384</v>
      </c>
      <c r="C13" s="151">
        <v>10.641130546761818</v>
      </c>
      <c r="D13" s="151">
        <v>9.9028176301801594</v>
      </c>
      <c r="E13" s="151">
        <v>9.7952007528230869</v>
      </c>
      <c r="F13" s="151">
        <v>9.9992255217119155</v>
      </c>
      <c r="G13" s="151">
        <v>9.500414665487984</v>
      </c>
      <c r="H13" s="151">
        <v>9.3697273278125639</v>
      </c>
      <c r="I13" s="151">
        <v>9.226588181331703</v>
      </c>
      <c r="J13" s="151">
        <v>9.2415987438805658</v>
      </c>
      <c r="K13" s="151">
        <v>9.0458712332341111</v>
      </c>
      <c r="L13" s="151">
        <v>8.7978861063688658</v>
      </c>
      <c r="M13" s="151">
        <v>8.9246742757550646</v>
      </c>
      <c r="N13" s="151">
        <v>8.8899042225207552</v>
      </c>
      <c r="O13" s="151">
        <v>8.677046662278066</v>
      </c>
      <c r="P13" s="151">
        <v>8.3461449656323818</v>
      </c>
      <c r="Q13" s="151">
        <v>8.9378113063565596</v>
      </c>
      <c r="R13" s="151">
        <v>8.6599372113019655</v>
      </c>
      <c r="S13" s="151">
        <v>8.4671242348762839</v>
      </c>
      <c r="T13" s="151">
        <v>7.9440962474935546</v>
      </c>
      <c r="U13" s="151">
        <f t="shared" si="0"/>
        <v>-1.1017749857405565</v>
      </c>
      <c r="V13" s="151">
        <f t="shared" si="1"/>
        <v>-0.40204871813882725</v>
      </c>
      <c r="W13" s="151">
        <f t="shared" si="2"/>
        <v>-0.52302798738272926</v>
      </c>
    </row>
    <row r="14" spans="1:24" ht="15" customHeight="1" x14ac:dyDescent="0.25">
      <c r="A14" s="38"/>
      <c r="B14" s="148" t="s">
        <v>385</v>
      </c>
      <c r="C14" s="212">
        <v>8.0120191017867679</v>
      </c>
      <c r="D14" s="212">
        <v>7.5565054800319862</v>
      </c>
      <c r="E14" s="212">
        <v>7.4681827687160185</v>
      </c>
      <c r="F14" s="212">
        <v>7.5551417931824689</v>
      </c>
      <c r="G14" s="212">
        <v>7.1931429821283732</v>
      </c>
      <c r="H14" s="212">
        <v>7.1013128660876594</v>
      </c>
      <c r="I14" s="212">
        <v>6.9586631547490807</v>
      </c>
      <c r="J14" s="212">
        <v>7.003019026890402</v>
      </c>
      <c r="K14" s="212">
        <v>6.8973055987097229</v>
      </c>
      <c r="L14" s="212">
        <v>6.732430433978883</v>
      </c>
      <c r="M14" s="212">
        <v>6.8303045760802563</v>
      </c>
      <c r="N14" s="212">
        <v>6.6981801312470406</v>
      </c>
      <c r="O14" s="212">
        <v>6.5854680061440414</v>
      </c>
      <c r="P14" s="212">
        <v>6.2859764725384677</v>
      </c>
      <c r="Q14" s="212">
        <v>6.6428929873383069</v>
      </c>
      <c r="R14" s="212">
        <v>6.5221940050790854</v>
      </c>
      <c r="S14" s="212">
        <v>6.4503681237084241</v>
      </c>
      <c r="T14" s="212">
        <v>6.1583653203475608</v>
      </c>
      <c r="U14" s="212">
        <f t="shared" si="0"/>
        <v>-0.73894027836216214</v>
      </c>
      <c r="V14" s="212">
        <f t="shared" si="1"/>
        <v>-0.12761115219090691</v>
      </c>
      <c r="W14" s="212">
        <f t="shared" si="2"/>
        <v>-0.29200280336086326</v>
      </c>
    </row>
    <row r="15" spans="1:24" ht="15" customHeight="1" x14ac:dyDescent="0.25">
      <c r="A15" s="39" t="s">
        <v>571</v>
      </c>
      <c r="B15" s="39"/>
      <c r="C15" s="86"/>
      <c r="D15" s="86"/>
      <c r="E15" s="86"/>
      <c r="F15" s="86"/>
      <c r="G15" s="86"/>
      <c r="H15" s="86"/>
      <c r="I15" s="86"/>
      <c r="J15" s="86"/>
      <c r="K15" s="86"/>
      <c r="L15" s="86"/>
      <c r="M15" s="86"/>
      <c r="N15" s="86"/>
      <c r="O15" s="86"/>
      <c r="P15" s="86"/>
      <c r="Q15" s="86"/>
      <c r="R15" s="86"/>
      <c r="S15" s="86"/>
      <c r="T15" s="86"/>
      <c r="U15" s="39"/>
      <c r="V15" s="39"/>
      <c r="W15" s="39"/>
    </row>
    <row r="16" spans="1:24" ht="15" customHeight="1" x14ac:dyDescent="0.25">
      <c r="C16" s="41"/>
      <c r="D16" s="41"/>
      <c r="E16" s="41"/>
      <c r="F16" s="41"/>
      <c r="G16" s="41"/>
      <c r="H16" s="41"/>
      <c r="I16" s="41"/>
      <c r="J16" s="41"/>
      <c r="K16" s="41"/>
      <c r="L16" s="41"/>
      <c r="M16" s="41"/>
      <c r="N16" s="41"/>
      <c r="O16" s="41"/>
      <c r="P16" s="41"/>
      <c r="Q16" s="41"/>
      <c r="R16" s="41"/>
    </row>
    <row r="17" spans="1:28" ht="15" customHeight="1" x14ac:dyDescent="0.25">
      <c r="A17" s="35" t="s">
        <v>544</v>
      </c>
      <c r="B17" s="35"/>
      <c r="C17" s="75"/>
      <c r="D17" s="75"/>
      <c r="E17" s="75"/>
      <c r="F17" s="75"/>
      <c r="G17" s="75"/>
      <c r="H17" s="75"/>
      <c r="I17" s="75"/>
      <c r="J17" s="75"/>
      <c r="K17" s="75"/>
      <c r="L17" s="75"/>
      <c r="M17" s="75"/>
      <c r="N17" s="75"/>
      <c r="O17" s="75"/>
      <c r="P17" s="75"/>
      <c r="Q17" s="75"/>
      <c r="R17" s="75"/>
      <c r="S17" s="75"/>
      <c r="T17" s="75"/>
      <c r="U17" s="35"/>
      <c r="V17" s="35"/>
      <c r="W17" s="35"/>
    </row>
    <row r="18" spans="1:28" ht="38.25" x14ac:dyDescent="0.25">
      <c r="A18" s="36" t="s">
        <v>120</v>
      </c>
      <c r="B18" s="147" t="s">
        <v>386</v>
      </c>
      <c r="C18" s="15">
        <v>2007</v>
      </c>
      <c r="D18" s="15">
        <v>2008</v>
      </c>
      <c r="E18" s="15">
        <v>2009</v>
      </c>
      <c r="F18" s="15">
        <v>2010</v>
      </c>
      <c r="G18" s="15">
        <v>2011</v>
      </c>
      <c r="H18" s="15">
        <v>2012</v>
      </c>
      <c r="I18" s="15">
        <v>2013</v>
      </c>
      <c r="J18" s="15">
        <v>2014</v>
      </c>
      <c r="K18" s="15">
        <v>2015</v>
      </c>
      <c r="L18" s="15">
        <v>2016</v>
      </c>
      <c r="M18" s="15">
        <v>2017</v>
      </c>
      <c r="N18" s="15">
        <v>2018</v>
      </c>
      <c r="O18" s="15">
        <v>2019</v>
      </c>
      <c r="P18" s="15">
        <v>2020</v>
      </c>
      <c r="Q18" s="15">
        <v>2021</v>
      </c>
      <c r="R18" s="15">
        <v>2022</v>
      </c>
      <c r="S18" s="15">
        <v>2023</v>
      </c>
      <c r="T18" s="15">
        <v>2024</v>
      </c>
      <c r="U18" s="27" t="s">
        <v>469</v>
      </c>
      <c r="V18" s="27" t="s">
        <v>470</v>
      </c>
      <c r="W18" s="27" t="s">
        <v>471</v>
      </c>
    </row>
    <row r="19" spans="1:28" ht="15" customHeight="1" x14ac:dyDescent="0.25">
      <c r="A19" s="149" t="s">
        <v>83</v>
      </c>
      <c r="B19" s="150" t="s">
        <v>384</v>
      </c>
      <c r="C19" s="213">
        <v>11.307060977073581</v>
      </c>
      <c r="D19" s="213">
        <v>10.714235353138177</v>
      </c>
      <c r="E19" s="213">
        <v>10.722611727885457</v>
      </c>
      <c r="F19" s="213">
        <v>10.945505891761531</v>
      </c>
      <c r="G19" s="213">
        <v>10.2730697398022</v>
      </c>
      <c r="H19" s="213">
        <v>10.084574195651161</v>
      </c>
      <c r="I19" s="213">
        <v>10.072292412121609</v>
      </c>
      <c r="J19" s="213">
        <v>10.000957079793746</v>
      </c>
      <c r="K19" s="213">
        <v>9.7481050324017122</v>
      </c>
      <c r="L19" s="213">
        <v>9.6190476190476186</v>
      </c>
      <c r="M19" s="213">
        <v>9.644967123152222</v>
      </c>
      <c r="N19" s="213">
        <v>9.8078211838654141</v>
      </c>
      <c r="O19" s="213">
        <v>9.6718656893429671</v>
      </c>
      <c r="P19" s="213">
        <v>9.5981580479542696</v>
      </c>
      <c r="Q19" s="213">
        <v>10.079722792083857</v>
      </c>
      <c r="R19" s="213">
        <v>10.119079670117131</v>
      </c>
      <c r="S19" s="213">
        <v>9.9733307880032402</v>
      </c>
      <c r="T19" s="213">
        <v>9.7231949377980893</v>
      </c>
      <c r="U19" s="151">
        <f t="shared" ref="U19:U42" si="3">(T19-K19)</f>
        <v>-2.4910094603622923E-2</v>
      </c>
      <c r="V19" s="212">
        <f t="shared" ref="V19:V42" si="4">(T19-P19)</f>
        <v>0.12503688984381967</v>
      </c>
      <c r="W19" s="212">
        <f t="shared" ref="W19:W42" si="5">(T19-S19)</f>
        <v>-0.25013585020515094</v>
      </c>
      <c r="X19" s="170"/>
      <c r="Y19" s="170"/>
      <c r="Z19" s="170"/>
      <c r="AA19" s="170"/>
      <c r="AB19" s="170"/>
    </row>
    <row r="20" spans="1:28" ht="15" customHeight="1" x14ac:dyDescent="0.25">
      <c r="A20" s="149"/>
      <c r="B20" s="150" t="s">
        <v>385</v>
      </c>
      <c r="C20" s="213">
        <v>8.5564458048253513</v>
      </c>
      <c r="D20" s="213">
        <v>8.2371428958822008</v>
      </c>
      <c r="E20" s="213">
        <v>8.2359993592666072</v>
      </c>
      <c r="F20" s="213">
        <v>8.3139440438851882</v>
      </c>
      <c r="G20" s="213">
        <v>7.8333970032683897</v>
      </c>
      <c r="H20" s="213">
        <v>7.6988964939237325</v>
      </c>
      <c r="I20" s="213">
        <v>7.6475284330502991</v>
      </c>
      <c r="J20" s="213">
        <v>7.640924435211633</v>
      </c>
      <c r="K20" s="213">
        <v>7.4960794958664625</v>
      </c>
      <c r="L20" s="213">
        <v>7.4189597705604218</v>
      </c>
      <c r="M20" s="213">
        <v>7.4409020121619616</v>
      </c>
      <c r="N20" s="213">
        <v>7.4557523657665774</v>
      </c>
      <c r="O20" s="213">
        <v>7.402642707965728</v>
      </c>
      <c r="P20" s="213">
        <v>7.3052831358553059</v>
      </c>
      <c r="Q20" s="213">
        <v>7.5698735417495939</v>
      </c>
      <c r="R20" s="213">
        <v>7.7096349935787343</v>
      </c>
      <c r="S20" s="213">
        <v>7.6972845799431431</v>
      </c>
      <c r="T20" s="213">
        <v>7.6344542444737105</v>
      </c>
      <c r="U20" s="151">
        <f t="shared" si="3"/>
        <v>0.13837474860724797</v>
      </c>
      <c r="V20" s="212">
        <f t="shared" si="4"/>
        <v>0.3291711086184046</v>
      </c>
      <c r="W20" s="212">
        <f t="shared" si="5"/>
        <v>-6.2830335469432619E-2</v>
      </c>
      <c r="X20" s="171"/>
      <c r="Y20" s="172"/>
      <c r="Z20" s="172"/>
      <c r="AA20" s="172"/>
      <c r="AB20" s="172"/>
    </row>
    <row r="21" spans="1:28" ht="15" customHeight="1" x14ac:dyDescent="0.25">
      <c r="A21" s="34" t="s">
        <v>113</v>
      </c>
      <c r="B21" s="37" t="s">
        <v>384</v>
      </c>
      <c r="C21" s="61">
        <v>13.720795408429474</v>
      </c>
      <c r="D21" s="61">
        <v>13.435828081469261</v>
      </c>
      <c r="E21" s="61">
        <v>13.375571152668519</v>
      </c>
      <c r="F21" s="61">
        <v>13.370471492485947</v>
      </c>
      <c r="G21" s="61">
        <v>13.258067454624126</v>
      </c>
      <c r="H21" s="61">
        <v>13.235718961839799</v>
      </c>
      <c r="I21" s="61">
        <v>13.176814042992584</v>
      </c>
      <c r="J21" s="61">
        <v>13.13009748729919</v>
      </c>
      <c r="K21" s="61">
        <v>13.153988391802354</v>
      </c>
      <c r="L21" s="61">
        <v>13.188460033680915</v>
      </c>
      <c r="M21" s="61">
        <v>13.240709404490726</v>
      </c>
      <c r="N21" s="61">
        <v>13.216011635726685</v>
      </c>
      <c r="O21" s="61">
        <v>13.157341780091576</v>
      </c>
      <c r="P21" s="61">
        <v>13.10975965951765</v>
      </c>
      <c r="Q21" s="61">
        <v>13.246344206974129</v>
      </c>
      <c r="R21" s="61">
        <v>13.075183187150598</v>
      </c>
      <c r="S21" s="61">
        <v>12.955997974146248</v>
      </c>
      <c r="T21" s="61">
        <v>12.868325451555748</v>
      </c>
      <c r="U21" s="61">
        <f t="shared" si="3"/>
        <v>-0.28566294024660621</v>
      </c>
      <c r="V21" s="61">
        <f t="shared" si="4"/>
        <v>-0.24143420796190185</v>
      </c>
      <c r="W21" s="61">
        <f t="shared" si="5"/>
        <v>-8.7672522590500179E-2</v>
      </c>
      <c r="X21" s="170"/>
      <c r="Y21" s="170"/>
      <c r="Z21" s="170"/>
      <c r="AA21" s="170"/>
      <c r="AB21" s="170"/>
    </row>
    <row r="22" spans="1:28" ht="15" customHeight="1" x14ac:dyDescent="0.25">
      <c r="A22" s="34"/>
      <c r="B22" s="37" t="s">
        <v>385</v>
      </c>
      <c r="C22" s="61">
        <v>10.433938199315902</v>
      </c>
      <c r="D22" s="61">
        <v>10.313570095480241</v>
      </c>
      <c r="E22" s="61">
        <v>10.266946158556692</v>
      </c>
      <c r="F22" s="61">
        <v>10.095032694734426</v>
      </c>
      <c r="G22" s="61">
        <v>10.118626312313543</v>
      </c>
      <c r="H22" s="61">
        <v>10.084176292948705</v>
      </c>
      <c r="I22" s="61">
        <v>10.032835820895523</v>
      </c>
      <c r="J22" s="61">
        <v>9.9946965536180148</v>
      </c>
      <c r="K22" s="61">
        <v>10.062218569691989</v>
      </c>
      <c r="L22" s="61">
        <v>10.110279483559291</v>
      </c>
      <c r="M22" s="61">
        <v>10.129531402538236</v>
      </c>
      <c r="N22" s="61">
        <v>10.121064731549398</v>
      </c>
      <c r="O22" s="61">
        <v>10.045741077588911</v>
      </c>
      <c r="P22" s="61">
        <v>9.8934949511808394</v>
      </c>
      <c r="Q22" s="61">
        <v>10.066771147988524</v>
      </c>
      <c r="R22" s="61">
        <v>10.107563580314874</v>
      </c>
      <c r="S22" s="61">
        <v>10.149286127725256</v>
      </c>
      <c r="T22" s="61">
        <v>10.196989203451837</v>
      </c>
      <c r="U22" s="61">
        <f t="shared" si="3"/>
        <v>0.13477063375984777</v>
      </c>
      <c r="V22" s="61">
        <f t="shared" si="4"/>
        <v>0.30349425227099758</v>
      </c>
      <c r="W22" s="61">
        <f t="shared" si="5"/>
        <v>4.7703075726580835E-2</v>
      </c>
      <c r="X22" s="171"/>
      <c r="Y22" s="172"/>
      <c r="Z22" s="172"/>
      <c r="AA22" s="172"/>
      <c r="AB22" s="172"/>
    </row>
    <row r="23" spans="1:28" ht="15" customHeight="1" x14ac:dyDescent="0.25">
      <c r="A23" s="34" t="s">
        <v>114</v>
      </c>
      <c r="B23" s="37" t="s">
        <v>384</v>
      </c>
      <c r="C23" s="61">
        <v>12.395000000000005</v>
      </c>
      <c r="D23" s="61">
        <v>11.975748930099858</v>
      </c>
      <c r="E23" s="61">
        <v>11.780048076923073</v>
      </c>
      <c r="F23" s="61">
        <v>11.950907150480255</v>
      </c>
      <c r="G23" s="61">
        <v>11.748940677966102</v>
      </c>
      <c r="H23" s="61">
        <v>11.756355932203386</v>
      </c>
      <c r="I23" s="61">
        <v>11.755332496863238</v>
      </c>
      <c r="J23" s="61">
        <v>11.917539267015702</v>
      </c>
      <c r="K23" s="61">
        <v>11.984806629834249</v>
      </c>
      <c r="L23" s="61">
        <v>11.172794117647054</v>
      </c>
      <c r="M23" s="61">
        <v>11.229124236252551</v>
      </c>
      <c r="N23" s="61">
        <v>11.493750000000002</v>
      </c>
      <c r="O23" s="61">
        <v>11.132158590308368</v>
      </c>
      <c r="P23" s="61">
        <v>10.453416149068318</v>
      </c>
      <c r="Q23" s="61">
        <v>10.918918918918918</v>
      </c>
      <c r="R23" s="61">
        <v>10.555555555555559</v>
      </c>
      <c r="S23" s="61">
        <v>10.275908479138625</v>
      </c>
      <c r="T23" s="61">
        <v>10.375438596491227</v>
      </c>
      <c r="U23" s="61">
        <f t="shared" si="3"/>
        <v>-1.6093680333430225</v>
      </c>
      <c r="V23" s="61">
        <f t="shared" si="4"/>
        <v>-7.7977552577090492E-2</v>
      </c>
      <c r="W23" s="61">
        <f t="shared" si="5"/>
        <v>9.9530117352601977E-2</v>
      </c>
      <c r="X23" s="170"/>
      <c r="Y23" s="170"/>
      <c r="Z23" s="170"/>
      <c r="AA23" s="170"/>
      <c r="AB23" s="170"/>
    </row>
    <row r="24" spans="1:28" ht="15" customHeight="1" x14ac:dyDescent="0.25">
      <c r="A24" s="34"/>
      <c r="B24" s="37" t="s">
        <v>385</v>
      </c>
      <c r="C24" s="61">
        <v>9.0975000000000001</v>
      </c>
      <c r="D24" s="61">
        <v>8.9443651925820262</v>
      </c>
      <c r="E24" s="61">
        <v>8.8521634615384617</v>
      </c>
      <c r="F24" s="61">
        <v>8.7459978655282811</v>
      </c>
      <c r="G24" s="61">
        <v>8.5741525423728806</v>
      </c>
      <c r="H24" s="61">
        <v>8.5413135593220346</v>
      </c>
      <c r="I24" s="61">
        <v>8.2823086574654958</v>
      </c>
      <c r="J24" s="61">
        <v>8.2971204188481682</v>
      </c>
      <c r="K24" s="61">
        <v>8.1864640883977895</v>
      </c>
      <c r="L24" s="61">
        <v>8.1188725490196081</v>
      </c>
      <c r="M24" s="61">
        <v>8.1130346232179225</v>
      </c>
      <c r="N24" s="61">
        <v>8.2062500000000007</v>
      </c>
      <c r="O24" s="61">
        <v>8.1662995594713657</v>
      </c>
      <c r="P24" s="61">
        <v>8.0940550133096725</v>
      </c>
      <c r="Q24" s="61">
        <v>8.124801271860095</v>
      </c>
      <c r="R24" s="61">
        <v>8.1491228070175445</v>
      </c>
      <c r="S24" s="61">
        <v>8.1258411843876175</v>
      </c>
      <c r="T24" s="61">
        <v>8.101754385964913</v>
      </c>
      <c r="U24" s="61">
        <f t="shared" si="3"/>
        <v>-8.4709702432876455E-2</v>
      </c>
      <c r="V24" s="61">
        <f t="shared" si="4"/>
        <v>7.6993726552405661E-3</v>
      </c>
      <c r="W24" s="61">
        <f t="shared" si="5"/>
        <v>-2.4086798422704447E-2</v>
      </c>
      <c r="X24" s="171"/>
      <c r="Y24" s="172"/>
      <c r="Z24" s="172"/>
      <c r="AA24" s="172"/>
      <c r="AB24" s="172"/>
    </row>
    <row r="25" spans="1:28" ht="15" customHeight="1" x14ac:dyDescent="0.25">
      <c r="A25" s="34" t="s">
        <v>115</v>
      </c>
      <c r="B25" s="37" t="s">
        <v>384</v>
      </c>
      <c r="C25" s="61">
        <v>11.700262516407275</v>
      </c>
      <c r="D25" s="61">
        <v>11.712075954768508</v>
      </c>
      <c r="E25" s="61">
        <v>10.951993652053163</v>
      </c>
      <c r="F25" s="61">
        <v>10.89986730631826</v>
      </c>
      <c r="G25" s="61">
        <v>10.50231290269288</v>
      </c>
      <c r="H25" s="61">
        <v>10.553931802366041</v>
      </c>
      <c r="I25" s="61">
        <v>10.378367226643089</v>
      </c>
      <c r="J25" s="61">
        <v>10.435517016690893</v>
      </c>
      <c r="K25" s="61">
        <v>10.47149333699684</v>
      </c>
      <c r="L25" s="61">
        <v>10.412930513595166</v>
      </c>
      <c r="M25" s="61">
        <v>10.258543149544955</v>
      </c>
      <c r="N25" s="61">
        <v>10.614393285514449</v>
      </c>
      <c r="O25" s="61">
        <v>10.615113701915778</v>
      </c>
      <c r="P25" s="61">
        <v>10.425381420405477</v>
      </c>
      <c r="Q25" s="61">
        <v>10.748456199792338</v>
      </c>
      <c r="R25" s="61">
        <v>10.604434812485133</v>
      </c>
      <c r="S25" s="61">
        <v>10.445967211238591</v>
      </c>
      <c r="T25" s="61">
        <v>10.289993426129705</v>
      </c>
      <c r="U25" s="61">
        <f t="shared" si="3"/>
        <v>-0.18149991086713513</v>
      </c>
      <c r="V25" s="61">
        <f t="shared" si="4"/>
        <v>-0.13538799427577253</v>
      </c>
      <c r="W25" s="61">
        <f t="shared" si="5"/>
        <v>-0.15597378510888582</v>
      </c>
      <c r="X25" s="170"/>
      <c r="Y25" s="170"/>
      <c r="Z25" s="170"/>
      <c r="AA25" s="170"/>
      <c r="AB25" s="170"/>
    </row>
    <row r="26" spans="1:28" ht="15" customHeight="1" x14ac:dyDescent="0.25">
      <c r="A26" s="34"/>
      <c r="B26" s="37" t="s">
        <v>385</v>
      </c>
      <c r="C26" s="61">
        <v>8.7515469716857304</v>
      </c>
      <c r="D26" s="61">
        <v>8.6276936206528703</v>
      </c>
      <c r="E26" s="61">
        <v>8.2796072207895257</v>
      </c>
      <c r="F26" s="61">
        <v>8.4953557211391235</v>
      </c>
      <c r="G26" s="61">
        <v>8.2279035189162393</v>
      </c>
      <c r="H26" s="61">
        <v>8.2540709812108553</v>
      </c>
      <c r="I26" s="61">
        <v>8.1745947539050992</v>
      </c>
      <c r="J26" s="61">
        <v>8.2229963410355378</v>
      </c>
      <c r="K26" s="61">
        <v>8.1349086412968816</v>
      </c>
      <c r="L26" s="61">
        <v>8.1099697885196367</v>
      </c>
      <c r="M26" s="61">
        <v>8.0812351712171111</v>
      </c>
      <c r="N26" s="61">
        <v>8.0993184320961937</v>
      </c>
      <c r="O26" s="61">
        <v>8.1119713392233663</v>
      </c>
      <c r="P26" s="61">
        <v>8.0856602376937943</v>
      </c>
      <c r="Q26" s="61">
        <v>8.0907973113284886</v>
      </c>
      <c r="R26" s="61">
        <v>8.1092581335729577</v>
      </c>
      <c r="S26" s="61">
        <v>8.0765357214385851</v>
      </c>
      <c r="T26" s="61">
        <v>8.0621659473518736</v>
      </c>
      <c r="U26" s="61">
        <f t="shared" si="3"/>
        <v>-7.2742693945007986E-2</v>
      </c>
      <c r="V26" s="61">
        <f t="shared" si="4"/>
        <v>-2.3494290341920632E-2</v>
      </c>
      <c r="W26" s="61">
        <f t="shared" si="5"/>
        <v>-1.4369774086711473E-2</v>
      </c>
      <c r="X26" s="171"/>
      <c r="Y26" s="172"/>
      <c r="Z26" s="172"/>
      <c r="AA26" s="172"/>
      <c r="AB26" s="172"/>
    </row>
    <row r="27" spans="1:28" ht="15" customHeight="1" x14ac:dyDescent="0.25">
      <c r="A27" s="34" t="s">
        <v>4</v>
      </c>
      <c r="B27" s="37" t="s">
        <v>384</v>
      </c>
      <c r="C27" s="61">
        <v>7.0364532972345772</v>
      </c>
      <c r="D27" s="61">
        <v>6.5633354551241245</v>
      </c>
      <c r="E27" s="61">
        <v>6.5537520244736367</v>
      </c>
      <c r="F27" s="61">
        <v>6.8149992220320526</v>
      </c>
      <c r="G27" s="61">
        <v>6.6448289738430582</v>
      </c>
      <c r="H27" s="61">
        <v>6.5616306632675876</v>
      </c>
      <c r="I27" s="61">
        <v>6.7085045595084338</v>
      </c>
      <c r="J27" s="61">
        <v>6.5523957997347955</v>
      </c>
      <c r="K27" s="61">
        <v>6.3964894886055559</v>
      </c>
      <c r="L27" s="61">
        <v>6.3397363037053873</v>
      </c>
      <c r="M27" s="61">
        <v>6.2728333450481477</v>
      </c>
      <c r="N27" s="61">
        <v>6.5120528667362283</v>
      </c>
      <c r="O27" s="61">
        <v>6.2869238130682117</v>
      </c>
      <c r="P27" s="61">
        <v>6.3812144373673032</v>
      </c>
      <c r="Q27" s="61">
        <v>6.5840687795180877</v>
      </c>
      <c r="R27" s="61">
        <v>6.5458421882498117</v>
      </c>
      <c r="S27" s="61">
        <v>6.4232814892416794</v>
      </c>
      <c r="T27" s="61">
        <v>6.1907403005572723</v>
      </c>
      <c r="U27" s="61">
        <f t="shared" si="3"/>
        <v>-0.20574918804828357</v>
      </c>
      <c r="V27" s="61">
        <f t="shared" si="4"/>
        <v>-0.19047413681003089</v>
      </c>
      <c r="W27" s="61">
        <f t="shared" si="5"/>
        <v>-0.2325411886844071</v>
      </c>
      <c r="X27" s="170"/>
      <c r="Y27" s="170"/>
      <c r="Z27" s="170"/>
      <c r="AA27" s="170"/>
      <c r="AB27" s="170"/>
    </row>
    <row r="28" spans="1:28" ht="15" customHeight="1" x14ac:dyDescent="0.25">
      <c r="A28" s="34"/>
      <c r="B28" s="37" t="s">
        <v>385</v>
      </c>
      <c r="C28" s="61">
        <v>5.3035196286985107</v>
      </c>
      <c r="D28" s="61">
        <v>5.2070618189987643</v>
      </c>
      <c r="E28" s="61">
        <v>5.0982544538420012</v>
      </c>
      <c r="F28" s="61">
        <v>5.2094289715263731</v>
      </c>
      <c r="G28" s="61">
        <v>4.9944466800804825</v>
      </c>
      <c r="H28" s="61">
        <v>4.9768773200948164</v>
      </c>
      <c r="I28" s="61">
        <v>4.9763805721889556</v>
      </c>
      <c r="J28" s="61">
        <v>4.9664014622083643</v>
      </c>
      <c r="K28" s="61">
        <v>4.950254845156393</v>
      </c>
      <c r="L28" s="61">
        <v>4.9192430097749487</v>
      </c>
      <c r="M28" s="61">
        <v>4.854473887678358</v>
      </c>
      <c r="N28" s="61">
        <v>4.8786820772132593</v>
      </c>
      <c r="O28" s="61">
        <v>4.8425354883300544</v>
      </c>
      <c r="P28" s="61">
        <v>4.8607218683651805</v>
      </c>
      <c r="Q28" s="61">
        <v>4.8181875735973767</v>
      </c>
      <c r="R28" s="61">
        <v>4.8064303832179336</v>
      </c>
      <c r="S28" s="61">
        <v>4.7796223171354129</v>
      </c>
      <c r="T28" s="61">
        <v>4.7733011119034412</v>
      </c>
      <c r="U28" s="61">
        <f t="shared" si="3"/>
        <v>-0.17695373325295183</v>
      </c>
      <c r="V28" s="61">
        <f t="shared" si="4"/>
        <v>-8.7420756461739302E-2</v>
      </c>
      <c r="W28" s="61">
        <f t="shared" si="5"/>
        <v>-6.3212052319716605E-3</v>
      </c>
      <c r="X28" s="171"/>
      <c r="Y28" s="172"/>
      <c r="Z28" s="172"/>
      <c r="AA28" s="172"/>
      <c r="AB28" s="172"/>
    </row>
    <row r="29" spans="1:28" ht="15" customHeight="1" x14ac:dyDescent="0.25">
      <c r="A29" s="149" t="s">
        <v>93</v>
      </c>
      <c r="B29" s="150" t="s">
        <v>384</v>
      </c>
      <c r="C29" s="151">
        <v>6.247247486835807</v>
      </c>
      <c r="D29" s="151">
        <v>6.0860545524394931</v>
      </c>
      <c r="E29" s="151">
        <v>5.8530020703933747</v>
      </c>
      <c r="F29" s="151">
        <v>6.2402251184834121</v>
      </c>
      <c r="G29" s="151">
        <v>6.0792925039104801</v>
      </c>
      <c r="H29" s="151">
        <v>6.0130726651748914</v>
      </c>
      <c r="I29" s="151">
        <v>5.9220412390547033</v>
      </c>
      <c r="J29" s="151">
        <v>6.1039667896678971</v>
      </c>
      <c r="K29" s="151">
        <v>6.1285998443310561</v>
      </c>
      <c r="L29" s="151">
        <v>6.0718943178931326</v>
      </c>
      <c r="M29" s="151">
        <v>6.1154282933160289</v>
      </c>
      <c r="N29" s="151">
        <v>6.2435897435897436</v>
      </c>
      <c r="O29" s="151">
        <v>6.1179644757550777</v>
      </c>
      <c r="P29" s="151">
        <v>6.133129123468426</v>
      </c>
      <c r="Q29" s="151">
        <v>6.2388168262819734</v>
      </c>
      <c r="R29" s="151">
        <v>5.9091069330199764</v>
      </c>
      <c r="S29" s="151">
        <v>5.9025750202757505</v>
      </c>
      <c r="T29" s="151">
        <v>5.8497376030845025</v>
      </c>
      <c r="U29" s="151">
        <f t="shared" si="3"/>
        <v>-0.27886224124655357</v>
      </c>
      <c r="V29" s="212">
        <f t="shared" si="4"/>
        <v>-0.28339152038392346</v>
      </c>
      <c r="W29" s="212">
        <f t="shared" si="5"/>
        <v>-5.2837417191248015E-2</v>
      </c>
      <c r="X29" s="170"/>
      <c r="Y29" s="170"/>
      <c r="Z29" s="170"/>
      <c r="AA29" s="170"/>
      <c r="AB29" s="170"/>
    </row>
    <row r="30" spans="1:28" ht="15" customHeight="1" x14ac:dyDescent="0.25">
      <c r="A30" s="149"/>
      <c r="B30" s="150" t="s">
        <v>385</v>
      </c>
      <c r="C30" s="151">
        <v>4.1653901388224028</v>
      </c>
      <c r="D30" s="151">
        <v>4.0195927775643492</v>
      </c>
      <c r="E30" s="151">
        <v>4.0266390614216698</v>
      </c>
      <c r="F30" s="151">
        <v>4.2947274881516586</v>
      </c>
      <c r="G30" s="151">
        <v>4.0565515581759115</v>
      </c>
      <c r="H30" s="151">
        <v>4.0388646802496764</v>
      </c>
      <c r="I30" s="151">
        <v>4.0194896902363242</v>
      </c>
      <c r="J30" s="151">
        <v>3.9994464944649448</v>
      </c>
      <c r="K30" s="151">
        <v>4.0742021966617656</v>
      </c>
      <c r="L30" s="151">
        <v>3.9983063764925055</v>
      </c>
      <c r="M30" s="151">
        <v>4.0270927968851398</v>
      </c>
      <c r="N30" s="151">
        <v>4.066860465116279</v>
      </c>
      <c r="O30" s="151">
        <v>4.059057183541932</v>
      </c>
      <c r="P30" s="151">
        <v>3.9934024505183787</v>
      </c>
      <c r="Q30" s="151">
        <v>3.9527215420050914</v>
      </c>
      <c r="R30" s="151">
        <v>3.9045240893066979</v>
      </c>
      <c r="S30" s="151">
        <v>3.8902575020275751</v>
      </c>
      <c r="T30" s="151">
        <v>3.9086965834850593</v>
      </c>
      <c r="U30" s="151">
        <f t="shared" si="3"/>
        <v>-0.16550561317670631</v>
      </c>
      <c r="V30" s="212">
        <f t="shared" si="4"/>
        <v>-8.4705867033319393E-2</v>
      </c>
      <c r="W30" s="212">
        <f t="shared" si="5"/>
        <v>1.8439081457484185E-2</v>
      </c>
      <c r="X30" s="171"/>
      <c r="Y30" s="172"/>
      <c r="Z30" s="172"/>
      <c r="AA30" s="172"/>
      <c r="AB30" s="172"/>
    </row>
    <row r="31" spans="1:28" ht="15" customHeight="1" x14ac:dyDescent="0.25">
      <c r="A31" s="34" t="s">
        <v>75</v>
      </c>
      <c r="B31" s="37" t="s">
        <v>384</v>
      </c>
      <c r="C31" s="61">
        <v>11.8715953307393</v>
      </c>
      <c r="D31" s="61">
        <v>11.505263157894733</v>
      </c>
      <c r="E31" s="61">
        <v>11.563953488372093</v>
      </c>
      <c r="F31" s="61">
        <v>12.014124293785308</v>
      </c>
      <c r="G31" s="61">
        <v>12.168161434977579</v>
      </c>
      <c r="H31" s="61">
        <v>12.25</v>
      </c>
      <c r="I31" s="61">
        <v>11.852886405959032</v>
      </c>
      <c r="J31" s="61">
        <v>12.311890838206628</v>
      </c>
      <c r="K31" s="61">
        <v>12.420240137221267</v>
      </c>
      <c r="L31" s="61">
        <v>12.44976076555024</v>
      </c>
      <c r="M31" s="61">
        <v>12.325732899022798</v>
      </c>
      <c r="N31" s="61">
        <v>12.250666666666667</v>
      </c>
      <c r="O31" s="61">
        <v>12.114882506527415</v>
      </c>
      <c r="P31" s="61">
        <v>12.159122085048008</v>
      </c>
      <c r="Q31" s="61">
        <v>12.52808988764045</v>
      </c>
      <c r="R31" s="61">
        <v>12.334567901234568</v>
      </c>
      <c r="S31" s="61">
        <v>12.490967056323061</v>
      </c>
      <c r="T31" s="61">
        <v>12.280975609756101</v>
      </c>
      <c r="U31" s="61">
        <f t="shared" si="3"/>
        <v>-0.1392645274651656</v>
      </c>
      <c r="V31" s="61">
        <f t="shared" si="4"/>
        <v>0.12185352470809363</v>
      </c>
      <c r="W31" s="61">
        <f t="shared" si="5"/>
        <v>-0.20999144656695989</v>
      </c>
      <c r="X31" s="170"/>
      <c r="Y31" s="170"/>
      <c r="Z31" s="170"/>
      <c r="AA31" s="170"/>
      <c r="AB31" s="170"/>
    </row>
    <row r="32" spans="1:28" ht="15" customHeight="1" x14ac:dyDescent="0.25">
      <c r="A32" s="34"/>
      <c r="B32" s="37" t="s">
        <v>385</v>
      </c>
      <c r="C32" s="61">
        <v>7.6031128404669257</v>
      </c>
      <c r="D32" s="61">
        <v>7.0666666666666664</v>
      </c>
      <c r="E32" s="61">
        <v>7.3924418604651159</v>
      </c>
      <c r="F32" s="61">
        <v>8.5903954802259879</v>
      </c>
      <c r="G32" s="61">
        <v>8.1569506726457401</v>
      </c>
      <c r="H32" s="61">
        <v>8.0098425196850389</v>
      </c>
      <c r="I32" s="61">
        <v>7.9534450651769086</v>
      </c>
      <c r="J32" s="61">
        <v>8.2534113060428851</v>
      </c>
      <c r="K32" s="61">
        <v>8.2315608919382512</v>
      </c>
      <c r="L32" s="61">
        <v>8.0861244019138763</v>
      </c>
      <c r="M32" s="61">
        <v>8.2182410423452765</v>
      </c>
      <c r="N32" s="61">
        <v>8.08</v>
      </c>
      <c r="O32" s="61">
        <v>8.1344647519582249</v>
      </c>
      <c r="P32" s="61">
        <v>8.1097393689986284</v>
      </c>
      <c r="Q32" s="61">
        <v>7.9900124843945068</v>
      </c>
      <c r="R32" s="61">
        <v>8.0172839506172835</v>
      </c>
      <c r="S32" s="61">
        <v>8.0839532412327308</v>
      </c>
      <c r="T32" s="61">
        <v>8.116097560975609</v>
      </c>
      <c r="U32" s="61">
        <f t="shared" si="3"/>
        <v>-0.11546333096264227</v>
      </c>
      <c r="V32" s="61">
        <f t="shared" si="4"/>
        <v>6.3581919769806206E-3</v>
      </c>
      <c r="W32" s="61">
        <f t="shared" si="5"/>
        <v>3.2144319742878125E-2</v>
      </c>
      <c r="X32" s="171"/>
      <c r="Y32" s="172"/>
      <c r="Z32" s="172"/>
      <c r="AA32" s="172"/>
      <c r="AB32" s="172"/>
    </row>
    <row r="33" spans="1:28" ht="15" customHeight="1" x14ac:dyDescent="0.25">
      <c r="A33" s="34" t="s">
        <v>76</v>
      </c>
      <c r="B33" s="37" t="s">
        <v>384</v>
      </c>
      <c r="C33" s="61">
        <v>5.8786023973476151</v>
      </c>
      <c r="D33" s="61">
        <v>5.7722007722007724</v>
      </c>
      <c r="E33" s="61">
        <v>5.5683234313867551</v>
      </c>
      <c r="F33" s="61">
        <v>5.9207564864020004</v>
      </c>
      <c r="G33" s="61">
        <v>5.7340114431023519</v>
      </c>
      <c r="H33" s="61">
        <v>5.6161843918326442</v>
      </c>
      <c r="I33" s="61">
        <v>5.6062078540261799</v>
      </c>
      <c r="J33" s="61">
        <v>5.7955843904328459</v>
      </c>
      <c r="K33" s="61">
        <v>5.7945355191256827</v>
      </c>
      <c r="L33" s="61">
        <v>5.714272938651404</v>
      </c>
      <c r="M33" s="61">
        <v>5.7899095099880489</v>
      </c>
      <c r="N33" s="61">
        <v>5.8878888362545396</v>
      </c>
      <c r="O33" s="61">
        <v>5.752723224934404</v>
      </c>
      <c r="P33" s="61">
        <v>5.7671415479463466</v>
      </c>
      <c r="Q33" s="61">
        <v>5.9178823979104287</v>
      </c>
      <c r="R33" s="61">
        <v>5.5880320789636029</v>
      </c>
      <c r="S33" s="61">
        <v>5.5725767818172143</v>
      </c>
      <c r="T33" s="61">
        <v>5.4762309479290607</v>
      </c>
      <c r="U33" s="61">
        <f t="shared" si="3"/>
        <v>-0.31830457119662192</v>
      </c>
      <c r="V33" s="61">
        <f t="shared" si="4"/>
        <v>-0.29091060001728586</v>
      </c>
      <c r="W33" s="61">
        <f t="shared" si="5"/>
        <v>-9.6345833888153543E-2</v>
      </c>
      <c r="X33" s="170"/>
      <c r="Y33" s="170"/>
      <c r="Z33" s="170"/>
      <c r="AA33" s="170"/>
      <c r="AB33" s="170"/>
    </row>
    <row r="34" spans="1:28" ht="15" customHeight="1" x14ac:dyDescent="0.25">
      <c r="A34" s="34"/>
      <c r="B34" s="37" t="s">
        <v>385</v>
      </c>
      <c r="C34" s="61">
        <v>3.940066309614894</v>
      </c>
      <c r="D34" s="61">
        <v>3.8431213168055272</v>
      </c>
      <c r="E34" s="61">
        <v>3.8588610346326617</v>
      </c>
      <c r="F34" s="61">
        <v>4.0570490778368242</v>
      </c>
      <c r="G34" s="61">
        <v>3.8240305149396057</v>
      </c>
      <c r="H34" s="61">
        <v>3.7861706125516723</v>
      </c>
      <c r="I34" s="61">
        <v>3.8099960333201111</v>
      </c>
      <c r="J34" s="61">
        <v>3.7881282076111167</v>
      </c>
      <c r="K34" s="61">
        <v>3.8534608378870674</v>
      </c>
      <c r="L34" s="61">
        <v>3.7690931854766587</v>
      </c>
      <c r="M34" s="61">
        <v>3.8074099368277277</v>
      </c>
      <c r="N34" s="61">
        <v>3.8292278540975841</v>
      </c>
      <c r="O34" s="61">
        <v>3.8108451936073786</v>
      </c>
      <c r="P34" s="61">
        <v>3.743397483962343</v>
      </c>
      <c r="Q34" s="61">
        <v>3.7467031916926801</v>
      </c>
      <c r="R34" s="61">
        <v>3.6990129549660704</v>
      </c>
      <c r="S34" s="61">
        <v>3.6802043966572628</v>
      </c>
      <c r="T34" s="61">
        <v>3.6643435888718909</v>
      </c>
      <c r="U34" s="61">
        <f t="shared" si="3"/>
        <v>-0.18911724901517646</v>
      </c>
      <c r="V34" s="61">
        <f t="shared" si="4"/>
        <v>-7.905389509045202E-2</v>
      </c>
      <c r="W34" s="61">
        <f t="shared" si="5"/>
        <v>-1.5860807785371911E-2</v>
      </c>
      <c r="X34" s="171"/>
      <c r="Y34" s="172"/>
      <c r="Z34" s="172"/>
      <c r="AA34" s="172"/>
      <c r="AB34" s="172"/>
    </row>
    <row r="35" spans="1:28" ht="15" customHeight="1" x14ac:dyDescent="0.25">
      <c r="A35" s="149" t="s">
        <v>82</v>
      </c>
      <c r="B35" s="150" t="s">
        <v>384</v>
      </c>
      <c r="C35" s="151">
        <v>3.6488447071466954</v>
      </c>
      <c r="D35" s="151">
        <v>3.3248313312489715</v>
      </c>
      <c r="E35" s="151">
        <v>3.3424979276043105</v>
      </c>
      <c r="F35" s="151">
        <v>3.2665151109922439</v>
      </c>
      <c r="G35" s="151">
        <v>3.3194986072423398</v>
      </c>
      <c r="H35" s="151">
        <v>3.2597797189517661</v>
      </c>
      <c r="I35" s="151">
        <v>3.106184364060677</v>
      </c>
      <c r="J35" s="151">
        <v>3.0560282404055035</v>
      </c>
      <c r="K35" s="151">
        <v>3.1272695832612829</v>
      </c>
      <c r="L35" s="151">
        <v>3.3119329673504767</v>
      </c>
      <c r="M35" s="151">
        <v>3.0947196128664958</v>
      </c>
      <c r="N35" s="151">
        <v>2.8500097904836501</v>
      </c>
      <c r="O35" s="151">
        <v>2.7972096595272635</v>
      </c>
      <c r="P35" s="151">
        <v>2.6032767700409596</v>
      </c>
      <c r="Q35" s="151">
        <v>2.6859674212564095</v>
      </c>
      <c r="R35" s="151">
        <v>2.6277019776176607</v>
      </c>
      <c r="S35" s="151">
        <v>2.578964061775685</v>
      </c>
      <c r="T35" s="151">
        <v>2.2371865606331571</v>
      </c>
      <c r="U35" s="151">
        <f t="shared" si="3"/>
        <v>-0.89008302262812578</v>
      </c>
      <c r="V35" s="212">
        <f t="shared" si="4"/>
        <v>-0.36609020940780246</v>
      </c>
      <c r="W35" s="212">
        <f t="shared" si="5"/>
        <v>-0.34177750114252792</v>
      </c>
      <c r="X35" s="170"/>
      <c r="Y35" s="170"/>
      <c r="Z35" s="170"/>
      <c r="AA35" s="170"/>
      <c r="AB35" s="170"/>
    </row>
    <row r="36" spans="1:28" ht="15" customHeight="1" x14ac:dyDescent="0.25">
      <c r="A36" s="149"/>
      <c r="B36" s="150" t="s">
        <v>385</v>
      </c>
      <c r="C36" s="151">
        <v>2.5811391724879096</v>
      </c>
      <c r="D36" s="151">
        <v>2.3259832154023368</v>
      </c>
      <c r="E36" s="151">
        <v>2.3038132080685272</v>
      </c>
      <c r="F36" s="151">
        <v>2.3785771596683607</v>
      </c>
      <c r="G36" s="151">
        <v>2.4206128133704734</v>
      </c>
      <c r="H36" s="151">
        <v>2.2692745917204711</v>
      </c>
      <c r="I36" s="151">
        <v>2.2092271788887889</v>
      </c>
      <c r="J36" s="151">
        <v>2.1676321506154959</v>
      </c>
      <c r="K36" s="151">
        <v>2.186235517897285</v>
      </c>
      <c r="L36" s="151">
        <v>2.4564576711932968</v>
      </c>
      <c r="M36" s="151">
        <v>2.2582550526615428</v>
      </c>
      <c r="N36" s="151">
        <v>2.0070981006461719</v>
      </c>
      <c r="O36" s="151">
        <v>1.9971413943169212</v>
      </c>
      <c r="P36" s="151">
        <v>1.871729499289476</v>
      </c>
      <c r="Q36" s="151">
        <v>1.8550350552861976</v>
      </c>
      <c r="R36" s="151">
        <v>1.7780418008073995</v>
      </c>
      <c r="S36" s="151">
        <v>1.7862005025983849</v>
      </c>
      <c r="T36" s="151">
        <v>1.6053422624709865</v>
      </c>
      <c r="U36" s="151">
        <f t="shared" si="3"/>
        <v>-0.58089325542629844</v>
      </c>
      <c r="V36" s="212">
        <f t="shared" si="4"/>
        <v>-0.26638723681848941</v>
      </c>
      <c r="W36" s="212">
        <f t="shared" si="5"/>
        <v>-0.18085824012739837</v>
      </c>
      <c r="X36" s="171"/>
      <c r="Y36" s="172"/>
      <c r="Z36" s="172"/>
      <c r="AA36" s="172"/>
      <c r="AB36" s="172"/>
    </row>
    <row r="37" spans="1:28" ht="15" customHeight="1" x14ac:dyDescent="0.25">
      <c r="A37" s="34" t="s">
        <v>116</v>
      </c>
      <c r="B37" s="37" t="s">
        <v>384</v>
      </c>
      <c r="C37" s="61">
        <v>7</v>
      </c>
      <c r="D37" s="61">
        <v>6.532974427994616</v>
      </c>
      <c r="E37" s="61">
        <v>6.9431524547803614</v>
      </c>
      <c r="F37" s="61">
        <v>7.4032608695652167</v>
      </c>
      <c r="G37" s="61">
        <v>7.3693251533742332</v>
      </c>
      <c r="H37" s="61">
        <v>7.2052313883299801</v>
      </c>
      <c r="I37" s="61">
        <v>7.2855932203389813</v>
      </c>
      <c r="J37" s="61">
        <v>7.1066030230708019</v>
      </c>
      <c r="K37" s="61">
        <v>7.0569620253164569</v>
      </c>
      <c r="L37" s="61">
        <v>7.0812127774769884</v>
      </c>
      <c r="M37" s="61">
        <v>7.0187651331719119</v>
      </c>
      <c r="N37" s="61">
        <v>7.0593499764484218</v>
      </c>
      <c r="O37" s="61">
        <v>6.9950174389636279</v>
      </c>
      <c r="P37" s="61">
        <v>7.1205496564647071</v>
      </c>
      <c r="Q37" s="61">
        <v>7.1368715083798886</v>
      </c>
      <c r="R37" s="61">
        <v>7.1172349369453523</v>
      </c>
      <c r="S37" s="61">
        <v>7.1426181514010878</v>
      </c>
      <c r="T37" s="61">
        <v>7.0595026642984005</v>
      </c>
      <c r="U37" s="61">
        <f t="shared" si="3"/>
        <v>2.540638981943566E-3</v>
      </c>
      <c r="V37" s="61">
        <f t="shared" si="4"/>
        <v>-6.1046992166306602E-2</v>
      </c>
      <c r="W37" s="61">
        <f t="shared" si="5"/>
        <v>-8.3115487102687347E-2</v>
      </c>
      <c r="X37" s="170"/>
      <c r="Y37" s="170"/>
      <c r="Z37" s="170"/>
      <c r="AA37" s="170"/>
      <c r="AB37" s="170"/>
    </row>
    <row r="38" spans="1:28" ht="15" customHeight="1" x14ac:dyDescent="0.25">
      <c r="A38" s="34"/>
      <c r="B38" s="37" t="s">
        <v>385</v>
      </c>
      <c r="C38" s="61">
        <v>5.0394736842105265</v>
      </c>
      <c r="D38" s="61">
        <v>4.7913862718707945</v>
      </c>
      <c r="E38" s="61">
        <v>5.3708010335917313</v>
      </c>
      <c r="F38" s="61">
        <v>5.3619565217391303</v>
      </c>
      <c r="G38" s="61">
        <v>5.2736196319018402</v>
      </c>
      <c r="H38" s="61">
        <v>5.3179074446680081</v>
      </c>
      <c r="I38" s="61">
        <v>5.2703389830508476</v>
      </c>
      <c r="J38" s="61">
        <v>5.2195704057279233</v>
      </c>
      <c r="K38" s="61">
        <v>5.2503516174402254</v>
      </c>
      <c r="L38" s="61">
        <v>5.3059014618299942</v>
      </c>
      <c r="M38" s="61">
        <v>5.2330508474576272</v>
      </c>
      <c r="N38" s="61">
        <v>5.2746113989637307</v>
      </c>
      <c r="O38" s="61">
        <v>5.3976083707025415</v>
      </c>
      <c r="P38" s="61">
        <v>5.4678326046221111</v>
      </c>
      <c r="Q38" s="61">
        <v>5.3709497206703913</v>
      </c>
      <c r="R38" s="61">
        <v>5.3456328818309204</v>
      </c>
      <c r="S38" s="61">
        <v>5.3734838979506483</v>
      </c>
      <c r="T38" s="61">
        <v>5.3858792184724686</v>
      </c>
      <c r="U38" s="61">
        <f t="shared" si="3"/>
        <v>0.13552760103224326</v>
      </c>
      <c r="V38" s="61">
        <f t="shared" si="4"/>
        <v>-8.1953386149642427E-2</v>
      </c>
      <c r="W38" s="61">
        <f t="shared" si="5"/>
        <v>1.2395320521820352E-2</v>
      </c>
      <c r="X38" s="171"/>
      <c r="Y38" s="172"/>
      <c r="Z38" s="172"/>
      <c r="AA38" s="172"/>
      <c r="AB38" s="172"/>
    </row>
    <row r="39" spans="1:28" ht="15" customHeight="1" x14ac:dyDescent="0.25">
      <c r="A39" s="34" t="s">
        <v>82</v>
      </c>
      <c r="B39" s="37" t="s">
        <v>384</v>
      </c>
      <c r="C39" s="61">
        <v>3.5905349794238681</v>
      </c>
      <c r="D39" s="61">
        <v>3.4692343823391267</v>
      </c>
      <c r="E39" s="61">
        <v>3.4947981689554721</v>
      </c>
      <c r="F39" s="61">
        <v>3.5852731591448932</v>
      </c>
      <c r="G39" s="61">
        <v>3.3425925925925926</v>
      </c>
      <c r="H39" s="61">
        <v>3.7586384734399174</v>
      </c>
      <c r="I39" s="61">
        <v>3.2635861668119732</v>
      </c>
      <c r="J39" s="61">
        <v>3.2302955665024631</v>
      </c>
      <c r="K39" s="61">
        <v>3.4396</v>
      </c>
      <c r="L39" s="61">
        <v>4.3380820752711031</v>
      </c>
      <c r="M39" s="61">
        <v>3.6306888068880689</v>
      </c>
      <c r="N39" s="61">
        <v>3.8158205430932703</v>
      </c>
      <c r="O39" s="61">
        <v>3.9361769352290672</v>
      </c>
      <c r="P39" s="61">
        <v>3.7095571095571089</v>
      </c>
      <c r="Q39" s="61">
        <v>3.406816088424931</v>
      </c>
      <c r="R39" s="61">
        <v>3.5730530668504485</v>
      </c>
      <c r="S39" s="61">
        <v>3.5098559514783929</v>
      </c>
      <c r="T39" s="61">
        <v>3.4592145015105742</v>
      </c>
      <c r="U39" s="61">
        <f t="shared" si="3"/>
        <v>1.96145015105742E-2</v>
      </c>
      <c r="V39" s="61">
        <f t="shared" si="4"/>
        <v>-0.25034260804653474</v>
      </c>
      <c r="W39" s="61">
        <f t="shared" si="5"/>
        <v>-5.0641449967818719E-2</v>
      </c>
      <c r="X39" s="170"/>
      <c r="Y39" s="170"/>
      <c r="Z39" s="170"/>
      <c r="AA39" s="170"/>
      <c r="AB39" s="170"/>
    </row>
    <row r="40" spans="1:28" ht="15" customHeight="1" x14ac:dyDescent="0.25">
      <c r="A40" s="34"/>
      <c r="B40" s="37" t="s">
        <v>385</v>
      </c>
      <c r="C40" s="61">
        <v>2.493141289437586</v>
      </c>
      <c r="D40" s="61">
        <v>2.4133395960544859</v>
      </c>
      <c r="E40" s="61">
        <v>2.2738243861839367</v>
      </c>
      <c r="F40" s="61">
        <v>2.5700712589073635</v>
      </c>
      <c r="G40" s="61">
        <v>2.4633190883190883</v>
      </c>
      <c r="H40" s="61">
        <v>2.5373904074265083</v>
      </c>
      <c r="I40" s="61">
        <v>2.3876780005812264</v>
      </c>
      <c r="J40" s="61">
        <v>2.2998768472906406</v>
      </c>
      <c r="K40" s="61">
        <v>2.1215999999999999</v>
      </c>
      <c r="L40" s="61">
        <v>3.2202849245162661</v>
      </c>
      <c r="M40" s="61">
        <v>2.7337023370233702</v>
      </c>
      <c r="N40" s="61">
        <v>2.6477764659582843</v>
      </c>
      <c r="O40" s="61">
        <v>2.7598736176935228</v>
      </c>
      <c r="P40" s="61">
        <v>2.883916083916084</v>
      </c>
      <c r="Q40" s="61">
        <v>2.7537611298741171</v>
      </c>
      <c r="R40" s="61">
        <v>2.5337698139214333</v>
      </c>
      <c r="S40" s="61">
        <v>2.453373768006065</v>
      </c>
      <c r="T40" s="61">
        <v>2.39102287440656</v>
      </c>
      <c r="U40" s="61">
        <f t="shared" si="3"/>
        <v>0.2694228744065601</v>
      </c>
      <c r="V40" s="61">
        <f t="shared" si="4"/>
        <v>-0.49289320950952398</v>
      </c>
      <c r="W40" s="61">
        <f t="shared" si="5"/>
        <v>-6.2350893599504964E-2</v>
      </c>
      <c r="X40" s="171"/>
      <c r="Y40" s="172"/>
      <c r="Z40" s="172"/>
      <c r="AA40" s="172"/>
      <c r="AB40" s="172"/>
    </row>
    <row r="41" spans="1:28" ht="15" customHeight="1" x14ac:dyDescent="0.25">
      <c r="A41" s="34" t="s">
        <v>572</v>
      </c>
      <c r="B41" s="37" t="s">
        <v>384</v>
      </c>
      <c r="C41" s="61">
        <v>2.4698067632850242</v>
      </c>
      <c r="D41" s="61">
        <v>2.4851794071762869</v>
      </c>
      <c r="E41" s="61">
        <v>2.566116720019699</v>
      </c>
      <c r="F41" s="61">
        <v>2.2611722434313948</v>
      </c>
      <c r="G41" s="61">
        <v>2.3733483272420579</v>
      </c>
      <c r="H41" s="61">
        <v>2.2752718485702776</v>
      </c>
      <c r="I41" s="61">
        <v>2.2667177914110428</v>
      </c>
      <c r="J41" s="61">
        <v>2.1913495338529727</v>
      </c>
      <c r="K41" s="61">
        <v>2.2940868655154367</v>
      </c>
      <c r="L41" s="61">
        <v>2.2158995815899583</v>
      </c>
      <c r="M41" s="61">
        <v>2.1955618714473109</v>
      </c>
      <c r="N41" s="61">
        <v>2.1274422735346357</v>
      </c>
      <c r="O41" s="61">
        <v>2.1386181977444432</v>
      </c>
      <c r="P41" s="61">
        <v>2.1273042616451932</v>
      </c>
      <c r="Q41" s="61">
        <v>2.2493014986029971</v>
      </c>
      <c r="R41" s="61">
        <v>2.2653174952339055</v>
      </c>
      <c r="S41" s="61">
        <v>2.2072139718560542</v>
      </c>
      <c r="T41" s="61">
        <v>1.9519096534911342</v>
      </c>
      <c r="U41" s="61">
        <f t="shared" si="3"/>
        <v>-0.34217721202430251</v>
      </c>
      <c r="V41" s="61">
        <f t="shared" si="4"/>
        <v>-0.17539460815405894</v>
      </c>
      <c r="W41" s="61">
        <f t="shared" si="5"/>
        <v>-0.25530431836491996</v>
      </c>
      <c r="X41" s="170"/>
      <c r="Y41" s="170"/>
      <c r="Z41" s="170"/>
      <c r="AA41" s="170"/>
      <c r="AB41" s="170"/>
    </row>
    <row r="42" spans="1:28" ht="15" customHeight="1" x14ac:dyDescent="0.25">
      <c r="A42" s="34"/>
      <c r="B42" s="37" t="s">
        <v>385</v>
      </c>
      <c r="C42" s="61">
        <v>1.7560386473429952</v>
      </c>
      <c r="D42" s="61">
        <v>1.696411856474259</v>
      </c>
      <c r="E42" s="61">
        <v>1.7370105885249938</v>
      </c>
      <c r="F42" s="61">
        <v>1.6716820121266562</v>
      </c>
      <c r="G42" s="61">
        <v>1.7332021366319932</v>
      </c>
      <c r="H42" s="61">
        <v>1.5543697140555779</v>
      </c>
      <c r="I42" s="61">
        <v>1.5610429447852761</v>
      </c>
      <c r="J42" s="61">
        <v>1.5156655968210302</v>
      </c>
      <c r="K42" s="61">
        <v>1.6373626373626373</v>
      </c>
      <c r="L42" s="61">
        <v>1.6331008833100884</v>
      </c>
      <c r="M42" s="61">
        <v>1.5520332313073897</v>
      </c>
      <c r="N42" s="61">
        <v>1.4637782288759198</v>
      </c>
      <c r="O42" s="61">
        <v>1.4913500492718712</v>
      </c>
      <c r="P42" s="61">
        <v>1.478840436075322</v>
      </c>
      <c r="Q42" s="61">
        <v>1.4646939293878587</v>
      </c>
      <c r="R42" s="61">
        <v>1.4896905704648775</v>
      </c>
      <c r="S42" s="61">
        <v>1.4987207297402525</v>
      </c>
      <c r="T42" s="61">
        <v>1.3900152105515389</v>
      </c>
      <c r="U42" s="61">
        <f t="shared" si="3"/>
        <v>-0.24734742681109845</v>
      </c>
      <c r="V42" s="61">
        <f t="shared" si="4"/>
        <v>-8.8825225523783136E-2</v>
      </c>
      <c r="W42" s="61">
        <f t="shared" si="5"/>
        <v>-0.10870551918871363</v>
      </c>
      <c r="X42" s="171"/>
      <c r="Y42" s="172"/>
      <c r="Z42" s="172"/>
      <c r="AA42" s="172"/>
      <c r="AB42" s="172"/>
    </row>
    <row r="43" spans="1:28" ht="15" customHeight="1" x14ac:dyDescent="0.25">
      <c r="A43" s="39" t="s">
        <v>571</v>
      </c>
      <c r="B43" s="39"/>
      <c r="C43" s="86"/>
      <c r="D43" s="86"/>
      <c r="E43" s="86"/>
      <c r="F43" s="86"/>
      <c r="G43" s="86"/>
      <c r="H43" s="86"/>
      <c r="I43" s="86"/>
      <c r="J43" s="86"/>
      <c r="K43" s="86"/>
      <c r="L43" s="86"/>
      <c r="M43" s="86"/>
      <c r="N43" s="86"/>
      <c r="O43" s="86"/>
      <c r="P43" s="86"/>
      <c r="Q43" s="86"/>
      <c r="R43" s="86"/>
      <c r="S43" s="86"/>
      <c r="T43" s="86"/>
      <c r="U43" s="39"/>
      <c r="V43" s="39"/>
      <c r="W43" s="39"/>
    </row>
    <row r="44" spans="1:28" ht="15" customHeight="1" x14ac:dyDescent="0.25">
      <c r="A44" s="39"/>
      <c r="B44" s="39"/>
      <c r="C44" s="86"/>
      <c r="D44" s="86"/>
      <c r="E44" s="86"/>
      <c r="F44" s="86"/>
      <c r="G44" s="86"/>
      <c r="H44" s="86"/>
      <c r="I44" s="86"/>
      <c r="J44" s="86"/>
      <c r="K44" s="86"/>
      <c r="L44" s="86"/>
      <c r="M44" s="86"/>
      <c r="N44" s="86"/>
      <c r="O44" s="86"/>
      <c r="P44" s="86"/>
      <c r="Q44" s="86"/>
      <c r="R44" s="86"/>
      <c r="S44" s="86"/>
      <c r="T44" s="86"/>
      <c r="U44" s="39"/>
      <c r="V44" s="39"/>
      <c r="W44" s="39"/>
    </row>
    <row r="45" spans="1:28" ht="15" customHeight="1" x14ac:dyDescent="0.25">
      <c r="A45" s="35" t="s">
        <v>545</v>
      </c>
      <c r="B45" s="35"/>
      <c r="C45" s="75"/>
      <c r="D45" s="75"/>
      <c r="E45" s="75"/>
      <c r="F45" s="75"/>
      <c r="G45" s="75"/>
      <c r="H45" s="75"/>
      <c r="I45" s="75"/>
      <c r="J45" s="75"/>
      <c r="K45" s="75"/>
      <c r="L45" s="75"/>
      <c r="M45" s="75"/>
      <c r="N45" s="75"/>
      <c r="O45" s="75"/>
      <c r="P45" s="75"/>
      <c r="Q45" s="75"/>
      <c r="R45" s="75"/>
      <c r="S45" s="75"/>
      <c r="T45" s="75"/>
      <c r="U45" s="35"/>
      <c r="V45" s="35"/>
      <c r="W45" s="35"/>
    </row>
    <row r="46" spans="1:28" ht="38.25" x14ac:dyDescent="0.25">
      <c r="A46" s="192" t="s">
        <v>117</v>
      </c>
      <c r="B46" s="193"/>
      <c r="C46" s="15">
        <v>2007</v>
      </c>
      <c r="D46" s="15">
        <v>2008</v>
      </c>
      <c r="E46" s="15">
        <v>2009</v>
      </c>
      <c r="F46" s="15">
        <v>2010</v>
      </c>
      <c r="G46" s="15">
        <v>2011</v>
      </c>
      <c r="H46" s="15">
        <v>2012</v>
      </c>
      <c r="I46" s="15">
        <v>2013</v>
      </c>
      <c r="J46" s="15">
        <v>2014</v>
      </c>
      <c r="K46" s="15">
        <v>2015</v>
      </c>
      <c r="L46" s="15">
        <v>2016</v>
      </c>
      <c r="M46" s="15">
        <v>2017</v>
      </c>
      <c r="N46" s="15">
        <v>2018</v>
      </c>
      <c r="O46" s="15">
        <v>2019</v>
      </c>
      <c r="P46" s="15">
        <v>2020</v>
      </c>
      <c r="Q46" s="15">
        <v>2021</v>
      </c>
      <c r="R46" s="15">
        <v>2022</v>
      </c>
      <c r="S46" s="15">
        <v>2023</v>
      </c>
      <c r="T46" s="15">
        <v>2024</v>
      </c>
      <c r="U46" s="27" t="s">
        <v>469</v>
      </c>
      <c r="V46" s="27" t="s">
        <v>470</v>
      </c>
      <c r="W46" s="27" t="s">
        <v>471</v>
      </c>
    </row>
    <row r="47" spans="1:28" ht="15" customHeight="1" x14ac:dyDescent="0.25">
      <c r="A47" s="194" t="s">
        <v>83</v>
      </c>
      <c r="B47" s="195"/>
      <c r="C47" s="164">
        <v>2.7506151722482297</v>
      </c>
      <c r="D47" s="164">
        <v>2.477092457255976</v>
      </c>
      <c r="E47" s="164">
        <v>2.4866123686188502</v>
      </c>
      <c r="F47" s="164">
        <v>2.631561847876343</v>
      </c>
      <c r="G47" s="164">
        <v>2.4396727365338098</v>
      </c>
      <c r="H47" s="164">
        <v>2.3856777017274284</v>
      </c>
      <c r="I47" s="164">
        <v>2.4247639790713098</v>
      </c>
      <c r="J47" s="164">
        <v>2.3600326445821134</v>
      </c>
      <c r="K47" s="164">
        <v>2.2520255365352497</v>
      </c>
      <c r="L47" s="164">
        <v>2.2000878484871969</v>
      </c>
      <c r="M47" s="164">
        <v>2.2040651109902605</v>
      </c>
      <c r="N47" s="164">
        <v>2.3520688180988367</v>
      </c>
      <c r="O47" s="164">
        <v>2.2692229813772391</v>
      </c>
      <c r="P47" s="164">
        <v>2.2928749120989638</v>
      </c>
      <c r="Q47" s="164">
        <v>2.5098492503342626</v>
      </c>
      <c r="R47" s="164">
        <v>2.4094446765383966</v>
      </c>
      <c r="S47" s="164">
        <v>2.2760462080600972</v>
      </c>
      <c r="T47" s="164">
        <v>2.0887406933243788</v>
      </c>
      <c r="U47" s="164">
        <f t="shared" ref="U47:U50" si="6">(T47-K47)</f>
        <v>-0.16328484321087089</v>
      </c>
      <c r="V47" s="164">
        <f t="shared" ref="V47:V50" si="7">(T47-P47)</f>
        <v>-0.20413421877458493</v>
      </c>
      <c r="W47" s="164">
        <f>(T47-S47)</f>
        <v>-0.18730551473571833</v>
      </c>
    </row>
    <row r="48" spans="1:28" ht="15" customHeight="1" x14ac:dyDescent="0.25">
      <c r="A48" s="194" t="s">
        <v>93</v>
      </c>
      <c r="B48" s="195"/>
      <c r="C48" s="164">
        <v>2.0818573480134042</v>
      </c>
      <c r="D48" s="164">
        <v>2.0664617748751439</v>
      </c>
      <c r="E48" s="164">
        <v>1.8263630089717049</v>
      </c>
      <c r="F48" s="164">
        <v>1.9454976303317535</v>
      </c>
      <c r="G48" s="164">
        <v>2.0227409457345686</v>
      </c>
      <c r="H48" s="164">
        <v>1.974207984925215</v>
      </c>
      <c r="I48" s="164">
        <v>1.9025515488183791</v>
      </c>
      <c r="J48" s="164">
        <v>2.1045202952029523</v>
      </c>
      <c r="K48" s="164">
        <v>2.0543976476692904</v>
      </c>
      <c r="L48" s="164">
        <v>2.0735879414006271</v>
      </c>
      <c r="M48" s="164">
        <v>2.0883354964308891</v>
      </c>
      <c r="N48" s="164">
        <v>2.1767292784734646</v>
      </c>
      <c r="O48" s="164">
        <v>2.0589072922131457</v>
      </c>
      <c r="P48" s="164">
        <v>2.1397266729500473</v>
      </c>
      <c r="Q48" s="164">
        <v>2.286095284276882</v>
      </c>
      <c r="R48" s="164">
        <v>2.0045828437132784</v>
      </c>
      <c r="S48" s="164">
        <v>2.0123175182481754</v>
      </c>
      <c r="T48" s="164">
        <v>1.9410410195994432</v>
      </c>
      <c r="U48" s="164">
        <f t="shared" si="6"/>
        <v>-0.11335662806984725</v>
      </c>
      <c r="V48" s="164">
        <f t="shared" si="7"/>
        <v>-0.19868565335060406</v>
      </c>
      <c r="W48" s="164">
        <f t="shared" ref="W48:W50" si="8">(T48-S48)</f>
        <v>-7.1276498648732201E-2</v>
      </c>
    </row>
    <row r="49" spans="1:23" ht="15" customHeight="1" x14ac:dyDescent="0.25">
      <c r="A49" s="194" t="s">
        <v>82</v>
      </c>
      <c r="B49" s="195"/>
      <c r="C49" s="164">
        <v>1.0677055346587858</v>
      </c>
      <c r="D49" s="164">
        <v>0.99884811584663469</v>
      </c>
      <c r="E49" s="164">
        <v>1.0386847195357833</v>
      </c>
      <c r="F49" s="164">
        <v>0.8879379513238832</v>
      </c>
      <c r="G49" s="164">
        <v>0.8988857938718664</v>
      </c>
      <c r="H49" s="164">
        <v>0.99050512723129502</v>
      </c>
      <c r="I49" s="164">
        <v>0.89695718517188805</v>
      </c>
      <c r="J49" s="164">
        <v>0.88839608979000761</v>
      </c>
      <c r="K49" s="164">
        <v>0.94103406536399792</v>
      </c>
      <c r="L49" s="164">
        <v>0.85547529615717988</v>
      </c>
      <c r="M49" s="164">
        <v>0.83646456020495297</v>
      </c>
      <c r="N49" s="164">
        <v>0.84291168983747822</v>
      </c>
      <c r="O49" s="164">
        <v>0.80006826521034236</v>
      </c>
      <c r="P49" s="164">
        <v>0.73154727075148362</v>
      </c>
      <c r="Q49" s="164">
        <v>0.83093236597021192</v>
      </c>
      <c r="R49" s="164">
        <v>0.84966017681026118</v>
      </c>
      <c r="S49" s="164">
        <v>0.79276355917730013</v>
      </c>
      <c r="T49" s="164">
        <v>0.63184429816217058</v>
      </c>
      <c r="U49" s="164">
        <f t="shared" si="6"/>
        <v>-0.30918976720182734</v>
      </c>
      <c r="V49" s="164">
        <f t="shared" si="7"/>
        <v>-9.9702972589313044E-2</v>
      </c>
      <c r="W49" s="164">
        <f t="shared" si="8"/>
        <v>-0.16091926101512954</v>
      </c>
    </row>
    <row r="50" spans="1:23" ht="15" customHeight="1" x14ac:dyDescent="0.25">
      <c r="A50" s="196" t="s">
        <v>0</v>
      </c>
      <c r="B50" s="197"/>
      <c r="C50" s="165">
        <v>2.6291114449750506</v>
      </c>
      <c r="D50" s="165">
        <v>2.3463121501481732</v>
      </c>
      <c r="E50" s="165">
        <v>2.3270179841070684</v>
      </c>
      <c r="F50" s="165">
        <v>2.4440837285294466</v>
      </c>
      <c r="G50" s="165">
        <v>2.3072716833596107</v>
      </c>
      <c r="H50" s="165">
        <v>2.2684144617249045</v>
      </c>
      <c r="I50" s="165">
        <v>2.2679250265826223</v>
      </c>
      <c r="J50" s="165">
        <v>2.2385797169901638</v>
      </c>
      <c r="K50" s="165">
        <v>2.1485656345243882</v>
      </c>
      <c r="L50" s="165">
        <v>2.0654556723899828</v>
      </c>
      <c r="M50" s="165">
        <v>2.0943696996748082</v>
      </c>
      <c r="N50" s="165">
        <v>2.1917240912737146</v>
      </c>
      <c r="O50" s="165">
        <v>2.0915786561340246</v>
      </c>
      <c r="P50" s="165">
        <v>2.0601684930939141</v>
      </c>
      <c r="Q50" s="165">
        <v>2.2949183190182527</v>
      </c>
      <c r="R50" s="165">
        <v>2.1377432062228801</v>
      </c>
      <c r="S50" s="165">
        <v>2.0167561111678598</v>
      </c>
      <c r="T50" s="165">
        <v>1.7857309271459938</v>
      </c>
      <c r="U50" s="165">
        <f t="shared" si="6"/>
        <v>-0.36283470737839441</v>
      </c>
      <c r="V50" s="165">
        <f t="shared" si="7"/>
        <v>-0.27443756594792035</v>
      </c>
      <c r="W50" s="165">
        <f t="shared" si="8"/>
        <v>-0.231025184021866</v>
      </c>
    </row>
    <row r="51" spans="1:23" ht="15" customHeight="1" x14ac:dyDescent="0.25">
      <c r="A51" s="39" t="s">
        <v>571</v>
      </c>
      <c r="B51" s="39"/>
      <c r="C51" s="86"/>
      <c r="D51" s="86"/>
      <c r="E51" s="86"/>
      <c r="F51" s="86"/>
      <c r="G51" s="86"/>
      <c r="H51" s="86"/>
      <c r="I51" s="86"/>
      <c r="J51" s="86"/>
      <c r="K51" s="86"/>
      <c r="L51" s="86"/>
      <c r="M51" s="86"/>
      <c r="N51" s="86"/>
      <c r="O51" s="86"/>
      <c r="P51" s="86"/>
      <c r="Q51" s="86"/>
      <c r="R51" s="86"/>
      <c r="S51" s="86"/>
      <c r="T51" s="86"/>
      <c r="U51" s="39"/>
      <c r="V51" s="39"/>
      <c r="W51" s="39"/>
    </row>
    <row r="52" spans="1:23" ht="15" customHeight="1" x14ac:dyDescent="0.25">
      <c r="C52" s="154"/>
      <c r="D52" s="41"/>
      <c r="E52" s="41"/>
      <c r="F52" s="41"/>
      <c r="G52" s="41"/>
      <c r="H52" s="41"/>
      <c r="I52" s="41"/>
      <c r="J52" s="41"/>
      <c r="K52" s="41"/>
      <c r="L52" s="41"/>
      <c r="M52" s="41"/>
      <c r="N52" s="41"/>
      <c r="O52" s="41"/>
      <c r="P52" s="41"/>
      <c r="Q52" s="41"/>
      <c r="R52" s="41"/>
      <c r="S52" s="41"/>
      <c r="T52" s="41"/>
    </row>
    <row r="53" spans="1:23" ht="15" customHeight="1" x14ac:dyDescent="0.25">
      <c r="A53" s="35" t="s">
        <v>546</v>
      </c>
      <c r="B53" s="35"/>
      <c r="C53" s="75"/>
      <c r="D53" s="75"/>
      <c r="E53" s="75"/>
      <c r="F53" s="75"/>
      <c r="G53" s="75"/>
      <c r="H53" s="75"/>
      <c r="I53" s="75"/>
      <c r="J53" s="75"/>
      <c r="K53" s="75"/>
      <c r="L53" s="75"/>
      <c r="M53" s="75"/>
      <c r="N53" s="75"/>
      <c r="O53" s="75"/>
      <c r="P53" s="75"/>
      <c r="Q53" s="75"/>
      <c r="R53" s="75"/>
      <c r="S53" s="75"/>
      <c r="T53" s="75"/>
      <c r="U53" s="35"/>
      <c r="V53" s="35"/>
      <c r="W53" s="35"/>
    </row>
    <row r="54" spans="1:23" ht="38.25" x14ac:dyDescent="0.25">
      <c r="A54" s="198" t="s">
        <v>120</v>
      </c>
      <c r="B54" s="199"/>
      <c r="C54" s="15">
        <v>2007</v>
      </c>
      <c r="D54" s="15">
        <v>2008</v>
      </c>
      <c r="E54" s="15">
        <v>2009</v>
      </c>
      <c r="F54" s="15">
        <v>2010</v>
      </c>
      <c r="G54" s="15">
        <v>2011</v>
      </c>
      <c r="H54" s="15">
        <v>2012</v>
      </c>
      <c r="I54" s="15">
        <v>2013</v>
      </c>
      <c r="J54" s="15">
        <v>2014</v>
      </c>
      <c r="K54" s="15">
        <v>2015</v>
      </c>
      <c r="L54" s="15">
        <v>2016</v>
      </c>
      <c r="M54" s="15">
        <v>2017</v>
      </c>
      <c r="N54" s="15">
        <v>2018</v>
      </c>
      <c r="O54" s="15">
        <v>2019</v>
      </c>
      <c r="P54" s="15">
        <v>2020</v>
      </c>
      <c r="Q54" s="15">
        <v>2021</v>
      </c>
      <c r="R54" s="15">
        <v>2022</v>
      </c>
      <c r="S54" s="15">
        <v>2023</v>
      </c>
      <c r="T54" s="15">
        <v>2024</v>
      </c>
      <c r="U54" s="27" t="s">
        <v>469</v>
      </c>
      <c r="V54" s="27" t="s">
        <v>470</v>
      </c>
      <c r="W54" s="27" t="s">
        <v>471</v>
      </c>
    </row>
    <row r="55" spans="1:23" ht="15" customHeight="1" x14ac:dyDescent="0.25">
      <c r="A55" s="200" t="s">
        <v>83</v>
      </c>
      <c r="B55" s="201"/>
      <c r="C55" s="166">
        <v>2.7506151722482297</v>
      </c>
      <c r="D55" s="166">
        <v>2.477092457255976</v>
      </c>
      <c r="E55" s="166">
        <v>2.4866123686188502</v>
      </c>
      <c r="F55" s="166">
        <v>2.631561847876343</v>
      </c>
      <c r="G55" s="166">
        <v>2.4396727365338098</v>
      </c>
      <c r="H55" s="166">
        <v>2.3856777017274284</v>
      </c>
      <c r="I55" s="166">
        <v>2.4247639790713098</v>
      </c>
      <c r="J55" s="166">
        <v>2.3600326445821134</v>
      </c>
      <c r="K55" s="166">
        <v>2.2520255365352515</v>
      </c>
      <c r="L55" s="166">
        <v>2.2000878484871969</v>
      </c>
      <c r="M55" s="166">
        <v>2.2040651109902605</v>
      </c>
      <c r="N55" s="166">
        <v>2.3520688180988367</v>
      </c>
      <c r="O55" s="166">
        <v>2.2692229813772391</v>
      </c>
      <c r="P55" s="166">
        <v>2.2928749120989638</v>
      </c>
      <c r="Q55" s="166">
        <v>2.5098492503342626</v>
      </c>
      <c r="R55" s="166">
        <v>2.4094446765383966</v>
      </c>
      <c r="S55" s="166">
        <v>2.2760462080600972</v>
      </c>
      <c r="T55" s="166">
        <v>2.0887406933243788</v>
      </c>
      <c r="U55" s="165">
        <f t="shared" ref="U55:U67" si="9">(T55-K55)</f>
        <v>-0.16328484321087267</v>
      </c>
      <c r="V55" s="165">
        <f t="shared" ref="V55:V67" si="10">(T55-P55)</f>
        <v>-0.20413421877458493</v>
      </c>
      <c r="W55" s="165">
        <f t="shared" ref="W55:W67" si="11">(T55-S55)</f>
        <v>-0.18730551473571833</v>
      </c>
    </row>
    <row r="56" spans="1:23" ht="15" customHeight="1" x14ac:dyDescent="0.25">
      <c r="A56" s="202" t="s">
        <v>113</v>
      </c>
      <c r="B56" s="203"/>
      <c r="C56" s="164">
        <v>3.2868572091135722</v>
      </c>
      <c r="D56" s="164">
        <v>3.1222579859890196</v>
      </c>
      <c r="E56" s="164">
        <v>3.1086249941118265</v>
      </c>
      <c r="F56" s="164">
        <v>3.2754387977515211</v>
      </c>
      <c r="G56" s="164">
        <v>3.1394411423105826</v>
      </c>
      <c r="H56" s="164">
        <v>3.1515426688910946</v>
      </c>
      <c r="I56" s="164">
        <v>3.1439782220970613</v>
      </c>
      <c r="J56" s="164">
        <v>3.1354009336811757</v>
      </c>
      <c r="K56" s="164">
        <v>3.0917698221103649</v>
      </c>
      <c r="L56" s="164">
        <v>3.0781805501216244</v>
      </c>
      <c r="M56" s="164">
        <v>3.1111780019524904</v>
      </c>
      <c r="N56" s="164">
        <v>3.0949469041772879</v>
      </c>
      <c r="O56" s="164">
        <v>3.1116007025026651</v>
      </c>
      <c r="P56" s="164">
        <v>3.2162647083368103</v>
      </c>
      <c r="Q56" s="164">
        <v>3.1795730589856053</v>
      </c>
      <c r="R56" s="164">
        <v>2.9676196068357239</v>
      </c>
      <c r="S56" s="164">
        <v>2.8067118464209919</v>
      </c>
      <c r="T56" s="164">
        <v>2.6713362481039109</v>
      </c>
      <c r="U56" s="164">
        <f t="shared" si="9"/>
        <v>-0.42043357400645398</v>
      </c>
      <c r="V56" s="164">
        <f t="shared" si="10"/>
        <v>-0.54492846023289943</v>
      </c>
      <c r="W56" s="164">
        <f t="shared" si="11"/>
        <v>-0.13537559831708101</v>
      </c>
    </row>
    <row r="57" spans="1:23" ht="15" customHeight="1" x14ac:dyDescent="0.25">
      <c r="A57" s="202" t="s">
        <v>114</v>
      </c>
      <c r="B57" s="203"/>
      <c r="C57" s="164">
        <v>3.2975000000000048</v>
      </c>
      <c r="D57" s="164">
        <v>3.0313837375178316</v>
      </c>
      <c r="E57" s="164">
        <v>2.9278846153846114</v>
      </c>
      <c r="F57" s="164">
        <v>3.2049092849519738</v>
      </c>
      <c r="G57" s="164">
        <v>3.1747881355932215</v>
      </c>
      <c r="H57" s="164">
        <v>3.2150423728813511</v>
      </c>
      <c r="I57" s="164">
        <v>3.473023839397742</v>
      </c>
      <c r="J57" s="164">
        <v>3.6204188481675335</v>
      </c>
      <c r="K57" s="164">
        <v>3.79834254143646</v>
      </c>
      <c r="L57" s="164">
        <v>3.0539215686274463</v>
      </c>
      <c r="M57" s="164">
        <v>3.1160896130346281</v>
      </c>
      <c r="N57" s="164">
        <v>3.2875000000000014</v>
      </c>
      <c r="O57" s="164">
        <v>2.9658590308370023</v>
      </c>
      <c r="P57" s="164">
        <v>2.359361135758645</v>
      </c>
      <c r="Q57" s="164">
        <v>2.7941176470588225</v>
      </c>
      <c r="R57" s="164">
        <v>2.4064327485380144</v>
      </c>
      <c r="S57" s="164">
        <v>2.1500672947510076</v>
      </c>
      <c r="T57" s="164">
        <v>2.273684210526314</v>
      </c>
      <c r="U57" s="164">
        <f t="shared" si="9"/>
        <v>-1.524658330910146</v>
      </c>
      <c r="V57" s="164">
        <f t="shared" si="10"/>
        <v>-8.5676925232331058E-2</v>
      </c>
      <c r="W57" s="164">
        <f t="shared" si="11"/>
        <v>0.12361691577530642</v>
      </c>
    </row>
    <row r="58" spans="1:23" ht="15" customHeight="1" x14ac:dyDescent="0.25">
      <c r="A58" s="202" t="s">
        <v>115</v>
      </c>
      <c r="B58" s="203"/>
      <c r="C58" s="164">
        <v>2.9487155447215443</v>
      </c>
      <c r="D58" s="164">
        <v>3.084382334115638</v>
      </c>
      <c r="E58" s="164">
        <v>2.6723864312636376</v>
      </c>
      <c r="F58" s="164">
        <v>2.4045115851791365</v>
      </c>
      <c r="G58" s="164">
        <v>2.274409383776641</v>
      </c>
      <c r="H58" s="164">
        <v>2.2998608211551854</v>
      </c>
      <c r="I58" s="164">
        <v>2.2037724727379899</v>
      </c>
      <c r="J58" s="164">
        <v>2.2125206756553553</v>
      </c>
      <c r="K58" s="164">
        <v>2.3365846956999583</v>
      </c>
      <c r="L58" s="164">
        <v>2.3029607250755291</v>
      </c>
      <c r="M58" s="164">
        <v>2.1773079783278444</v>
      </c>
      <c r="N58" s="164">
        <v>2.5150748534182554</v>
      </c>
      <c r="O58" s="164">
        <v>2.5031423626924116</v>
      </c>
      <c r="P58" s="164">
        <v>2.3397211827116831</v>
      </c>
      <c r="Q58" s="164">
        <v>2.6576588884638497</v>
      </c>
      <c r="R58" s="164">
        <v>2.4951766789121752</v>
      </c>
      <c r="S58" s="164">
        <v>2.3694314898000055</v>
      </c>
      <c r="T58" s="164">
        <v>2.2278274787778312</v>
      </c>
      <c r="U58" s="164">
        <f t="shared" si="9"/>
        <v>-0.10875721692212714</v>
      </c>
      <c r="V58" s="164">
        <f t="shared" si="10"/>
        <v>-0.1118937039338519</v>
      </c>
      <c r="W58" s="164">
        <f t="shared" si="11"/>
        <v>-0.14160401102217435</v>
      </c>
    </row>
    <row r="59" spans="1:23" ht="15" customHeight="1" x14ac:dyDescent="0.25">
      <c r="A59" s="202" t="s">
        <v>4</v>
      </c>
      <c r="B59" s="203"/>
      <c r="C59" s="164">
        <v>1.7329336685360666</v>
      </c>
      <c r="D59" s="164">
        <v>1.3562736361253602</v>
      </c>
      <c r="E59" s="164">
        <v>1.4554975706316355</v>
      </c>
      <c r="F59" s="164">
        <v>1.6055702505056795</v>
      </c>
      <c r="G59" s="164">
        <v>1.6503822937625756</v>
      </c>
      <c r="H59" s="164">
        <v>1.5847533431727712</v>
      </c>
      <c r="I59" s="164">
        <v>1.7321239873194783</v>
      </c>
      <c r="J59" s="164">
        <v>1.5859943375264312</v>
      </c>
      <c r="K59" s="164">
        <v>1.4462346434491629</v>
      </c>
      <c r="L59" s="164">
        <v>1.4204932939304387</v>
      </c>
      <c r="M59" s="164">
        <v>1.4183594573697897</v>
      </c>
      <c r="N59" s="164">
        <v>1.633370789522969</v>
      </c>
      <c r="O59" s="164">
        <v>1.4443883247381573</v>
      </c>
      <c r="P59" s="164">
        <v>1.5204925690021227</v>
      </c>
      <c r="Q59" s="164">
        <v>1.765881205920711</v>
      </c>
      <c r="R59" s="164">
        <v>1.7394118050318781</v>
      </c>
      <c r="S59" s="164">
        <v>1.6436591721062666</v>
      </c>
      <c r="T59" s="164">
        <v>1.4174391886538311</v>
      </c>
      <c r="U59" s="164">
        <f t="shared" si="9"/>
        <v>-2.8795454795331743E-2</v>
      </c>
      <c r="V59" s="164">
        <f t="shared" si="10"/>
        <v>-0.10305338034829159</v>
      </c>
      <c r="W59" s="164">
        <f t="shared" si="11"/>
        <v>-0.22621998345243544</v>
      </c>
    </row>
    <row r="60" spans="1:23" ht="15" customHeight="1" x14ac:dyDescent="0.25">
      <c r="A60" s="200" t="s">
        <v>93</v>
      </c>
      <c r="B60" s="201"/>
      <c r="C60" s="165">
        <v>2.0818573480134042</v>
      </c>
      <c r="D60" s="165">
        <v>2.0664617748751439</v>
      </c>
      <c r="E60" s="165">
        <v>1.8263630089717049</v>
      </c>
      <c r="F60" s="165">
        <v>1.9454976303317535</v>
      </c>
      <c r="G60" s="165">
        <v>2.0227409457345686</v>
      </c>
      <c r="H60" s="165">
        <v>1.974207984925215</v>
      </c>
      <c r="I60" s="165">
        <v>1.9025515488183791</v>
      </c>
      <c r="J60" s="165">
        <v>2.1045202952029523</v>
      </c>
      <c r="K60" s="165">
        <v>2.0543976476692904</v>
      </c>
      <c r="L60" s="165">
        <v>2.0735879414006271</v>
      </c>
      <c r="M60" s="165">
        <v>2.0883354964308873</v>
      </c>
      <c r="N60" s="165">
        <v>2.1767292784734646</v>
      </c>
      <c r="O60" s="165">
        <v>2.0589072922131457</v>
      </c>
      <c r="P60" s="165">
        <v>2.1397266729500473</v>
      </c>
      <c r="Q60" s="165">
        <v>2.286095284276882</v>
      </c>
      <c r="R60" s="165">
        <v>2.0045828437132784</v>
      </c>
      <c r="S60" s="165">
        <v>2.0123175182481754</v>
      </c>
      <c r="T60" s="165">
        <v>1.9410410195994432</v>
      </c>
      <c r="U60" s="165">
        <f t="shared" si="9"/>
        <v>-0.11335662806984725</v>
      </c>
      <c r="V60" s="165">
        <f t="shared" si="10"/>
        <v>-0.19868565335060406</v>
      </c>
      <c r="W60" s="165">
        <f t="shared" si="11"/>
        <v>-7.1276498648732201E-2</v>
      </c>
    </row>
    <row r="61" spans="1:23" ht="15" customHeight="1" x14ac:dyDescent="0.25">
      <c r="A61" s="202" t="s">
        <v>75</v>
      </c>
      <c r="B61" s="203"/>
      <c r="C61" s="164">
        <v>4.2684824902723744</v>
      </c>
      <c r="D61" s="164">
        <v>4.4385964912280667</v>
      </c>
      <c r="E61" s="164">
        <v>4.1715116279069768</v>
      </c>
      <c r="F61" s="164">
        <v>3.42372881355932</v>
      </c>
      <c r="G61" s="164">
        <v>4.0112107623318387</v>
      </c>
      <c r="H61" s="164">
        <v>4.2401574803149611</v>
      </c>
      <c r="I61" s="164">
        <v>3.8994413407821229</v>
      </c>
      <c r="J61" s="164">
        <v>4.0584795321637426</v>
      </c>
      <c r="K61" s="164">
        <v>4.1886792452830157</v>
      </c>
      <c r="L61" s="164">
        <v>4.3636363636363633</v>
      </c>
      <c r="M61" s="164">
        <v>4.1074918566775214</v>
      </c>
      <c r="N61" s="164">
        <v>4.1706666666666674</v>
      </c>
      <c r="O61" s="164">
        <v>3.9804177545691903</v>
      </c>
      <c r="P61" s="164">
        <v>4.0493827160493794</v>
      </c>
      <c r="Q61" s="164">
        <v>4.5380774032459428</v>
      </c>
      <c r="R61" s="164">
        <v>4.3172839506172842</v>
      </c>
      <c r="S61" s="164">
        <v>4.4070138150903304</v>
      </c>
      <c r="T61" s="164">
        <v>4.1648780487804924</v>
      </c>
      <c r="U61" s="164">
        <f t="shared" si="9"/>
        <v>-2.3801196502523325E-2</v>
      </c>
      <c r="V61" s="164">
        <f t="shared" si="10"/>
        <v>0.11549533273111301</v>
      </c>
      <c r="W61" s="164">
        <f t="shared" si="11"/>
        <v>-0.24213576630983802</v>
      </c>
    </row>
    <row r="62" spans="1:23" ht="15" customHeight="1" x14ac:dyDescent="0.25">
      <c r="A62" s="202" t="s">
        <v>76</v>
      </c>
      <c r="B62" s="203"/>
      <c r="C62" s="164">
        <v>1.9385360877327211</v>
      </c>
      <c r="D62" s="164">
        <v>1.9290794553952453</v>
      </c>
      <c r="E62" s="164">
        <v>1.7094623967540934</v>
      </c>
      <c r="F62" s="164">
        <v>1.8637074085651761</v>
      </c>
      <c r="G62" s="164">
        <v>1.9099809281627462</v>
      </c>
      <c r="H62" s="164">
        <v>1.8300137792809719</v>
      </c>
      <c r="I62" s="164">
        <v>1.7962118207060689</v>
      </c>
      <c r="J62" s="164">
        <v>2.0074561828217292</v>
      </c>
      <c r="K62" s="164">
        <v>1.9410746812386153</v>
      </c>
      <c r="L62" s="164">
        <v>1.9451797531747452</v>
      </c>
      <c r="M62" s="164">
        <v>1.9824995731603212</v>
      </c>
      <c r="N62" s="164">
        <v>2.0586609821569555</v>
      </c>
      <c r="O62" s="164">
        <v>1.9418780313270254</v>
      </c>
      <c r="P62" s="164">
        <v>2.0237440639840036</v>
      </c>
      <c r="Q62" s="164">
        <v>2.1711792062177486</v>
      </c>
      <c r="R62" s="164">
        <v>1.8890191239975325</v>
      </c>
      <c r="S62" s="164">
        <v>1.8923723851599514</v>
      </c>
      <c r="T62" s="164">
        <v>1.8118873590571698</v>
      </c>
      <c r="U62" s="164">
        <f t="shared" si="9"/>
        <v>-0.12918732218144546</v>
      </c>
      <c r="V62" s="164">
        <f t="shared" si="10"/>
        <v>-0.21185670492683384</v>
      </c>
      <c r="W62" s="164">
        <f t="shared" si="11"/>
        <v>-8.0485026102781632E-2</v>
      </c>
    </row>
    <row r="63" spans="1:23" ht="15" customHeight="1" x14ac:dyDescent="0.25">
      <c r="A63" s="200" t="s">
        <v>82</v>
      </c>
      <c r="B63" s="201"/>
      <c r="C63" s="165">
        <v>1.0677055346587858</v>
      </c>
      <c r="D63" s="165">
        <v>0.99884811584663469</v>
      </c>
      <c r="E63" s="165">
        <v>1.0386847195357833</v>
      </c>
      <c r="F63" s="165">
        <v>0.8879379513238832</v>
      </c>
      <c r="G63" s="165">
        <v>0.8988857938718664</v>
      </c>
      <c r="H63" s="165">
        <v>0.99050512723129502</v>
      </c>
      <c r="I63" s="165">
        <v>0.89695718517188805</v>
      </c>
      <c r="J63" s="165">
        <v>0.88839608979000761</v>
      </c>
      <c r="K63" s="165">
        <v>0.94103406536399792</v>
      </c>
      <c r="L63" s="165">
        <v>0.85547529615717988</v>
      </c>
      <c r="M63" s="165">
        <v>0.83646456020495297</v>
      </c>
      <c r="N63" s="165">
        <v>0.84291168983747822</v>
      </c>
      <c r="O63" s="165">
        <v>0.80006826521034236</v>
      </c>
      <c r="P63" s="165">
        <v>0.73154727075148318</v>
      </c>
      <c r="Q63" s="165">
        <v>0.83093236597021192</v>
      </c>
      <c r="R63" s="165">
        <v>0.84966017681026118</v>
      </c>
      <c r="S63" s="165">
        <v>0.79276355917730013</v>
      </c>
      <c r="T63" s="165">
        <v>0.63184429816217058</v>
      </c>
      <c r="U63" s="165">
        <f t="shared" si="9"/>
        <v>-0.30918976720182734</v>
      </c>
      <c r="V63" s="165">
        <f t="shared" si="10"/>
        <v>-9.97029725893126E-2</v>
      </c>
      <c r="W63" s="165">
        <f t="shared" si="11"/>
        <v>-0.16091926101512954</v>
      </c>
    </row>
    <row r="64" spans="1:23" ht="15" customHeight="1" x14ac:dyDescent="0.25">
      <c r="A64" s="202" t="s">
        <v>116</v>
      </c>
      <c r="B64" s="203"/>
      <c r="C64" s="164">
        <v>1.9605263157894735</v>
      </c>
      <c r="D64" s="164">
        <v>1.7415881561238216</v>
      </c>
      <c r="E64" s="164">
        <v>1.57235142118863</v>
      </c>
      <c r="F64" s="164">
        <v>2.0413043478260864</v>
      </c>
      <c r="G64" s="164">
        <v>2.095705521472393</v>
      </c>
      <c r="H64" s="164">
        <v>1.887323943661972</v>
      </c>
      <c r="I64" s="164">
        <v>2.0152542372881337</v>
      </c>
      <c r="J64" s="164">
        <v>1.8870326173428786</v>
      </c>
      <c r="K64" s="164">
        <v>1.8066104078762315</v>
      </c>
      <c r="L64" s="164">
        <v>1.7753113156469942</v>
      </c>
      <c r="M64" s="164">
        <v>1.7857142857142847</v>
      </c>
      <c r="N64" s="164">
        <v>1.7847385774846911</v>
      </c>
      <c r="O64" s="164">
        <v>1.5974090682610864</v>
      </c>
      <c r="P64" s="164">
        <v>1.652717051842596</v>
      </c>
      <c r="Q64" s="164">
        <v>1.7659217877094973</v>
      </c>
      <c r="R64" s="164">
        <v>1.7716020551144318</v>
      </c>
      <c r="S64" s="164">
        <v>1.7691342534504395</v>
      </c>
      <c r="T64" s="164">
        <v>1.6736234458259318</v>
      </c>
      <c r="U64" s="164">
        <f t="shared" si="9"/>
        <v>-0.1329869620502997</v>
      </c>
      <c r="V64" s="164">
        <f t="shared" si="10"/>
        <v>2.0906393983335825E-2</v>
      </c>
      <c r="W64" s="164">
        <f t="shared" si="11"/>
        <v>-9.5510807624507699E-2</v>
      </c>
    </row>
    <row r="65" spans="1:23" ht="15" customHeight="1" x14ac:dyDescent="0.25">
      <c r="A65" s="202" t="s">
        <v>82</v>
      </c>
      <c r="B65" s="203"/>
      <c r="C65" s="164">
        <v>1.0973936899862822</v>
      </c>
      <c r="D65" s="164">
        <v>1.0558947862846408</v>
      </c>
      <c r="E65" s="164">
        <v>1.2209737827715355</v>
      </c>
      <c r="F65" s="164">
        <v>1.0152019002375297</v>
      </c>
      <c r="G65" s="164">
        <v>0.87927350427350426</v>
      </c>
      <c r="H65" s="164">
        <v>1.2212480660134091</v>
      </c>
      <c r="I65" s="164">
        <v>0.87590816623074685</v>
      </c>
      <c r="J65" s="164">
        <v>0.93041871921182251</v>
      </c>
      <c r="K65" s="164">
        <v>1.3180000000000001</v>
      </c>
      <c r="L65" s="164">
        <v>1.117797150754837</v>
      </c>
      <c r="M65" s="164">
        <v>0.89698646986469877</v>
      </c>
      <c r="N65" s="164">
        <v>1.168044077134986</v>
      </c>
      <c r="O65" s="164">
        <v>1.1763033175355444</v>
      </c>
      <c r="P65" s="164">
        <v>0.82564102564102493</v>
      </c>
      <c r="Q65" s="164">
        <v>0.65305495855081386</v>
      </c>
      <c r="R65" s="164">
        <v>1.0392832529290152</v>
      </c>
      <c r="S65" s="164">
        <v>1.0564821834723279</v>
      </c>
      <c r="T65" s="164">
        <v>1.0681916271040142</v>
      </c>
      <c r="U65" s="164">
        <f t="shared" si="9"/>
        <v>-0.2498083728959859</v>
      </c>
      <c r="V65" s="164">
        <f t="shared" si="10"/>
        <v>0.24255060146298923</v>
      </c>
      <c r="W65" s="164">
        <f t="shared" si="11"/>
        <v>1.1709443631686245E-2</v>
      </c>
    </row>
    <row r="66" spans="1:23" ht="15" customHeight="1" x14ac:dyDescent="0.25">
      <c r="A66" s="202" t="s">
        <v>84</v>
      </c>
      <c r="B66" s="203"/>
      <c r="C66" s="164">
        <v>0.71376811594202905</v>
      </c>
      <c r="D66" s="164">
        <v>0.78876755070202798</v>
      </c>
      <c r="E66" s="164">
        <v>0.82910613149470525</v>
      </c>
      <c r="F66" s="164">
        <v>0.58949023130473854</v>
      </c>
      <c r="G66" s="164">
        <v>0.64014619061006472</v>
      </c>
      <c r="H66" s="164">
        <v>0.72090213451469976</v>
      </c>
      <c r="I66" s="164">
        <v>0.70567484662576674</v>
      </c>
      <c r="J66" s="164">
        <v>0.67568393703194252</v>
      </c>
      <c r="K66" s="164">
        <v>0.65672422815279941</v>
      </c>
      <c r="L66" s="164">
        <v>0.58279869827986985</v>
      </c>
      <c r="M66" s="164">
        <v>0.64352864013992117</v>
      </c>
      <c r="N66" s="164">
        <v>0.66366404465871587</v>
      </c>
      <c r="O66" s="164">
        <v>0.64726814847257197</v>
      </c>
      <c r="P66" s="164">
        <v>0.64846382556987114</v>
      </c>
      <c r="Q66" s="164">
        <v>0.78460756921513841</v>
      </c>
      <c r="R66" s="164">
        <v>0.77562692476902795</v>
      </c>
      <c r="S66" s="164">
        <v>0.70849324211580167</v>
      </c>
      <c r="T66" s="164">
        <v>0.56189444293959534</v>
      </c>
      <c r="U66" s="164">
        <f t="shared" si="9"/>
        <v>-9.4829785213204065E-2</v>
      </c>
      <c r="V66" s="164">
        <f t="shared" si="10"/>
        <v>-8.6569382630275804E-2</v>
      </c>
      <c r="W66" s="164">
        <f t="shared" si="11"/>
        <v>-0.14659879917620633</v>
      </c>
    </row>
    <row r="67" spans="1:23" ht="15" customHeight="1" x14ac:dyDescent="0.25">
      <c r="A67" s="200" t="s">
        <v>0</v>
      </c>
      <c r="B67" s="201"/>
      <c r="C67" s="165">
        <v>2.6291114449750506</v>
      </c>
      <c r="D67" s="165">
        <v>2.3463121501481732</v>
      </c>
      <c r="E67" s="165">
        <v>2.3270179841070684</v>
      </c>
      <c r="F67" s="165">
        <v>2.4440837285294466</v>
      </c>
      <c r="G67" s="165">
        <v>2.3072716833596107</v>
      </c>
      <c r="H67" s="165">
        <v>2.2684144617249045</v>
      </c>
      <c r="I67" s="165">
        <v>2.2679250265826223</v>
      </c>
      <c r="J67" s="165">
        <v>2.2385797169901638</v>
      </c>
      <c r="K67" s="165">
        <v>2.14856563452439</v>
      </c>
      <c r="L67" s="165">
        <v>2.0654556723899828</v>
      </c>
      <c r="M67" s="165">
        <v>2.0943696996748082</v>
      </c>
      <c r="N67" s="165">
        <v>2.1917240912737146</v>
      </c>
      <c r="O67" s="165">
        <v>2.0915786561340246</v>
      </c>
      <c r="P67" s="165">
        <v>2.0601684930939141</v>
      </c>
      <c r="Q67" s="165">
        <v>2.2949183190182527</v>
      </c>
      <c r="R67" s="165">
        <v>2.1377432062228801</v>
      </c>
      <c r="S67" s="165">
        <v>2.0167561111678598</v>
      </c>
      <c r="T67" s="165">
        <v>1.7857309271459938</v>
      </c>
      <c r="U67" s="165">
        <f t="shared" si="9"/>
        <v>-0.36283470737839618</v>
      </c>
      <c r="V67" s="165">
        <f t="shared" si="10"/>
        <v>-0.27443756594792035</v>
      </c>
      <c r="W67" s="165">
        <f t="shared" si="11"/>
        <v>-0.231025184021866</v>
      </c>
    </row>
    <row r="68" spans="1:23" ht="15" customHeight="1" x14ac:dyDescent="0.25">
      <c r="A68" s="39" t="s">
        <v>571</v>
      </c>
      <c r="B68" s="39"/>
      <c r="C68" s="86"/>
      <c r="D68" s="86"/>
      <c r="E68" s="86"/>
      <c r="F68" s="86"/>
      <c r="G68" s="86"/>
      <c r="H68" s="86"/>
      <c r="I68" s="86"/>
      <c r="J68" s="86"/>
      <c r="K68" s="86"/>
      <c r="L68" s="86"/>
      <c r="M68" s="86"/>
      <c r="N68" s="86"/>
      <c r="O68" s="86"/>
      <c r="P68" s="86"/>
      <c r="Q68" s="86"/>
      <c r="R68" s="86"/>
      <c r="S68" s="86"/>
      <c r="T68" s="86"/>
      <c r="U68" s="39"/>
      <c r="V68" s="39"/>
      <c r="W68" s="39"/>
    </row>
    <row r="69" spans="1:23" ht="15" customHeight="1" x14ac:dyDescent="0.25">
      <c r="A69" s="39"/>
      <c r="B69" s="39"/>
      <c r="C69" s="86"/>
      <c r="D69" s="86"/>
      <c r="E69" s="86"/>
      <c r="F69" s="86"/>
      <c r="G69" s="86"/>
      <c r="H69" s="86"/>
      <c r="I69" s="86"/>
      <c r="J69" s="86"/>
      <c r="K69" s="86"/>
      <c r="L69" s="86"/>
      <c r="M69" s="86"/>
      <c r="N69" s="86"/>
      <c r="O69" s="86"/>
      <c r="P69" s="86"/>
      <c r="Q69" s="86"/>
      <c r="R69" s="86"/>
      <c r="S69" s="86"/>
      <c r="T69" s="86"/>
      <c r="U69" s="39"/>
      <c r="V69" s="39"/>
      <c r="W69" s="39"/>
    </row>
    <row r="70" spans="1:23" ht="15" customHeight="1" x14ac:dyDescent="0.25">
      <c r="A70" s="120" t="s">
        <v>112</v>
      </c>
      <c r="B70" s="120"/>
      <c r="C70" s="41"/>
      <c r="D70" s="41"/>
      <c r="E70" s="41"/>
      <c r="F70" s="41"/>
      <c r="G70" s="41"/>
      <c r="H70" s="41"/>
      <c r="I70" s="41"/>
      <c r="J70" s="41"/>
      <c r="K70" s="41"/>
      <c r="L70" s="41"/>
      <c r="M70" s="41"/>
      <c r="N70" s="41"/>
      <c r="O70" s="41"/>
      <c r="P70" s="41"/>
      <c r="Q70" s="41"/>
      <c r="R70" s="41"/>
      <c r="S70" s="41"/>
      <c r="T70" s="41"/>
      <c r="U70" s="43"/>
      <c r="V70" s="43"/>
      <c r="W70" s="43"/>
    </row>
    <row r="71" spans="1:23" ht="15" customHeight="1" x14ac:dyDescent="0.25">
      <c r="A71" s="44"/>
      <c r="B71" s="44"/>
      <c r="C71" s="41"/>
      <c r="D71" s="41"/>
      <c r="E71" s="41"/>
      <c r="F71" s="41"/>
      <c r="G71" s="41"/>
      <c r="H71" s="41"/>
      <c r="I71" s="41"/>
      <c r="J71" s="41"/>
      <c r="K71" s="41"/>
      <c r="L71" s="41"/>
      <c r="M71" s="41"/>
      <c r="N71" s="41"/>
      <c r="O71" s="41"/>
      <c r="P71" s="41"/>
      <c r="Q71" s="41"/>
      <c r="R71" s="41"/>
      <c r="S71" s="41"/>
      <c r="T71" s="41"/>
      <c r="U71" s="44"/>
      <c r="V71" s="44"/>
      <c r="W71" s="44"/>
    </row>
    <row r="72" spans="1:23" ht="15" customHeight="1" x14ac:dyDescent="0.25">
      <c r="A72" s="45" t="s">
        <v>94</v>
      </c>
      <c r="B72" s="45"/>
      <c r="C72" s="41"/>
      <c r="D72" s="41"/>
      <c r="E72" s="41"/>
      <c r="F72" s="41"/>
      <c r="G72" s="41"/>
      <c r="H72" s="41"/>
      <c r="I72" s="41"/>
      <c r="J72" s="41"/>
      <c r="K72" s="41"/>
      <c r="L72" s="41"/>
      <c r="M72" s="41"/>
      <c r="N72" s="41"/>
      <c r="O72" s="41"/>
      <c r="P72" s="41"/>
      <c r="Q72" s="41"/>
      <c r="R72" s="41"/>
      <c r="S72" s="41"/>
      <c r="T72" s="41"/>
      <c r="U72" s="45"/>
      <c r="V72" s="45"/>
      <c r="W72" s="45"/>
    </row>
    <row r="73" spans="1:23" ht="15" customHeight="1" x14ac:dyDescent="0.25">
      <c r="C73" s="41"/>
      <c r="D73" s="41"/>
      <c r="E73" s="41"/>
      <c r="F73" s="41"/>
      <c r="G73" s="41"/>
      <c r="H73" s="41"/>
      <c r="I73" s="41"/>
      <c r="J73" s="41"/>
      <c r="K73" s="41"/>
      <c r="L73" s="41"/>
      <c r="M73" s="41"/>
      <c r="N73" s="41"/>
      <c r="O73" s="41"/>
      <c r="P73" s="41"/>
      <c r="Q73" s="41"/>
      <c r="R73" s="41"/>
      <c r="S73" s="41"/>
      <c r="T73" s="41"/>
    </row>
    <row r="74" spans="1:23" ht="15" customHeight="1" x14ac:dyDescent="0.25">
      <c r="C74" s="41"/>
      <c r="D74" s="41"/>
      <c r="E74" s="41"/>
      <c r="F74" s="41"/>
      <c r="G74" s="41"/>
      <c r="H74" s="41"/>
      <c r="I74" s="41"/>
      <c r="J74" s="41"/>
      <c r="K74" s="41"/>
      <c r="L74" s="41"/>
      <c r="M74" s="41"/>
      <c r="N74" s="41"/>
      <c r="O74" s="41"/>
      <c r="P74" s="41"/>
      <c r="Q74" s="41"/>
      <c r="R74" s="41"/>
      <c r="S74" s="41"/>
      <c r="T74" s="41"/>
    </row>
    <row r="75" spans="1:23" ht="15" customHeight="1" x14ac:dyDescent="0.25">
      <c r="C75" s="41"/>
      <c r="D75" s="41"/>
      <c r="E75" s="41"/>
      <c r="F75" s="41"/>
      <c r="G75" s="41"/>
      <c r="H75" s="41"/>
      <c r="I75" s="41"/>
      <c r="J75" s="41"/>
      <c r="K75" s="41"/>
      <c r="L75" s="41"/>
      <c r="M75" s="41"/>
      <c r="N75" s="41"/>
      <c r="O75" s="41"/>
      <c r="P75" s="41"/>
      <c r="Q75" s="41"/>
      <c r="R75" s="41"/>
      <c r="S75" s="41"/>
      <c r="T75" s="41"/>
    </row>
    <row r="76" spans="1:23" ht="15" customHeight="1" x14ac:dyDescent="0.25">
      <c r="C76" s="41"/>
      <c r="D76" s="41"/>
      <c r="E76" s="41"/>
      <c r="F76" s="41"/>
      <c r="G76" s="41"/>
      <c r="H76" s="41"/>
      <c r="I76" s="41"/>
      <c r="J76" s="41"/>
      <c r="K76" s="41"/>
      <c r="L76" s="41"/>
      <c r="M76" s="41"/>
      <c r="N76" s="41"/>
      <c r="O76" s="41"/>
      <c r="P76" s="41"/>
      <c r="Q76" s="41"/>
      <c r="R76" s="41"/>
      <c r="S76" s="41"/>
      <c r="T76" s="41"/>
    </row>
    <row r="77" spans="1:23" ht="15" customHeight="1" x14ac:dyDescent="0.25">
      <c r="C77" s="41"/>
      <c r="D77" s="41"/>
      <c r="E77" s="41"/>
      <c r="F77" s="41"/>
      <c r="G77" s="41"/>
      <c r="H77" s="41"/>
      <c r="I77" s="41"/>
      <c r="J77" s="41"/>
      <c r="K77" s="41"/>
      <c r="L77" s="41"/>
      <c r="M77" s="41"/>
      <c r="N77" s="41"/>
      <c r="O77" s="41"/>
      <c r="P77" s="41"/>
      <c r="Q77" s="41"/>
      <c r="R77" s="41"/>
      <c r="S77" s="41"/>
      <c r="T77" s="41"/>
    </row>
    <row r="78" spans="1:23" ht="15" customHeight="1" x14ac:dyDescent="0.25">
      <c r="C78" s="41"/>
      <c r="D78" s="41"/>
      <c r="E78" s="41"/>
      <c r="F78" s="41"/>
      <c r="G78" s="41"/>
      <c r="H78" s="41"/>
      <c r="I78" s="41"/>
      <c r="J78" s="41"/>
      <c r="K78" s="41"/>
      <c r="L78" s="41"/>
      <c r="M78" s="41"/>
      <c r="N78" s="41"/>
      <c r="O78" s="41"/>
      <c r="P78" s="41"/>
      <c r="Q78" s="41"/>
      <c r="R78" s="41"/>
      <c r="S78" s="41"/>
      <c r="T78" s="41"/>
    </row>
    <row r="79" spans="1:23" ht="15" customHeight="1" x14ac:dyDescent="0.25">
      <c r="C79" s="41"/>
      <c r="D79" s="41"/>
      <c r="E79" s="41"/>
      <c r="F79" s="41"/>
      <c r="G79" s="41"/>
      <c r="H79" s="41"/>
      <c r="I79" s="41"/>
      <c r="J79" s="41"/>
      <c r="K79" s="41"/>
      <c r="L79" s="41"/>
      <c r="M79" s="41"/>
      <c r="N79" s="41"/>
      <c r="O79" s="41"/>
      <c r="P79" s="41"/>
      <c r="Q79" s="41"/>
      <c r="R79" s="41"/>
      <c r="S79" s="41"/>
      <c r="T79" s="41"/>
    </row>
    <row r="80" spans="1:23" ht="15" customHeight="1" x14ac:dyDescent="0.25">
      <c r="C80" s="41"/>
      <c r="D80" s="41"/>
      <c r="E80" s="41"/>
      <c r="F80" s="41"/>
      <c r="G80" s="41"/>
      <c r="H80" s="41"/>
      <c r="I80" s="41"/>
      <c r="J80" s="41"/>
      <c r="K80" s="41"/>
      <c r="L80" s="41"/>
      <c r="M80" s="41"/>
      <c r="N80" s="41"/>
      <c r="O80" s="41"/>
      <c r="P80" s="41"/>
      <c r="Q80" s="41"/>
      <c r="R80" s="41"/>
      <c r="S80" s="41"/>
      <c r="T80" s="41"/>
    </row>
    <row r="81" spans="3:20" ht="15" customHeight="1" x14ac:dyDescent="0.25">
      <c r="C81" s="41"/>
      <c r="D81" s="41"/>
      <c r="E81" s="41"/>
      <c r="F81" s="41"/>
      <c r="G81" s="41"/>
      <c r="H81" s="41"/>
      <c r="I81" s="41"/>
      <c r="J81" s="41"/>
      <c r="K81" s="41"/>
      <c r="L81" s="41"/>
      <c r="M81" s="41"/>
      <c r="N81" s="41"/>
      <c r="O81" s="41"/>
      <c r="P81" s="41"/>
      <c r="Q81" s="41"/>
      <c r="R81" s="41"/>
      <c r="S81" s="41"/>
      <c r="T81" s="41"/>
    </row>
    <row r="82" spans="3:20" ht="15" customHeight="1" x14ac:dyDescent="0.25">
      <c r="C82" s="41"/>
      <c r="D82" s="41"/>
      <c r="E82" s="41"/>
      <c r="F82" s="41"/>
      <c r="G82" s="41"/>
      <c r="H82" s="41"/>
      <c r="I82" s="41"/>
      <c r="J82" s="41"/>
      <c r="K82" s="41"/>
      <c r="L82" s="41"/>
      <c r="M82" s="41"/>
      <c r="N82" s="41"/>
      <c r="O82" s="41"/>
      <c r="P82" s="41"/>
      <c r="Q82" s="41"/>
      <c r="R82" s="41"/>
      <c r="S82" s="41"/>
      <c r="T82" s="41"/>
    </row>
    <row r="83" spans="3:20" ht="15" customHeight="1" x14ac:dyDescent="0.25">
      <c r="C83" s="41"/>
      <c r="D83" s="41"/>
      <c r="E83" s="41"/>
      <c r="F83" s="41"/>
      <c r="G83" s="41"/>
      <c r="H83" s="41"/>
      <c r="I83" s="41"/>
      <c r="J83" s="41"/>
      <c r="K83" s="41"/>
      <c r="L83" s="41"/>
      <c r="M83" s="41"/>
      <c r="N83" s="41"/>
      <c r="O83" s="41"/>
      <c r="P83" s="41"/>
      <c r="Q83" s="41"/>
      <c r="R83" s="41"/>
      <c r="S83" s="41"/>
      <c r="T83" s="41"/>
    </row>
    <row r="84" spans="3:20" ht="15" customHeight="1" x14ac:dyDescent="0.25">
      <c r="C84" s="41"/>
      <c r="D84" s="41"/>
      <c r="E84" s="41"/>
      <c r="F84" s="41"/>
      <c r="G84" s="41"/>
      <c r="H84" s="41"/>
      <c r="I84" s="41"/>
      <c r="J84" s="41"/>
      <c r="K84" s="41"/>
      <c r="L84" s="41"/>
      <c r="M84" s="41"/>
      <c r="N84" s="41"/>
      <c r="O84" s="41"/>
      <c r="P84" s="41"/>
      <c r="Q84" s="41"/>
      <c r="R84" s="41"/>
      <c r="S84" s="41"/>
      <c r="T84" s="41"/>
    </row>
    <row r="85" spans="3:20" ht="15" customHeight="1" x14ac:dyDescent="0.25"/>
    <row r="86" spans="3:20" ht="15" customHeight="1" x14ac:dyDescent="0.25"/>
    <row r="87" spans="3:20" ht="15" customHeight="1" x14ac:dyDescent="0.25"/>
    <row r="88" spans="3:20" ht="15" customHeight="1" x14ac:dyDescent="0.25"/>
    <row r="89" spans="3:20" ht="15" customHeight="1" x14ac:dyDescent="0.25"/>
    <row r="90" spans="3:20" ht="15" customHeight="1" x14ac:dyDescent="0.25"/>
    <row r="91" spans="3:20" ht="15" customHeight="1" x14ac:dyDescent="0.25"/>
    <row r="92" spans="3:20" ht="15" customHeight="1" x14ac:dyDescent="0.25"/>
    <row r="93" spans="3:20" ht="15" customHeight="1" x14ac:dyDescent="0.25"/>
    <row r="94" spans="3:20" ht="15" customHeight="1" x14ac:dyDescent="0.25"/>
    <row r="95" spans="3:20" ht="15" customHeight="1" x14ac:dyDescent="0.25"/>
    <row r="96" spans="3:20"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sheetData>
  <mergeCells count="20">
    <mergeCell ref="A67:B67"/>
    <mergeCell ref="A56:B56"/>
    <mergeCell ref="A57:B57"/>
    <mergeCell ref="A58:B58"/>
    <mergeCell ref="A59:B59"/>
    <mergeCell ref="A61:B61"/>
    <mergeCell ref="A62:B62"/>
    <mergeCell ref="A64:B64"/>
    <mergeCell ref="A65:B65"/>
    <mergeCell ref="A66:B66"/>
    <mergeCell ref="A50:B50"/>
    <mergeCell ref="A54:B54"/>
    <mergeCell ref="A55:B55"/>
    <mergeCell ref="A60:B60"/>
    <mergeCell ref="A63:B63"/>
    <mergeCell ref="A2:X2"/>
    <mergeCell ref="A46:B46"/>
    <mergeCell ref="A47:B47"/>
    <mergeCell ref="A48:B48"/>
    <mergeCell ref="A49:B49"/>
  </mergeCells>
  <hyperlinks>
    <hyperlink ref="A72" location="Índice!A1" display="Volver al índice" xr:uid="{00000000-0004-0000-0100-000000000000}"/>
    <hyperlink ref="A3" location="Índice!A1" display="Volver al índice" xr:uid="{00000000-0004-0000-0100-000001000000}"/>
  </hyperlinks>
  <pageMargins left="0.7" right="0.7"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V313"/>
  <sheetViews>
    <sheetView showGridLines="0" zoomScale="80" zoomScaleNormal="80" workbookViewId="0">
      <pane ySplit="3" topLeftCell="A4" activePane="bottomLeft" state="frozenSplit"/>
      <selection pane="bottomLeft"/>
    </sheetView>
  </sheetViews>
  <sheetFormatPr baseColWidth="10" defaultRowHeight="12.75" x14ac:dyDescent="0.2"/>
  <cols>
    <col min="1" max="1" width="44" style="8" customWidth="1"/>
    <col min="2" max="19" width="9.85546875" style="8" customWidth="1"/>
    <col min="20" max="21" width="11.7109375" style="21" customWidth="1"/>
    <col min="22" max="22" width="11.7109375" style="8" customWidth="1"/>
    <col min="23" max="23" width="11.42578125" style="1" customWidth="1"/>
    <col min="24" max="16384" width="11.42578125" style="1"/>
  </cols>
  <sheetData>
    <row r="1" spans="1:22" ht="21" customHeight="1" x14ac:dyDescent="0.2">
      <c r="A1" s="13" t="s">
        <v>472</v>
      </c>
      <c r="B1" s="13"/>
      <c r="C1" s="13"/>
      <c r="D1" s="13"/>
      <c r="E1" s="13"/>
      <c r="F1" s="13"/>
      <c r="G1" s="13"/>
      <c r="H1" s="13"/>
      <c r="I1" s="13"/>
      <c r="J1" s="13"/>
      <c r="K1" s="13"/>
      <c r="L1" s="13"/>
      <c r="M1" s="13"/>
      <c r="N1" s="13"/>
      <c r="O1" s="13"/>
      <c r="P1" s="13"/>
      <c r="Q1" s="13"/>
      <c r="R1" s="13"/>
      <c r="S1" s="13"/>
      <c r="T1" s="78"/>
      <c r="U1" s="78"/>
      <c r="V1" s="13"/>
    </row>
    <row r="2" spans="1:22" ht="15" customHeight="1" x14ac:dyDescent="0.2">
      <c r="A2" s="204" t="s">
        <v>133</v>
      </c>
      <c r="B2" s="204"/>
      <c r="C2" s="204"/>
      <c r="D2" s="204"/>
      <c r="E2" s="204"/>
      <c r="F2" s="204"/>
      <c r="G2" s="204"/>
      <c r="H2" s="204"/>
      <c r="I2" s="204"/>
      <c r="J2" s="204"/>
      <c r="K2" s="204"/>
      <c r="L2" s="204"/>
      <c r="M2" s="204"/>
      <c r="N2" s="204"/>
      <c r="O2" s="204"/>
      <c r="P2" s="204"/>
      <c r="Q2" s="204"/>
      <c r="R2" s="204"/>
      <c r="S2" s="204"/>
      <c r="T2" s="204"/>
      <c r="U2" s="204"/>
      <c r="V2" s="204"/>
    </row>
    <row r="3" spans="1:22" ht="15" customHeight="1" x14ac:dyDescent="0.2">
      <c r="A3" s="12"/>
      <c r="B3" s="7"/>
      <c r="C3" s="7"/>
      <c r="D3" s="7"/>
      <c r="E3" s="7"/>
      <c r="F3" s="7"/>
      <c r="G3" s="7"/>
      <c r="H3" s="7"/>
      <c r="I3" s="7"/>
      <c r="J3" s="7"/>
      <c r="K3" s="7"/>
      <c r="L3" s="7"/>
      <c r="M3" s="7"/>
      <c r="N3" s="7"/>
      <c r="O3" s="7"/>
      <c r="P3" s="7"/>
      <c r="Q3" s="7"/>
      <c r="R3" s="7"/>
      <c r="S3" s="7"/>
      <c r="T3" s="100"/>
      <c r="U3" s="100"/>
      <c r="V3" s="7"/>
    </row>
    <row r="4" spans="1:22" ht="15" customHeight="1" x14ac:dyDescent="0.2"/>
    <row r="5" spans="1:22" ht="15" customHeight="1" x14ac:dyDescent="0.2">
      <c r="A5" s="35" t="s">
        <v>570</v>
      </c>
      <c r="B5" s="35"/>
      <c r="C5" s="35"/>
      <c r="D5" s="35"/>
      <c r="E5" s="35"/>
      <c r="F5" s="35"/>
      <c r="G5" s="35"/>
      <c r="H5" s="35"/>
      <c r="I5" s="35"/>
      <c r="J5" s="35"/>
      <c r="K5" s="35"/>
      <c r="L5" s="35"/>
      <c r="M5" s="35"/>
      <c r="N5" s="35"/>
      <c r="O5" s="35"/>
      <c r="P5" s="35"/>
      <c r="Q5" s="35"/>
      <c r="R5" s="35"/>
      <c r="S5" s="35"/>
      <c r="T5" s="75"/>
      <c r="U5" s="75"/>
      <c r="V5" s="35"/>
    </row>
    <row r="6" spans="1:22" ht="44.25" customHeight="1" x14ac:dyDescent="0.2">
      <c r="A6" s="47" t="s">
        <v>110</v>
      </c>
      <c r="B6" s="15">
        <v>2007</v>
      </c>
      <c r="C6" s="15">
        <v>2008</v>
      </c>
      <c r="D6" s="15">
        <v>2009</v>
      </c>
      <c r="E6" s="15">
        <v>2010</v>
      </c>
      <c r="F6" s="15">
        <v>2011</v>
      </c>
      <c r="G6" s="15">
        <v>2012</v>
      </c>
      <c r="H6" s="15">
        <v>2013</v>
      </c>
      <c r="I6" s="15">
        <v>2014</v>
      </c>
      <c r="J6" s="15">
        <v>2015</v>
      </c>
      <c r="K6" s="15">
        <v>2016</v>
      </c>
      <c r="L6" s="15">
        <v>2017</v>
      </c>
      <c r="M6" s="15">
        <v>2018</v>
      </c>
      <c r="N6" s="15">
        <v>2019</v>
      </c>
      <c r="O6" s="15">
        <v>2020</v>
      </c>
      <c r="P6" s="15">
        <v>2021</v>
      </c>
      <c r="Q6" s="15">
        <v>2022</v>
      </c>
      <c r="R6" s="15">
        <v>2023</v>
      </c>
      <c r="S6" s="15">
        <v>2024</v>
      </c>
      <c r="T6" s="27" t="s">
        <v>469</v>
      </c>
      <c r="U6" s="27" t="s">
        <v>470</v>
      </c>
      <c r="V6" s="27" t="s">
        <v>471</v>
      </c>
    </row>
    <row r="7" spans="1:22" ht="15" customHeight="1" x14ac:dyDescent="0.2">
      <c r="A7" s="29" t="s">
        <v>1</v>
      </c>
      <c r="B7" s="62">
        <v>6.9142622950819668</v>
      </c>
      <c r="C7" s="62">
        <v>6.3852831507807037</v>
      </c>
      <c r="D7" s="62">
        <v>6.2817098808689558</v>
      </c>
      <c r="E7" s="62">
        <v>6.7877707006369423</v>
      </c>
      <c r="F7" s="62">
        <v>6.6196296098628382</v>
      </c>
      <c r="G7" s="62">
        <v>6.6127857207904563</v>
      </c>
      <c r="H7" s="62">
        <v>6.7139220095896803</v>
      </c>
      <c r="I7" s="62">
        <v>6.7105500064303172</v>
      </c>
      <c r="J7" s="62">
        <v>6.5950883378069785</v>
      </c>
      <c r="K7" s="62">
        <v>6.5159525332196404</v>
      </c>
      <c r="L7" s="62">
        <v>6.3893958076448829</v>
      </c>
      <c r="M7" s="62">
        <v>6.6256816544912027</v>
      </c>
      <c r="N7" s="62">
        <v>6.5410549211528002</v>
      </c>
      <c r="O7" s="62">
        <v>6.5907148053837759</v>
      </c>
      <c r="P7" s="62">
        <v>6.8712317888885499</v>
      </c>
      <c r="Q7" s="62">
        <v>6.7363800904977378</v>
      </c>
      <c r="R7" s="62">
        <v>6.677513073794306</v>
      </c>
      <c r="S7" s="62">
        <v>6.4201871536295085</v>
      </c>
      <c r="T7" s="61">
        <f>IFERROR((S7-J7),"n/a")</f>
        <v>-0.17490118417746991</v>
      </c>
      <c r="U7" s="61">
        <f>IFERROR((S7-O7),"n/a")</f>
        <v>-0.17052765175426732</v>
      </c>
      <c r="V7" s="214">
        <f>IFERROR((S7-R7),"n/a")</f>
        <v>-0.25732592016479749</v>
      </c>
    </row>
    <row r="8" spans="1:22" ht="15" customHeight="1" x14ac:dyDescent="0.2">
      <c r="A8" s="29" t="s">
        <v>2</v>
      </c>
      <c r="B8" s="62">
        <v>9.0878090981183757</v>
      </c>
      <c r="C8" s="62">
        <v>8.6271690989617369</v>
      </c>
      <c r="D8" s="62">
        <v>8.3226676738790264</v>
      </c>
      <c r="E8" s="62">
        <v>8.2666093775175895</v>
      </c>
      <c r="F8" s="62">
        <v>7.9866514860036908</v>
      </c>
      <c r="G8" s="62">
        <v>7.9171783106055713</v>
      </c>
      <c r="H8" s="62">
        <v>8.0116990447568952</v>
      </c>
      <c r="I8" s="62">
        <v>7.842168836397799</v>
      </c>
      <c r="J8" s="62">
        <v>7.6313302848035214</v>
      </c>
      <c r="K8" s="62">
        <v>7.6761466779619987</v>
      </c>
      <c r="L8" s="62">
        <v>7.725890705610273</v>
      </c>
      <c r="M8" s="62">
        <v>8.1888739733541183</v>
      </c>
      <c r="N8" s="62">
        <v>7.9937980355500162</v>
      </c>
      <c r="O8" s="62">
        <v>7.8629743667239653</v>
      </c>
      <c r="P8" s="62">
        <v>8.2830842419326007</v>
      </c>
      <c r="Q8" s="62">
        <v>8.4362274439672227</v>
      </c>
      <c r="R8" s="62">
        <v>8.1779557929090636</v>
      </c>
      <c r="S8" s="62">
        <v>7.9799667286979075</v>
      </c>
      <c r="T8" s="61">
        <f t="shared" ref="T8:T10" si="0">IFERROR((S8-J8),"n/a")</f>
        <v>0.34863644389438608</v>
      </c>
      <c r="U8" s="61">
        <f t="shared" ref="U8:U10" si="1">IFERROR((S8-O8),"n/a")</f>
        <v>0.11699236197394214</v>
      </c>
      <c r="V8" s="214">
        <f t="shared" ref="V8:V10" si="2">IFERROR((S8-R8),"n/a")</f>
        <v>-0.19798906421115614</v>
      </c>
    </row>
    <row r="9" spans="1:22" ht="15" customHeight="1" x14ac:dyDescent="0.2">
      <c r="A9" s="29" t="s">
        <v>3</v>
      </c>
      <c r="B9" s="62">
        <v>13.386450452226631</v>
      </c>
      <c r="C9" s="62">
        <v>13.120982810164424</v>
      </c>
      <c r="D9" s="62">
        <v>12.953033875170616</v>
      </c>
      <c r="E9" s="62">
        <v>12.936836379022022</v>
      </c>
      <c r="F9" s="62">
        <v>12.805488926201328</v>
      </c>
      <c r="G9" s="62">
        <v>12.715402830552343</v>
      </c>
      <c r="H9" s="62">
        <v>12.616438803145495</v>
      </c>
      <c r="I9" s="62">
        <v>12.596626318312559</v>
      </c>
      <c r="J9" s="62">
        <v>12.552149499653662</v>
      </c>
      <c r="K9" s="62">
        <v>12.520886305848165</v>
      </c>
      <c r="L9" s="62">
        <v>12.592977457470878</v>
      </c>
      <c r="M9" s="62">
        <v>12.552881137989232</v>
      </c>
      <c r="N9" s="62">
        <v>12.515527280569334</v>
      </c>
      <c r="O9" s="62">
        <v>12.354588276343335</v>
      </c>
      <c r="P9" s="62">
        <v>12.68488760195398</v>
      </c>
      <c r="Q9" s="62">
        <v>12.571996800622582</v>
      </c>
      <c r="R9" s="62">
        <v>12.522203741751731</v>
      </c>
      <c r="S9" s="62">
        <v>12.409367930190683</v>
      </c>
      <c r="T9" s="61">
        <f t="shared" si="0"/>
        <v>-0.14278156946297926</v>
      </c>
      <c r="U9" s="61">
        <f t="shared" si="1"/>
        <v>5.4779653847347731E-2</v>
      </c>
      <c r="V9" s="214">
        <f t="shared" si="2"/>
        <v>-0.11283581156104816</v>
      </c>
    </row>
    <row r="10" spans="1:22" ht="15" customHeight="1" x14ac:dyDescent="0.2">
      <c r="A10" s="42" t="s">
        <v>0</v>
      </c>
      <c r="B10" s="215">
        <v>11.307060977073581</v>
      </c>
      <c r="C10" s="215">
        <v>10.714235353138177</v>
      </c>
      <c r="D10" s="215">
        <v>10.722611727885457</v>
      </c>
      <c r="E10" s="215">
        <v>10.945505891761531</v>
      </c>
      <c r="F10" s="215">
        <v>10.2730697398022</v>
      </c>
      <c r="G10" s="215">
        <v>10.084574195651161</v>
      </c>
      <c r="H10" s="215">
        <v>10.072292412121609</v>
      </c>
      <c r="I10" s="215">
        <v>10.000957079793746</v>
      </c>
      <c r="J10" s="215">
        <v>9.7481050324017122</v>
      </c>
      <c r="K10" s="215">
        <v>9.6190476190476186</v>
      </c>
      <c r="L10" s="215">
        <v>9.644967123152222</v>
      </c>
      <c r="M10" s="215">
        <v>9.8078211838654141</v>
      </c>
      <c r="N10" s="215">
        <v>9.6718656893429671</v>
      </c>
      <c r="O10" s="215">
        <v>9.5981580479542696</v>
      </c>
      <c r="P10" s="215">
        <v>10.079722792083857</v>
      </c>
      <c r="Q10" s="215">
        <v>10.119079670117131</v>
      </c>
      <c r="R10" s="215">
        <v>9.9733307880032402</v>
      </c>
      <c r="S10" s="215">
        <v>9.7231949377980893</v>
      </c>
      <c r="T10" s="212">
        <f t="shared" si="0"/>
        <v>-2.4910094603622923E-2</v>
      </c>
      <c r="U10" s="212">
        <f t="shared" si="1"/>
        <v>0.12503688984381967</v>
      </c>
      <c r="V10" s="216">
        <f t="shared" si="2"/>
        <v>-0.25013585020515094</v>
      </c>
    </row>
    <row r="11" spans="1:22" ht="15" customHeight="1" x14ac:dyDescent="0.2">
      <c r="A11" s="44"/>
      <c r="B11" s="44"/>
      <c r="C11" s="44"/>
      <c r="D11" s="44"/>
      <c r="E11" s="44"/>
      <c r="F11" s="44"/>
      <c r="G11" s="44"/>
      <c r="H11" s="44"/>
      <c r="I11" s="44"/>
      <c r="J11" s="44"/>
      <c r="K11" s="44"/>
      <c r="L11" s="44"/>
      <c r="M11" s="44"/>
      <c r="N11" s="44"/>
      <c r="O11" s="44"/>
      <c r="P11" s="44"/>
      <c r="Q11" s="44"/>
      <c r="R11" s="44"/>
      <c r="S11" s="44"/>
      <c r="T11" s="51"/>
      <c r="U11" s="51"/>
      <c r="V11" s="44"/>
    </row>
    <row r="12" spans="1:22" ht="15" customHeight="1" x14ac:dyDescent="0.2">
      <c r="A12" s="35" t="s">
        <v>122</v>
      </c>
      <c r="B12" s="35"/>
      <c r="C12" s="35"/>
      <c r="D12" s="35"/>
      <c r="E12" s="35"/>
      <c r="F12" s="35"/>
      <c r="G12" s="35"/>
      <c r="H12" s="35"/>
      <c r="I12" s="35"/>
      <c r="J12" s="35"/>
      <c r="K12" s="35"/>
      <c r="L12" s="35"/>
      <c r="M12" s="35"/>
      <c r="N12" s="35"/>
      <c r="O12" s="35"/>
      <c r="P12" s="35"/>
      <c r="Q12" s="35"/>
      <c r="R12" s="35"/>
      <c r="S12" s="35"/>
      <c r="T12" s="75"/>
      <c r="U12" s="75"/>
      <c r="V12" s="35"/>
    </row>
    <row r="13" spans="1:22" ht="45" customHeight="1" x14ac:dyDescent="0.2">
      <c r="A13" s="36" t="s">
        <v>7</v>
      </c>
      <c r="B13" s="15">
        <v>2007</v>
      </c>
      <c r="C13" s="15">
        <v>2008</v>
      </c>
      <c r="D13" s="15">
        <v>2009</v>
      </c>
      <c r="E13" s="15">
        <v>2010</v>
      </c>
      <c r="F13" s="15">
        <v>2011</v>
      </c>
      <c r="G13" s="15">
        <v>2012</v>
      </c>
      <c r="H13" s="15">
        <v>2013</v>
      </c>
      <c r="I13" s="15">
        <v>2014</v>
      </c>
      <c r="J13" s="15">
        <v>2015</v>
      </c>
      <c r="K13" s="15">
        <v>2016</v>
      </c>
      <c r="L13" s="15">
        <v>2017</v>
      </c>
      <c r="M13" s="15">
        <v>2018</v>
      </c>
      <c r="N13" s="15">
        <v>2019</v>
      </c>
      <c r="O13" s="15">
        <v>2020</v>
      </c>
      <c r="P13" s="15">
        <v>2021</v>
      </c>
      <c r="Q13" s="15">
        <v>2022</v>
      </c>
      <c r="R13" s="15">
        <v>2023</v>
      </c>
      <c r="S13" s="15">
        <v>2024</v>
      </c>
      <c r="T13" s="27" t="s">
        <v>469</v>
      </c>
      <c r="U13" s="27" t="s">
        <v>470</v>
      </c>
      <c r="V13" s="27" t="s">
        <v>471</v>
      </c>
    </row>
    <row r="14" spans="1:22" ht="15" customHeight="1" x14ac:dyDescent="0.2">
      <c r="A14" s="30" t="s">
        <v>1</v>
      </c>
      <c r="B14" s="217">
        <v>6.9142622950819668</v>
      </c>
      <c r="C14" s="217">
        <v>6.3852831507807037</v>
      </c>
      <c r="D14" s="217">
        <v>6.2817098808689558</v>
      </c>
      <c r="E14" s="217">
        <v>6.7877707006369423</v>
      </c>
      <c r="F14" s="217">
        <v>6.6196296098628382</v>
      </c>
      <c r="G14" s="217">
        <v>6.6127857207904563</v>
      </c>
      <c r="H14" s="217">
        <v>6.7139220095896803</v>
      </c>
      <c r="I14" s="217">
        <v>6.7105500064303172</v>
      </c>
      <c r="J14" s="217">
        <v>6.5950883378069785</v>
      </c>
      <c r="K14" s="217">
        <v>6.5159525332196404</v>
      </c>
      <c r="L14" s="217">
        <v>6.3893958076448829</v>
      </c>
      <c r="M14" s="217">
        <v>6.6256816544912027</v>
      </c>
      <c r="N14" s="217">
        <v>6.5410549211528002</v>
      </c>
      <c r="O14" s="217">
        <v>6.5925199543899655</v>
      </c>
      <c r="P14" s="217">
        <v>6.8797530864197531</v>
      </c>
      <c r="Q14" s="217">
        <v>6.7579123224948177</v>
      </c>
      <c r="R14" s="217">
        <v>6.7142726774958934</v>
      </c>
      <c r="S14" s="217">
        <v>6.4509408820566154</v>
      </c>
      <c r="T14" s="61">
        <f t="shared" ref="T14:T20" si="3">IFERROR((S14-J14),"n/a")</f>
        <v>-0.14414745575036303</v>
      </c>
      <c r="U14" s="61">
        <f t="shared" ref="U14:U20" si="4">IFERROR((S14-O14),"n/a")</f>
        <v>-0.1415790723333501</v>
      </c>
      <c r="V14" s="214">
        <f t="shared" ref="V14:V20" si="5">IFERROR((S14-R14),"n/a")</f>
        <v>-0.26333179543927798</v>
      </c>
    </row>
    <row r="15" spans="1:22" ht="15" customHeight="1" x14ac:dyDescent="0.2">
      <c r="A15" s="30" t="s">
        <v>291</v>
      </c>
      <c r="B15" s="218" t="s">
        <v>100</v>
      </c>
      <c r="C15" s="218" t="s">
        <v>100</v>
      </c>
      <c r="D15" s="218" t="s">
        <v>100</v>
      </c>
      <c r="E15" s="218" t="s">
        <v>100</v>
      </c>
      <c r="F15" s="218" t="s">
        <v>100</v>
      </c>
      <c r="G15" s="218" t="s">
        <v>100</v>
      </c>
      <c r="H15" s="218" t="s">
        <v>100</v>
      </c>
      <c r="I15" s="218" t="s">
        <v>100</v>
      </c>
      <c r="J15" s="218" t="s">
        <v>100</v>
      </c>
      <c r="K15" s="218" t="s">
        <v>100</v>
      </c>
      <c r="L15" s="218" t="s">
        <v>100</v>
      </c>
      <c r="M15" s="218" t="s">
        <v>100</v>
      </c>
      <c r="N15" s="218" t="s">
        <v>100</v>
      </c>
      <c r="O15" s="217">
        <v>6</v>
      </c>
      <c r="P15" s="217">
        <v>6.0615835777126099</v>
      </c>
      <c r="Q15" s="217">
        <v>5.8948004836759376</v>
      </c>
      <c r="R15" s="217">
        <v>5.8958602846054333</v>
      </c>
      <c r="S15" s="217">
        <v>6</v>
      </c>
      <c r="T15" s="218" t="str">
        <f t="shared" si="3"/>
        <v>n/a</v>
      </c>
      <c r="U15" s="218">
        <f t="shared" si="4"/>
        <v>0</v>
      </c>
      <c r="V15" s="214">
        <f t="shared" si="5"/>
        <v>0.10413971539456668</v>
      </c>
    </row>
    <row r="16" spans="1:22" ht="15" customHeight="1" x14ac:dyDescent="0.2">
      <c r="A16" s="30" t="s">
        <v>2</v>
      </c>
      <c r="B16" s="217">
        <v>9.0878090981183757</v>
      </c>
      <c r="C16" s="217">
        <v>8.6271690989617369</v>
      </c>
      <c r="D16" s="217">
        <v>8.3226676738790264</v>
      </c>
      <c r="E16" s="217">
        <v>8.2666093775175895</v>
      </c>
      <c r="F16" s="217">
        <v>7.9866514860036908</v>
      </c>
      <c r="G16" s="217">
        <v>7.9171783106055713</v>
      </c>
      <c r="H16" s="217">
        <v>8.0116990447568952</v>
      </c>
      <c r="I16" s="217">
        <v>7.842168836397799</v>
      </c>
      <c r="J16" s="217">
        <v>7.6313302848035214</v>
      </c>
      <c r="K16" s="217">
        <v>7.6761466779619987</v>
      </c>
      <c r="L16" s="217">
        <v>7.725890705610273</v>
      </c>
      <c r="M16" s="217">
        <v>8.1888739733541183</v>
      </c>
      <c r="N16" s="217">
        <v>7.9937980355500162</v>
      </c>
      <c r="O16" s="217">
        <v>7.8629743667239653</v>
      </c>
      <c r="P16" s="217">
        <v>8.2830842419326007</v>
      </c>
      <c r="Q16" s="217">
        <v>8.4362274439672227</v>
      </c>
      <c r="R16" s="217">
        <v>8.1779557929090636</v>
      </c>
      <c r="S16" s="217">
        <v>7.9799667286979075</v>
      </c>
      <c r="T16" s="61">
        <f t="shared" si="3"/>
        <v>0.34863644389438608</v>
      </c>
      <c r="U16" s="61">
        <f t="shared" si="4"/>
        <v>0.11699236197394214</v>
      </c>
      <c r="V16" s="214">
        <f t="shared" si="5"/>
        <v>-0.19798906421115614</v>
      </c>
    </row>
    <row r="17" spans="1:22" ht="15" customHeight="1" x14ac:dyDescent="0.2">
      <c r="A17" s="30" t="s">
        <v>286</v>
      </c>
      <c r="B17" s="217">
        <v>13.997418586179508</v>
      </c>
      <c r="C17" s="217">
        <v>13.898555684851805</v>
      </c>
      <c r="D17" s="217">
        <v>13.439342733947093</v>
      </c>
      <c r="E17" s="217">
        <v>13.300137023842147</v>
      </c>
      <c r="F17" s="217">
        <v>13.314125601510629</v>
      </c>
      <c r="G17" s="217">
        <v>13.44678334910123</v>
      </c>
      <c r="H17" s="217">
        <v>13.486445692205519</v>
      </c>
      <c r="I17" s="217">
        <v>13.275674091441969</v>
      </c>
      <c r="J17" s="217">
        <v>13.10005959475566</v>
      </c>
      <c r="K17" s="217">
        <v>12.86014678471575</v>
      </c>
      <c r="L17" s="217">
        <v>12.826889661164204</v>
      </c>
      <c r="M17" s="217">
        <v>12.705258578498015</v>
      </c>
      <c r="N17" s="217">
        <v>12.779954746477426</v>
      </c>
      <c r="O17" s="217">
        <v>12.541121969793121</v>
      </c>
      <c r="P17" s="217">
        <v>12.792657907372648</v>
      </c>
      <c r="Q17" s="217">
        <v>12.721009603936821</v>
      </c>
      <c r="R17" s="217">
        <v>12.85554969787907</v>
      </c>
      <c r="S17" s="217">
        <v>12.533492726020182</v>
      </c>
      <c r="T17" s="61">
        <f t="shared" si="3"/>
        <v>-0.56656686873547812</v>
      </c>
      <c r="U17" s="61">
        <f t="shared" si="4"/>
        <v>-7.6292437729392759E-3</v>
      </c>
      <c r="V17" s="214">
        <f t="shared" si="5"/>
        <v>-0.32205697185888837</v>
      </c>
    </row>
    <row r="18" spans="1:22" ht="15" customHeight="1" x14ac:dyDescent="0.2">
      <c r="A18" s="30" t="s">
        <v>287</v>
      </c>
      <c r="B18" s="217">
        <v>14.41473105134474</v>
      </c>
      <c r="C18" s="217">
        <v>14.146444780635401</v>
      </c>
      <c r="D18" s="217">
        <v>13.782276479887578</v>
      </c>
      <c r="E18" s="217">
        <v>13.757546675972781</v>
      </c>
      <c r="F18" s="217">
        <v>13.69664715274082</v>
      </c>
      <c r="G18" s="217">
        <v>13.526345157433241</v>
      </c>
      <c r="H18" s="217">
        <v>13.389571915271812</v>
      </c>
      <c r="I18" s="217">
        <v>13.380907780979829</v>
      </c>
      <c r="J18" s="217">
        <v>13.17186944464197</v>
      </c>
      <c r="K18" s="217">
        <v>12.864133188563155</v>
      </c>
      <c r="L18" s="217">
        <v>12.724348164483073</v>
      </c>
      <c r="M18" s="217">
        <v>12.809089725224636</v>
      </c>
      <c r="N18" s="217">
        <v>12.683831990794015</v>
      </c>
      <c r="O18" s="217">
        <v>12.588763319341298</v>
      </c>
      <c r="P18" s="217">
        <v>12.751228421098407</v>
      </c>
      <c r="Q18" s="217">
        <v>12.841844202309318</v>
      </c>
      <c r="R18" s="217">
        <v>12.602645220307974</v>
      </c>
      <c r="S18" s="217">
        <v>12.448273218597876</v>
      </c>
      <c r="T18" s="61">
        <f t="shared" si="3"/>
        <v>-0.72359622604409424</v>
      </c>
      <c r="U18" s="61">
        <f t="shared" si="4"/>
        <v>-0.14049010074342227</v>
      </c>
      <c r="V18" s="214">
        <f t="shared" si="5"/>
        <v>-0.15437200171009735</v>
      </c>
    </row>
    <row r="19" spans="1:22" ht="15" customHeight="1" x14ac:dyDescent="0.2">
      <c r="A19" s="30" t="s">
        <v>165</v>
      </c>
      <c r="B19" s="217">
        <v>12.151919759790456</v>
      </c>
      <c r="C19" s="217">
        <v>11.944128580800349</v>
      </c>
      <c r="D19" s="217">
        <v>12.054932848631728</v>
      </c>
      <c r="E19" s="217">
        <v>12.13208872829469</v>
      </c>
      <c r="F19" s="217">
        <v>11.981868648430854</v>
      </c>
      <c r="G19" s="217">
        <v>11.814428457234213</v>
      </c>
      <c r="H19" s="217">
        <v>11.82074353965865</v>
      </c>
      <c r="I19" s="217">
        <v>11.969172344465543</v>
      </c>
      <c r="J19" s="217">
        <v>12.068251823831396</v>
      </c>
      <c r="K19" s="217">
        <v>12.241662702816976</v>
      </c>
      <c r="L19" s="217">
        <v>12.425272746531087</v>
      </c>
      <c r="M19" s="217">
        <v>12.388208550267654</v>
      </c>
      <c r="N19" s="217">
        <v>12.299630680297597</v>
      </c>
      <c r="O19" s="217">
        <v>12.102810906162519</v>
      </c>
      <c r="P19" s="217">
        <v>12.595275484565686</v>
      </c>
      <c r="Q19" s="217">
        <v>12.328761351933339</v>
      </c>
      <c r="R19" s="217">
        <v>12.270818124300385</v>
      </c>
      <c r="S19" s="217">
        <v>12.295678840256482</v>
      </c>
      <c r="T19" s="61">
        <f t="shared" si="3"/>
        <v>0.22742701642508578</v>
      </c>
      <c r="U19" s="61">
        <f t="shared" si="4"/>
        <v>0.19286793409396275</v>
      </c>
      <c r="V19" s="214">
        <f t="shared" si="5"/>
        <v>2.4860715956096513E-2</v>
      </c>
    </row>
    <row r="20" spans="1:22" ht="15" customHeight="1" x14ac:dyDescent="0.2">
      <c r="A20" s="42" t="s">
        <v>0</v>
      </c>
      <c r="B20" s="215">
        <v>11.307060977073581</v>
      </c>
      <c r="C20" s="215">
        <v>10.714235353138177</v>
      </c>
      <c r="D20" s="215">
        <v>10.722611727885457</v>
      </c>
      <c r="E20" s="215">
        <v>10.945505891761531</v>
      </c>
      <c r="F20" s="215">
        <v>10.2730697398022</v>
      </c>
      <c r="G20" s="215">
        <v>10.084574195651161</v>
      </c>
      <c r="H20" s="215">
        <v>10.072292412121609</v>
      </c>
      <c r="I20" s="215">
        <v>10.000957079793746</v>
      </c>
      <c r="J20" s="215">
        <v>9.7481050324017122</v>
      </c>
      <c r="K20" s="215">
        <v>9.6190476190476186</v>
      </c>
      <c r="L20" s="215">
        <v>9.644967123152222</v>
      </c>
      <c r="M20" s="215">
        <v>9.8078211838654141</v>
      </c>
      <c r="N20" s="215">
        <v>9.6718656893429671</v>
      </c>
      <c r="O20" s="215">
        <v>9.5981580479542696</v>
      </c>
      <c r="P20" s="215">
        <v>10.079722792083857</v>
      </c>
      <c r="Q20" s="215">
        <v>10.119079670117131</v>
      </c>
      <c r="R20" s="215">
        <v>9.9733307880032402</v>
      </c>
      <c r="S20" s="215">
        <v>9.7231949377980893</v>
      </c>
      <c r="T20" s="212">
        <f t="shared" si="3"/>
        <v>-2.4910094603622923E-2</v>
      </c>
      <c r="U20" s="212">
        <f t="shared" si="4"/>
        <v>0.12503688984381967</v>
      </c>
      <c r="V20" s="216">
        <f t="shared" si="5"/>
        <v>-0.25013585020515094</v>
      </c>
    </row>
    <row r="21" spans="1:22" ht="15" customHeight="1" x14ac:dyDescent="0.2">
      <c r="A21" s="44"/>
      <c r="B21" s="44"/>
      <c r="C21" s="44"/>
      <c r="D21" s="44"/>
      <c r="E21" s="44"/>
      <c r="F21" s="44"/>
      <c r="G21" s="44"/>
      <c r="H21" s="44"/>
      <c r="I21" s="44"/>
      <c r="J21" s="44"/>
      <c r="K21" s="44"/>
      <c r="L21" s="44"/>
      <c r="M21" s="44"/>
      <c r="N21" s="44"/>
      <c r="O21" s="44"/>
      <c r="P21" s="44"/>
      <c r="Q21" s="44"/>
      <c r="R21" s="44"/>
      <c r="S21" s="44"/>
      <c r="T21" s="51"/>
      <c r="U21" s="51"/>
      <c r="V21" s="44"/>
    </row>
    <row r="22" spans="1:22" ht="15" customHeight="1" x14ac:dyDescent="0.2">
      <c r="A22" s="35" t="s">
        <v>123</v>
      </c>
      <c r="B22" s="35"/>
      <c r="C22" s="35"/>
      <c r="D22" s="35"/>
      <c r="E22" s="35"/>
      <c r="F22" s="35"/>
      <c r="G22" s="35"/>
      <c r="H22" s="35"/>
      <c r="I22" s="35"/>
      <c r="J22" s="35"/>
      <c r="K22" s="35"/>
      <c r="L22" s="35"/>
      <c r="M22" s="35"/>
      <c r="N22" s="35"/>
      <c r="O22" s="35"/>
      <c r="P22" s="35"/>
      <c r="Q22" s="35"/>
      <c r="R22" s="35"/>
      <c r="S22" s="35"/>
      <c r="T22" s="75"/>
      <c r="U22" s="75"/>
      <c r="V22" s="35"/>
    </row>
    <row r="23" spans="1:22" ht="42" customHeight="1" x14ac:dyDescent="0.2">
      <c r="A23" s="36" t="s">
        <v>74</v>
      </c>
      <c r="B23" s="15">
        <v>2007</v>
      </c>
      <c r="C23" s="15">
        <v>2008</v>
      </c>
      <c r="D23" s="15">
        <v>2009</v>
      </c>
      <c r="E23" s="15">
        <v>2010</v>
      </c>
      <c r="F23" s="15">
        <v>2011</v>
      </c>
      <c r="G23" s="15">
        <v>2012</v>
      </c>
      <c r="H23" s="15">
        <v>2013</v>
      </c>
      <c r="I23" s="15">
        <v>2014</v>
      </c>
      <c r="J23" s="15">
        <v>2015</v>
      </c>
      <c r="K23" s="15">
        <v>2016</v>
      </c>
      <c r="L23" s="15">
        <v>2017</v>
      </c>
      <c r="M23" s="15">
        <v>2018</v>
      </c>
      <c r="N23" s="15">
        <v>2019</v>
      </c>
      <c r="O23" s="15">
        <v>2020</v>
      </c>
      <c r="P23" s="15">
        <v>2021</v>
      </c>
      <c r="Q23" s="15">
        <v>2022</v>
      </c>
      <c r="R23" s="15">
        <v>2023</v>
      </c>
      <c r="S23" s="15">
        <v>2024</v>
      </c>
      <c r="T23" s="27" t="s">
        <v>469</v>
      </c>
      <c r="U23" s="27" t="s">
        <v>470</v>
      </c>
      <c r="V23" s="27" t="s">
        <v>471</v>
      </c>
    </row>
    <row r="24" spans="1:22" ht="15" customHeight="1" x14ac:dyDescent="0.2">
      <c r="A24" s="42" t="s">
        <v>5</v>
      </c>
      <c r="B24" s="215">
        <v>13.228853015403359</v>
      </c>
      <c r="C24" s="212">
        <v>13.070611741699613</v>
      </c>
      <c r="D24" s="212">
        <v>12.892883909165855</v>
      </c>
      <c r="E24" s="212">
        <v>12.900384764078867</v>
      </c>
      <c r="F24" s="212">
        <v>12.64737276382086</v>
      </c>
      <c r="G24" s="212">
        <v>12.598480859144367</v>
      </c>
      <c r="H24" s="212">
        <v>12.492446534416489</v>
      </c>
      <c r="I24" s="212">
        <v>12.437685967155826</v>
      </c>
      <c r="J24" s="212">
        <v>12.420067187036855</v>
      </c>
      <c r="K24" s="212">
        <v>12.352868716539536</v>
      </c>
      <c r="L24" s="212">
        <v>12.290248232816136</v>
      </c>
      <c r="M24" s="212">
        <v>12.313127923530608</v>
      </c>
      <c r="N24" s="212">
        <v>12.280729790917565</v>
      </c>
      <c r="O24" s="212">
        <v>12.179350196249455</v>
      </c>
      <c r="P24" s="212">
        <v>12.439812954683399</v>
      </c>
      <c r="Q24" s="212">
        <v>12.273769759904756</v>
      </c>
      <c r="R24" s="212">
        <v>12.187676454572111</v>
      </c>
      <c r="S24" s="212">
        <v>12.052044609665428</v>
      </c>
      <c r="T24" s="212">
        <f t="shared" ref="T24:T30" si="6">IFERROR((S24-J24),"n/a")</f>
        <v>-0.36802257737142696</v>
      </c>
      <c r="U24" s="212">
        <f t="shared" ref="U24:U30" si="7">IFERROR((S24-O24),"n/a")</f>
        <v>-0.12730558658402735</v>
      </c>
      <c r="V24" s="216">
        <f t="shared" ref="V24:V30" si="8">IFERROR((S24-R24),"n/a")</f>
        <v>-0.13563184490668334</v>
      </c>
    </row>
    <row r="25" spans="1:22" ht="15" customHeight="1" x14ac:dyDescent="0.2">
      <c r="A25" s="34" t="s">
        <v>113</v>
      </c>
      <c r="B25" s="219">
        <v>13.720795408429474</v>
      </c>
      <c r="C25" s="61">
        <v>13.435828081469261</v>
      </c>
      <c r="D25" s="61">
        <v>13.375571152668519</v>
      </c>
      <c r="E25" s="61">
        <v>13.370471492485947</v>
      </c>
      <c r="F25" s="61">
        <v>13.258067454624126</v>
      </c>
      <c r="G25" s="61">
        <v>13.235718961839799</v>
      </c>
      <c r="H25" s="61">
        <v>13.176814042992584</v>
      </c>
      <c r="I25" s="61">
        <v>13.13009748729919</v>
      </c>
      <c r="J25" s="61">
        <v>13.153988391802354</v>
      </c>
      <c r="K25" s="61">
        <v>13.188460033680915</v>
      </c>
      <c r="L25" s="61">
        <v>13.240709404490726</v>
      </c>
      <c r="M25" s="61">
        <v>13.216011635726685</v>
      </c>
      <c r="N25" s="61">
        <v>13.157341780091576</v>
      </c>
      <c r="O25" s="61">
        <v>13.10975965951765</v>
      </c>
      <c r="P25" s="61">
        <v>13.246344206974129</v>
      </c>
      <c r="Q25" s="61">
        <v>13.075183187150598</v>
      </c>
      <c r="R25" s="61">
        <v>12.955997974146248</v>
      </c>
      <c r="S25" s="61">
        <v>12.868325451555748</v>
      </c>
      <c r="T25" s="61">
        <f t="shared" si="6"/>
        <v>-0.28566294024660621</v>
      </c>
      <c r="U25" s="61">
        <f t="shared" si="7"/>
        <v>-0.24143420796190185</v>
      </c>
      <c r="V25" s="214">
        <f t="shared" si="8"/>
        <v>-8.7672522590500179E-2</v>
      </c>
    </row>
    <row r="26" spans="1:22" ht="15" customHeight="1" x14ac:dyDescent="0.2">
      <c r="A26" s="34" t="s">
        <v>114</v>
      </c>
      <c r="B26" s="219">
        <v>12.395000000000005</v>
      </c>
      <c r="C26" s="61">
        <v>11.975748930099858</v>
      </c>
      <c r="D26" s="61">
        <v>11.780048076923073</v>
      </c>
      <c r="E26" s="61">
        <v>11.950907150480255</v>
      </c>
      <c r="F26" s="61">
        <v>11.748940677966102</v>
      </c>
      <c r="G26" s="61">
        <v>11.756355932203386</v>
      </c>
      <c r="H26" s="61">
        <v>11.755332496863238</v>
      </c>
      <c r="I26" s="61">
        <v>11.917539267015702</v>
      </c>
      <c r="J26" s="61">
        <v>11.984806629834249</v>
      </c>
      <c r="K26" s="61">
        <v>11.172794117647054</v>
      </c>
      <c r="L26" s="61">
        <v>11.229124236252551</v>
      </c>
      <c r="M26" s="61">
        <v>11.493750000000002</v>
      </c>
      <c r="N26" s="61">
        <v>11.132158590308368</v>
      </c>
      <c r="O26" s="61">
        <v>10.453416149068316</v>
      </c>
      <c r="P26" s="61">
        <v>10.918918918918918</v>
      </c>
      <c r="Q26" s="61">
        <v>10.555555555555557</v>
      </c>
      <c r="R26" s="61">
        <v>10.275908479138625</v>
      </c>
      <c r="S26" s="61">
        <v>10.375438596491227</v>
      </c>
      <c r="T26" s="61">
        <f t="shared" si="6"/>
        <v>-1.6093680333430225</v>
      </c>
      <c r="U26" s="61">
        <f t="shared" si="7"/>
        <v>-7.7977552577088716E-2</v>
      </c>
      <c r="V26" s="214">
        <f t="shared" si="8"/>
        <v>9.9530117352601977E-2</v>
      </c>
    </row>
    <row r="27" spans="1:22" ht="15" customHeight="1" x14ac:dyDescent="0.2">
      <c r="A27" s="34" t="s">
        <v>115</v>
      </c>
      <c r="B27" s="219">
        <v>11.700262516407275</v>
      </c>
      <c r="C27" s="61">
        <v>11.712075954768508</v>
      </c>
      <c r="D27" s="61">
        <v>10.951993652053163</v>
      </c>
      <c r="E27" s="61">
        <v>10.89986730631826</v>
      </c>
      <c r="F27" s="61">
        <v>10.50231290269288</v>
      </c>
      <c r="G27" s="61">
        <v>10.553931802366041</v>
      </c>
      <c r="H27" s="61">
        <v>10.378367226643089</v>
      </c>
      <c r="I27" s="61">
        <v>10.435517016690893</v>
      </c>
      <c r="J27" s="61">
        <v>10.47149333699684</v>
      </c>
      <c r="K27" s="61">
        <v>10.412930513595166</v>
      </c>
      <c r="L27" s="61">
        <v>10.258543149544955</v>
      </c>
      <c r="M27" s="61">
        <v>10.614393285514449</v>
      </c>
      <c r="N27" s="61">
        <v>10.615113701915778</v>
      </c>
      <c r="O27" s="61">
        <v>10.425381420405477</v>
      </c>
      <c r="P27" s="61">
        <v>10.748456199792338</v>
      </c>
      <c r="Q27" s="61">
        <v>10.604434812485133</v>
      </c>
      <c r="R27" s="61">
        <v>10.445967211238591</v>
      </c>
      <c r="S27" s="61">
        <v>10.289993426129705</v>
      </c>
      <c r="T27" s="61">
        <f t="shared" si="6"/>
        <v>-0.18149991086713513</v>
      </c>
      <c r="U27" s="61">
        <f t="shared" si="7"/>
        <v>-0.13538799427577253</v>
      </c>
      <c r="V27" s="214">
        <f t="shared" si="8"/>
        <v>-0.15597378510888582</v>
      </c>
    </row>
    <row r="28" spans="1:22" ht="15" customHeight="1" x14ac:dyDescent="0.2">
      <c r="A28" s="42" t="s">
        <v>6</v>
      </c>
      <c r="B28" s="215">
        <v>7.0364532972345772</v>
      </c>
      <c r="C28" s="212">
        <v>6.5633354551241245</v>
      </c>
      <c r="D28" s="212">
        <v>6.5537520244736367</v>
      </c>
      <c r="E28" s="212">
        <v>6.8149992220320526</v>
      </c>
      <c r="F28" s="212">
        <v>6.6448289738430582</v>
      </c>
      <c r="G28" s="212">
        <v>6.5616306632675876</v>
      </c>
      <c r="H28" s="212">
        <v>6.7085045595084338</v>
      </c>
      <c r="I28" s="212">
        <v>6.5523957997347955</v>
      </c>
      <c r="J28" s="212">
        <v>6.3964894886055559</v>
      </c>
      <c r="K28" s="212">
        <v>6.3397363037053873</v>
      </c>
      <c r="L28" s="212">
        <v>6.2728333450481477</v>
      </c>
      <c r="M28" s="212">
        <v>6.5120528667362283</v>
      </c>
      <c r="N28" s="212">
        <v>6.2869238130682117</v>
      </c>
      <c r="O28" s="212">
        <v>6.3812144373673032</v>
      </c>
      <c r="P28" s="212">
        <v>6.5840687795180877</v>
      </c>
      <c r="Q28" s="212">
        <v>6.5458421882498117</v>
      </c>
      <c r="R28" s="212">
        <v>6.4232814892416794</v>
      </c>
      <c r="S28" s="212">
        <v>6.1907403005572723</v>
      </c>
      <c r="T28" s="212">
        <f t="shared" si="6"/>
        <v>-0.20574918804828357</v>
      </c>
      <c r="U28" s="212">
        <f t="shared" si="7"/>
        <v>-0.19047413681003089</v>
      </c>
      <c r="V28" s="216">
        <f t="shared" si="8"/>
        <v>-0.2325411886844071</v>
      </c>
    </row>
    <row r="29" spans="1:22" ht="15" customHeight="1" x14ac:dyDescent="0.2">
      <c r="A29" s="34" t="s">
        <v>4</v>
      </c>
      <c r="B29" s="219">
        <v>7.0364532972345772</v>
      </c>
      <c r="C29" s="61">
        <v>6.5633354551241245</v>
      </c>
      <c r="D29" s="61">
        <v>6.5537520244736367</v>
      </c>
      <c r="E29" s="61">
        <v>6.8149992220320526</v>
      </c>
      <c r="F29" s="61">
        <v>6.6448289738430582</v>
      </c>
      <c r="G29" s="61">
        <v>6.5616306632675876</v>
      </c>
      <c r="H29" s="61">
        <v>6.7085045595084338</v>
      </c>
      <c r="I29" s="61">
        <v>6.5523957997347955</v>
      </c>
      <c r="J29" s="61">
        <v>6.3964894886055559</v>
      </c>
      <c r="K29" s="61">
        <v>6.3397363037053873</v>
      </c>
      <c r="L29" s="61">
        <v>6.2728333450481477</v>
      </c>
      <c r="M29" s="61">
        <v>6.5120528667362283</v>
      </c>
      <c r="N29" s="61">
        <v>6.2869238130682117</v>
      </c>
      <c r="O29" s="61">
        <v>6.3812144373673032</v>
      </c>
      <c r="P29" s="61">
        <v>6.5840687795180877</v>
      </c>
      <c r="Q29" s="61">
        <v>6.5458421882498117</v>
      </c>
      <c r="R29" s="61">
        <v>6.4232814892416794</v>
      </c>
      <c r="S29" s="61">
        <v>6.1907403005572723</v>
      </c>
      <c r="T29" s="61">
        <f t="shared" si="6"/>
        <v>-0.20574918804828357</v>
      </c>
      <c r="U29" s="61">
        <f t="shared" si="7"/>
        <v>-0.19047413681003089</v>
      </c>
      <c r="V29" s="214">
        <f t="shared" si="8"/>
        <v>-0.2325411886844071</v>
      </c>
    </row>
    <row r="30" spans="1:22" ht="15" customHeight="1" x14ac:dyDescent="0.2">
      <c r="A30" s="42" t="s">
        <v>0</v>
      </c>
      <c r="B30" s="215">
        <v>11.307060977073581</v>
      </c>
      <c r="C30" s="212">
        <v>10.714235353138177</v>
      </c>
      <c r="D30" s="212">
        <v>10.722611727885457</v>
      </c>
      <c r="E30" s="212">
        <v>10.945505891761531</v>
      </c>
      <c r="F30" s="212">
        <v>10.2730697398022</v>
      </c>
      <c r="G30" s="212">
        <v>10.084574195651161</v>
      </c>
      <c r="H30" s="212">
        <v>10.072292412121609</v>
      </c>
      <c r="I30" s="212">
        <v>10.000957079793746</v>
      </c>
      <c r="J30" s="212">
        <v>9.748105032401714</v>
      </c>
      <c r="K30" s="212">
        <v>9.6190476190476186</v>
      </c>
      <c r="L30" s="212">
        <v>9.644967123152222</v>
      </c>
      <c r="M30" s="212">
        <v>9.8078211838654141</v>
      </c>
      <c r="N30" s="212">
        <v>9.6718656893429671</v>
      </c>
      <c r="O30" s="212">
        <v>9.5981580479542696</v>
      </c>
      <c r="P30" s="212">
        <v>10.079722792083857</v>
      </c>
      <c r="Q30" s="212">
        <v>10.119079670117131</v>
      </c>
      <c r="R30" s="212">
        <v>9.9733307880032402</v>
      </c>
      <c r="S30" s="212">
        <v>9.7231949377980893</v>
      </c>
      <c r="T30" s="212">
        <f t="shared" si="6"/>
        <v>-2.49100946036247E-2</v>
      </c>
      <c r="U30" s="212">
        <f t="shared" si="7"/>
        <v>0.12503688984381967</v>
      </c>
      <c r="V30" s="216">
        <f t="shared" si="8"/>
        <v>-0.25013585020515094</v>
      </c>
    </row>
    <row r="31" spans="1:22" ht="15" customHeight="1" x14ac:dyDescent="0.2">
      <c r="A31" s="44"/>
      <c r="B31" s="44"/>
      <c r="C31" s="44"/>
      <c r="D31" s="44"/>
      <c r="E31" s="44"/>
      <c r="F31" s="44"/>
      <c r="G31" s="44"/>
      <c r="H31" s="44"/>
      <c r="I31" s="44"/>
      <c r="J31" s="44"/>
      <c r="K31" s="44"/>
      <c r="L31" s="44"/>
      <c r="M31" s="44"/>
      <c r="N31" s="44"/>
      <c r="O31" s="44"/>
      <c r="P31" s="44"/>
      <c r="Q31" s="44"/>
      <c r="R31" s="44"/>
      <c r="S31" s="44"/>
      <c r="T31" s="51"/>
      <c r="U31" s="51"/>
      <c r="V31" s="44"/>
    </row>
    <row r="32" spans="1:22" ht="15" customHeight="1" x14ac:dyDescent="0.2">
      <c r="A32" s="35" t="s">
        <v>124</v>
      </c>
      <c r="B32" s="35"/>
      <c r="C32" s="35"/>
      <c r="D32" s="35"/>
      <c r="E32" s="35"/>
      <c r="F32" s="35"/>
      <c r="G32" s="35"/>
      <c r="H32" s="35"/>
      <c r="I32" s="35"/>
      <c r="J32" s="35"/>
      <c r="K32" s="35"/>
      <c r="L32" s="35"/>
      <c r="M32" s="35"/>
      <c r="N32" s="35"/>
      <c r="O32" s="35"/>
      <c r="P32" s="35"/>
      <c r="Q32" s="35"/>
      <c r="R32" s="35"/>
      <c r="S32" s="35"/>
      <c r="T32" s="75"/>
      <c r="U32" s="75"/>
      <c r="V32" s="35"/>
    </row>
    <row r="33" spans="1:22" ht="46.5" customHeight="1" x14ac:dyDescent="0.2">
      <c r="A33" s="36" t="s">
        <v>108</v>
      </c>
      <c r="B33" s="15">
        <v>2007</v>
      </c>
      <c r="C33" s="15">
        <v>2008</v>
      </c>
      <c r="D33" s="15">
        <v>2009</v>
      </c>
      <c r="E33" s="15">
        <v>2010</v>
      </c>
      <c r="F33" s="15">
        <v>2011</v>
      </c>
      <c r="G33" s="15">
        <v>2012</v>
      </c>
      <c r="H33" s="15">
        <v>2013</v>
      </c>
      <c r="I33" s="15">
        <v>2014</v>
      </c>
      <c r="J33" s="15">
        <v>2015</v>
      </c>
      <c r="K33" s="15">
        <v>2016</v>
      </c>
      <c r="L33" s="15">
        <v>2017</v>
      </c>
      <c r="M33" s="15">
        <v>2018</v>
      </c>
      <c r="N33" s="15">
        <v>2019</v>
      </c>
      <c r="O33" s="15">
        <v>2020</v>
      </c>
      <c r="P33" s="15">
        <v>2021</v>
      </c>
      <c r="Q33" s="15">
        <v>2022</v>
      </c>
      <c r="R33" s="15">
        <v>2023</v>
      </c>
      <c r="S33" s="15">
        <v>2024</v>
      </c>
      <c r="T33" s="27" t="s">
        <v>469</v>
      </c>
      <c r="U33" s="27" t="s">
        <v>470</v>
      </c>
      <c r="V33" s="27" t="s">
        <v>471</v>
      </c>
    </row>
    <row r="34" spans="1:22" ht="15" customHeight="1" x14ac:dyDescent="0.2">
      <c r="A34" s="33" t="s">
        <v>1</v>
      </c>
      <c r="B34" s="220">
        <v>6.9142622950819668</v>
      </c>
      <c r="C34" s="220">
        <v>6.3852831507807037</v>
      </c>
      <c r="D34" s="220">
        <v>6.2817098808689558</v>
      </c>
      <c r="E34" s="220">
        <v>6.7877707006369423</v>
      </c>
      <c r="F34" s="220">
        <v>6.6196296098628382</v>
      </c>
      <c r="G34" s="220">
        <v>6.6127857207904563</v>
      </c>
      <c r="H34" s="220">
        <v>6.7139220095896803</v>
      </c>
      <c r="I34" s="220">
        <v>6.7105500064303172</v>
      </c>
      <c r="J34" s="220">
        <v>6.5950883378069785</v>
      </c>
      <c r="K34" s="220">
        <v>6.5159525332196404</v>
      </c>
      <c r="L34" s="220">
        <v>6.3893958076448829</v>
      </c>
      <c r="M34" s="220">
        <v>6.6256816544912027</v>
      </c>
      <c r="N34" s="220">
        <v>6.5410549211528002</v>
      </c>
      <c r="O34" s="220">
        <v>6.5907148053837759</v>
      </c>
      <c r="P34" s="220">
        <v>6.8712317888885499</v>
      </c>
      <c r="Q34" s="220">
        <v>6.7363800904977378</v>
      </c>
      <c r="R34" s="220">
        <v>6.677513073794306</v>
      </c>
      <c r="S34" s="220">
        <v>6.4201871536295085</v>
      </c>
      <c r="T34" s="212">
        <f t="shared" ref="T34:T44" si="9">IFERROR((S34-J34),"n/a")</f>
        <v>-0.17490118417746991</v>
      </c>
      <c r="U34" s="212">
        <f t="shared" ref="U34:U44" si="10">IFERROR((S34-O34),"n/a")</f>
        <v>-0.17052765175426732</v>
      </c>
      <c r="V34" s="216">
        <f t="shared" ref="V34:V44" si="11">IFERROR((S34-R34),"n/a")</f>
        <v>-0.25732592016479749</v>
      </c>
    </row>
    <row r="35" spans="1:22" ht="15" customHeight="1" x14ac:dyDescent="0.2">
      <c r="A35" s="34" t="s">
        <v>4</v>
      </c>
      <c r="B35" s="219">
        <v>6.9142622950819668</v>
      </c>
      <c r="C35" s="219">
        <v>6.3852831507807037</v>
      </c>
      <c r="D35" s="219">
        <v>6.2817098808689558</v>
      </c>
      <c r="E35" s="219">
        <v>6.7877707006369423</v>
      </c>
      <c r="F35" s="219">
        <v>6.6196296098628382</v>
      </c>
      <c r="G35" s="219">
        <v>6.6127857207904563</v>
      </c>
      <c r="H35" s="219">
        <v>6.7139220095896803</v>
      </c>
      <c r="I35" s="219">
        <v>6.7105500064303172</v>
      </c>
      <c r="J35" s="219">
        <v>6.5950883378069785</v>
      </c>
      <c r="K35" s="219">
        <v>6.5159525332196404</v>
      </c>
      <c r="L35" s="219">
        <v>6.3893958076448829</v>
      </c>
      <c r="M35" s="219">
        <v>6.6256816544912027</v>
      </c>
      <c r="N35" s="219">
        <v>6.5410549211528002</v>
      </c>
      <c r="O35" s="219">
        <v>6.5907148053837759</v>
      </c>
      <c r="P35" s="219">
        <v>6.8712317888885499</v>
      </c>
      <c r="Q35" s="219">
        <v>6.7363800904977378</v>
      </c>
      <c r="R35" s="219">
        <v>6.677513073794306</v>
      </c>
      <c r="S35" s="219">
        <v>6.4201871536295085</v>
      </c>
      <c r="T35" s="61">
        <f t="shared" si="9"/>
        <v>-0.17490118417746991</v>
      </c>
      <c r="U35" s="61">
        <f t="shared" si="10"/>
        <v>-0.17052765175426732</v>
      </c>
      <c r="V35" s="214">
        <f t="shared" si="11"/>
        <v>-0.25732592016479749</v>
      </c>
    </row>
    <row r="36" spans="1:22" ht="15" customHeight="1" x14ac:dyDescent="0.2">
      <c r="A36" s="33" t="s">
        <v>147</v>
      </c>
      <c r="B36" s="220">
        <v>9.0878090981183757</v>
      </c>
      <c r="C36" s="220">
        <v>8.6271690989617369</v>
      </c>
      <c r="D36" s="220">
        <v>8.3226676738790264</v>
      </c>
      <c r="E36" s="220">
        <v>8.2666093775175877</v>
      </c>
      <c r="F36" s="220">
        <v>7.9866514860036908</v>
      </c>
      <c r="G36" s="220">
        <v>7.9171783106055713</v>
      </c>
      <c r="H36" s="220">
        <v>8.0116990447568952</v>
      </c>
      <c r="I36" s="220">
        <v>7.842168836397799</v>
      </c>
      <c r="J36" s="220">
        <v>7.6313302848035214</v>
      </c>
      <c r="K36" s="220">
        <v>7.6761466779619996</v>
      </c>
      <c r="L36" s="220">
        <v>7.725890705610273</v>
      </c>
      <c r="M36" s="220">
        <v>8.1888739733541183</v>
      </c>
      <c r="N36" s="220">
        <v>7.9937980355500162</v>
      </c>
      <c r="O36" s="220">
        <v>7.8629743667239653</v>
      </c>
      <c r="P36" s="220">
        <v>8.2830842419326007</v>
      </c>
      <c r="Q36" s="220">
        <v>8.4362274439672227</v>
      </c>
      <c r="R36" s="220">
        <v>8.1779557929090636</v>
      </c>
      <c r="S36" s="220">
        <v>7.9799667286979075</v>
      </c>
      <c r="T36" s="212">
        <f t="shared" si="9"/>
        <v>0.34863644389438608</v>
      </c>
      <c r="U36" s="212">
        <f t="shared" si="10"/>
        <v>0.11699236197394214</v>
      </c>
      <c r="V36" s="216">
        <f t="shared" si="11"/>
        <v>-0.19798906421115614</v>
      </c>
    </row>
    <row r="37" spans="1:22" ht="15" customHeight="1" x14ac:dyDescent="0.2">
      <c r="A37" s="34" t="s">
        <v>115</v>
      </c>
      <c r="B37" s="219">
        <v>11.075273010920437</v>
      </c>
      <c r="C37" s="219">
        <v>10.952100332426715</v>
      </c>
      <c r="D37" s="219">
        <v>10.603201759745815</v>
      </c>
      <c r="E37" s="219">
        <v>10.656226319777719</v>
      </c>
      <c r="F37" s="219">
        <v>10.381061435825949</v>
      </c>
      <c r="G37" s="219">
        <v>10.42525362622621</v>
      </c>
      <c r="H37" s="219">
        <v>10.288468230217831</v>
      </c>
      <c r="I37" s="219">
        <v>10.375628512274474</v>
      </c>
      <c r="J37" s="219">
        <v>10.395874420340068</v>
      </c>
      <c r="K37" s="219">
        <v>10.314144127454613</v>
      </c>
      <c r="L37" s="219">
        <v>10.151440956891708</v>
      </c>
      <c r="M37" s="219">
        <v>10.523109804969277</v>
      </c>
      <c r="N37" s="219">
        <v>10.533127994524298</v>
      </c>
      <c r="O37" s="219">
        <v>10.266654174084138</v>
      </c>
      <c r="P37" s="219">
        <v>10.628311537165784</v>
      </c>
      <c r="Q37" s="219">
        <v>10.497198552585502</v>
      </c>
      <c r="R37" s="219">
        <v>10.309895672572381</v>
      </c>
      <c r="S37" s="219">
        <v>10.164566434194379</v>
      </c>
      <c r="T37" s="61">
        <f t="shared" si="9"/>
        <v>-0.23130798614568882</v>
      </c>
      <c r="U37" s="61">
        <f t="shared" si="10"/>
        <v>-0.10208773988975928</v>
      </c>
      <c r="V37" s="214">
        <f t="shared" si="11"/>
        <v>-0.14532923837800205</v>
      </c>
    </row>
    <row r="38" spans="1:22" ht="15" customHeight="1" x14ac:dyDescent="0.2">
      <c r="A38" s="34" t="s">
        <v>4</v>
      </c>
      <c r="B38" s="219">
        <v>6.6136915358472246</v>
      </c>
      <c r="C38" s="219">
        <v>6.4767295597484278</v>
      </c>
      <c r="D38" s="219">
        <v>6.5196135265700486</v>
      </c>
      <c r="E38" s="219">
        <v>6.4984580880291558</v>
      </c>
      <c r="F38" s="219">
        <v>6.4279880736323571</v>
      </c>
      <c r="G38" s="219">
        <v>6.3443398706556602</v>
      </c>
      <c r="H38" s="219">
        <v>6.5830385606358357</v>
      </c>
      <c r="I38" s="219">
        <v>6.3016438257616629</v>
      </c>
      <c r="J38" s="219">
        <v>6.1032643921984562</v>
      </c>
      <c r="K38" s="219">
        <v>6.1048028911142378</v>
      </c>
      <c r="L38" s="219">
        <v>6.0890598336899702</v>
      </c>
      <c r="M38" s="219">
        <v>6.411923223592221</v>
      </c>
      <c r="N38" s="219">
        <v>6.0502907433600503</v>
      </c>
      <c r="O38" s="219">
        <v>6.2389136834108818</v>
      </c>
      <c r="P38" s="219">
        <v>6.3725548902195612</v>
      </c>
      <c r="Q38" s="219">
        <v>6.3560130776707604</v>
      </c>
      <c r="R38" s="219">
        <v>6.205186793099509</v>
      </c>
      <c r="S38" s="219">
        <v>6.034885270367508</v>
      </c>
      <c r="T38" s="61">
        <f t="shared" si="9"/>
        <v>-6.8379121830948186E-2</v>
      </c>
      <c r="U38" s="61">
        <f t="shared" si="10"/>
        <v>-0.20402841304337382</v>
      </c>
      <c r="V38" s="214">
        <f t="shared" si="11"/>
        <v>-0.17030152273200105</v>
      </c>
    </row>
    <row r="39" spans="1:22" ht="15" customHeight="1" x14ac:dyDescent="0.2">
      <c r="A39" s="33" t="s">
        <v>3</v>
      </c>
      <c r="B39" s="220">
        <v>13.386450452226631</v>
      </c>
      <c r="C39" s="220">
        <v>13.120982810164424</v>
      </c>
      <c r="D39" s="220">
        <v>12.953033875170616</v>
      </c>
      <c r="E39" s="220">
        <v>12.936836379022022</v>
      </c>
      <c r="F39" s="220">
        <v>12.805488926201328</v>
      </c>
      <c r="G39" s="220">
        <v>12.715402830552343</v>
      </c>
      <c r="H39" s="220">
        <v>12.616438803145495</v>
      </c>
      <c r="I39" s="220">
        <v>12.596626318312559</v>
      </c>
      <c r="J39" s="220">
        <v>12.552149499653664</v>
      </c>
      <c r="K39" s="220">
        <v>12.520886305848165</v>
      </c>
      <c r="L39" s="220">
        <v>12.592977457470878</v>
      </c>
      <c r="M39" s="220">
        <v>12.552881137989232</v>
      </c>
      <c r="N39" s="220">
        <v>12.515527280569334</v>
      </c>
      <c r="O39" s="220">
        <v>12.354588276343335</v>
      </c>
      <c r="P39" s="220">
        <v>12.68488760195398</v>
      </c>
      <c r="Q39" s="220">
        <v>12.571996800622582</v>
      </c>
      <c r="R39" s="220">
        <v>12.522203741751731</v>
      </c>
      <c r="S39" s="220">
        <v>12.409367930190683</v>
      </c>
      <c r="T39" s="212">
        <f t="shared" si="9"/>
        <v>-0.14278156946298104</v>
      </c>
      <c r="U39" s="212">
        <f t="shared" si="10"/>
        <v>5.4779653847347731E-2</v>
      </c>
      <c r="V39" s="216">
        <f t="shared" si="11"/>
        <v>-0.11283581156104816</v>
      </c>
    </row>
    <row r="40" spans="1:22" ht="15" customHeight="1" x14ac:dyDescent="0.2">
      <c r="A40" s="34" t="s">
        <v>113</v>
      </c>
      <c r="B40" s="219">
        <v>13.720795408429474</v>
      </c>
      <c r="C40" s="219">
        <v>13.435828081469261</v>
      </c>
      <c r="D40" s="219">
        <v>13.375571152668519</v>
      </c>
      <c r="E40" s="219">
        <v>13.370471492485947</v>
      </c>
      <c r="F40" s="219">
        <v>13.258067454624126</v>
      </c>
      <c r="G40" s="219">
        <v>13.235718961839799</v>
      </c>
      <c r="H40" s="219">
        <v>13.176814042992584</v>
      </c>
      <c r="I40" s="219">
        <v>13.13009748729919</v>
      </c>
      <c r="J40" s="219">
        <v>13.153988391802354</v>
      </c>
      <c r="K40" s="219">
        <v>13.188460033680915</v>
      </c>
      <c r="L40" s="219">
        <v>13.240709404490726</v>
      </c>
      <c r="M40" s="219">
        <v>13.216011635726685</v>
      </c>
      <c r="N40" s="219">
        <v>13.157341780091576</v>
      </c>
      <c r="O40" s="219">
        <v>13.10975965951765</v>
      </c>
      <c r="P40" s="219">
        <v>13.246344206974129</v>
      </c>
      <c r="Q40" s="219">
        <v>13.075183187150598</v>
      </c>
      <c r="R40" s="219">
        <v>12.955997974146248</v>
      </c>
      <c r="S40" s="219">
        <v>12.868325451555748</v>
      </c>
      <c r="T40" s="61">
        <f t="shared" si="9"/>
        <v>-0.28566294024660621</v>
      </c>
      <c r="U40" s="61">
        <f t="shared" si="10"/>
        <v>-0.24143420796190185</v>
      </c>
      <c r="V40" s="214">
        <f t="shared" si="11"/>
        <v>-8.7672522590500179E-2</v>
      </c>
    </row>
    <row r="41" spans="1:22" ht="15" customHeight="1" x14ac:dyDescent="0.2">
      <c r="A41" s="34" t="s">
        <v>114</v>
      </c>
      <c r="B41" s="219">
        <v>12.395000000000005</v>
      </c>
      <c r="C41" s="219">
        <v>11.975748930099858</v>
      </c>
      <c r="D41" s="219">
        <v>11.780048076923073</v>
      </c>
      <c r="E41" s="219">
        <v>11.950907150480255</v>
      </c>
      <c r="F41" s="219">
        <v>11.748940677966102</v>
      </c>
      <c r="G41" s="219">
        <v>11.756355932203386</v>
      </c>
      <c r="H41" s="219">
        <v>11.755332496863238</v>
      </c>
      <c r="I41" s="219">
        <v>11.917539267015702</v>
      </c>
      <c r="J41" s="219">
        <v>11.984806629834249</v>
      </c>
      <c r="K41" s="219">
        <v>11.172794117647054</v>
      </c>
      <c r="L41" s="219">
        <v>11.229124236252551</v>
      </c>
      <c r="M41" s="219">
        <v>11.493750000000002</v>
      </c>
      <c r="N41" s="219">
        <v>11.132158590308368</v>
      </c>
      <c r="O41" s="219">
        <v>10.453416149068316</v>
      </c>
      <c r="P41" s="219">
        <v>10.918918918918918</v>
      </c>
      <c r="Q41" s="219">
        <v>10.555555555555557</v>
      </c>
      <c r="R41" s="219">
        <v>10.275908479138625</v>
      </c>
      <c r="S41" s="219">
        <v>10.375438596491227</v>
      </c>
      <c r="T41" s="61">
        <f t="shared" si="9"/>
        <v>-1.6093680333430225</v>
      </c>
      <c r="U41" s="61">
        <f t="shared" si="10"/>
        <v>-7.7977552577088716E-2</v>
      </c>
      <c r="V41" s="214">
        <f t="shared" si="11"/>
        <v>9.9530117352601977E-2</v>
      </c>
    </row>
    <row r="42" spans="1:22" ht="15" customHeight="1" x14ac:dyDescent="0.2">
      <c r="A42" s="34" t="s">
        <v>115</v>
      </c>
      <c r="B42" s="219">
        <v>13.31674512441157</v>
      </c>
      <c r="C42" s="219">
        <v>13.537010159651668</v>
      </c>
      <c r="D42" s="219">
        <v>12.45497630331754</v>
      </c>
      <c r="E42" s="219">
        <v>11.926556679084619</v>
      </c>
      <c r="F42" s="219">
        <v>11.092583616093069</v>
      </c>
      <c r="G42" s="219">
        <v>11.182153090462547</v>
      </c>
      <c r="H42" s="219">
        <v>10.875963020030813</v>
      </c>
      <c r="I42" s="219">
        <v>10.767892317793828</v>
      </c>
      <c r="J42" s="219">
        <v>10.932704811443433</v>
      </c>
      <c r="K42" s="219">
        <v>11.072687905969687</v>
      </c>
      <c r="L42" s="219">
        <v>11.061052631578947</v>
      </c>
      <c r="M42" s="219">
        <v>11.362243502051983</v>
      </c>
      <c r="N42" s="219">
        <v>11.259617971482379</v>
      </c>
      <c r="O42" s="219">
        <v>11.565802760013462</v>
      </c>
      <c r="P42" s="219">
        <v>11.742335951355459</v>
      </c>
      <c r="Q42" s="219">
        <v>11.634071168394506</v>
      </c>
      <c r="R42" s="219">
        <v>12.172737955346649</v>
      </c>
      <c r="S42" s="219">
        <v>12.945500633713561</v>
      </c>
      <c r="T42" s="61">
        <f t="shared" si="9"/>
        <v>2.0127958222701281</v>
      </c>
      <c r="U42" s="61">
        <f t="shared" si="10"/>
        <v>1.3796978737000991</v>
      </c>
      <c r="V42" s="214">
        <f t="shared" si="11"/>
        <v>0.77276267836691126</v>
      </c>
    </row>
    <row r="43" spans="1:22" ht="15" customHeight="1" x14ac:dyDescent="0.2">
      <c r="A43" s="34" t="s">
        <v>4</v>
      </c>
      <c r="B43" s="219">
        <v>8.8164859002169198</v>
      </c>
      <c r="C43" s="219">
        <v>8.1025963149078724</v>
      </c>
      <c r="D43" s="219">
        <v>7.8919431279620857</v>
      </c>
      <c r="E43" s="219">
        <v>7.9622524752475243</v>
      </c>
      <c r="F43" s="219">
        <v>7.8723472668810288</v>
      </c>
      <c r="G43" s="219">
        <v>7.3668718223173668</v>
      </c>
      <c r="H43" s="219">
        <v>7.3006902502157036</v>
      </c>
      <c r="I43" s="219">
        <v>7.2539546814878157</v>
      </c>
      <c r="J43" s="219">
        <v>7.281261069783918</v>
      </c>
      <c r="K43" s="219">
        <v>6.9335448321923527</v>
      </c>
      <c r="L43" s="219">
        <v>6.8689761618933289</v>
      </c>
      <c r="M43" s="219">
        <v>6.6119450654742895</v>
      </c>
      <c r="N43" s="219">
        <v>6.4748921484037965</v>
      </c>
      <c r="O43" s="219">
        <v>6.3601134215500945</v>
      </c>
      <c r="P43" s="219">
        <v>6.4338856400259905</v>
      </c>
      <c r="Q43" s="219">
        <v>6.5678779568049368</v>
      </c>
      <c r="R43" s="219">
        <v>6.2013142174432501</v>
      </c>
      <c r="S43" s="219">
        <v>5.8571979930528757</v>
      </c>
      <c r="T43" s="61">
        <f t="shared" si="9"/>
        <v>-1.4240630767310423</v>
      </c>
      <c r="U43" s="61">
        <f t="shared" si="10"/>
        <v>-0.50291542849721882</v>
      </c>
      <c r="V43" s="214">
        <f t="shared" si="11"/>
        <v>-0.34411622439037437</v>
      </c>
    </row>
    <row r="44" spans="1:22" ht="15" customHeight="1" x14ac:dyDescent="0.2">
      <c r="A44" s="42" t="s">
        <v>0</v>
      </c>
      <c r="B44" s="215">
        <v>11.307060977073581</v>
      </c>
      <c r="C44" s="215">
        <v>10.714235353138177</v>
      </c>
      <c r="D44" s="215">
        <v>10.722611727885457</v>
      </c>
      <c r="E44" s="215">
        <v>10.945505891761531</v>
      </c>
      <c r="F44" s="215">
        <v>10.2730697398022</v>
      </c>
      <c r="G44" s="215">
        <v>10.084574195651161</v>
      </c>
      <c r="H44" s="215">
        <v>10.072292412121609</v>
      </c>
      <c r="I44" s="215">
        <v>10.000957079793746</v>
      </c>
      <c r="J44" s="215">
        <v>9.7481050324017122</v>
      </c>
      <c r="K44" s="215">
        <v>9.6190476190476186</v>
      </c>
      <c r="L44" s="215">
        <v>9.644967123152222</v>
      </c>
      <c r="M44" s="215">
        <v>9.8078211838654141</v>
      </c>
      <c r="N44" s="215">
        <v>9.6718656893429671</v>
      </c>
      <c r="O44" s="215">
        <v>9.5981580479542696</v>
      </c>
      <c r="P44" s="215">
        <v>10.079722792083857</v>
      </c>
      <c r="Q44" s="215">
        <v>10.119079670117131</v>
      </c>
      <c r="R44" s="215">
        <v>9.9733307880032402</v>
      </c>
      <c r="S44" s="215">
        <v>9.7231949377980893</v>
      </c>
      <c r="T44" s="212">
        <f t="shared" si="9"/>
        <v>-2.4910094603622923E-2</v>
      </c>
      <c r="U44" s="212">
        <f t="shared" si="10"/>
        <v>0.12503688984381967</v>
      </c>
      <c r="V44" s="216">
        <f t="shared" si="11"/>
        <v>-0.25013585020515094</v>
      </c>
    </row>
    <row r="45" spans="1:22" ht="15" customHeight="1" x14ac:dyDescent="0.2">
      <c r="A45" s="44"/>
      <c r="B45" s="44"/>
      <c r="C45" s="44"/>
      <c r="D45" s="44"/>
      <c r="E45" s="44"/>
      <c r="F45" s="44"/>
      <c r="G45" s="44"/>
      <c r="H45" s="44"/>
      <c r="I45" s="44"/>
      <c r="J45" s="44"/>
      <c r="K45" s="44"/>
      <c r="L45" s="44"/>
      <c r="M45" s="44"/>
      <c r="N45" s="44"/>
      <c r="O45" s="44"/>
      <c r="P45" s="44"/>
      <c r="Q45" s="44"/>
      <c r="R45" s="44"/>
      <c r="S45" s="44"/>
      <c r="T45" s="51"/>
      <c r="U45" s="51"/>
      <c r="V45" s="44"/>
    </row>
    <row r="46" spans="1:22" ht="15" customHeight="1" x14ac:dyDescent="0.2">
      <c r="A46" s="35" t="s">
        <v>125</v>
      </c>
      <c r="B46" s="35"/>
      <c r="C46" s="35"/>
      <c r="D46" s="35"/>
      <c r="E46" s="35"/>
      <c r="F46" s="35"/>
      <c r="G46" s="35"/>
      <c r="H46" s="35"/>
      <c r="I46" s="35"/>
      <c r="J46" s="35"/>
      <c r="K46" s="35"/>
      <c r="L46" s="35"/>
      <c r="M46" s="35"/>
      <c r="N46" s="35"/>
      <c r="O46" s="35"/>
      <c r="P46" s="35"/>
      <c r="Q46" s="35"/>
      <c r="R46" s="35"/>
      <c r="S46" s="35"/>
      <c r="T46" s="75"/>
      <c r="U46" s="75"/>
      <c r="V46" s="35"/>
    </row>
    <row r="47" spans="1:22" ht="49.5" customHeight="1" x14ac:dyDescent="0.2">
      <c r="A47" s="36" t="s">
        <v>119</v>
      </c>
      <c r="B47" s="15">
        <v>2007</v>
      </c>
      <c r="C47" s="15">
        <v>2008</v>
      </c>
      <c r="D47" s="15">
        <v>2009</v>
      </c>
      <c r="E47" s="15">
        <v>2010</v>
      </c>
      <c r="F47" s="15">
        <v>2011</v>
      </c>
      <c r="G47" s="15">
        <v>2012</v>
      </c>
      <c r="H47" s="15">
        <v>2013</v>
      </c>
      <c r="I47" s="15">
        <v>2014</v>
      </c>
      <c r="J47" s="15">
        <v>2015</v>
      </c>
      <c r="K47" s="15">
        <v>2016</v>
      </c>
      <c r="L47" s="15">
        <v>2017</v>
      </c>
      <c r="M47" s="15">
        <v>2018</v>
      </c>
      <c r="N47" s="15">
        <v>2019</v>
      </c>
      <c r="O47" s="15">
        <v>2020</v>
      </c>
      <c r="P47" s="15">
        <v>2021</v>
      </c>
      <c r="Q47" s="15">
        <v>2022</v>
      </c>
      <c r="R47" s="15">
        <v>2023</v>
      </c>
      <c r="S47" s="15">
        <v>2024</v>
      </c>
      <c r="T47" s="27" t="s">
        <v>469</v>
      </c>
      <c r="U47" s="27" t="s">
        <v>470</v>
      </c>
      <c r="V47" s="27" t="s">
        <v>471</v>
      </c>
    </row>
    <row r="48" spans="1:22" ht="15" customHeight="1" x14ac:dyDescent="0.2">
      <c r="A48" s="42" t="s">
        <v>5</v>
      </c>
      <c r="B48" s="212">
        <v>13.228853015403361</v>
      </c>
      <c r="C48" s="212">
        <v>13.070611741699613</v>
      </c>
      <c r="D48" s="212">
        <v>12.892883909165855</v>
      </c>
      <c r="E48" s="212">
        <v>12.900384764078867</v>
      </c>
      <c r="F48" s="212">
        <v>12.64737276382086</v>
      </c>
      <c r="G48" s="212">
        <v>12.598480859144367</v>
      </c>
      <c r="H48" s="212">
        <v>12.492446534416489</v>
      </c>
      <c r="I48" s="212">
        <v>12.437685967155824</v>
      </c>
      <c r="J48" s="212">
        <v>12.420067187036855</v>
      </c>
      <c r="K48" s="212">
        <v>12.352868716539536</v>
      </c>
      <c r="L48" s="212">
        <v>12.290248232816136</v>
      </c>
      <c r="M48" s="212">
        <v>12.313127923530608</v>
      </c>
      <c r="N48" s="212">
        <v>12.280729790917565</v>
      </c>
      <c r="O48" s="212">
        <v>12.179350196249455</v>
      </c>
      <c r="P48" s="212">
        <v>12.439812954683399</v>
      </c>
      <c r="Q48" s="212">
        <v>12.273769759904756</v>
      </c>
      <c r="R48" s="212">
        <v>12.187676454572111</v>
      </c>
      <c r="S48" s="212">
        <v>12.052044609665426</v>
      </c>
      <c r="T48" s="212">
        <f t="shared" ref="T48:T70" si="12">IFERROR((S48-J48),"n/a")</f>
        <v>-0.36802257737142874</v>
      </c>
      <c r="U48" s="212">
        <f t="shared" ref="U48:U70" si="13">IFERROR((S48-O48),"n/a")</f>
        <v>-0.12730558658402913</v>
      </c>
      <c r="V48" s="216">
        <f t="shared" ref="V48:V70" si="14">IFERROR((S48-R48),"n/a")</f>
        <v>-0.13563184490668512</v>
      </c>
    </row>
    <row r="49" spans="1:22" ht="15" customHeight="1" x14ac:dyDescent="0.2">
      <c r="A49" s="34" t="s">
        <v>8</v>
      </c>
      <c r="B49" s="61">
        <v>12.521339044899257</v>
      </c>
      <c r="C49" s="61">
        <v>12.71285642821411</v>
      </c>
      <c r="D49" s="61">
        <v>12.488914819136523</v>
      </c>
      <c r="E49" s="61">
        <v>12.438298535369274</v>
      </c>
      <c r="F49" s="61">
        <v>12.05776326994039</v>
      </c>
      <c r="G49" s="61">
        <v>11.90023005206441</v>
      </c>
      <c r="H49" s="61">
        <v>11.730163794937249</v>
      </c>
      <c r="I49" s="61">
        <v>11.58105548037889</v>
      </c>
      <c r="J49" s="61">
        <v>11.49557596696722</v>
      </c>
      <c r="K49" s="61">
        <v>11.310247791761121</v>
      </c>
      <c r="L49" s="61">
        <v>11.245878920495986</v>
      </c>
      <c r="M49" s="61">
        <v>11.113737486095664</v>
      </c>
      <c r="N49" s="61">
        <v>10.898236668791162</v>
      </c>
      <c r="O49" s="61">
        <v>11.143101807802093</v>
      </c>
      <c r="P49" s="61">
        <v>11.198713968957875</v>
      </c>
      <c r="Q49" s="61">
        <v>10.992205701698648</v>
      </c>
      <c r="R49" s="61">
        <v>11.016220379683748</v>
      </c>
      <c r="S49" s="61">
        <v>10.897931034482758</v>
      </c>
      <c r="T49" s="61">
        <f t="shared" si="12"/>
        <v>-0.59764493248446193</v>
      </c>
      <c r="U49" s="61">
        <f t="shared" si="13"/>
        <v>-0.24517077331933557</v>
      </c>
      <c r="V49" s="214">
        <f t="shared" si="14"/>
        <v>-0.11828934520099033</v>
      </c>
    </row>
    <row r="50" spans="1:22" ht="15" customHeight="1" x14ac:dyDescent="0.2">
      <c r="A50" s="34" t="s">
        <v>9</v>
      </c>
      <c r="B50" s="61">
        <v>16.695721077654518</v>
      </c>
      <c r="C50" s="61">
        <v>16.073420074349436</v>
      </c>
      <c r="D50" s="61">
        <v>15.72018561484918</v>
      </c>
      <c r="E50" s="61">
        <v>15.918683446272984</v>
      </c>
      <c r="F50" s="61">
        <v>15.903242677824261</v>
      </c>
      <c r="G50" s="61">
        <v>15.670487106017193</v>
      </c>
      <c r="H50" s="61">
        <v>15.740557553956824</v>
      </c>
      <c r="I50" s="61">
        <v>15.481981981981985</v>
      </c>
      <c r="J50" s="61">
        <v>15.621557454890795</v>
      </c>
      <c r="K50" s="61">
        <v>15.551707075705092</v>
      </c>
      <c r="L50" s="61">
        <v>15.118705035971226</v>
      </c>
      <c r="M50" s="61">
        <v>14.499435028248579</v>
      </c>
      <c r="N50" s="61">
        <v>14.344809598330727</v>
      </c>
      <c r="O50" s="61">
        <v>13.911745619727455</v>
      </c>
      <c r="P50" s="61">
        <v>14.006172839506172</v>
      </c>
      <c r="Q50" s="61">
        <v>13.61911819192294</v>
      </c>
      <c r="R50" s="61">
        <v>13.573889993373092</v>
      </c>
      <c r="S50" s="61">
        <v>13.361172392057993</v>
      </c>
      <c r="T50" s="61">
        <f t="shared" si="12"/>
        <v>-2.2603850628328015</v>
      </c>
      <c r="U50" s="61">
        <f t="shared" si="13"/>
        <v>-0.55057322766946193</v>
      </c>
      <c r="V50" s="214">
        <f t="shared" si="14"/>
        <v>-0.21271760131509865</v>
      </c>
    </row>
    <row r="51" spans="1:22" ht="15" customHeight="1" x14ac:dyDescent="0.2">
      <c r="A51" s="34" t="s">
        <v>10</v>
      </c>
      <c r="B51" s="61">
        <v>13.72049131216297</v>
      </c>
      <c r="C51" s="61">
        <v>13.488976140138931</v>
      </c>
      <c r="D51" s="61">
        <v>13.291207382722382</v>
      </c>
      <c r="E51" s="61">
        <v>13.491816920943135</v>
      </c>
      <c r="F51" s="61">
        <v>13.056680161943323</v>
      </c>
      <c r="G51" s="61">
        <v>12.911543876114504</v>
      </c>
      <c r="H51" s="61">
        <v>13.003279360524694</v>
      </c>
      <c r="I51" s="61">
        <v>12.817456896551725</v>
      </c>
      <c r="J51" s="61">
        <v>12.747479081742116</v>
      </c>
      <c r="K51" s="61">
        <v>12.810174281676876</v>
      </c>
      <c r="L51" s="61">
        <v>12.704216216216215</v>
      </c>
      <c r="M51" s="61">
        <v>12.622024471635156</v>
      </c>
      <c r="N51" s="61">
        <v>12.574433278803458</v>
      </c>
      <c r="O51" s="61">
        <v>12.355675398048275</v>
      </c>
      <c r="P51" s="61">
        <v>12.388266666666665</v>
      </c>
      <c r="Q51" s="61">
        <v>12.199934069556621</v>
      </c>
      <c r="R51" s="61">
        <v>11.778317405608643</v>
      </c>
      <c r="S51" s="61">
        <v>11.712132407270579</v>
      </c>
      <c r="T51" s="61">
        <f t="shared" si="12"/>
        <v>-1.0353466744715369</v>
      </c>
      <c r="U51" s="61">
        <f t="shared" si="13"/>
        <v>-0.64354299077769639</v>
      </c>
      <c r="V51" s="214">
        <f t="shared" si="14"/>
        <v>-6.618499833806446E-2</v>
      </c>
    </row>
    <row r="52" spans="1:22" ht="15" customHeight="1" x14ac:dyDescent="0.2">
      <c r="A52" s="34" t="s">
        <v>11</v>
      </c>
      <c r="B52" s="61">
        <v>15.520044543429844</v>
      </c>
      <c r="C52" s="61">
        <v>14.966118102613748</v>
      </c>
      <c r="D52" s="61">
        <v>15.181726907630514</v>
      </c>
      <c r="E52" s="61">
        <v>15.073039742212677</v>
      </c>
      <c r="F52" s="61">
        <v>14.79247311827957</v>
      </c>
      <c r="G52" s="61">
        <v>14.889719626168228</v>
      </c>
      <c r="H52" s="61">
        <v>14.862103174603167</v>
      </c>
      <c r="I52" s="61">
        <v>15.265213442325159</v>
      </c>
      <c r="J52" s="61">
        <v>15.165391969407265</v>
      </c>
      <c r="K52" s="61">
        <v>15.314563106796118</v>
      </c>
      <c r="L52" s="61">
        <v>15.279296875</v>
      </c>
      <c r="M52" s="61">
        <v>15.237104072398187</v>
      </c>
      <c r="N52" s="61">
        <v>15.115449915110357</v>
      </c>
      <c r="O52" s="61">
        <v>14.458372310570626</v>
      </c>
      <c r="P52" s="61">
        <v>14.670634920634921</v>
      </c>
      <c r="Q52" s="61">
        <v>14.613861386138613</v>
      </c>
      <c r="R52" s="61">
        <v>14.133764296369964</v>
      </c>
      <c r="S52" s="61">
        <v>14.133950316609836</v>
      </c>
      <c r="T52" s="61">
        <f t="shared" si="12"/>
        <v>-1.0314416527974295</v>
      </c>
      <c r="U52" s="61">
        <f t="shared" si="13"/>
        <v>-0.32442199396079019</v>
      </c>
      <c r="V52" s="214">
        <f t="shared" si="14"/>
        <v>1.8602023987135397E-4</v>
      </c>
    </row>
    <row r="53" spans="1:22" ht="15" customHeight="1" x14ac:dyDescent="0.2">
      <c r="A53" s="34" t="s">
        <v>12</v>
      </c>
      <c r="B53" s="61">
        <v>12.621562317144527</v>
      </c>
      <c r="C53" s="61">
        <v>12.374915802236293</v>
      </c>
      <c r="D53" s="61">
        <v>12.307310239429443</v>
      </c>
      <c r="E53" s="61">
        <v>12.381379772270598</v>
      </c>
      <c r="F53" s="61">
        <v>12.048925579701345</v>
      </c>
      <c r="G53" s="61">
        <v>11.86536964980545</v>
      </c>
      <c r="H53" s="61">
        <v>11.814931118314423</v>
      </c>
      <c r="I53" s="61">
        <v>11.726407246510767</v>
      </c>
      <c r="J53" s="61">
        <v>11.569345693456935</v>
      </c>
      <c r="K53" s="61">
        <v>11.491019593613933</v>
      </c>
      <c r="L53" s="61">
        <v>11.284898161947345</v>
      </c>
      <c r="M53" s="61">
        <v>11.515182829888712</v>
      </c>
      <c r="N53" s="61">
        <v>11.643299524279687</v>
      </c>
      <c r="O53" s="61">
        <v>11.387146878943788</v>
      </c>
      <c r="P53" s="61">
        <v>11.370450806186243</v>
      </c>
      <c r="Q53" s="61">
        <v>11.253826374433697</v>
      </c>
      <c r="R53" s="61">
        <v>11.210548728555786</v>
      </c>
      <c r="S53" s="61">
        <v>11.070857142857143</v>
      </c>
      <c r="T53" s="61">
        <f t="shared" si="12"/>
        <v>-0.49848855059979158</v>
      </c>
      <c r="U53" s="61">
        <f t="shared" si="13"/>
        <v>-0.31628973608664523</v>
      </c>
      <c r="V53" s="214">
        <f t="shared" si="14"/>
        <v>-0.13969158569864248</v>
      </c>
    </row>
    <row r="54" spans="1:22" ht="15" customHeight="1" x14ac:dyDescent="0.2">
      <c r="A54" s="34" t="s">
        <v>13</v>
      </c>
      <c r="B54" s="61">
        <v>17.608148591971233</v>
      </c>
      <c r="C54" s="61">
        <v>16.987751102400782</v>
      </c>
      <c r="D54" s="61">
        <v>15.996121024049648</v>
      </c>
      <c r="E54" s="61">
        <v>16.60436011303997</v>
      </c>
      <c r="F54" s="61">
        <v>16.119968737788206</v>
      </c>
      <c r="G54" s="61">
        <v>16.746177370030587</v>
      </c>
      <c r="H54" s="61">
        <v>16.87867795243854</v>
      </c>
      <c r="I54" s="61">
        <v>16.666666666666657</v>
      </c>
      <c r="J54" s="61">
        <v>16.669315825846571</v>
      </c>
      <c r="K54" s="61">
        <v>16.647780925401314</v>
      </c>
      <c r="L54" s="61">
        <v>16.984350132625991</v>
      </c>
      <c r="M54" s="61">
        <v>16.968917773382302</v>
      </c>
      <c r="N54" s="61">
        <v>16.676927343316695</v>
      </c>
      <c r="O54" s="61">
        <v>16.624713083397097</v>
      </c>
      <c r="P54" s="61">
        <v>16.675982800982798</v>
      </c>
      <c r="Q54" s="61">
        <v>16.478744650499287</v>
      </c>
      <c r="R54" s="61">
        <v>16.272810848080901</v>
      </c>
      <c r="S54" s="61">
        <v>16.193918025561928</v>
      </c>
      <c r="T54" s="61">
        <f t="shared" si="12"/>
        <v>-0.47539780028464307</v>
      </c>
      <c r="U54" s="61">
        <f t="shared" si="13"/>
        <v>-0.43079505783516936</v>
      </c>
      <c r="V54" s="214">
        <f t="shared" si="14"/>
        <v>-7.889282251897356E-2</v>
      </c>
    </row>
    <row r="55" spans="1:22" ht="15" customHeight="1" x14ac:dyDescent="0.2">
      <c r="A55" s="34" t="s">
        <v>14</v>
      </c>
      <c r="B55" s="61">
        <v>11.053282947567313</v>
      </c>
      <c r="C55" s="61">
        <v>10.836771122570411</v>
      </c>
      <c r="D55" s="61">
        <v>11.063838039094012</v>
      </c>
      <c r="E55" s="61">
        <v>11.130743051616562</v>
      </c>
      <c r="F55" s="61">
        <v>11.103461109043543</v>
      </c>
      <c r="G55" s="61">
        <v>11.136141811396584</v>
      </c>
      <c r="H55" s="61">
        <v>10.892308706254534</v>
      </c>
      <c r="I55" s="61">
        <v>10.959798055347793</v>
      </c>
      <c r="J55" s="61">
        <v>10.976871737262936</v>
      </c>
      <c r="K55" s="61">
        <v>10.883799103611917</v>
      </c>
      <c r="L55" s="61">
        <v>10.807499833188764</v>
      </c>
      <c r="M55" s="61">
        <v>10.924573433264232</v>
      </c>
      <c r="N55" s="61">
        <v>10.933904730509314</v>
      </c>
      <c r="O55" s="61">
        <v>10.941278732856869</v>
      </c>
      <c r="P55" s="61">
        <v>11.059095106186518</v>
      </c>
      <c r="Q55" s="61">
        <v>10.931529350739172</v>
      </c>
      <c r="R55" s="61">
        <v>10.982147615241141</v>
      </c>
      <c r="S55" s="61">
        <v>10.87082051790852</v>
      </c>
      <c r="T55" s="61">
        <f t="shared" si="12"/>
        <v>-0.1060512193544163</v>
      </c>
      <c r="U55" s="61">
        <f t="shared" si="13"/>
        <v>-7.0458214948349251E-2</v>
      </c>
      <c r="V55" s="214">
        <f t="shared" si="14"/>
        <v>-0.11132709733262125</v>
      </c>
    </row>
    <row r="56" spans="1:22" ht="15" customHeight="1" x14ac:dyDescent="0.2">
      <c r="A56" s="34" t="s">
        <v>15</v>
      </c>
      <c r="B56" s="61">
        <v>12.29024390243903</v>
      </c>
      <c r="C56" s="61">
        <v>12.182994454713489</v>
      </c>
      <c r="D56" s="61">
        <v>11.580750407830337</v>
      </c>
      <c r="E56" s="61">
        <v>11.907715582450836</v>
      </c>
      <c r="F56" s="61">
        <v>11.347245409015024</v>
      </c>
      <c r="G56" s="61">
        <v>12.19235836627141</v>
      </c>
      <c r="H56" s="61">
        <v>11.65346534653465</v>
      </c>
      <c r="I56" s="61">
        <v>11.413833528722154</v>
      </c>
      <c r="J56" s="61">
        <v>11.698294243070359</v>
      </c>
      <c r="K56" s="61">
        <v>11.391592920353988</v>
      </c>
      <c r="L56" s="61">
        <v>11.591816367265469</v>
      </c>
      <c r="M56" s="61">
        <v>11.482285714285716</v>
      </c>
      <c r="N56" s="61">
        <v>11.262773722627736</v>
      </c>
      <c r="O56" s="61">
        <v>10.976244343891398</v>
      </c>
      <c r="P56" s="61">
        <v>11.515492957746483</v>
      </c>
      <c r="Q56" s="61">
        <v>11.393289841565707</v>
      </c>
      <c r="R56" s="61">
        <v>11.446366782006923</v>
      </c>
      <c r="S56" s="61">
        <v>11.226066897347176</v>
      </c>
      <c r="T56" s="61">
        <f t="shared" si="12"/>
        <v>-0.47222734572318359</v>
      </c>
      <c r="U56" s="61">
        <f t="shared" si="13"/>
        <v>0.2498225534557772</v>
      </c>
      <c r="V56" s="214">
        <f t="shared" si="14"/>
        <v>-0.22029988465974704</v>
      </c>
    </row>
    <row r="57" spans="1:22" ht="15" customHeight="1" x14ac:dyDescent="0.2">
      <c r="A57" s="34" t="s">
        <v>16</v>
      </c>
      <c r="B57" s="61">
        <v>13.039273031125964</v>
      </c>
      <c r="C57" s="61">
        <v>12.835929387331257</v>
      </c>
      <c r="D57" s="61">
        <v>12.907557872144716</v>
      </c>
      <c r="E57" s="61">
        <v>12.976365694876874</v>
      </c>
      <c r="F57" s="61">
        <v>13.095663890249874</v>
      </c>
      <c r="G57" s="61">
        <v>13.020286776420605</v>
      </c>
      <c r="H57" s="61">
        <v>13.108757535164099</v>
      </c>
      <c r="I57" s="61">
        <v>13.020435677286596</v>
      </c>
      <c r="J57" s="61">
        <v>13.084322174345377</v>
      </c>
      <c r="K57" s="61">
        <v>13.156267021727292</v>
      </c>
      <c r="L57" s="61">
        <v>13.234676503972761</v>
      </c>
      <c r="M57" s="61">
        <v>13.353184236351424</v>
      </c>
      <c r="N57" s="61">
        <v>13.346862888865612</v>
      </c>
      <c r="O57" s="61">
        <v>14.083626522327471</v>
      </c>
      <c r="P57" s="61">
        <v>13.782750722787519</v>
      </c>
      <c r="Q57" s="61">
        <v>13.317447785832199</v>
      </c>
      <c r="R57" s="61">
        <v>12.997351654256544</v>
      </c>
      <c r="S57" s="61">
        <v>12.781660513436936</v>
      </c>
      <c r="T57" s="61">
        <f t="shared" si="12"/>
        <v>-0.30266166090844138</v>
      </c>
      <c r="U57" s="61">
        <f t="shared" si="13"/>
        <v>-1.3019660088905347</v>
      </c>
      <c r="V57" s="214">
        <f t="shared" si="14"/>
        <v>-0.21569114081960805</v>
      </c>
    </row>
    <row r="58" spans="1:22" ht="15" customHeight="1" x14ac:dyDescent="0.2">
      <c r="A58" s="34" t="s">
        <v>17</v>
      </c>
      <c r="B58" s="61">
        <v>14.890427257977285</v>
      </c>
      <c r="C58" s="61">
        <v>14.667626064932074</v>
      </c>
      <c r="D58" s="61">
        <v>14.249822569198013</v>
      </c>
      <c r="E58" s="61">
        <v>14.197144656728952</v>
      </c>
      <c r="F58" s="61">
        <v>13.459168559296929</v>
      </c>
      <c r="G58" s="61">
        <v>13.406212251941332</v>
      </c>
      <c r="H58" s="61">
        <v>13.120716802879208</v>
      </c>
      <c r="I58" s="61">
        <v>13.042326289991388</v>
      </c>
      <c r="J58" s="61">
        <v>13.008061015687977</v>
      </c>
      <c r="K58" s="61">
        <v>12.787375983578515</v>
      </c>
      <c r="L58" s="61">
        <v>12.519453787840755</v>
      </c>
      <c r="M58" s="61">
        <v>12.505831569335491</v>
      </c>
      <c r="N58" s="61">
        <v>12.513050937461704</v>
      </c>
      <c r="O58" s="61">
        <v>12.531741975056228</v>
      </c>
      <c r="P58" s="61">
        <v>12.661619873585185</v>
      </c>
      <c r="Q58" s="61">
        <v>12.739940415582456</v>
      </c>
      <c r="R58" s="61">
        <v>12.638146033653847</v>
      </c>
      <c r="S58" s="61">
        <v>12.523194773884979</v>
      </c>
      <c r="T58" s="61">
        <f t="shared" si="12"/>
        <v>-0.48486624180299742</v>
      </c>
      <c r="U58" s="61">
        <f t="shared" si="13"/>
        <v>-8.5472011712486307E-3</v>
      </c>
      <c r="V58" s="214">
        <f t="shared" si="14"/>
        <v>-0.11495125976886733</v>
      </c>
    </row>
    <row r="59" spans="1:22" ht="15" customHeight="1" x14ac:dyDescent="0.2">
      <c r="A59" s="42" t="s">
        <v>6</v>
      </c>
      <c r="B59" s="212">
        <v>7.0364532972345772</v>
      </c>
      <c r="C59" s="212">
        <v>6.5633354551241245</v>
      </c>
      <c r="D59" s="212">
        <v>6.5537520244736367</v>
      </c>
      <c r="E59" s="212">
        <v>6.8149992220320526</v>
      </c>
      <c r="F59" s="212">
        <v>6.6448289738430582</v>
      </c>
      <c r="G59" s="212">
        <v>6.5616306632675876</v>
      </c>
      <c r="H59" s="212">
        <v>6.7085045595084338</v>
      </c>
      <c r="I59" s="212">
        <v>6.5523957997347955</v>
      </c>
      <c r="J59" s="212">
        <v>6.3964894886055559</v>
      </c>
      <c r="K59" s="212">
        <v>6.3397363037053873</v>
      </c>
      <c r="L59" s="212">
        <v>6.2728333450481477</v>
      </c>
      <c r="M59" s="212">
        <v>6.5120528667362283</v>
      </c>
      <c r="N59" s="212">
        <v>6.2869238130682117</v>
      </c>
      <c r="O59" s="212">
        <v>6.3812144373673032</v>
      </c>
      <c r="P59" s="212">
        <v>6.5840687795180877</v>
      </c>
      <c r="Q59" s="212">
        <v>6.5458421882498117</v>
      </c>
      <c r="R59" s="212">
        <v>6.4232814892416794</v>
      </c>
      <c r="S59" s="212">
        <v>6.1907403005572723</v>
      </c>
      <c r="T59" s="212">
        <f t="shared" si="12"/>
        <v>-0.20574918804828357</v>
      </c>
      <c r="U59" s="212">
        <f t="shared" si="13"/>
        <v>-0.19047413681003089</v>
      </c>
      <c r="V59" s="216">
        <f t="shared" si="14"/>
        <v>-0.2325411886844071</v>
      </c>
    </row>
    <row r="60" spans="1:22" ht="15" customHeight="1" x14ac:dyDescent="0.2">
      <c r="A60" s="34" t="s">
        <v>8</v>
      </c>
      <c r="B60" s="61">
        <v>7.0404059387333211</v>
      </c>
      <c r="C60" s="61">
        <v>6.6784367500857043</v>
      </c>
      <c r="D60" s="61">
        <v>6.5886919584004691</v>
      </c>
      <c r="E60" s="61">
        <v>6.7154494783478631</v>
      </c>
      <c r="F60" s="61">
        <v>6.5666405988157743</v>
      </c>
      <c r="G60" s="61">
        <v>6.4941336177639872</v>
      </c>
      <c r="H60" s="61">
        <v>6.5473234109037088</v>
      </c>
      <c r="I60" s="61">
        <v>6.3198389968263795</v>
      </c>
      <c r="J60" s="61">
        <v>6.1297821837475563</v>
      </c>
      <c r="K60" s="61">
        <v>6.0247635114779783</v>
      </c>
      <c r="L60" s="61">
        <v>5.9471092669432917</v>
      </c>
      <c r="M60" s="61">
        <v>6.2948655016689568</v>
      </c>
      <c r="N60" s="61">
        <v>6.0598960886187632</v>
      </c>
      <c r="O60" s="61">
        <v>6.2094861660079053</v>
      </c>
      <c r="P60" s="61">
        <v>6.4546602441191601</v>
      </c>
      <c r="Q60" s="61">
        <v>6.4438593851862995</v>
      </c>
      <c r="R60" s="61">
        <v>6.3606903657908296</v>
      </c>
      <c r="S60" s="61">
        <v>6.2001836078951396</v>
      </c>
      <c r="T60" s="61">
        <f t="shared" si="12"/>
        <v>7.0401424147583214E-2</v>
      </c>
      <c r="U60" s="61">
        <f t="shared" si="13"/>
        <v>-9.302558112765702E-3</v>
      </c>
      <c r="V60" s="214">
        <f t="shared" si="14"/>
        <v>-0.16050675789569002</v>
      </c>
    </row>
    <row r="61" spans="1:22" ht="15" customHeight="1" x14ac:dyDescent="0.2">
      <c r="A61" s="34" t="s">
        <v>9</v>
      </c>
      <c r="B61" s="61">
        <v>7.7528735632183912</v>
      </c>
      <c r="C61" s="61">
        <v>7.0585987261146501</v>
      </c>
      <c r="D61" s="61">
        <v>6.875562218890555</v>
      </c>
      <c r="E61" s="61">
        <v>7.248306997742664</v>
      </c>
      <c r="F61" s="61">
        <v>7.1221590909090908</v>
      </c>
      <c r="G61" s="61">
        <v>7.2171837708830546</v>
      </c>
      <c r="H61" s="61">
        <v>7.1575898030127458</v>
      </c>
      <c r="I61" s="61">
        <v>7.0184108527131794</v>
      </c>
      <c r="J61" s="61">
        <v>6.9765494137353432</v>
      </c>
      <c r="K61" s="61">
        <v>6.6400638467677586</v>
      </c>
      <c r="L61" s="61">
        <v>6.4324960753532183</v>
      </c>
      <c r="M61" s="61">
        <v>6.6708941027266961</v>
      </c>
      <c r="N61" s="61">
        <v>6.5500899820035992</v>
      </c>
      <c r="O61" s="61">
        <v>6.6696284329563813</v>
      </c>
      <c r="P61" s="61">
        <v>6.8533526290400388</v>
      </c>
      <c r="Q61" s="61">
        <v>6.6754697816150328</v>
      </c>
      <c r="R61" s="61">
        <v>6.5710382513661205</v>
      </c>
      <c r="S61" s="61">
        <v>6.5073710073710069</v>
      </c>
      <c r="T61" s="61">
        <f t="shared" si="12"/>
        <v>-0.46917840636433628</v>
      </c>
      <c r="U61" s="61">
        <f t="shared" si="13"/>
        <v>-0.16225742558537437</v>
      </c>
      <c r="V61" s="214">
        <f t="shared" si="14"/>
        <v>-6.3667243995113587E-2</v>
      </c>
    </row>
    <row r="62" spans="1:22" ht="15" customHeight="1" x14ac:dyDescent="0.2">
      <c r="A62" s="34" t="s">
        <v>10</v>
      </c>
      <c r="B62" s="61">
        <v>7.1338028169014098</v>
      </c>
      <c r="C62" s="61">
        <v>6.8005698005698019</v>
      </c>
      <c r="D62" s="61">
        <v>6.7390527256479</v>
      </c>
      <c r="E62" s="61">
        <v>7.0606936416184976</v>
      </c>
      <c r="F62" s="61">
        <v>6.72404181184669</v>
      </c>
      <c r="G62" s="61">
        <v>6.8757475083056478</v>
      </c>
      <c r="H62" s="61">
        <v>6.8396651641983262</v>
      </c>
      <c r="I62" s="61">
        <v>6.812007277137659</v>
      </c>
      <c r="J62" s="61">
        <v>6.415368081676518</v>
      </c>
      <c r="K62" s="61">
        <v>6.381221719457014</v>
      </c>
      <c r="L62" s="61">
        <v>6.4527638190954777</v>
      </c>
      <c r="M62" s="61">
        <v>6.6830337571240683</v>
      </c>
      <c r="N62" s="61">
        <v>6.3068235294117647</v>
      </c>
      <c r="O62" s="61">
        <v>6.2765151515151514</v>
      </c>
      <c r="P62" s="61">
        <v>6.499562171628722</v>
      </c>
      <c r="Q62" s="61">
        <v>6.4260194174757279</v>
      </c>
      <c r="R62" s="61">
        <v>6.3382045929018789</v>
      </c>
      <c r="S62" s="61">
        <v>6.0677302829620707</v>
      </c>
      <c r="T62" s="61">
        <f t="shared" si="12"/>
        <v>-0.34763779871444722</v>
      </c>
      <c r="U62" s="61">
        <f t="shared" si="13"/>
        <v>-0.20878486855308065</v>
      </c>
      <c r="V62" s="214">
        <f t="shared" si="14"/>
        <v>-0.27047430993980814</v>
      </c>
    </row>
    <row r="63" spans="1:22" ht="15" customHeight="1" x14ac:dyDescent="0.2">
      <c r="A63" s="34" t="s">
        <v>11</v>
      </c>
      <c r="B63" s="61">
        <v>9.1584699453551934</v>
      </c>
      <c r="C63" s="61">
        <v>8.552941176470588</v>
      </c>
      <c r="D63" s="61">
        <v>8.2346368715083766</v>
      </c>
      <c r="E63" s="61">
        <v>8.1925133689839562</v>
      </c>
      <c r="F63" s="61">
        <v>7.9221789883268521</v>
      </c>
      <c r="G63" s="61">
        <v>7.7763157894736858</v>
      </c>
      <c r="H63" s="61">
        <v>8.014388489208633</v>
      </c>
      <c r="I63" s="61">
        <v>8.0912698412698418</v>
      </c>
      <c r="J63" s="61">
        <v>7.2995951417004061</v>
      </c>
      <c r="K63" s="61">
        <v>7.216696269982239</v>
      </c>
      <c r="L63" s="61">
        <v>7.3926056338028152</v>
      </c>
      <c r="M63" s="61">
        <v>7.9519832985386225</v>
      </c>
      <c r="N63" s="61">
        <v>7.7130242825607045</v>
      </c>
      <c r="O63" s="61">
        <v>7.579661016949153</v>
      </c>
      <c r="P63" s="61">
        <v>8.0835380835380839</v>
      </c>
      <c r="Q63" s="61">
        <v>8.0050125313283207</v>
      </c>
      <c r="R63" s="61">
        <v>8.303571428571427</v>
      </c>
      <c r="S63" s="61">
        <v>7.1031390134529158</v>
      </c>
      <c r="T63" s="61">
        <f t="shared" si="12"/>
        <v>-0.19645612824749037</v>
      </c>
      <c r="U63" s="61">
        <f t="shared" si="13"/>
        <v>-0.47652200349623719</v>
      </c>
      <c r="V63" s="214">
        <f t="shared" si="14"/>
        <v>-1.2004324151185113</v>
      </c>
    </row>
    <row r="64" spans="1:22" ht="15" customHeight="1" x14ac:dyDescent="0.2">
      <c r="A64" s="34" t="s">
        <v>12</v>
      </c>
      <c r="B64" s="61">
        <v>6.6102661596958177</v>
      </c>
      <c r="C64" s="61">
        <v>6.3983253588516744</v>
      </c>
      <c r="D64" s="61">
        <v>6.1367690782953419</v>
      </c>
      <c r="E64" s="61">
        <v>6.559957173447537</v>
      </c>
      <c r="F64" s="61">
        <v>6.2426417803302225</v>
      </c>
      <c r="G64" s="61">
        <v>6.3760831889081455</v>
      </c>
      <c r="H64" s="61">
        <v>6.4667393675027265</v>
      </c>
      <c r="I64" s="61">
        <v>6.2579138557343024</v>
      </c>
      <c r="J64" s="61">
        <v>6.1185520361990946</v>
      </c>
      <c r="K64" s="61">
        <v>6.1331083614548172</v>
      </c>
      <c r="L64" s="61">
        <v>5.8960562519107302</v>
      </c>
      <c r="M64" s="61">
        <v>6.0686302545038604</v>
      </c>
      <c r="N64" s="61">
        <v>5.9611809732094043</v>
      </c>
      <c r="O64" s="61">
        <v>6.1427367237988202</v>
      </c>
      <c r="P64" s="61">
        <v>6.0164241164241163</v>
      </c>
      <c r="Q64" s="61">
        <v>5.9893284747527327</v>
      </c>
      <c r="R64" s="61">
        <v>6.018691588785047</v>
      </c>
      <c r="S64" s="61">
        <v>5.9606713426853704</v>
      </c>
      <c r="T64" s="61">
        <f t="shared" si="12"/>
        <v>-0.15788069351372425</v>
      </c>
      <c r="U64" s="61">
        <f t="shared" si="13"/>
        <v>-0.18206538111344983</v>
      </c>
      <c r="V64" s="214">
        <f t="shared" si="14"/>
        <v>-5.8020246099676598E-2</v>
      </c>
    </row>
    <row r="65" spans="1:22" ht="15" customHeight="1" x14ac:dyDescent="0.2">
      <c r="A65" s="34" t="s">
        <v>13</v>
      </c>
      <c r="B65" s="61">
        <v>6.4838584208479189</v>
      </c>
      <c r="C65" s="61">
        <v>6.2407837927598804</v>
      </c>
      <c r="D65" s="61">
        <v>6.7250470809792846</v>
      </c>
      <c r="E65" s="61">
        <v>7.3517076093469163</v>
      </c>
      <c r="F65" s="61">
        <v>7.0610357583230581</v>
      </c>
      <c r="G65" s="61">
        <v>6.9250493096646943</v>
      </c>
      <c r="H65" s="61">
        <v>6.9923599320882852</v>
      </c>
      <c r="I65" s="61">
        <v>6.8918918918918921</v>
      </c>
      <c r="J65" s="61">
        <v>6.7715133531157257</v>
      </c>
      <c r="K65" s="61">
        <v>6.7444279346210996</v>
      </c>
      <c r="L65" s="61">
        <v>6.3054101221640488</v>
      </c>
      <c r="M65" s="61">
        <v>6.4422735346358788</v>
      </c>
      <c r="N65" s="61">
        <v>6.0352504638218916</v>
      </c>
      <c r="O65" s="61">
        <v>6.1839826839826841</v>
      </c>
      <c r="P65" s="61">
        <v>6.3829160530191462</v>
      </c>
      <c r="Q65" s="61">
        <v>6.04</v>
      </c>
      <c r="R65" s="61">
        <v>5.9568034557235423</v>
      </c>
      <c r="S65" s="61">
        <v>6.0135635018495686</v>
      </c>
      <c r="T65" s="61">
        <f t="shared" si="12"/>
        <v>-0.7579498512661571</v>
      </c>
      <c r="U65" s="61">
        <f t="shared" si="13"/>
        <v>-0.17041918213311558</v>
      </c>
      <c r="V65" s="214">
        <f t="shared" si="14"/>
        <v>5.6760046126026253E-2</v>
      </c>
    </row>
    <row r="66" spans="1:22" ht="15" customHeight="1" x14ac:dyDescent="0.2">
      <c r="A66" s="34" t="s">
        <v>14</v>
      </c>
      <c r="B66" s="61">
        <v>6.1872881355932208</v>
      </c>
      <c r="C66" s="61">
        <v>5.8785515320334261</v>
      </c>
      <c r="D66" s="61">
        <v>6.0184254606365162</v>
      </c>
      <c r="E66" s="61">
        <v>6.2996941896024463</v>
      </c>
      <c r="F66" s="61">
        <v>6.3046828689982215</v>
      </c>
      <c r="G66" s="61">
        <v>6.2425485961123108</v>
      </c>
      <c r="H66" s="61">
        <v>6.4270939301458121</v>
      </c>
      <c r="I66" s="61">
        <v>6.3606659405632486</v>
      </c>
      <c r="J66" s="61">
        <v>6.2291546866014951</v>
      </c>
      <c r="K66" s="61">
        <v>6.1649850013635126</v>
      </c>
      <c r="L66" s="61">
        <v>5.9277850124304488</v>
      </c>
      <c r="M66" s="61">
        <v>5.9318516958078789</v>
      </c>
      <c r="N66" s="61">
        <v>5.7722529158993243</v>
      </c>
      <c r="O66" s="61">
        <v>6.0143526363002096</v>
      </c>
      <c r="P66" s="61">
        <v>6.0772737633918394</v>
      </c>
      <c r="Q66" s="61">
        <v>6.166363470984173</v>
      </c>
      <c r="R66" s="61">
        <v>6.1963382561197653</v>
      </c>
      <c r="S66" s="61">
        <v>5.9597506288964235</v>
      </c>
      <c r="T66" s="61">
        <f t="shared" si="12"/>
        <v>-0.26940405770507159</v>
      </c>
      <c r="U66" s="61">
        <f t="shared" si="13"/>
        <v>-5.4602007403786068E-2</v>
      </c>
      <c r="V66" s="214">
        <f t="shared" si="14"/>
        <v>-0.23658762722334181</v>
      </c>
    </row>
    <row r="67" spans="1:22" ht="15" customHeight="1" x14ac:dyDescent="0.2">
      <c r="A67" s="34" t="s">
        <v>15</v>
      </c>
      <c r="B67" s="61">
        <v>8.5643564356435657</v>
      </c>
      <c r="C67" s="61">
        <v>7.2879377431906622</v>
      </c>
      <c r="D67" s="61">
        <v>7.2884615384615401</v>
      </c>
      <c r="E67" s="61">
        <v>7.9128205128205176</v>
      </c>
      <c r="F67" s="61">
        <v>7.2915129151291529</v>
      </c>
      <c r="G67" s="61">
        <v>6.6933333333333351</v>
      </c>
      <c r="H67" s="61">
        <v>6.9728506787330318</v>
      </c>
      <c r="I67" s="61">
        <v>7.3219512195121954</v>
      </c>
      <c r="J67" s="61">
        <v>6.7490774907749085</v>
      </c>
      <c r="K67" s="61">
        <v>6.8793969849246235</v>
      </c>
      <c r="L67" s="61">
        <v>6.6809338521400781</v>
      </c>
      <c r="M67" s="61">
        <v>6.5319999999999983</v>
      </c>
      <c r="N67" s="61">
        <v>6.5930232558139537</v>
      </c>
      <c r="O67" s="61">
        <v>6.385892116182573</v>
      </c>
      <c r="P67" s="61">
        <v>7.004694835680751</v>
      </c>
      <c r="Q67" s="61">
        <v>7.1321585903083697</v>
      </c>
      <c r="R67" s="61">
        <v>6.9751037344398332</v>
      </c>
      <c r="S67" s="61">
        <v>6.78169014084507</v>
      </c>
      <c r="T67" s="61">
        <f t="shared" si="12"/>
        <v>3.2612650070161564E-2</v>
      </c>
      <c r="U67" s="61">
        <f t="shared" si="13"/>
        <v>0.39579802466249703</v>
      </c>
      <c r="V67" s="214">
        <f t="shared" si="14"/>
        <v>-0.19341359359476318</v>
      </c>
    </row>
    <row r="68" spans="1:22" ht="15" customHeight="1" x14ac:dyDescent="0.2">
      <c r="A68" s="34" t="s">
        <v>16</v>
      </c>
      <c r="B68" s="61">
        <v>6.3555073511689564</v>
      </c>
      <c r="C68" s="61">
        <v>5.7753008752735226</v>
      </c>
      <c r="D68" s="61">
        <v>5.7843776580663455</v>
      </c>
      <c r="E68" s="61">
        <v>6.2424991757335979</v>
      </c>
      <c r="F68" s="61">
        <v>6.3051750380517504</v>
      </c>
      <c r="G68" s="61">
        <v>6.2358821733821737</v>
      </c>
      <c r="H68" s="61">
        <v>6.5263157894736841</v>
      </c>
      <c r="I68" s="61">
        <v>6.4161911794321007</v>
      </c>
      <c r="J68" s="61">
        <v>6.3714195183776932</v>
      </c>
      <c r="K68" s="61">
        <v>6.3038311567741534</v>
      </c>
      <c r="L68" s="61">
        <v>6.1633322400787147</v>
      </c>
      <c r="M68" s="61">
        <v>6.2971786429078698</v>
      </c>
      <c r="N68" s="61">
        <v>6.0820658419522751</v>
      </c>
      <c r="O68" s="61">
        <v>6.2741301907968579</v>
      </c>
      <c r="P68" s="61">
        <v>6.5834206471494605</v>
      </c>
      <c r="Q68" s="61">
        <v>6.3623046190509571</v>
      </c>
      <c r="R68" s="61">
        <v>6.0814955640050696</v>
      </c>
      <c r="S68" s="61">
        <v>5.9041382609735678</v>
      </c>
      <c r="T68" s="61">
        <f t="shared" si="12"/>
        <v>-0.46728125740412541</v>
      </c>
      <c r="U68" s="61">
        <f t="shared" si="13"/>
        <v>-0.3699919298232901</v>
      </c>
      <c r="V68" s="214">
        <f t="shared" si="14"/>
        <v>-0.17735730303150188</v>
      </c>
    </row>
    <row r="69" spans="1:22" ht="15" customHeight="1" x14ac:dyDescent="0.2">
      <c r="A69" s="34" t="s">
        <v>17</v>
      </c>
      <c r="B69" s="61">
        <v>7.8797120666792955</v>
      </c>
      <c r="C69" s="61">
        <v>7.6715599575521756</v>
      </c>
      <c r="D69" s="61">
        <v>7.3891388174807195</v>
      </c>
      <c r="E69" s="61">
        <v>7.340006112469438</v>
      </c>
      <c r="F69" s="61">
        <v>7.1416171767930559</v>
      </c>
      <c r="G69" s="61">
        <v>7.0157390727221012</v>
      </c>
      <c r="H69" s="61">
        <v>7.1214052541582467</v>
      </c>
      <c r="I69" s="61">
        <v>6.8777097679163477</v>
      </c>
      <c r="J69" s="61">
        <v>6.611643011787347</v>
      </c>
      <c r="K69" s="61">
        <v>6.6123505804168641</v>
      </c>
      <c r="L69" s="61">
        <v>6.7572195008164213</v>
      </c>
      <c r="M69" s="61">
        <v>7.163357748650732</v>
      </c>
      <c r="N69" s="61">
        <v>6.9716621526732876</v>
      </c>
      <c r="O69" s="61">
        <v>6.9837104739441287</v>
      </c>
      <c r="P69" s="61">
        <v>7.2181264795400741</v>
      </c>
      <c r="Q69" s="61">
        <v>7.1401146291247013</v>
      </c>
      <c r="R69" s="61">
        <v>6.9901700905677044</v>
      </c>
      <c r="S69" s="61">
        <v>6.5597246661836248</v>
      </c>
      <c r="T69" s="61">
        <f t="shared" si="12"/>
        <v>-5.1918345603722216E-2</v>
      </c>
      <c r="U69" s="61">
        <f t="shared" si="13"/>
        <v>-0.42398580776050387</v>
      </c>
      <c r="V69" s="214">
        <f t="shared" si="14"/>
        <v>-0.43044542438407962</v>
      </c>
    </row>
    <row r="70" spans="1:22" ht="15" customHeight="1" x14ac:dyDescent="0.2">
      <c r="A70" s="42" t="s">
        <v>0</v>
      </c>
      <c r="B70" s="212">
        <v>11.307060977073583</v>
      </c>
      <c r="C70" s="212">
        <v>10.714235353138177</v>
      </c>
      <c r="D70" s="212">
        <v>10.722611727885457</v>
      </c>
      <c r="E70" s="212">
        <v>10.945505891761531</v>
      </c>
      <c r="F70" s="212">
        <v>10.2730697398022</v>
      </c>
      <c r="G70" s="212">
        <v>10.084574195651161</v>
      </c>
      <c r="H70" s="212">
        <v>10.072292412121609</v>
      </c>
      <c r="I70" s="212">
        <v>10.000957079793746</v>
      </c>
      <c r="J70" s="212">
        <v>9.7481050324017122</v>
      </c>
      <c r="K70" s="212">
        <v>9.6190476190476186</v>
      </c>
      <c r="L70" s="212">
        <v>9.644967123152222</v>
      </c>
      <c r="M70" s="212">
        <v>9.8078211838654141</v>
      </c>
      <c r="N70" s="212">
        <v>9.6718656893429671</v>
      </c>
      <c r="O70" s="212">
        <v>9.5981580479542696</v>
      </c>
      <c r="P70" s="212">
        <v>10.079722792083857</v>
      </c>
      <c r="Q70" s="212">
        <v>10.119079670117131</v>
      </c>
      <c r="R70" s="212">
        <v>9.9733307880032402</v>
      </c>
      <c r="S70" s="212">
        <v>9.7231949377980875</v>
      </c>
      <c r="T70" s="212">
        <f t="shared" si="12"/>
        <v>-2.49100946036247E-2</v>
      </c>
      <c r="U70" s="212">
        <f t="shared" si="13"/>
        <v>0.12503688984381789</v>
      </c>
      <c r="V70" s="216">
        <f t="shared" si="14"/>
        <v>-0.25013585020515272</v>
      </c>
    </row>
    <row r="71" spans="1:22" ht="15" customHeight="1" x14ac:dyDescent="0.2">
      <c r="A71" s="44"/>
      <c r="B71" s="44"/>
      <c r="C71" s="44"/>
      <c r="D71" s="44"/>
      <c r="E71" s="44"/>
      <c r="F71" s="44"/>
      <c r="G71" s="44"/>
      <c r="H71" s="44"/>
      <c r="I71" s="44"/>
      <c r="J71" s="44"/>
      <c r="K71" s="44"/>
      <c r="L71" s="44"/>
      <c r="M71" s="44"/>
      <c r="N71" s="44"/>
      <c r="O71" s="44"/>
      <c r="P71" s="44"/>
      <c r="Q71" s="44"/>
      <c r="R71" s="44"/>
      <c r="S71" s="44"/>
      <c r="T71" s="51"/>
      <c r="U71" s="51"/>
      <c r="V71" s="44"/>
    </row>
    <row r="72" spans="1:22" ht="15" customHeight="1" x14ac:dyDescent="0.2">
      <c r="A72" s="35" t="s">
        <v>479</v>
      </c>
      <c r="B72" s="35"/>
      <c r="C72" s="35"/>
      <c r="D72" s="35"/>
      <c r="E72" s="35"/>
      <c r="F72" s="35"/>
      <c r="G72" s="35"/>
      <c r="H72" s="35"/>
      <c r="I72" s="35"/>
      <c r="J72" s="35"/>
      <c r="K72" s="35"/>
      <c r="L72" s="35"/>
      <c r="M72" s="35"/>
      <c r="N72" s="35"/>
      <c r="O72" s="35"/>
      <c r="P72" s="35"/>
      <c r="Q72" s="35"/>
      <c r="R72" s="35"/>
      <c r="S72" s="35"/>
      <c r="T72" s="75"/>
      <c r="U72" s="75"/>
      <c r="V72" s="35"/>
    </row>
    <row r="73" spans="1:22" ht="38.25" x14ac:dyDescent="0.2">
      <c r="A73" s="36" t="s">
        <v>119</v>
      </c>
      <c r="B73" s="15">
        <v>2007</v>
      </c>
      <c r="C73" s="15">
        <v>2008</v>
      </c>
      <c r="D73" s="15">
        <v>2009</v>
      </c>
      <c r="E73" s="15">
        <v>2010</v>
      </c>
      <c r="F73" s="15">
        <v>2011</v>
      </c>
      <c r="G73" s="15">
        <v>2012</v>
      </c>
      <c r="H73" s="15">
        <v>2013</v>
      </c>
      <c r="I73" s="15">
        <v>2014</v>
      </c>
      <c r="J73" s="15">
        <v>2015</v>
      </c>
      <c r="K73" s="15">
        <v>2016</v>
      </c>
      <c r="L73" s="15">
        <v>2017</v>
      </c>
      <c r="M73" s="15">
        <v>2018</v>
      </c>
      <c r="N73" s="15">
        <v>2019</v>
      </c>
      <c r="O73" s="15">
        <v>2020</v>
      </c>
      <c r="P73" s="15">
        <v>2021</v>
      </c>
      <c r="Q73" s="15">
        <v>2022</v>
      </c>
      <c r="R73" s="15">
        <v>2023</v>
      </c>
      <c r="S73" s="15">
        <v>2024</v>
      </c>
      <c r="T73" s="27" t="s">
        <v>469</v>
      </c>
      <c r="U73" s="27" t="s">
        <v>470</v>
      </c>
      <c r="V73" s="27" t="s">
        <v>471</v>
      </c>
    </row>
    <row r="74" spans="1:22" ht="15" customHeight="1" x14ac:dyDescent="0.2">
      <c r="A74" s="42" t="s">
        <v>5</v>
      </c>
      <c r="B74" s="212">
        <v>13.228853015403359</v>
      </c>
      <c r="C74" s="212">
        <v>13.070611741699613</v>
      </c>
      <c r="D74" s="212">
        <v>12.892883909165855</v>
      </c>
      <c r="E74" s="212">
        <v>12.900384764078867</v>
      </c>
      <c r="F74" s="212">
        <v>12.64737276382086</v>
      </c>
      <c r="G74" s="212">
        <v>12.598480859144367</v>
      </c>
      <c r="H74" s="212">
        <v>12.492446534416489</v>
      </c>
      <c r="I74" s="212">
        <v>12.437685967155826</v>
      </c>
      <c r="J74" s="212">
        <v>12.420067187036855</v>
      </c>
      <c r="K74" s="212">
        <v>12.352868716539536</v>
      </c>
      <c r="L74" s="212">
        <v>12.290248232816136</v>
      </c>
      <c r="M74" s="212">
        <v>12.31312792353061</v>
      </c>
      <c r="N74" s="212">
        <v>12.280729790917565</v>
      </c>
      <c r="O74" s="212">
        <v>12.179350196249455</v>
      </c>
      <c r="P74" s="212">
        <v>12.439812954683401</v>
      </c>
      <c r="Q74" s="212">
        <v>12.273769759904756</v>
      </c>
      <c r="R74" s="212">
        <v>12.187676454572111</v>
      </c>
      <c r="S74" s="212">
        <v>12.052044609665428</v>
      </c>
      <c r="T74" s="212">
        <f t="shared" ref="T74:T96" si="15">IFERROR((S74-J74),"n/a")</f>
        <v>-0.36802257737142696</v>
      </c>
      <c r="U74" s="212">
        <f t="shared" ref="U74:U96" si="16">IFERROR((S74-O74),"n/a")</f>
        <v>-0.12730558658402735</v>
      </c>
      <c r="V74" s="216">
        <f t="shared" ref="V74:V96" si="17">IFERROR((S74-R74),"n/a")</f>
        <v>-0.13563184490668334</v>
      </c>
    </row>
    <row r="75" spans="1:22" ht="15" customHeight="1" x14ac:dyDescent="0.2">
      <c r="A75" s="34" t="s">
        <v>480</v>
      </c>
      <c r="B75" s="61">
        <v>13.394416183603454</v>
      </c>
      <c r="C75" s="61">
        <v>13.466156959748146</v>
      </c>
      <c r="D75" s="61">
        <v>13.289784946236557</v>
      </c>
      <c r="E75" s="61">
        <v>13.368492294877136</v>
      </c>
      <c r="F75" s="61">
        <v>12.920572792362769</v>
      </c>
      <c r="G75" s="61">
        <v>12.708200396654307</v>
      </c>
      <c r="H75" s="61">
        <v>12.602535189361536</v>
      </c>
      <c r="I75" s="61">
        <v>12.498935179023023</v>
      </c>
      <c r="J75" s="61">
        <v>12.342160813663403</v>
      </c>
      <c r="K75" s="61">
        <v>12.245653727077878</v>
      </c>
      <c r="L75" s="61">
        <v>12.2984678685507</v>
      </c>
      <c r="M75" s="61">
        <v>12.107922244635983</v>
      </c>
      <c r="N75" s="61">
        <v>11.905956254519161</v>
      </c>
      <c r="O75" s="61">
        <v>11.905853371177637</v>
      </c>
      <c r="P75" s="61">
        <v>11.887593897622553</v>
      </c>
      <c r="Q75" s="61">
        <v>11.737363426713546</v>
      </c>
      <c r="R75" s="61">
        <v>11.879034998301053</v>
      </c>
      <c r="S75" s="61">
        <v>11.826007535106745</v>
      </c>
      <c r="T75" s="61">
        <f t="shared" si="15"/>
        <v>-0.51615327855665782</v>
      </c>
      <c r="U75" s="61">
        <f t="shared" si="16"/>
        <v>-7.9845836070891352E-2</v>
      </c>
      <c r="V75" s="214">
        <f t="shared" si="17"/>
        <v>-5.3027463194307956E-2</v>
      </c>
    </row>
    <row r="76" spans="1:22" ht="15" customHeight="1" x14ac:dyDescent="0.2">
      <c r="A76" s="34" t="s">
        <v>481</v>
      </c>
      <c r="B76" s="61">
        <v>16.695721077654518</v>
      </c>
      <c r="C76" s="61">
        <v>16.073420074349436</v>
      </c>
      <c r="D76" s="61">
        <v>15.72018561484918</v>
      </c>
      <c r="E76" s="61">
        <v>15.918683446272984</v>
      </c>
      <c r="F76" s="61">
        <v>15.903242677824261</v>
      </c>
      <c r="G76" s="61">
        <v>15.670487106017193</v>
      </c>
      <c r="H76" s="61">
        <v>15.740557553956824</v>
      </c>
      <c r="I76" s="61">
        <v>15.481981981981985</v>
      </c>
      <c r="J76" s="61">
        <v>15.621557454890795</v>
      </c>
      <c r="K76" s="61">
        <v>15.551707075705092</v>
      </c>
      <c r="L76" s="61">
        <v>15.118705035971226</v>
      </c>
      <c r="M76" s="61">
        <v>14.499435028248579</v>
      </c>
      <c r="N76" s="61">
        <v>14.344809598330727</v>
      </c>
      <c r="O76" s="61">
        <v>13.911745619727455</v>
      </c>
      <c r="P76" s="61">
        <v>14.006172839506172</v>
      </c>
      <c r="Q76" s="61">
        <v>13.61911819192294</v>
      </c>
      <c r="R76" s="61">
        <v>13.573889993373092</v>
      </c>
      <c r="S76" s="61">
        <v>13.361172392057993</v>
      </c>
      <c r="T76" s="61">
        <f t="shared" si="15"/>
        <v>-2.2603850628328015</v>
      </c>
      <c r="U76" s="61">
        <f t="shared" si="16"/>
        <v>-0.55057322766946193</v>
      </c>
      <c r="V76" s="214">
        <f t="shared" si="17"/>
        <v>-0.21271760131509865</v>
      </c>
    </row>
    <row r="77" spans="1:22" ht="15" customHeight="1" x14ac:dyDescent="0.2">
      <c r="A77" s="34" t="s">
        <v>482</v>
      </c>
      <c r="B77" s="61">
        <v>11.999248120300756</v>
      </c>
      <c r="C77" s="61">
        <v>11.829319371727751</v>
      </c>
      <c r="D77" s="61">
        <v>11.600300300300303</v>
      </c>
      <c r="E77" s="61">
        <v>11.791640866873065</v>
      </c>
      <c r="F77" s="61">
        <v>11.507975128413086</v>
      </c>
      <c r="G77" s="61">
        <v>11.607012417823231</v>
      </c>
      <c r="H77" s="61">
        <v>11.742955474295544</v>
      </c>
      <c r="I77" s="61">
        <v>11.671200345423145</v>
      </c>
      <c r="J77" s="61">
        <v>11.66444109412018</v>
      </c>
      <c r="K77" s="61">
        <v>11.56476808459505</v>
      </c>
      <c r="L77" s="61">
        <v>11.612910332672394</v>
      </c>
      <c r="M77" s="61">
        <v>11.5798492117889</v>
      </c>
      <c r="N77" s="61">
        <v>11.395793950850662</v>
      </c>
      <c r="O77" s="61">
        <v>10.976166068682723</v>
      </c>
      <c r="P77" s="61">
        <v>11.38542435424354</v>
      </c>
      <c r="Q77" s="61">
        <v>11.218755477651182</v>
      </c>
      <c r="R77" s="61">
        <v>10.929440389294404</v>
      </c>
      <c r="S77" s="61">
        <v>10.831409526906194</v>
      </c>
      <c r="T77" s="61">
        <f t="shared" si="15"/>
        <v>-0.83303156721398608</v>
      </c>
      <c r="U77" s="61">
        <f t="shared" si="16"/>
        <v>-0.14475654177652864</v>
      </c>
      <c r="V77" s="214">
        <f t="shared" si="17"/>
        <v>-9.8030862388210238E-2</v>
      </c>
    </row>
    <row r="78" spans="1:22" ht="15" customHeight="1" x14ac:dyDescent="0.2">
      <c r="A78" s="34" t="s">
        <v>483</v>
      </c>
      <c r="B78" s="61">
        <v>15.608193277310924</v>
      </c>
      <c r="C78" s="61">
        <v>14.999063670411987</v>
      </c>
      <c r="D78" s="61">
        <v>15.215930902111319</v>
      </c>
      <c r="E78" s="61">
        <v>15.148979591836737</v>
      </c>
      <c r="F78" s="61">
        <v>14.900201612903224</v>
      </c>
      <c r="G78" s="61">
        <v>14.685833333333337</v>
      </c>
      <c r="H78" s="61">
        <v>14.675213675213662</v>
      </c>
      <c r="I78" s="61">
        <v>14.980982567353408</v>
      </c>
      <c r="J78" s="61">
        <v>15.136833046471601</v>
      </c>
      <c r="K78" s="61">
        <v>15.17617021276596</v>
      </c>
      <c r="L78" s="61">
        <v>15.244094488188972</v>
      </c>
      <c r="M78" s="61">
        <v>15.210483210483204</v>
      </c>
      <c r="N78" s="61">
        <v>15.103216155572182</v>
      </c>
      <c r="O78" s="61">
        <v>14.529220779220775</v>
      </c>
      <c r="P78" s="61">
        <v>14.623340321453529</v>
      </c>
      <c r="Q78" s="61">
        <v>14.592198581560284</v>
      </c>
      <c r="R78" s="61">
        <v>14.218513573653761</v>
      </c>
      <c r="S78" s="61">
        <v>14.208121827411164</v>
      </c>
      <c r="T78" s="61">
        <f t="shared" si="15"/>
        <v>-0.92871121906043719</v>
      </c>
      <c r="U78" s="61">
        <f t="shared" si="16"/>
        <v>-0.32109895180961168</v>
      </c>
      <c r="V78" s="214">
        <f t="shared" si="17"/>
        <v>-1.0391746242596867E-2</v>
      </c>
    </row>
    <row r="79" spans="1:22" ht="15" customHeight="1" x14ac:dyDescent="0.2">
      <c r="A79" s="34" t="s">
        <v>484</v>
      </c>
      <c r="B79" s="61">
        <v>13.791963377416071</v>
      </c>
      <c r="C79" s="61">
        <v>13.326503340757238</v>
      </c>
      <c r="D79" s="61">
        <v>13.131808731808727</v>
      </c>
      <c r="E79" s="61">
        <v>13.392848685768415</v>
      </c>
      <c r="F79" s="61">
        <v>13.081142857142854</v>
      </c>
      <c r="G79" s="61">
        <v>13.096473719228213</v>
      </c>
      <c r="H79" s="61">
        <v>12.929814037192562</v>
      </c>
      <c r="I79" s="61">
        <v>12.843876958792803</v>
      </c>
      <c r="J79" s="61">
        <v>12.71399406087602</v>
      </c>
      <c r="K79" s="61">
        <v>12.57371733740225</v>
      </c>
      <c r="L79" s="61">
        <v>12.509782608695652</v>
      </c>
      <c r="M79" s="61">
        <v>12.47903701277432</v>
      </c>
      <c r="N79" s="61">
        <v>12.255289788408463</v>
      </c>
      <c r="O79" s="61">
        <v>12.052529525824076</v>
      </c>
      <c r="P79" s="61">
        <v>12.172405431619783</v>
      </c>
      <c r="Q79" s="61">
        <v>12.008441706593658</v>
      </c>
      <c r="R79" s="61">
        <v>11.836040553799194</v>
      </c>
      <c r="S79" s="61">
        <v>11.731356795292518</v>
      </c>
      <c r="T79" s="61">
        <f t="shared" si="15"/>
        <v>-0.98263726558350228</v>
      </c>
      <c r="U79" s="61">
        <f t="shared" si="16"/>
        <v>-0.3211727305315577</v>
      </c>
      <c r="V79" s="214">
        <f t="shared" si="17"/>
        <v>-0.10468375850667577</v>
      </c>
    </row>
    <row r="80" spans="1:22" ht="15" customHeight="1" x14ac:dyDescent="0.2">
      <c r="A80" s="34" t="s">
        <v>14</v>
      </c>
      <c r="B80" s="61">
        <v>11.049852815497106</v>
      </c>
      <c r="C80" s="61">
        <v>10.829071734155809</v>
      </c>
      <c r="D80" s="61">
        <v>11.051314240878776</v>
      </c>
      <c r="E80" s="61">
        <v>11.130074919728862</v>
      </c>
      <c r="F80" s="61">
        <v>11.106354415274463</v>
      </c>
      <c r="G80" s="61">
        <v>11.132667824074074</v>
      </c>
      <c r="H80" s="61">
        <v>10.892954379440866</v>
      </c>
      <c r="I80" s="61">
        <v>10.957015562248996</v>
      </c>
      <c r="J80" s="61">
        <v>10.970041941282204</v>
      </c>
      <c r="K80" s="61">
        <v>10.877548318771511</v>
      </c>
      <c r="L80" s="61">
        <v>10.796734309904584</v>
      </c>
      <c r="M80" s="61">
        <v>10.926327629147586</v>
      </c>
      <c r="N80" s="61">
        <v>10.932937536583324</v>
      </c>
      <c r="O80" s="61">
        <v>10.949243533430943</v>
      </c>
      <c r="P80" s="61">
        <v>11.06186976585199</v>
      </c>
      <c r="Q80" s="61">
        <v>10.932921447484555</v>
      </c>
      <c r="R80" s="61">
        <v>10.997998908495543</v>
      </c>
      <c r="S80" s="61">
        <v>10.889104462371078</v>
      </c>
      <c r="T80" s="61">
        <f t="shared" si="15"/>
        <v>-8.0937478911126348E-2</v>
      </c>
      <c r="U80" s="61">
        <f t="shared" si="16"/>
        <v>-6.0139071059865046E-2</v>
      </c>
      <c r="V80" s="214">
        <f t="shared" si="17"/>
        <v>-0.10889444612446475</v>
      </c>
    </row>
    <row r="81" spans="1:22" ht="15" customHeight="1" x14ac:dyDescent="0.2">
      <c r="A81" s="34" t="s">
        <v>485</v>
      </c>
      <c r="B81" s="61">
        <v>15.744539532507345</v>
      </c>
      <c r="C81" s="61">
        <v>15.522687725873377</v>
      </c>
      <c r="D81" s="61">
        <v>15.093490709360758</v>
      </c>
      <c r="E81" s="61">
        <v>15.086312118570183</v>
      </c>
      <c r="F81" s="61">
        <v>14.524521309450279</v>
      </c>
      <c r="G81" s="61">
        <v>14.427503903635959</v>
      </c>
      <c r="H81" s="61">
        <v>14.162397388982297</v>
      </c>
      <c r="I81" s="61">
        <v>14.064047510278666</v>
      </c>
      <c r="J81" s="61">
        <v>14.078871264569274</v>
      </c>
      <c r="K81" s="61">
        <v>13.934874304032395</v>
      </c>
      <c r="L81" s="61">
        <v>13.531535450195737</v>
      </c>
      <c r="M81" s="61">
        <v>13.361713764813127</v>
      </c>
      <c r="N81" s="61">
        <v>13.117445902006953</v>
      </c>
      <c r="O81" s="61">
        <v>13.072978172891927</v>
      </c>
      <c r="P81" s="61">
        <v>13.048347446052992</v>
      </c>
      <c r="Q81" s="61">
        <v>13.161040980607391</v>
      </c>
      <c r="R81" s="61">
        <v>13.016774891774894</v>
      </c>
      <c r="S81" s="61">
        <v>12.892649858383248</v>
      </c>
      <c r="T81" s="61">
        <f t="shared" si="15"/>
        <v>-1.1862214061860268</v>
      </c>
      <c r="U81" s="61">
        <f t="shared" si="16"/>
        <v>-0.18032831450867981</v>
      </c>
      <c r="V81" s="214">
        <f t="shared" si="17"/>
        <v>-0.12412503339164616</v>
      </c>
    </row>
    <row r="82" spans="1:22" ht="15" customHeight="1" x14ac:dyDescent="0.2">
      <c r="A82" s="34" t="s">
        <v>486</v>
      </c>
      <c r="B82" s="61">
        <v>12.546995610715907</v>
      </c>
      <c r="C82" s="61">
        <v>12.47259056732741</v>
      </c>
      <c r="D82" s="61">
        <v>12.580053776582742</v>
      </c>
      <c r="E82" s="61">
        <v>12.635118306351183</v>
      </c>
      <c r="F82" s="61">
        <v>12.679337231968809</v>
      </c>
      <c r="G82" s="61">
        <v>12.537791914288105</v>
      </c>
      <c r="H82" s="61">
        <v>12.654955999727131</v>
      </c>
      <c r="I82" s="61">
        <v>12.564439888376331</v>
      </c>
      <c r="J82" s="61">
        <v>12.593433667184403</v>
      </c>
      <c r="K82" s="61">
        <v>12.660902551975564</v>
      </c>
      <c r="L82" s="61">
        <v>12.682372353102945</v>
      </c>
      <c r="M82" s="61">
        <v>12.836334500063256</v>
      </c>
      <c r="N82" s="61">
        <v>13.036192660550459</v>
      </c>
      <c r="O82" s="61">
        <v>13.192311493230557</v>
      </c>
      <c r="P82" s="61">
        <v>13.352471569617778</v>
      </c>
      <c r="Q82" s="61">
        <v>12.918197456533761</v>
      </c>
      <c r="R82" s="61">
        <v>12.672934322033898</v>
      </c>
      <c r="S82" s="61">
        <v>12.400918847133985</v>
      </c>
      <c r="T82" s="61">
        <f t="shared" si="15"/>
        <v>-0.19251482005041787</v>
      </c>
      <c r="U82" s="61">
        <f t="shared" si="16"/>
        <v>-0.79139264609657189</v>
      </c>
      <c r="V82" s="214">
        <f t="shared" si="17"/>
        <v>-0.27201547489991285</v>
      </c>
    </row>
    <row r="83" spans="1:22" ht="15" customHeight="1" x14ac:dyDescent="0.2">
      <c r="A83" s="34" t="s">
        <v>487</v>
      </c>
      <c r="B83" s="61">
        <v>11.525893508388039</v>
      </c>
      <c r="C83" s="61">
        <v>11.641924959216965</v>
      </c>
      <c r="D83" s="61">
        <v>11.122077922077917</v>
      </c>
      <c r="E83" s="61">
        <v>11.148148148148149</v>
      </c>
      <c r="F83" s="61">
        <v>10.621180189673344</v>
      </c>
      <c r="G83" s="61">
        <v>10.621491228070179</v>
      </c>
      <c r="H83" s="61">
        <v>10.610030706243602</v>
      </c>
      <c r="I83" s="61">
        <v>10.748159057437407</v>
      </c>
      <c r="J83" s="61">
        <v>10.639865190178142</v>
      </c>
      <c r="K83" s="61">
        <v>10.495429616087749</v>
      </c>
      <c r="L83" s="61">
        <v>10.407587043131818</v>
      </c>
      <c r="M83" s="61">
        <v>10.475263008245664</v>
      </c>
      <c r="N83" s="61">
        <v>10.630884833614479</v>
      </c>
      <c r="O83" s="61">
        <v>10.939640305493965</v>
      </c>
      <c r="P83" s="61">
        <v>11.093646138807431</v>
      </c>
      <c r="Q83" s="61">
        <v>10.857004456500677</v>
      </c>
      <c r="R83" s="61">
        <v>10.669010782934832</v>
      </c>
      <c r="S83" s="61">
        <v>10.425728500355365</v>
      </c>
      <c r="T83" s="61">
        <f t="shared" si="15"/>
        <v>-0.21413668982277656</v>
      </c>
      <c r="U83" s="61">
        <f t="shared" si="16"/>
        <v>-0.51391180513859958</v>
      </c>
      <c r="V83" s="214">
        <f t="shared" si="17"/>
        <v>-0.24328228257946627</v>
      </c>
    </row>
    <row r="84" spans="1:22" ht="15" customHeight="1" x14ac:dyDescent="0.2">
      <c r="A84" s="34" t="s">
        <v>488</v>
      </c>
      <c r="B84" s="61">
        <v>13.759216589861751</v>
      </c>
      <c r="C84" s="61">
        <v>13.535667107001316</v>
      </c>
      <c r="D84" s="61">
        <v>13.405610753945066</v>
      </c>
      <c r="E84" s="61">
        <v>13.486910994764393</v>
      </c>
      <c r="F84" s="61">
        <v>12.636166756903084</v>
      </c>
      <c r="G84" s="61">
        <v>12.931404573028464</v>
      </c>
      <c r="H84" s="61">
        <v>12.678934010152279</v>
      </c>
      <c r="I84" s="61">
        <v>12.391181657848321</v>
      </c>
      <c r="J84" s="61">
        <v>12.511335012594461</v>
      </c>
      <c r="K84" s="61">
        <v>12.552123552123552</v>
      </c>
      <c r="L84" s="61">
        <v>12.378890876565293</v>
      </c>
      <c r="M84" s="61">
        <v>12.252276064610866</v>
      </c>
      <c r="N84" s="61">
        <v>12.267618198037468</v>
      </c>
      <c r="O84" s="61">
        <v>11.784540048968168</v>
      </c>
      <c r="P84" s="61">
        <v>11.776437847866417</v>
      </c>
      <c r="Q84" s="61">
        <v>11.475944244604317</v>
      </c>
      <c r="R84" s="61">
        <v>11.52342906499676</v>
      </c>
      <c r="S84" s="61">
        <v>11.505700150570016</v>
      </c>
      <c r="T84" s="61">
        <f t="shared" si="15"/>
        <v>-1.0056348620244453</v>
      </c>
      <c r="U84" s="61">
        <f t="shared" si="16"/>
        <v>-0.27883989839815193</v>
      </c>
      <c r="V84" s="214">
        <f t="shared" si="17"/>
        <v>-1.7728914426744069E-2</v>
      </c>
    </row>
    <row r="85" spans="1:22" ht="15" customHeight="1" x14ac:dyDescent="0.2">
      <c r="A85" s="42" t="s">
        <v>6</v>
      </c>
      <c r="B85" s="212">
        <v>7.0364532972345772</v>
      </c>
      <c r="C85" s="212">
        <v>6.5633354551241245</v>
      </c>
      <c r="D85" s="212">
        <v>6.5537520244736367</v>
      </c>
      <c r="E85" s="212">
        <v>6.8149992220320526</v>
      </c>
      <c r="F85" s="212">
        <v>6.6448289738430582</v>
      </c>
      <c r="G85" s="212">
        <v>6.5616306632675876</v>
      </c>
      <c r="H85" s="212">
        <v>6.7085045595084338</v>
      </c>
      <c r="I85" s="212">
        <v>6.5523957997347955</v>
      </c>
      <c r="J85" s="212">
        <v>6.3964894886055559</v>
      </c>
      <c r="K85" s="212">
        <v>6.3397363037053873</v>
      </c>
      <c r="L85" s="212">
        <v>6.2728333450481477</v>
      </c>
      <c r="M85" s="212">
        <v>6.5120528667362283</v>
      </c>
      <c r="N85" s="212">
        <v>6.2869238130682117</v>
      </c>
      <c r="O85" s="212">
        <v>6.3812144373673032</v>
      </c>
      <c r="P85" s="212">
        <v>6.5840687795180877</v>
      </c>
      <c r="Q85" s="212">
        <v>6.5458421882498117</v>
      </c>
      <c r="R85" s="212">
        <v>6.4232814892416794</v>
      </c>
      <c r="S85" s="212">
        <v>6.1907403005572723</v>
      </c>
      <c r="T85" s="212">
        <f t="shared" si="15"/>
        <v>-0.20574918804828357</v>
      </c>
      <c r="U85" s="212">
        <f t="shared" si="16"/>
        <v>-0.19047413681003089</v>
      </c>
      <c r="V85" s="216">
        <f t="shared" si="17"/>
        <v>-0.2325411886844071</v>
      </c>
    </row>
    <row r="86" spans="1:22" ht="15" customHeight="1" x14ac:dyDescent="0.2">
      <c r="A86" s="34" t="s">
        <v>480</v>
      </c>
      <c r="B86" s="61">
        <v>6.7120775875132592</v>
      </c>
      <c r="C86" s="61">
        <v>6.4142480211081798</v>
      </c>
      <c r="D86" s="61">
        <v>6.5297303951741963</v>
      </c>
      <c r="E86" s="61">
        <v>6.702631230992993</v>
      </c>
      <c r="F86" s="61">
        <v>6.5249483639526034</v>
      </c>
      <c r="G86" s="61">
        <v>6.4224481658692181</v>
      </c>
      <c r="H86" s="61">
        <v>6.4715461545269495</v>
      </c>
      <c r="I86" s="61">
        <v>6.24</v>
      </c>
      <c r="J86" s="61">
        <v>6.0545925170601613</v>
      </c>
      <c r="K86" s="61">
        <v>5.9579404382334982</v>
      </c>
      <c r="L86" s="61">
        <v>5.9303702739636881</v>
      </c>
      <c r="M86" s="61">
        <v>6.2496176720475782</v>
      </c>
      <c r="N86" s="61">
        <v>6.0357470736745471</v>
      </c>
      <c r="O86" s="61">
        <v>6.170829107505071</v>
      </c>
      <c r="P86" s="61">
        <v>6.3462142632736409</v>
      </c>
      <c r="Q86" s="61">
        <v>6.3118694875194556</v>
      </c>
      <c r="R86" s="61">
        <v>6.2111065741118825</v>
      </c>
      <c r="S86" s="61">
        <v>6.0911157747464149</v>
      </c>
      <c r="T86" s="61">
        <f t="shared" si="15"/>
        <v>3.652325768625353E-2</v>
      </c>
      <c r="U86" s="61">
        <f t="shared" si="16"/>
        <v>-7.9713332758656108E-2</v>
      </c>
      <c r="V86" s="214">
        <f t="shared" si="17"/>
        <v>-0.11999079936546764</v>
      </c>
    </row>
    <row r="87" spans="1:22" ht="15" customHeight="1" x14ac:dyDescent="0.2">
      <c r="A87" s="34" t="s">
        <v>481</v>
      </c>
      <c r="B87" s="61">
        <v>7.7628458498023711</v>
      </c>
      <c r="C87" s="61">
        <v>7.0387596899224807</v>
      </c>
      <c r="D87" s="61">
        <v>6.838709677419355</v>
      </c>
      <c r="E87" s="61">
        <v>7.2300683371298406</v>
      </c>
      <c r="F87" s="61">
        <v>7.1248185776487647</v>
      </c>
      <c r="G87" s="61">
        <v>7.2434367541766109</v>
      </c>
      <c r="H87" s="61">
        <v>7.1586931155192532</v>
      </c>
      <c r="I87" s="61">
        <v>7.0127450980392165</v>
      </c>
      <c r="J87" s="61">
        <v>6.96815834767642</v>
      </c>
      <c r="K87" s="61">
        <v>6.6269261962692623</v>
      </c>
      <c r="L87" s="61">
        <v>6.4236883942766294</v>
      </c>
      <c r="M87" s="61">
        <v>6.6564299424184261</v>
      </c>
      <c r="N87" s="61">
        <v>6.541412911084044</v>
      </c>
      <c r="O87" s="61">
        <v>6.6702214930270713</v>
      </c>
      <c r="P87" s="61">
        <v>6.8535992217898833</v>
      </c>
      <c r="Q87" s="61">
        <v>6.678001030396703</v>
      </c>
      <c r="R87" s="61">
        <v>6.567258382642998</v>
      </c>
      <c r="S87" s="61">
        <v>6.5043227665706054</v>
      </c>
      <c r="T87" s="61">
        <f t="shared" si="15"/>
        <v>-0.46383558110581458</v>
      </c>
      <c r="U87" s="61">
        <f t="shared" si="16"/>
        <v>-0.16589872645646597</v>
      </c>
      <c r="V87" s="214">
        <f t="shared" si="17"/>
        <v>-6.2935616072392619E-2</v>
      </c>
    </row>
    <row r="88" spans="1:22" ht="15" customHeight="1" x14ac:dyDescent="0.2">
      <c r="A88" s="34" t="s">
        <v>482</v>
      </c>
      <c r="B88" s="61">
        <v>7.3707440100882735</v>
      </c>
      <c r="C88" s="61">
        <v>6.827615062761506</v>
      </c>
      <c r="D88" s="61">
        <v>6.8742236024844718</v>
      </c>
      <c r="E88" s="61">
        <v>7.3014981273408246</v>
      </c>
      <c r="F88" s="61">
        <v>6.9945762711864417</v>
      </c>
      <c r="G88" s="61">
        <v>6.974649766511007</v>
      </c>
      <c r="H88" s="61">
        <v>6.922283356258597</v>
      </c>
      <c r="I88" s="61">
        <v>7.0883233532934131</v>
      </c>
      <c r="J88" s="61">
        <v>6.8040027605244999</v>
      </c>
      <c r="K88" s="61">
        <v>6.7107806691449818</v>
      </c>
      <c r="L88" s="61">
        <v>6.7506811989100814</v>
      </c>
      <c r="M88" s="61">
        <v>7.2061021170610209</v>
      </c>
      <c r="N88" s="61">
        <v>6.6771907216494846</v>
      </c>
      <c r="O88" s="61">
        <v>6.6761421319796961</v>
      </c>
      <c r="P88" s="61">
        <v>7.0944032366824006</v>
      </c>
      <c r="Q88" s="61">
        <v>7.2842712842712842</v>
      </c>
      <c r="R88" s="61">
        <v>7.2149859943977592</v>
      </c>
      <c r="S88" s="61">
        <v>6.5714285714285712</v>
      </c>
      <c r="T88" s="61">
        <f t="shared" si="15"/>
        <v>-0.23257418909592875</v>
      </c>
      <c r="U88" s="61">
        <f t="shared" si="16"/>
        <v>-0.10471356055112491</v>
      </c>
      <c r="V88" s="214">
        <f t="shared" si="17"/>
        <v>-0.64355742296918805</v>
      </c>
    </row>
    <row r="89" spans="1:22" ht="15" customHeight="1" x14ac:dyDescent="0.2">
      <c r="A89" s="34" t="s">
        <v>483</v>
      </c>
      <c r="B89" s="61">
        <v>9.0721649484536098</v>
      </c>
      <c r="C89" s="61">
        <v>8.430939226519337</v>
      </c>
      <c r="D89" s="61">
        <v>8.1326530612244863</v>
      </c>
      <c r="E89" s="61">
        <v>7.9902439024390226</v>
      </c>
      <c r="F89" s="61">
        <v>7.7588652482269538</v>
      </c>
      <c r="G89" s="61">
        <v>7.7916666666666679</v>
      </c>
      <c r="H89" s="61">
        <v>7.9355932203389834</v>
      </c>
      <c r="I89" s="61">
        <v>8.0424710424710426</v>
      </c>
      <c r="J89" s="61">
        <v>7.3021868787276354</v>
      </c>
      <c r="K89" s="61">
        <v>7.1869639794168094</v>
      </c>
      <c r="L89" s="61">
        <v>7.3344651952461781</v>
      </c>
      <c r="M89" s="61">
        <v>7.8436293436293436</v>
      </c>
      <c r="N89" s="61">
        <v>7.6007905138339904</v>
      </c>
      <c r="O89" s="61">
        <v>7.3137254901960773</v>
      </c>
      <c r="P89" s="61">
        <v>7.7819253438113947</v>
      </c>
      <c r="Q89" s="61">
        <v>7.5246800731261425</v>
      </c>
      <c r="R89" s="61">
        <v>7.5746102449888628</v>
      </c>
      <c r="S89" s="61">
        <v>6.9037974683544316</v>
      </c>
      <c r="T89" s="61">
        <f t="shared" si="15"/>
        <v>-0.39838941037320375</v>
      </c>
      <c r="U89" s="61">
        <f t="shared" si="16"/>
        <v>-0.40992802184164567</v>
      </c>
      <c r="V89" s="214">
        <f t="shared" si="17"/>
        <v>-0.67081277663443117</v>
      </c>
    </row>
    <row r="90" spans="1:22" ht="15" customHeight="1" x14ac:dyDescent="0.2">
      <c r="A90" s="34" t="s">
        <v>484</v>
      </c>
      <c r="B90" s="61">
        <v>7.666666666666667</v>
      </c>
      <c r="C90" s="61">
        <v>6.3118279569892497</v>
      </c>
      <c r="D90" s="61">
        <v>6.884615384615385</v>
      </c>
      <c r="E90" s="61">
        <v>6.2750000000000004</v>
      </c>
      <c r="F90" s="61">
        <v>5.7256637168141573</v>
      </c>
      <c r="G90" s="61">
        <v>5.9059829059829072</v>
      </c>
      <c r="H90" s="61">
        <v>5.9759036144578301</v>
      </c>
      <c r="I90" s="61">
        <v>6.3582089552238799</v>
      </c>
      <c r="J90" s="61">
        <v>6.3500000000000023</v>
      </c>
      <c r="K90" s="61">
        <v>6.1818181818181817</v>
      </c>
      <c r="L90" s="61">
        <v>6.8965517241379306</v>
      </c>
      <c r="M90" s="61">
        <v>5.8828124999999982</v>
      </c>
      <c r="N90" s="61">
        <v>6.4693877551020433</v>
      </c>
      <c r="O90" s="61">
        <v>6.6964285714285712</v>
      </c>
      <c r="P90" s="61">
        <v>5.6133333333333342</v>
      </c>
      <c r="Q90" s="61">
        <v>6.2162162162162184</v>
      </c>
      <c r="R90" s="61">
        <v>6.1818181818181799</v>
      </c>
      <c r="S90" s="61">
        <v>5.8999999999999995</v>
      </c>
      <c r="T90" s="61">
        <f t="shared" si="15"/>
        <v>-0.45000000000000284</v>
      </c>
      <c r="U90" s="61">
        <f t="shared" si="16"/>
        <v>-0.79642857142857171</v>
      </c>
      <c r="V90" s="214">
        <f t="shared" si="17"/>
        <v>-0.28181818181818041</v>
      </c>
    </row>
    <row r="91" spans="1:22" ht="15" customHeight="1" x14ac:dyDescent="0.2">
      <c r="A91" s="34" t="s">
        <v>14</v>
      </c>
      <c r="B91" s="61">
        <v>6.3947750362844706</v>
      </c>
      <c r="C91" s="61">
        <v>5.8028523489932882</v>
      </c>
      <c r="D91" s="61">
        <v>5.671246319921492</v>
      </c>
      <c r="E91" s="61">
        <v>6.0101214574898787</v>
      </c>
      <c r="F91" s="61">
        <v>6.1157243816254407</v>
      </c>
      <c r="G91" s="61">
        <v>6.0338149400553336</v>
      </c>
      <c r="H91" s="61">
        <v>6.2349342999546895</v>
      </c>
      <c r="I91" s="61">
        <v>6.2143884892086332</v>
      </c>
      <c r="J91" s="61">
        <v>6.0898985959438381</v>
      </c>
      <c r="K91" s="61">
        <v>6.0514814814814812</v>
      </c>
      <c r="L91" s="61">
        <v>5.7404111690702671</v>
      </c>
      <c r="M91" s="61">
        <v>5.7453820598006642</v>
      </c>
      <c r="N91" s="61">
        <v>5.6425909688733009</v>
      </c>
      <c r="O91" s="61">
        <v>5.9209571331367661</v>
      </c>
      <c r="P91" s="61">
        <v>5.9335042886196838</v>
      </c>
      <c r="Q91" s="61">
        <v>5.9476650563607087</v>
      </c>
      <c r="R91" s="61">
        <v>6.0259707513867875</v>
      </c>
      <c r="S91" s="61">
        <v>5.8558273776800442</v>
      </c>
      <c r="T91" s="61">
        <f t="shared" si="15"/>
        <v>-0.23407121826379385</v>
      </c>
      <c r="U91" s="61">
        <f t="shared" si="16"/>
        <v>-6.5129755456721838E-2</v>
      </c>
      <c r="V91" s="214">
        <f t="shared" si="17"/>
        <v>-0.17014337370674326</v>
      </c>
    </row>
    <row r="92" spans="1:22" ht="15" customHeight="1" x14ac:dyDescent="0.2">
      <c r="A92" s="34" t="s">
        <v>485</v>
      </c>
      <c r="B92" s="61">
        <v>7.8245276977265448</v>
      </c>
      <c r="C92" s="61">
        <v>7.7535359614805888</v>
      </c>
      <c r="D92" s="61">
        <v>7.4400452488687785</v>
      </c>
      <c r="E92" s="61">
        <v>7.3429262394195884</v>
      </c>
      <c r="F92" s="61">
        <v>7.1641912512716175</v>
      </c>
      <c r="G92" s="61">
        <v>7.1214465635120545</v>
      </c>
      <c r="H92" s="61">
        <v>7.284580838323353</v>
      </c>
      <c r="I92" s="61">
        <v>7.1054257817327899</v>
      </c>
      <c r="J92" s="61">
        <v>6.7617198874114335</v>
      </c>
      <c r="K92" s="61">
        <v>6.5961538461538458</v>
      </c>
      <c r="L92" s="61">
        <v>6.6464653848965565</v>
      </c>
      <c r="M92" s="61">
        <v>6.9870276367738295</v>
      </c>
      <c r="N92" s="61">
        <v>6.7879068536649907</v>
      </c>
      <c r="O92" s="61">
        <v>6.8458788106887463</v>
      </c>
      <c r="P92" s="61">
        <v>7.1128502550485644</v>
      </c>
      <c r="Q92" s="61">
        <v>7.1288845042632651</v>
      </c>
      <c r="R92" s="61">
        <v>7.0111572021170074</v>
      </c>
      <c r="S92" s="61">
        <v>6.5722448979591839</v>
      </c>
      <c r="T92" s="61">
        <f t="shared" si="15"/>
        <v>-0.18947498945224961</v>
      </c>
      <c r="U92" s="61">
        <f t="shared" si="16"/>
        <v>-0.27363391272956239</v>
      </c>
      <c r="V92" s="214">
        <f t="shared" si="17"/>
        <v>-0.43891230415782356</v>
      </c>
    </row>
    <row r="93" spans="1:22" ht="15" customHeight="1" x14ac:dyDescent="0.2">
      <c r="A93" s="34" t="s">
        <v>486</v>
      </c>
      <c r="B93" s="61">
        <v>6.3637795275590552</v>
      </c>
      <c r="C93" s="61">
        <v>5.8148052949492355</v>
      </c>
      <c r="D93" s="61">
        <v>5.7884892086330932</v>
      </c>
      <c r="E93" s="61">
        <v>6.2655083066605703</v>
      </c>
      <c r="F93" s="61">
        <v>6.3010828417994542</v>
      </c>
      <c r="G93" s="61">
        <v>6.2488285894118469</v>
      </c>
      <c r="H93" s="61">
        <v>6.5295859893116992</v>
      </c>
      <c r="I93" s="61">
        <v>6.4014230114327413</v>
      </c>
      <c r="J93" s="61">
        <v>6.3462786857240472</v>
      </c>
      <c r="K93" s="61">
        <v>6.2857611728023635</v>
      </c>
      <c r="L93" s="61">
        <v>6.1230829073127362</v>
      </c>
      <c r="M93" s="61">
        <v>6.2608553882941145</v>
      </c>
      <c r="N93" s="61">
        <v>6.0589021267119474</v>
      </c>
      <c r="O93" s="61">
        <v>6.2459518599562367</v>
      </c>
      <c r="P93" s="61">
        <v>6.4710284054546348</v>
      </c>
      <c r="Q93" s="61">
        <v>6.2951605451605452</v>
      </c>
      <c r="R93" s="61">
        <v>6.071514203805056</v>
      </c>
      <c r="S93" s="61">
        <v>5.9150626336694163</v>
      </c>
      <c r="T93" s="61">
        <f t="shared" si="15"/>
        <v>-0.43121605205463087</v>
      </c>
      <c r="U93" s="61">
        <f t="shared" si="16"/>
        <v>-0.33088922628682038</v>
      </c>
      <c r="V93" s="214">
        <f t="shared" si="17"/>
        <v>-0.15645157013563971</v>
      </c>
    </row>
    <row r="94" spans="1:22" ht="15" customHeight="1" x14ac:dyDescent="0.2">
      <c r="A94" s="34" t="s">
        <v>487</v>
      </c>
      <c r="B94" s="61">
        <v>7.1789070657848937</v>
      </c>
      <c r="C94" s="61">
        <v>6.8548436076525965</v>
      </c>
      <c r="D94" s="61">
        <v>6.8477499326327136</v>
      </c>
      <c r="E94" s="61">
        <v>7.0717539863325731</v>
      </c>
      <c r="F94" s="61">
        <v>6.8398130841121496</v>
      </c>
      <c r="G94" s="61">
        <v>6.7478955628477673</v>
      </c>
      <c r="H94" s="61">
        <v>6.8811303129378798</v>
      </c>
      <c r="I94" s="61">
        <v>6.5655667144906742</v>
      </c>
      <c r="J94" s="61">
        <v>6.3727976409878364</v>
      </c>
      <c r="K94" s="61">
        <v>6.4735419630156477</v>
      </c>
      <c r="L94" s="61">
        <v>6.5261958997722092</v>
      </c>
      <c r="M94" s="61">
        <v>6.8820536119945483</v>
      </c>
      <c r="N94" s="61">
        <v>6.5947242206235011</v>
      </c>
      <c r="O94" s="61">
        <v>6.7378605984590578</v>
      </c>
      <c r="P94" s="61">
        <v>6.9273453093812378</v>
      </c>
      <c r="Q94" s="61">
        <v>6.7869918699186993</v>
      </c>
      <c r="R94" s="61">
        <v>6.6528725002889839</v>
      </c>
      <c r="S94" s="61">
        <v>6.304055519410106</v>
      </c>
      <c r="T94" s="61">
        <f t="shared" si="15"/>
        <v>-6.8742121577730408E-2</v>
      </c>
      <c r="U94" s="61">
        <f t="shared" si="16"/>
        <v>-0.43380507904895182</v>
      </c>
      <c r="V94" s="214">
        <f t="shared" si="17"/>
        <v>-0.34881698087887791</v>
      </c>
    </row>
    <row r="95" spans="1:22" ht="15" customHeight="1" x14ac:dyDescent="0.2">
      <c r="A95" s="34" t="s">
        <v>488</v>
      </c>
      <c r="B95" s="61">
        <v>8.1840659340659343</v>
      </c>
      <c r="C95" s="61">
        <v>8.0671814671814666</v>
      </c>
      <c r="D95" s="61">
        <v>7.7152145643693109</v>
      </c>
      <c r="E95" s="61">
        <v>7.8546365914786955</v>
      </c>
      <c r="F95" s="61">
        <v>7.5979128299570284</v>
      </c>
      <c r="G95" s="61">
        <v>7.4897279289283727</v>
      </c>
      <c r="H95" s="61">
        <v>7.3433766233766233</v>
      </c>
      <c r="I95" s="61">
        <v>7.4279253815715096</v>
      </c>
      <c r="J95" s="61">
        <v>7.2173484475110881</v>
      </c>
      <c r="K95" s="61">
        <v>7.1799901912702309</v>
      </c>
      <c r="L95" s="61">
        <v>7.1403508771929829</v>
      </c>
      <c r="M95" s="61">
        <v>7.556938681420009</v>
      </c>
      <c r="N95" s="61">
        <v>7.2435723951285524</v>
      </c>
      <c r="O95" s="61">
        <v>7.1318051575931234</v>
      </c>
      <c r="P95" s="61">
        <v>7.5376949740034664</v>
      </c>
      <c r="Q95" s="61">
        <v>7.0727077363896846</v>
      </c>
      <c r="R95" s="61">
        <v>6.8636065573770493</v>
      </c>
      <c r="S95" s="61">
        <v>6.5833829660512206</v>
      </c>
      <c r="T95" s="61">
        <f t="shared" si="15"/>
        <v>-0.63396548145986742</v>
      </c>
      <c r="U95" s="61">
        <f t="shared" si="16"/>
        <v>-0.54842219154190275</v>
      </c>
      <c r="V95" s="214">
        <f t="shared" si="17"/>
        <v>-0.28022359132582864</v>
      </c>
    </row>
    <row r="96" spans="1:22" ht="15" customHeight="1" x14ac:dyDescent="0.2">
      <c r="A96" s="42" t="s">
        <v>0</v>
      </c>
      <c r="B96" s="212">
        <v>11.307060977073581</v>
      </c>
      <c r="C96" s="212">
        <v>10.714235353138177</v>
      </c>
      <c r="D96" s="212">
        <v>10.722611727885457</v>
      </c>
      <c r="E96" s="212">
        <v>10.945505891761531</v>
      </c>
      <c r="F96" s="212">
        <v>10.2730697398022</v>
      </c>
      <c r="G96" s="212">
        <v>10.084574195651161</v>
      </c>
      <c r="H96" s="212">
        <v>10.072292412121609</v>
      </c>
      <c r="I96" s="212">
        <v>10.000957079793746</v>
      </c>
      <c r="J96" s="212">
        <v>9.7481050324017122</v>
      </c>
      <c r="K96" s="212">
        <v>9.6190476190476186</v>
      </c>
      <c r="L96" s="212">
        <v>9.644967123152222</v>
      </c>
      <c r="M96" s="212">
        <v>9.8078211838654159</v>
      </c>
      <c r="N96" s="212">
        <v>9.6718656893429671</v>
      </c>
      <c r="O96" s="212">
        <v>9.5981580479542696</v>
      </c>
      <c r="P96" s="212">
        <v>10.079722792083858</v>
      </c>
      <c r="Q96" s="212">
        <v>10.119079670117131</v>
      </c>
      <c r="R96" s="212">
        <v>9.9733307880032402</v>
      </c>
      <c r="S96" s="212">
        <v>9.7231949377980893</v>
      </c>
      <c r="T96" s="212">
        <f t="shared" si="15"/>
        <v>-2.4910094603622923E-2</v>
      </c>
      <c r="U96" s="212">
        <f t="shared" si="16"/>
        <v>0.12503688984381967</v>
      </c>
      <c r="V96" s="216">
        <f t="shared" si="17"/>
        <v>-0.25013585020515094</v>
      </c>
    </row>
    <row r="97" spans="1:22" ht="15" customHeight="1" x14ac:dyDescent="0.2">
      <c r="A97" s="44"/>
      <c r="B97" s="44"/>
      <c r="C97" s="44"/>
      <c r="D97" s="44"/>
      <c r="E97" s="44"/>
      <c r="F97" s="44"/>
      <c r="G97" s="44"/>
      <c r="H97" s="44"/>
      <c r="I97" s="44"/>
      <c r="J97" s="44"/>
      <c r="K97" s="44"/>
      <c r="L97" s="44"/>
      <c r="M97" s="44"/>
      <c r="N97" s="44"/>
      <c r="O97" s="44"/>
      <c r="P97" s="44"/>
      <c r="Q97" s="44"/>
      <c r="R97" s="44"/>
      <c r="S97" s="44"/>
      <c r="T97" s="51"/>
      <c r="U97" s="51"/>
      <c r="V97" s="44"/>
    </row>
    <row r="98" spans="1:22" ht="15" customHeight="1" x14ac:dyDescent="0.2">
      <c r="A98" s="35" t="s">
        <v>126</v>
      </c>
      <c r="B98" s="35"/>
      <c r="C98" s="35"/>
      <c r="D98" s="35"/>
      <c r="E98" s="35"/>
      <c r="F98" s="35"/>
      <c r="G98" s="35"/>
      <c r="H98" s="35"/>
      <c r="I98" s="35"/>
      <c r="J98" s="35"/>
      <c r="K98" s="35"/>
      <c r="L98" s="35"/>
      <c r="M98" s="35"/>
      <c r="N98" s="35"/>
      <c r="O98" s="35"/>
      <c r="P98" s="35"/>
      <c r="Q98" s="35"/>
      <c r="R98" s="35"/>
      <c r="S98" s="35"/>
      <c r="T98" s="75"/>
      <c r="U98" s="75"/>
      <c r="V98" s="35"/>
    </row>
    <row r="99" spans="1:22" ht="42.75" customHeight="1" x14ac:dyDescent="0.2">
      <c r="A99" s="36" t="s">
        <v>73</v>
      </c>
      <c r="B99" s="15">
        <v>2007</v>
      </c>
      <c r="C99" s="15">
        <v>2008</v>
      </c>
      <c r="D99" s="15">
        <v>2009</v>
      </c>
      <c r="E99" s="15">
        <v>2010</v>
      </c>
      <c r="F99" s="15">
        <v>2011</v>
      </c>
      <c r="G99" s="15">
        <v>2012</v>
      </c>
      <c r="H99" s="15">
        <v>2013</v>
      </c>
      <c r="I99" s="15">
        <v>2014</v>
      </c>
      <c r="J99" s="15">
        <v>2015</v>
      </c>
      <c r="K99" s="15">
        <v>2016</v>
      </c>
      <c r="L99" s="15">
        <v>2017</v>
      </c>
      <c r="M99" s="15">
        <v>2018</v>
      </c>
      <c r="N99" s="15">
        <v>2019</v>
      </c>
      <c r="O99" s="15">
        <v>2020</v>
      </c>
      <c r="P99" s="15">
        <v>2021</v>
      </c>
      <c r="Q99" s="15">
        <v>2022</v>
      </c>
      <c r="R99" s="15">
        <v>2023</v>
      </c>
      <c r="S99" s="15">
        <v>2024</v>
      </c>
      <c r="T99" s="27" t="s">
        <v>469</v>
      </c>
      <c r="U99" s="27" t="s">
        <v>470</v>
      </c>
      <c r="V99" s="27" t="s">
        <v>471</v>
      </c>
    </row>
    <row r="100" spans="1:22" ht="15" customHeight="1" x14ac:dyDescent="0.2">
      <c r="A100" s="42" t="s">
        <v>5</v>
      </c>
      <c r="B100" s="215">
        <v>13.228853015403359</v>
      </c>
      <c r="C100" s="215">
        <v>13.070611741699613</v>
      </c>
      <c r="D100" s="215">
        <v>12.892883909165855</v>
      </c>
      <c r="E100" s="215">
        <v>12.900384764078867</v>
      </c>
      <c r="F100" s="215">
        <v>12.64737276382086</v>
      </c>
      <c r="G100" s="215">
        <v>12.598480859144367</v>
      </c>
      <c r="H100" s="215">
        <v>12.492446534416489</v>
      </c>
      <c r="I100" s="215">
        <v>12.437685967155826</v>
      </c>
      <c r="J100" s="215">
        <v>12.420067187036855</v>
      </c>
      <c r="K100" s="215">
        <v>12.352868716539536</v>
      </c>
      <c r="L100" s="215">
        <v>12.290248232816136</v>
      </c>
      <c r="M100" s="215">
        <v>12.313127923530608</v>
      </c>
      <c r="N100" s="215">
        <v>12.280729790917565</v>
      </c>
      <c r="O100" s="215">
        <v>12.179350196249455</v>
      </c>
      <c r="P100" s="215">
        <v>12.439812954683399</v>
      </c>
      <c r="Q100" s="215">
        <v>12.273769759904756</v>
      </c>
      <c r="R100" s="215">
        <v>12.187676454572111</v>
      </c>
      <c r="S100" s="215">
        <v>12.052044609665428</v>
      </c>
      <c r="T100" s="212">
        <f t="shared" ref="T100:T112" si="18">IFERROR((S100-J100),"n/a")</f>
        <v>-0.36802257737142696</v>
      </c>
      <c r="U100" s="212">
        <f t="shared" ref="U100:U112" si="19">IFERROR((S100-O100),"n/a")</f>
        <v>-0.12730558658402735</v>
      </c>
      <c r="V100" s="216">
        <f t="shared" ref="V100:V112" si="20">IFERROR((S100-R100),"n/a")</f>
        <v>-0.13563184490668334</v>
      </c>
    </row>
    <row r="101" spans="1:22" ht="15" customHeight="1" x14ac:dyDescent="0.2">
      <c r="A101" s="34" t="s">
        <v>489</v>
      </c>
      <c r="B101" s="219">
        <v>13.421399279234498</v>
      </c>
      <c r="C101" s="219">
        <v>13.208455191763559</v>
      </c>
      <c r="D101" s="219">
        <v>13.075687338446091</v>
      </c>
      <c r="E101" s="219">
        <v>13.098158861534564</v>
      </c>
      <c r="F101" s="219">
        <v>12.865872983625207</v>
      </c>
      <c r="G101" s="219">
        <v>12.814140480591497</v>
      </c>
      <c r="H101" s="219">
        <v>12.739181190397895</v>
      </c>
      <c r="I101" s="219">
        <v>12.700577736667324</v>
      </c>
      <c r="J101" s="219">
        <v>12.718207308248914</v>
      </c>
      <c r="K101" s="219">
        <v>12.68911155840912</v>
      </c>
      <c r="L101" s="219">
        <v>12.694897803008168</v>
      </c>
      <c r="M101" s="219">
        <v>12.718231008250294</v>
      </c>
      <c r="N101" s="219">
        <v>12.606990724153032</v>
      </c>
      <c r="O101" s="219">
        <v>12.517944666870141</v>
      </c>
      <c r="P101" s="219">
        <v>12.705428826303045</v>
      </c>
      <c r="Q101" s="219">
        <v>12.539546806110939</v>
      </c>
      <c r="R101" s="219">
        <v>12.388198789152913</v>
      </c>
      <c r="S101" s="219">
        <v>12.294705739067812</v>
      </c>
      <c r="T101" s="61">
        <f t="shared" si="18"/>
        <v>-0.42350156918110216</v>
      </c>
      <c r="U101" s="61">
        <f t="shared" si="19"/>
        <v>-0.22323892780232946</v>
      </c>
      <c r="V101" s="214">
        <f t="shared" si="20"/>
        <v>-9.3493050085101004E-2</v>
      </c>
    </row>
    <row r="102" spans="1:22" ht="15" customHeight="1" x14ac:dyDescent="0.2">
      <c r="A102" s="34" t="s">
        <v>490</v>
      </c>
      <c r="B102" s="219">
        <v>11.890300018406034</v>
      </c>
      <c r="C102" s="219">
        <v>11.980698151950723</v>
      </c>
      <c r="D102" s="219">
        <v>11.711477594536067</v>
      </c>
      <c r="E102" s="219">
        <v>11.618671620993965</v>
      </c>
      <c r="F102" s="219">
        <v>11.260079267459341</v>
      </c>
      <c r="G102" s="219">
        <v>11.209327290076336</v>
      </c>
      <c r="H102" s="219">
        <v>11.032597793380141</v>
      </c>
      <c r="I102" s="219">
        <v>11.13617193836172</v>
      </c>
      <c r="J102" s="219">
        <v>11.05489368119439</v>
      </c>
      <c r="K102" s="219">
        <v>10.967392027683504</v>
      </c>
      <c r="L102" s="219">
        <v>10.93580503298314</v>
      </c>
      <c r="M102" s="219">
        <v>11.147025062177157</v>
      </c>
      <c r="N102" s="219">
        <v>11.332208071198405</v>
      </c>
      <c r="O102" s="219">
        <v>11.321275873769933</v>
      </c>
      <c r="P102" s="219">
        <v>11.639076135235408</v>
      </c>
      <c r="Q102" s="219">
        <v>11.43701156611441</v>
      </c>
      <c r="R102" s="219">
        <v>11.496309161962657</v>
      </c>
      <c r="S102" s="219">
        <v>11.237723933496584</v>
      </c>
      <c r="T102" s="61">
        <f t="shared" si="18"/>
        <v>0.1828302523021943</v>
      </c>
      <c r="U102" s="61">
        <f t="shared" si="19"/>
        <v>-8.355194027334889E-2</v>
      </c>
      <c r="V102" s="214">
        <f t="shared" si="20"/>
        <v>-0.25858522846607279</v>
      </c>
    </row>
    <row r="103" spans="1:22" ht="15" customHeight="1" x14ac:dyDescent="0.2">
      <c r="A103" s="34" t="s">
        <v>292</v>
      </c>
      <c r="B103" s="219" t="s">
        <v>100</v>
      </c>
      <c r="C103" s="219" t="s">
        <v>100</v>
      </c>
      <c r="D103" s="219">
        <v>8.5</v>
      </c>
      <c r="E103" s="219">
        <v>9.6551724137930997</v>
      </c>
      <c r="F103" s="219">
        <v>10.2564102564103</v>
      </c>
      <c r="G103" s="219" t="s">
        <v>100</v>
      </c>
      <c r="H103" s="219">
        <v>7</v>
      </c>
      <c r="I103" s="219">
        <v>8.3898305084745761</v>
      </c>
      <c r="J103" s="219">
        <v>8.612244897959183</v>
      </c>
      <c r="K103" s="219">
        <v>9.2195121951219505</v>
      </c>
      <c r="L103" s="219">
        <v>9.8126984126984098</v>
      </c>
      <c r="M103" s="219">
        <v>10.367901234567908</v>
      </c>
      <c r="N103" s="219">
        <v>10.645454545454545</v>
      </c>
      <c r="O103" s="219">
        <v>10.558035714285728</v>
      </c>
      <c r="P103" s="219">
        <v>11.042145593869723</v>
      </c>
      <c r="Q103" s="219">
        <v>11.009276437847854</v>
      </c>
      <c r="R103" s="219">
        <v>11.578163771712148</v>
      </c>
      <c r="S103" s="219">
        <v>11.207594936708883</v>
      </c>
      <c r="T103" s="61">
        <f t="shared" si="18"/>
        <v>2.5953500387497002</v>
      </c>
      <c r="U103" s="61">
        <f t="shared" si="19"/>
        <v>0.64955922242315545</v>
      </c>
      <c r="V103" s="214">
        <f t="shared" si="20"/>
        <v>-0.37056883500326521</v>
      </c>
    </row>
    <row r="104" spans="1:22" ht="15" customHeight="1" x14ac:dyDescent="0.2">
      <c r="A104" s="34" t="s">
        <v>293</v>
      </c>
      <c r="B104" s="219">
        <v>8.7647058823529402</v>
      </c>
      <c r="C104" s="219">
        <v>7.5675675675675649</v>
      </c>
      <c r="D104" s="219">
        <v>8.2010869565217401</v>
      </c>
      <c r="E104" s="219">
        <v>9.3293413173652731</v>
      </c>
      <c r="F104" s="219">
        <v>9.849397590361443</v>
      </c>
      <c r="G104" s="219">
        <v>10</v>
      </c>
      <c r="H104" s="219">
        <v>9.7419354838709715</v>
      </c>
      <c r="I104" s="219">
        <v>9.265734265734265</v>
      </c>
      <c r="J104" s="219">
        <v>8.9706840390879474</v>
      </c>
      <c r="K104" s="219">
        <v>9.1205073995771677</v>
      </c>
      <c r="L104" s="219">
        <v>8.1916083916083924</v>
      </c>
      <c r="M104" s="219">
        <v>8.9012954966070321</v>
      </c>
      <c r="N104" s="219">
        <v>9.1844305120167213</v>
      </c>
      <c r="O104" s="219">
        <v>9.5062126092959005</v>
      </c>
      <c r="P104" s="219">
        <v>9.1181405103110809</v>
      </c>
      <c r="Q104" s="219">
        <v>9.4820919175911254</v>
      </c>
      <c r="R104" s="219">
        <v>9.7920847268673352</v>
      </c>
      <c r="S104" s="219">
        <v>9.7035034093581007</v>
      </c>
      <c r="T104" s="61">
        <f t="shared" si="18"/>
        <v>0.73281937027015331</v>
      </c>
      <c r="U104" s="61">
        <f t="shared" si="19"/>
        <v>0.19729080006220023</v>
      </c>
      <c r="V104" s="214">
        <f t="shared" si="20"/>
        <v>-8.8581317509234481E-2</v>
      </c>
    </row>
    <row r="105" spans="1:22" ht="15" customHeight="1" x14ac:dyDescent="0.2">
      <c r="A105" s="34" t="s">
        <v>491</v>
      </c>
      <c r="B105" s="219">
        <v>11.7992831541219</v>
      </c>
      <c r="C105" s="219">
        <v>11.244444444444444</v>
      </c>
      <c r="D105" s="219">
        <v>11.407821229050271</v>
      </c>
      <c r="E105" s="219">
        <v>11.582781456953642</v>
      </c>
      <c r="F105" s="219">
        <v>12.433179723502294</v>
      </c>
      <c r="G105" s="219">
        <v>14.690721649484532</v>
      </c>
      <c r="H105" s="219">
        <v>12.246913580246913</v>
      </c>
      <c r="I105" s="219">
        <v>12.036414565826334</v>
      </c>
      <c r="J105" s="219">
        <v>12.573241061130339</v>
      </c>
      <c r="K105" s="219">
        <v>12.512121212121217</v>
      </c>
      <c r="L105" s="219">
        <v>11.906204906204909</v>
      </c>
      <c r="M105" s="219">
        <v>12.923180592991908</v>
      </c>
      <c r="N105" s="219">
        <v>13.193548387096774</v>
      </c>
      <c r="O105" s="219">
        <v>12.09908256880734</v>
      </c>
      <c r="P105" s="219">
        <v>12.765342960288804</v>
      </c>
      <c r="Q105" s="219">
        <v>11.578651685393266</v>
      </c>
      <c r="R105" s="219">
        <v>12.656050955414011</v>
      </c>
      <c r="S105" s="219">
        <v>12.218978102189778</v>
      </c>
      <c r="T105" s="61">
        <f t="shared" si="18"/>
        <v>-0.35426295894056103</v>
      </c>
      <c r="U105" s="61">
        <f t="shared" si="19"/>
        <v>0.1198955333824383</v>
      </c>
      <c r="V105" s="214">
        <f t="shared" si="20"/>
        <v>-0.43707285322423317</v>
      </c>
    </row>
    <row r="106" spans="1:22" ht="15" customHeight="1" x14ac:dyDescent="0.2">
      <c r="A106" s="42" t="s">
        <v>6</v>
      </c>
      <c r="B106" s="215">
        <v>7.0364532972345772</v>
      </c>
      <c r="C106" s="215">
        <v>6.5633354551241245</v>
      </c>
      <c r="D106" s="215">
        <v>6.5537520244736367</v>
      </c>
      <c r="E106" s="215">
        <v>6.8149992220320526</v>
      </c>
      <c r="F106" s="215">
        <v>6.6448289738430582</v>
      </c>
      <c r="G106" s="215">
        <v>6.5616306632675876</v>
      </c>
      <c r="H106" s="215">
        <v>6.7085045595084338</v>
      </c>
      <c r="I106" s="215">
        <v>6.5523957997347955</v>
      </c>
      <c r="J106" s="215">
        <v>6.3964894886055559</v>
      </c>
      <c r="K106" s="215">
        <v>6.3397363037053873</v>
      </c>
      <c r="L106" s="215">
        <v>6.2728333450481477</v>
      </c>
      <c r="M106" s="215">
        <v>6.5120528667362283</v>
      </c>
      <c r="N106" s="215">
        <v>6.2869238130682117</v>
      </c>
      <c r="O106" s="215">
        <v>6.3812144373673032</v>
      </c>
      <c r="P106" s="215">
        <v>6.5840687795180877</v>
      </c>
      <c r="Q106" s="215">
        <v>6.5458421882498117</v>
      </c>
      <c r="R106" s="215">
        <v>6.4232814892416794</v>
      </c>
      <c r="S106" s="215">
        <v>6.1907403005572723</v>
      </c>
      <c r="T106" s="212">
        <f t="shared" si="18"/>
        <v>-0.20574918804828357</v>
      </c>
      <c r="U106" s="212">
        <f t="shared" si="19"/>
        <v>-0.19047413681003089</v>
      </c>
      <c r="V106" s="216">
        <f t="shared" si="20"/>
        <v>-0.2325411886844071</v>
      </c>
    </row>
    <row r="107" spans="1:22" ht="15" customHeight="1" x14ac:dyDescent="0.2">
      <c r="A107" s="34" t="s">
        <v>489</v>
      </c>
      <c r="B107" s="219">
        <v>7.0507150228512456</v>
      </c>
      <c r="C107" s="219">
        <v>6.4515883376849432</v>
      </c>
      <c r="D107" s="219">
        <v>6.4769660307119592</v>
      </c>
      <c r="E107" s="219">
        <v>6.8373294749896649</v>
      </c>
      <c r="F107" s="219">
        <v>6.6022259421797944</v>
      </c>
      <c r="G107" s="219">
        <v>6.5495616218078796</v>
      </c>
      <c r="H107" s="219">
        <v>6.7439687333451763</v>
      </c>
      <c r="I107" s="219">
        <v>6.5705908125779384</v>
      </c>
      <c r="J107" s="219">
        <v>6.3947330216892659</v>
      </c>
      <c r="K107" s="219">
        <v>6.3332636802925428</v>
      </c>
      <c r="L107" s="219">
        <v>6.2707038403012403</v>
      </c>
      <c r="M107" s="219">
        <v>6.5453640818966585</v>
      </c>
      <c r="N107" s="219">
        <v>6.2765426392419688</v>
      </c>
      <c r="O107" s="219">
        <v>6.4035803818216879</v>
      </c>
      <c r="P107" s="219">
        <v>6.6455284917202588</v>
      </c>
      <c r="Q107" s="219">
        <v>6.641777214202107</v>
      </c>
      <c r="R107" s="219">
        <v>6.5229022418050651</v>
      </c>
      <c r="S107" s="219">
        <v>6.2676278934059519</v>
      </c>
      <c r="T107" s="61">
        <f t="shared" si="18"/>
        <v>-0.127105128283314</v>
      </c>
      <c r="U107" s="61">
        <f t="shared" si="19"/>
        <v>-0.13595248841573593</v>
      </c>
      <c r="V107" s="214">
        <f t="shared" si="20"/>
        <v>-0.25527434839911312</v>
      </c>
    </row>
    <row r="108" spans="1:22" ht="15" customHeight="1" x14ac:dyDescent="0.2">
      <c r="A108" s="34" t="s">
        <v>490</v>
      </c>
      <c r="B108" s="219">
        <v>7.0088757396449708</v>
      </c>
      <c r="C108" s="219">
        <v>6.8244992672203226</v>
      </c>
      <c r="D108" s="219">
        <v>6.6812500000000004</v>
      </c>
      <c r="E108" s="219">
        <v>6.7956430589736581</v>
      </c>
      <c r="F108" s="219">
        <v>6.6991688627609971</v>
      </c>
      <c r="G108" s="219">
        <v>6.5631770948485517</v>
      </c>
      <c r="H108" s="219">
        <v>6.6446930888828977</v>
      </c>
      <c r="I108" s="219">
        <v>6.52176857199761</v>
      </c>
      <c r="J108" s="219">
        <v>6.3836500158635037</v>
      </c>
      <c r="K108" s="219">
        <v>6.333562676102483</v>
      </c>
      <c r="L108" s="219">
        <v>6.2719084872789432</v>
      </c>
      <c r="M108" s="219">
        <v>6.4838333910524826</v>
      </c>
      <c r="N108" s="219">
        <v>6.2883488156857368</v>
      </c>
      <c r="O108" s="219">
        <v>6.3668564729526045</v>
      </c>
      <c r="P108" s="219">
        <v>6.4937656716930583</v>
      </c>
      <c r="Q108" s="219">
        <v>6.4627386412638677</v>
      </c>
      <c r="R108" s="219">
        <v>6.3403801071667782</v>
      </c>
      <c r="S108" s="219">
        <v>6.1237372678878312</v>
      </c>
      <c r="T108" s="61">
        <f t="shared" si="18"/>
        <v>-0.25991274797567243</v>
      </c>
      <c r="U108" s="61">
        <f t="shared" si="19"/>
        <v>-0.24311920506477325</v>
      </c>
      <c r="V108" s="214">
        <f t="shared" si="20"/>
        <v>-0.21664283927894701</v>
      </c>
    </row>
    <row r="109" spans="1:22" ht="15" customHeight="1" x14ac:dyDescent="0.2">
      <c r="A109" s="34" t="s">
        <v>292</v>
      </c>
      <c r="B109" s="219" t="s">
        <v>100</v>
      </c>
      <c r="C109" s="219" t="s">
        <v>100</v>
      </c>
      <c r="D109" s="219">
        <v>5.666666666666667</v>
      </c>
      <c r="E109" s="219">
        <v>5.5625</v>
      </c>
      <c r="F109" s="219">
        <v>5.9759036144578292</v>
      </c>
      <c r="G109" s="219">
        <v>6.1694915254237319</v>
      </c>
      <c r="H109" s="219">
        <v>6.333333333333333</v>
      </c>
      <c r="I109" s="219">
        <v>6.5769230769230766</v>
      </c>
      <c r="J109" s="219">
        <v>6.155361050328227</v>
      </c>
      <c r="K109" s="219">
        <v>6.261133603238866</v>
      </c>
      <c r="L109" s="219">
        <v>6.004267425320057</v>
      </c>
      <c r="M109" s="219">
        <v>5.6401480111008322</v>
      </c>
      <c r="N109" s="219">
        <v>5.8780487804878057</v>
      </c>
      <c r="O109" s="219">
        <v>5.9435975609756095</v>
      </c>
      <c r="P109" s="219">
        <v>6.1142241379310347</v>
      </c>
      <c r="Q109" s="219">
        <v>5.9232081911262799</v>
      </c>
      <c r="R109" s="219">
        <v>6.3303167420814477</v>
      </c>
      <c r="S109" s="219">
        <v>6.7999999999999989</v>
      </c>
      <c r="T109" s="61">
        <f t="shared" si="18"/>
        <v>0.64463894967177193</v>
      </c>
      <c r="U109" s="61">
        <f t="shared" si="19"/>
        <v>0.85640243902438939</v>
      </c>
      <c r="V109" s="214">
        <f t="shared" si="20"/>
        <v>0.46968325791855126</v>
      </c>
    </row>
    <row r="110" spans="1:22" ht="15" customHeight="1" x14ac:dyDescent="0.2">
      <c r="A110" s="34" t="s">
        <v>293</v>
      </c>
      <c r="B110" s="219">
        <v>6.9</v>
      </c>
      <c r="C110" s="219">
        <v>6.1071428571428568</v>
      </c>
      <c r="D110" s="219">
        <v>6.3559322033898304</v>
      </c>
      <c r="E110" s="219">
        <v>6.3789473684210529</v>
      </c>
      <c r="F110" s="219">
        <v>6.5508474576271185</v>
      </c>
      <c r="G110" s="219">
        <v>6.1342281879194624</v>
      </c>
      <c r="H110" s="219">
        <v>6.5169082125603888</v>
      </c>
      <c r="I110" s="219">
        <v>6.3169642857142838</v>
      </c>
      <c r="J110" s="219">
        <v>6.0514851485148533</v>
      </c>
      <c r="K110" s="219">
        <v>6.1763485477178435</v>
      </c>
      <c r="L110" s="219">
        <v>6.2031823745410035</v>
      </c>
      <c r="M110" s="219">
        <v>6.8445901639344271</v>
      </c>
      <c r="N110" s="219">
        <v>6.6519801980198023</v>
      </c>
      <c r="O110" s="219">
        <v>6.4416445623342176</v>
      </c>
      <c r="P110" s="219">
        <v>6.6470969134470117</v>
      </c>
      <c r="Q110" s="219">
        <v>6.3163444639718804</v>
      </c>
      <c r="R110" s="219">
        <v>6.1956819739547635</v>
      </c>
      <c r="S110" s="219">
        <v>6.0205848403232016</v>
      </c>
      <c r="T110" s="61">
        <f t="shared" si="18"/>
        <v>-3.0900308191651682E-2</v>
      </c>
      <c r="U110" s="61">
        <f t="shared" si="19"/>
        <v>-0.42105972201101594</v>
      </c>
      <c r="V110" s="214">
        <f t="shared" si="20"/>
        <v>-0.17509713363156187</v>
      </c>
    </row>
    <row r="111" spans="1:22" ht="15" customHeight="1" x14ac:dyDescent="0.2">
      <c r="A111" s="34" t="s">
        <v>491</v>
      </c>
      <c r="B111" s="219">
        <v>7.4</v>
      </c>
      <c r="C111" s="219">
        <v>5.8971962616822404</v>
      </c>
      <c r="D111" s="219">
        <v>6.6406250000000009</v>
      </c>
      <c r="E111" s="219">
        <v>6.3660714285714288</v>
      </c>
      <c r="F111" s="219">
        <v>7.8313953488372068</v>
      </c>
      <c r="G111" s="219">
        <v>7.8127090301003328</v>
      </c>
      <c r="H111" s="219">
        <v>8.0837837837837849</v>
      </c>
      <c r="I111" s="219">
        <v>6.9967948717948714</v>
      </c>
      <c r="J111" s="219">
        <v>7.3068035943517344</v>
      </c>
      <c r="K111" s="219">
        <v>7.2612312811980031</v>
      </c>
      <c r="L111" s="219">
        <v>7.121428571428571</v>
      </c>
      <c r="M111" s="219">
        <v>6.4734042553191466</v>
      </c>
      <c r="N111" s="219">
        <v>5.7911392405063271</v>
      </c>
      <c r="O111" s="219">
        <v>5.1707317073170742</v>
      </c>
      <c r="P111" s="219">
        <v>5.2428571428571402</v>
      </c>
      <c r="Q111" s="219">
        <v>5.5352112676056322</v>
      </c>
      <c r="R111" s="219">
        <v>4.8437499999999982</v>
      </c>
      <c r="S111" s="219">
        <v>6.6571428571428592</v>
      </c>
      <c r="T111" s="61">
        <f t="shared" si="18"/>
        <v>-0.64966073720887518</v>
      </c>
      <c r="U111" s="61">
        <f t="shared" si="19"/>
        <v>1.486411149825785</v>
      </c>
      <c r="V111" s="214">
        <f t="shared" si="20"/>
        <v>1.813392857142861</v>
      </c>
    </row>
    <row r="112" spans="1:22" ht="15" customHeight="1" x14ac:dyDescent="0.2">
      <c r="A112" s="42" t="s">
        <v>0</v>
      </c>
      <c r="B112" s="215">
        <v>11.307060977073581</v>
      </c>
      <c r="C112" s="212">
        <v>10.714235353138177</v>
      </c>
      <c r="D112" s="212">
        <v>10.722611727885457</v>
      </c>
      <c r="E112" s="212">
        <v>10.945505891761531</v>
      </c>
      <c r="F112" s="212">
        <v>10.2730697398022</v>
      </c>
      <c r="G112" s="212">
        <v>10.084574195651161</v>
      </c>
      <c r="H112" s="212">
        <v>10.072292412121609</v>
      </c>
      <c r="I112" s="212">
        <v>10.000957079793746</v>
      </c>
      <c r="J112" s="212">
        <v>9.7481050324017122</v>
      </c>
      <c r="K112" s="212">
        <v>9.6190476190476186</v>
      </c>
      <c r="L112" s="212">
        <v>9.644967123152222</v>
      </c>
      <c r="M112" s="212">
        <v>9.8078211838654141</v>
      </c>
      <c r="N112" s="212">
        <v>9.6718656893429671</v>
      </c>
      <c r="O112" s="212">
        <v>9.5981580479542696</v>
      </c>
      <c r="P112" s="212">
        <v>10.079722792083857</v>
      </c>
      <c r="Q112" s="212">
        <v>10.119079670117131</v>
      </c>
      <c r="R112" s="212">
        <v>9.9733307880032402</v>
      </c>
      <c r="S112" s="212">
        <v>9.7231949377980893</v>
      </c>
      <c r="T112" s="212">
        <f t="shared" si="18"/>
        <v>-2.4910094603622923E-2</v>
      </c>
      <c r="U112" s="212">
        <f t="shared" si="19"/>
        <v>0.12503688984381967</v>
      </c>
      <c r="V112" s="216">
        <f t="shared" si="20"/>
        <v>-0.25013585020515094</v>
      </c>
    </row>
    <row r="113" spans="1:22" ht="15" customHeight="1" x14ac:dyDescent="0.2">
      <c r="A113" s="158" t="s">
        <v>583</v>
      </c>
      <c r="B113" s="44"/>
      <c r="C113" s="44"/>
      <c r="D113" s="44"/>
      <c r="E113" s="44"/>
      <c r="F113" s="44"/>
      <c r="G113" s="44"/>
      <c r="H113" s="44"/>
      <c r="I113" s="44"/>
      <c r="J113" s="44"/>
      <c r="K113" s="44"/>
      <c r="L113" s="44"/>
      <c r="M113" s="44"/>
      <c r="N113" s="44"/>
      <c r="O113" s="44"/>
      <c r="P113" s="44"/>
      <c r="Q113" s="44"/>
      <c r="R113" s="44"/>
      <c r="S113" s="44"/>
      <c r="T113" s="51"/>
      <c r="U113" s="51"/>
      <c r="V113" s="44"/>
    </row>
    <row r="114" spans="1:22" ht="15" customHeight="1" x14ac:dyDescent="0.2">
      <c r="A114" s="44"/>
      <c r="B114" s="44"/>
      <c r="C114" s="44"/>
      <c r="D114" s="44"/>
      <c r="E114" s="44"/>
      <c r="F114" s="44"/>
      <c r="G114" s="44"/>
      <c r="H114" s="44"/>
      <c r="I114" s="44"/>
      <c r="J114" s="44"/>
      <c r="K114" s="44"/>
      <c r="L114" s="44"/>
      <c r="M114" s="44"/>
      <c r="N114" s="44"/>
      <c r="O114" s="44"/>
      <c r="P114" s="44"/>
      <c r="Q114" s="44"/>
      <c r="R114" s="44"/>
      <c r="S114" s="44"/>
      <c r="T114" s="51"/>
      <c r="U114" s="51"/>
      <c r="V114" s="44"/>
    </row>
    <row r="115" spans="1:22" ht="15" customHeight="1" x14ac:dyDescent="0.25">
      <c r="A115" s="48" t="s">
        <v>127</v>
      </c>
      <c r="B115" s="48"/>
      <c r="C115" s="48"/>
      <c r="D115" s="48"/>
      <c r="E115" s="48"/>
      <c r="F115" s="48"/>
      <c r="G115" s="48"/>
      <c r="H115" s="48"/>
      <c r="I115" s="48"/>
      <c r="J115" s="48"/>
      <c r="K115" s="48"/>
      <c r="L115" s="48"/>
      <c r="M115" s="48"/>
      <c r="N115" s="48"/>
      <c r="O115" s="48"/>
      <c r="P115" s="48"/>
      <c r="Q115" s="48"/>
      <c r="R115" s="48"/>
      <c r="S115" s="48"/>
      <c r="T115" s="129"/>
      <c r="U115" s="129"/>
      <c r="V115" s="48"/>
    </row>
    <row r="116" spans="1:22" ht="44.25" customHeight="1" x14ac:dyDescent="0.2">
      <c r="A116" s="36" t="s">
        <v>118</v>
      </c>
      <c r="B116" s="15">
        <v>2007</v>
      </c>
      <c r="C116" s="15">
        <v>2008</v>
      </c>
      <c r="D116" s="15">
        <v>2009</v>
      </c>
      <c r="E116" s="15">
        <v>2010</v>
      </c>
      <c r="F116" s="15">
        <v>2011</v>
      </c>
      <c r="G116" s="15">
        <v>2012</v>
      </c>
      <c r="H116" s="15">
        <v>2013</v>
      </c>
      <c r="I116" s="15">
        <v>2014</v>
      </c>
      <c r="J116" s="15">
        <v>2015</v>
      </c>
      <c r="K116" s="15">
        <v>2016</v>
      </c>
      <c r="L116" s="15">
        <v>2017</v>
      </c>
      <c r="M116" s="15">
        <v>2018</v>
      </c>
      <c r="N116" s="15">
        <v>2019</v>
      </c>
      <c r="O116" s="15">
        <v>2020</v>
      </c>
      <c r="P116" s="15">
        <v>2021</v>
      </c>
      <c r="Q116" s="15">
        <v>2022</v>
      </c>
      <c r="R116" s="15">
        <v>2023</v>
      </c>
      <c r="S116" s="15">
        <v>2024</v>
      </c>
      <c r="T116" s="27" t="s">
        <v>469</v>
      </c>
      <c r="U116" s="27" t="s">
        <v>470</v>
      </c>
      <c r="V116" s="27" t="s">
        <v>471</v>
      </c>
    </row>
    <row r="117" spans="1:22" ht="15" customHeight="1" x14ac:dyDescent="0.2">
      <c r="A117" s="42" t="s">
        <v>5</v>
      </c>
      <c r="B117" s="215">
        <v>13.228853015403359</v>
      </c>
      <c r="C117" s="215">
        <v>13.070611741699613</v>
      </c>
      <c r="D117" s="215">
        <v>12.892883909165855</v>
      </c>
      <c r="E117" s="215">
        <v>12.900384764078867</v>
      </c>
      <c r="F117" s="215">
        <v>12.64737276382086</v>
      </c>
      <c r="G117" s="215">
        <v>12.598480859144367</v>
      </c>
      <c r="H117" s="215">
        <v>12.492446534416489</v>
      </c>
      <c r="I117" s="215">
        <v>12.437685967155826</v>
      </c>
      <c r="J117" s="215">
        <v>12.420067187036855</v>
      </c>
      <c r="K117" s="215">
        <v>12.352868716539536</v>
      </c>
      <c r="L117" s="215">
        <v>12.290248232816136</v>
      </c>
      <c r="M117" s="215">
        <v>12.313127923530608</v>
      </c>
      <c r="N117" s="215">
        <v>12.280729790917565</v>
      </c>
      <c r="O117" s="215">
        <v>12.179350196249455</v>
      </c>
      <c r="P117" s="215">
        <v>12.439812954683399</v>
      </c>
      <c r="Q117" s="215">
        <v>12.273769759904756</v>
      </c>
      <c r="R117" s="215">
        <v>12.187676454572111</v>
      </c>
      <c r="S117" s="215">
        <v>12.052044609665428</v>
      </c>
      <c r="T117" s="212">
        <f t="shared" ref="T117:T151" si="21">IFERROR((S117-J117),"n/a")</f>
        <v>-0.36802257737142696</v>
      </c>
      <c r="U117" s="212">
        <f t="shared" ref="U117:U151" si="22">IFERROR((S117-O117),"n/a")</f>
        <v>-0.12730558658402735</v>
      </c>
      <c r="V117" s="216">
        <f t="shared" ref="V117:V151" si="23">IFERROR((S117-R117),"n/a")</f>
        <v>-0.13563184490668334</v>
      </c>
    </row>
    <row r="118" spans="1:22" ht="15" customHeight="1" x14ac:dyDescent="0.2">
      <c r="A118" s="34" t="s">
        <v>176</v>
      </c>
      <c r="B118" s="219">
        <v>13.67869615832363</v>
      </c>
      <c r="C118" s="62">
        <v>13.990909090909089</v>
      </c>
      <c r="D118" s="219">
        <v>13.977443609022556</v>
      </c>
      <c r="E118" s="219">
        <v>13.598809523809519</v>
      </c>
      <c r="F118" s="219">
        <v>13.875000000000002</v>
      </c>
      <c r="G118" s="219">
        <v>13.807113543091663</v>
      </c>
      <c r="H118" s="219">
        <v>14.067164179104482</v>
      </c>
      <c r="I118" s="219">
        <v>13.982490272373536</v>
      </c>
      <c r="J118" s="219">
        <v>13.281212121212119</v>
      </c>
      <c r="K118" s="219">
        <v>13.77803203661327</v>
      </c>
      <c r="L118" s="219">
        <v>13.892448512585814</v>
      </c>
      <c r="M118" s="219">
        <v>13.651612903225811</v>
      </c>
      <c r="N118" s="219">
        <v>13.716945996275605</v>
      </c>
      <c r="O118" s="219">
        <v>14.327014218009483</v>
      </c>
      <c r="P118" s="219">
        <v>13.766846361185987</v>
      </c>
      <c r="Q118" s="219">
        <v>13.125089349535385</v>
      </c>
      <c r="R118" s="219">
        <v>12.80026195153896</v>
      </c>
      <c r="S118" s="219">
        <v>13.287709497206702</v>
      </c>
      <c r="T118" s="61">
        <f t="shared" si="21"/>
        <v>6.4973759945825549E-3</v>
      </c>
      <c r="U118" s="61">
        <f t="shared" si="22"/>
        <v>-1.0393047208027806</v>
      </c>
      <c r="V118" s="214">
        <f t="shared" si="23"/>
        <v>0.48744754566774162</v>
      </c>
    </row>
    <row r="119" spans="1:22" ht="15" customHeight="1" x14ac:dyDescent="0.2">
      <c r="A119" s="34" t="s">
        <v>177</v>
      </c>
      <c r="B119" s="219">
        <v>15.575609756097574</v>
      </c>
      <c r="C119" s="62">
        <v>13.315693430656937</v>
      </c>
      <c r="D119" s="219">
        <v>13.202979515828671</v>
      </c>
      <c r="E119" s="219">
        <v>13.31191222570533</v>
      </c>
      <c r="F119" s="219">
        <v>13.061102831594631</v>
      </c>
      <c r="G119" s="219">
        <v>13.423676012461065</v>
      </c>
      <c r="H119" s="219">
        <v>13.185663924794362</v>
      </c>
      <c r="I119" s="219">
        <v>13.363636363636362</v>
      </c>
      <c r="J119" s="219">
        <v>13.26588845654994</v>
      </c>
      <c r="K119" s="219">
        <v>12.915234822451319</v>
      </c>
      <c r="L119" s="219">
        <v>13.517840805123516</v>
      </c>
      <c r="M119" s="219">
        <v>13.934459459459466</v>
      </c>
      <c r="N119" s="219">
        <v>13.359915314043754</v>
      </c>
      <c r="O119" s="219">
        <v>13.19935691318328</v>
      </c>
      <c r="P119" s="219">
        <v>12.752825552825556</v>
      </c>
      <c r="Q119" s="219">
        <v>12.402298850574716</v>
      </c>
      <c r="R119" s="219">
        <v>12.675799086757987</v>
      </c>
      <c r="S119" s="219">
        <v>12.327109266943289</v>
      </c>
      <c r="T119" s="61">
        <f t="shared" si="21"/>
        <v>-0.93877918960665063</v>
      </c>
      <c r="U119" s="61">
        <f t="shared" si="22"/>
        <v>-0.87224764623999107</v>
      </c>
      <c r="V119" s="214">
        <f t="shared" si="23"/>
        <v>-0.34868981981469815</v>
      </c>
    </row>
    <row r="120" spans="1:22" ht="15" customHeight="1" x14ac:dyDescent="0.2">
      <c r="A120" s="34" t="s">
        <v>178</v>
      </c>
      <c r="B120" s="219">
        <v>14.831852358168147</v>
      </c>
      <c r="C120" s="62">
        <v>14.343729694606893</v>
      </c>
      <c r="D120" s="219">
        <v>14.084952803997776</v>
      </c>
      <c r="E120" s="219">
        <v>14.121387283236992</v>
      </c>
      <c r="F120" s="219">
        <v>13.394230769230765</v>
      </c>
      <c r="G120" s="219">
        <v>13.387132556849695</v>
      </c>
      <c r="H120" s="219">
        <v>13.22967265047518</v>
      </c>
      <c r="I120" s="219">
        <v>13.553495007132666</v>
      </c>
      <c r="J120" s="219">
        <v>13.200448430493273</v>
      </c>
      <c r="K120" s="219">
        <v>13.085991118288254</v>
      </c>
      <c r="L120" s="219">
        <v>12.805817907064601</v>
      </c>
      <c r="M120" s="219">
        <v>12.983532450758801</v>
      </c>
      <c r="N120" s="219">
        <v>12.824808184143228</v>
      </c>
      <c r="O120" s="219">
        <v>13.170362158167034</v>
      </c>
      <c r="P120" s="219">
        <v>13.329548941393067</v>
      </c>
      <c r="Q120" s="219">
        <v>13.36575773466177</v>
      </c>
      <c r="R120" s="219">
        <v>12.922793148880105</v>
      </c>
      <c r="S120" s="219">
        <v>12.530366806975346</v>
      </c>
      <c r="T120" s="61">
        <f t="shared" si="21"/>
        <v>-0.67008162351792677</v>
      </c>
      <c r="U120" s="61">
        <f t="shared" si="22"/>
        <v>-0.63999535119168804</v>
      </c>
      <c r="V120" s="214">
        <f t="shared" si="23"/>
        <v>-0.39242634190475911</v>
      </c>
    </row>
    <row r="121" spans="1:22" ht="15" customHeight="1" x14ac:dyDescent="0.2">
      <c r="A121" s="34" t="s">
        <v>179</v>
      </c>
      <c r="B121" s="219">
        <v>14.157024793388437</v>
      </c>
      <c r="C121" s="62">
        <v>12.256250000000005</v>
      </c>
      <c r="D121" s="219">
        <v>12.437325905292479</v>
      </c>
      <c r="E121" s="219">
        <v>12.607142857142858</v>
      </c>
      <c r="F121" s="219">
        <v>12.765124555160151</v>
      </c>
      <c r="G121" s="219">
        <v>12.254847645429368</v>
      </c>
      <c r="H121" s="219">
        <v>12.929577464788725</v>
      </c>
      <c r="I121" s="219">
        <v>12.778004073319753</v>
      </c>
      <c r="J121" s="219">
        <v>12.898876404494384</v>
      </c>
      <c r="K121" s="219">
        <v>12.591836734693869</v>
      </c>
      <c r="L121" s="219">
        <v>12.912582781456953</v>
      </c>
      <c r="M121" s="219">
        <v>12.795348837209295</v>
      </c>
      <c r="N121" s="219">
        <v>13.39975399753998</v>
      </c>
      <c r="O121" s="219">
        <v>13.618439716312054</v>
      </c>
      <c r="P121" s="219">
        <v>13.005506607929508</v>
      </c>
      <c r="Q121" s="219">
        <v>13.111307420494699</v>
      </c>
      <c r="R121" s="219">
        <v>12.770562770562774</v>
      </c>
      <c r="S121" s="219">
        <v>13.684407096171798</v>
      </c>
      <c r="T121" s="61">
        <f t="shared" si="21"/>
        <v>0.78553069167741363</v>
      </c>
      <c r="U121" s="61">
        <f t="shared" si="22"/>
        <v>6.5967379859744213E-2</v>
      </c>
      <c r="V121" s="214">
        <f t="shared" si="23"/>
        <v>0.9138443256090234</v>
      </c>
    </row>
    <row r="122" spans="1:22" ht="15" customHeight="1" x14ac:dyDescent="0.2">
      <c r="A122" s="34" t="s">
        <v>180</v>
      </c>
      <c r="B122" s="219">
        <v>13.735115431348719</v>
      </c>
      <c r="C122" s="62">
        <v>13.485668789808916</v>
      </c>
      <c r="D122" s="219">
        <v>12.884940778341795</v>
      </c>
      <c r="E122" s="219">
        <v>13.177083333333332</v>
      </c>
      <c r="F122" s="219">
        <v>12.703030303030308</v>
      </c>
      <c r="G122" s="219">
        <v>13.256827731092438</v>
      </c>
      <c r="H122" s="219">
        <v>12.730405149564556</v>
      </c>
      <c r="I122" s="219">
        <v>12.49980461117624</v>
      </c>
      <c r="J122" s="219">
        <v>12.64009760065067</v>
      </c>
      <c r="K122" s="219">
        <v>12.675072046109509</v>
      </c>
      <c r="L122" s="219">
        <v>12.47705779334501</v>
      </c>
      <c r="M122" s="219">
        <v>12.645781637717118</v>
      </c>
      <c r="N122" s="219">
        <v>12.763698630136982</v>
      </c>
      <c r="O122" s="219">
        <v>12.732750689972402</v>
      </c>
      <c r="P122" s="219">
        <v>12.884301732925584</v>
      </c>
      <c r="Q122" s="219">
        <v>12.997391077485002</v>
      </c>
      <c r="R122" s="219">
        <v>12.844638403990023</v>
      </c>
      <c r="S122" s="219">
        <v>12.854156419085097</v>
      </c>
      <c r="T122" s="61">
        <f t="shared" si="21"/>
        <v>0.21405881843442742</v>
      </c>
      <c r="U122" s="61">
        <f t="shared" si="22"/>
        <v>0.12140572911269487</v>
      </c>
      <c r="V122" s="214">
        <f t="shared" si="23"/>
        <v>9.5180150950735509E-3</v>
      </c>
    </row>
    <row r="123" spans="1:22" ht="15" customHeight="1" x14ac:dyDescent="0.2">
      <c r="A123" s="34" t="s">
        <v>181</v>
      </c>
      <c r="B123" s="219">
        <v>14.140947288006112</v>
      </c>
      <c r="C123" s="62">
        <v>13.577671685640832</v>
      </c>
      <c r="D123" s="219">
        <v>13.269690098261528</v>
      </c>
      <c r="E123" s="219">
        <v>13.578722755677491</v>
      </c>
      <c r="F123" s="219">
        <v>13.304571696052426</v>
      </c>
      <c r="G123" s="219">
        <v>13.436380043831376</v>
      </c>
      <c r="H123" s="219">
        <v>13.401667484060814</v>
      </c>
      <c r="I123" s="219">
        <v>13.14624201013886</v>
      </c>
      <c r="J123" s="219">
        <v>13.201703088129682</v>
      </c>
      <c r="K123" s="219">
        <v>13.103408495018352</v>
      </c>
      <c r="L123" s="219">
        <v>12.881162854278681</v>
      </c>
      <c r="M123" s="219">
        <v>12.855770110734879</v>
      </c>
      <c r="N123" s="219">
        <v>12.793144752602966</v>
      </c>
      <c r="O123" s="219">
        <v>12.602368866328259</v>
      </c>
      <c r="P123" s="219">
        <v>12.917469692259868</v>
      </c>
      <c r="Q123" s="219">
        <v>12.793168059959642</v>
      </c>
      <c r="R123" s="219">
        <v>12.587094422165512</v>
      </c>
      <c r="S123" s="219">
        <v>12.367601980664938</v>
      </c>
      <c r="T123" s="61">
        <f t="shared" si="21"/>
        <v>-0.83410110746474331</v>
      </c>
      <c r="U123" s="61">
        <f t="shared" si="22"/>
        <v>-0.23476688566332093</v>
      </c>
      <c r="V123" s="214">
        <f t="shared" si="23"/>
        <v>-0.21949244150057368</v>
      </c>
    </row>
    <row r="124" spans="1:22" ht="15" customHeight="1" x14ac:dyDescent="0.2">
      <c r="A124" s="34" t="s">
        <v>163</v>
      </c>
      <c r="B124" s="219">
        <v>13.017036905920879</v>
      </c>
      <c r="C124" s="62">
        <v>12.916153912817402</v>
      </c>
      <c r="D124" s="219">
        <v>12.75256312165264</v>
      </c>
      <c r="E124" s="219">
        <v>12.720668931277764</v>
      </c>
      <c r="F124" s="219">
        <v>12.470059672495141</v>
      </c>
      <c r="G124" s="219">
        <v>12.436365984373991</v>
      </c>
      <c r="H124" s="219">
        <v>12.298471417206501</v>
      </c>
      <c r="I124" s="219">
        <v>12.27162477325732</v>
      </c>
      <c r="J124" s="219">
        <v>12.262414018175429</v>
      </c>
      <c r="K124" s="219">
        <v>12.247007724389825</v>
      </c>
      <c r="L124" s="219">
        <v>12.130064399502881</v>
      </c>
      <c r="M124" s="219">
        <v>12.118835301013146</v>
      </c>
      <c r="N124" s="219">
        <v>12.051787245612934</v>
      </c>
      <c r="O124" s="219">
        <v>11.913903399726234</v>
      </c>
      <c r="P124" s="219">
        <v>12.160100514621091</v>
      </c>
      <c r="Q124" s="219">
        <v>11.916314857687594</v>
      </c>
      <c r="R124" s="219">
        <v>11.934382570746207</v>
      </c>
      <c r="S124" s="219">
        <v>11.73264331210191</v>
      </c>
      <c r="T124" s="61">
        <f t="shared" si="21"/>
        <v>-0.52977070607351884</v>
      </c>
      <c r="U124" s="61">
        <f t="shared" si="22"/>
        <v>-0.18126008762432377</v>
      </c>
      <c r="V124" s="214">
        <f t="shared" si="23"/>
        <v>-0.20173925864429698</v>
      </c>
    </row>
    <row r="125" spans="1:22" ht="15" customHeight="1" x14ac:dyDescent="0.2">
      <c r="A125" s="34" t="s">
        <v>288</v>
      </c>
      <c r="B125" s="219">
        <v>10.476868327402135</v>
      </c>
      <c r="C125" s="62">
        <v>10.097643097643095</v>
      </c>
      <c r="D125" s="219">
        <v>10.519396551724142</v>
      </c>
      <c r="E125" s="219">
        <v>11.027422303473488</v>
      </c>
      <c r="F125" s="219">
        <v>10.561128526645767</v>
      </c>
      <c r="G125" s="219">
        <v>10.406158357771259</v>
      </c>
      <c r="H125" s="219">
        <v>9.9986449864498645</v>
      </c>
      <c r="I125" s="219">
        <v>10.137634408602155</v>
      </c>
      <c r="J125" s="219">
        <v>10.289529163738584</v>
      </c>
      <c r="K125" s="219">
        <v>10.375</v>
      </c>
      <c r="L125" s="219">
        <v>10.498946259220224</v>
      </c>
      <c r="M125" s="219">
        <v>10.421936758893279</v>
      </c>
      <c r="N125" s="219">
        <v>10.459486663311527</v>
      </c>
      <c r="O125" s="219">
        <v>10.536715620827767</v>
      </c>
      <c r="P125" s="219">
        <v>11.031697341513292</v>
      </c>
      <c r="Q125" s="219">
        <v>11.099103350637092</v>
      </c>
      <c r="R125" s="219">
        <v>10.981827899518976</v>
      </c>
      <c r="S125" s="219">
        <v>10.978733687771864</v>
      </c>
      <c r="T125" s="61">
        <f t="shared" si="21"/>
        <v>0.68920452403328092</v>
      </c>
      <c r="U125" s="61">
        <f t="shared" si="22"/>
        <v>0.4420180669440974</v>
      </c>
      <c r="V125" s="214">
        <f t="shared" si="23"/>
        <v>-3.0942117471113306E-3</v>
      </c>
    </row>
    <row r="126" spans="1:22" ht="15" customHeight="1" x14ac:dyDescent="0.2">
      <c r="A126" s="34" t="s">
        <v>182</v>
      </c>
      <c r="B126" s="219">
        <v>12.960048426150124</v>
      </c>
      <c r="C126" s="62">
        <v>12.483987603305778</v>
      </c>
      <c r="D126" s="219">
        <v>12.099874108266896</v>
      </c>
      <c r="E126" s="219">
        <v>12.406196213425133</v>
      </c>
      <c r="F126" s="219">
        <v>12.442704039571316</v>
      </c>
      <c r="G126" s="219">
        <v>12.100894454382827</v>
      </c>
      <c r="H126" s="219">
        <v>12.137463697967084</v>
      </c>
      <c r="I126" s="219">
        <v>12.260292898590771</v>
      </c>
      <c r="J126" s="219">
        <v>12.291967044284243</v>
      </c>
      <c r="K126" s="219">
        <v>12.163373860182373</v>
      </c>
      <c r="L126" s="219">
        <v>12.255336179295623</v>
      </c>
      <c r="M126" s="219">
        <v>12.034497912546692</v>
      </c>
      <c r="N126" s="219">
        <v>12.198378743526234</v>
      </c>
      <c r="O126" s="219">
        <v>11.953823088455772</v>
      </c>
      <c r="P126" s="219">
        <v>12.450440528634358</v>
      </c>
      <c r="Q126" s="219">
        <v>12.315398287283893</v>
      </c>
      <c r="R126" s="219">
        <v>12.06444906444907</v>
      </c>
      <c r="S126" s="219">
        <v>12.10978300845899</v>
      </c>
      <c r="T126" s="61">
        <f t="shared" si="21"/>
        <v>-0.18218403582525333</v>
      </c>
      <c r="U126" s="61">
        <f t="shared" si="22"/>
        <v>0.15595992000321779</v>
      </c>
      <c r="V126" s="214">
        <f t="shared" si="23"/>
        <v>4.5333944009920302E-2</v>
      </c>
    </row>
    <row r="127" spans="1:22" ht="15" customHeight="1" x14ac:dyDescent="0.2">
      <c r="A127" s="34" t="s">
        <v>183</v>
      </c>
      <c r="B127" s="219">
        <v>10.702791461412152</v>
      </c>
      <c r="C127" s="62">
        <v>12.747572815533976</v>
      </c>
      <c r="D127" s="219">
        <v>12.151162790697674</v>
      </c>
      <c r="E127" s="219">
        <v>12.073170731707316</v>
      </c>
      <c r="F127" s="219">
        <v>11.868087941372414</v>
      </c>
      <c r="G127" s="219">
        <v>11.953277545327749</v>
      </c>
      <c r="H127" s="219">
        <v>11.517784256559771</v>
      </c>
      <c r="I127" s="219">
        <v>11.261126005361939</v>
      </c>
      <c r="J127" s="219">
        <v>11.420556107249258</v>
      </c>
      <c r="K127" s="219">
        <v>11.263842079922966</v>
      </c>
      <c r="L127" s="219">
        <v>11.430361445783129</v>
      </c>
      <c r="M127" s="219">
        <v>11.455102934734995</v>
      </c>
      <c r="N127" s="219">
        <v>11.748832866479924</v>
      </c>
      <c r="O127" s="219">
        <v>11.819417475728162</v>
      </c>
      <c r="P127" s="219">
        <v>12.174299688750553</v>
      </c>
      <c r="Q127" s="219">
        <v>11.928075194115241</v>
      </c>
      <c r="R127" s="219">
        <v>11.589722675367049</v>
      </c>
      <c r="S127" s="219">
        <v>11.710732984293196</v>
      </c>
      <c r="T127" s="61">
        <f t="shared" si="21"/>
        <v>0.29017687704393857</v>
      </c>
      <c r="U127" s="61">
        <f t="shared" si="22"/>
        <v>-0.10868449143496584</v>
      </c>
      <c r="V127" s="214">
        <f t="shared" si="23"/>
        <v>0.12101030892614695</v>
      </c>
    </row>
    <row r="128" spans="1:22" ht="15" customHeight="1" x14ac:dyDescent="0.2">
      <c r="A128" s="34" t="s">
        <v>184</v>
      </c>
      <c r="B128" s="219">
        <v>12.894570928196147</v>
      </c>
      <c r="C128" s="62">
        <v>12.818230563002681</v>
      </c>
      <c r="D128" s="219">
        <v>12.939536504617527</v>
      </c>
      <c r="E128" s="219">
        <v>12.847848898216156</v>
      </c>
      <c r="F128" s="219">
        <v>12.71410276932928</v>
      </c>
      <c r="G128" s="219">
        <v>12.507794178507382</v>
      </c>
      <c r="H128" s="219">
        <v>12.330815347721821</v>
      </c>
      <c r="I128" s="219">
        <v>12.393784589186888</v>
      </c>
      <c r="J128" s="219">
        <v>12.449117076656117</v>
      </c>
      <c r="K128" s="219">
        <v>12.389118051463369</v>
      </c>
      <c r="L128" s="219">
        <v>12.38438617401669</v>
      </c>
      <c r="M128" s="219">
        <v>12.642713842786796</v>
      </c>
      <c r="N128" s="219">
        <v>12.560730253353205</v>
      </c>
      <c r="O128" s="219">
        <v>12.516068559185856</v>
      </c>
      <c r="P128" s="219">
        <v>12.873773918636436</v>
      </c>
      <c r="Q128" s="219">
        <v>12.676037483266402</v>
      </c>
      <c r="R128" s="219">
        <v>12.510621495696123</v>
      </c>
      <c r="S128" s="219">
        <v>12.404239883927133</v>
      </c>
      <c r="T128" s="61">
        <f t="shared" si="21"/>
        <v>-4.4877192728984383E-2</v>
      </c>
      <c r="U128" s="61">
        <f t="shared" si="22"/>
        <v>-0.11182867525872275</v>
      </c>
      <c r="V128" s="214">
        <f t="shared" si="23"/>
        <v>-0.10638161176898997</v>
      </c>
    </row>
    <row r="129" spans="1:22" ht="15" customHeight="1" x14ac:dyDescent="0.2">
      <c r="A129" s="34" t="s">
        <v>185</v>
      </c>
      <c r="B129" s="219">
        <v>13.131147540983607</v>
      </c>
      <c r="C129" s="62">
        <v>13.095124851367419</v>
      </c>
      <c r="D129" s="219">
        <v>13.12958027981346</v>
      </c>
      <c r="E129" s="219">
        <v>12.80065573770492</v>
      </c>
      <c r="F129" s="219">
        <v>12.351139601139604</v>
      </c>
      <c r="G129" s="219">
        <v>12.304986338797814</v>
      </c>
      <c r="H129" s="219">
        <v>12.16953846153846</v>
      </c>
      <c r="I129" s="219">
        <v>12.285153374233126</v>
      </c>
      <c r="J129" s="219">
        <v>12.327510917030567</v>
      </c>
      <c r="K129" s="219">
        <v>12.133028687484135</v>
      </c>
      <c r="L129" s="219">
        <v>12.317471590909092</v>
      </c>
      <c r="M129" s="219">
        <v>12.284294664074311</v>
      </c>
      <c r="N129" s="219">
        <v>12.23575848090463</v>
      </c>
      <c r="O129" s="219">
        <v>12.017932833387675</v>
      </c>
      <c r="P129" s="219">
        <v>12.519122048553372</v>
      </c>
      <c r="Q129" s="219">
        <v>12.271546052631576</v>
      </c>
      <c r="R129" s="219">
        <v>12.236259682773889</v>
      </c>
      <c r="S129" s="219">
        <v>12.405055962948669</v>
      </c>
      <c r="T129" s="61">
        <f t="shared" si="21"/>
        <v>7.7545045918101962E-2</v>
      </c>
      <c r="U129" s="61">
        <f t="shared" si="22"/>
        <v>0.38712312956099382</v>
      </c>
      <c r="V129" s="214">
        <f t="shared" si="23"/>
        <v>0.16879628017477977</v>
      </c>
    </row>
    <row r="130" spans="1:22" ht="15" customHeight="1" x14ac:dyDescent="0.2">
      <c r="A130" s="34" t="s">
        <v>186</v>
      </c>
      <c r="B130" s="219">
        <v>15.514427860696523</v>
      </c>
      <c r="C130" s="62">
        <v>15.448113207547172</v>
      </c>
      <c r="D130" s="219">
        <v>14.697637795275584</v>
      </c>
      <c r="E130" s="219">
        <v>14.619230769230775</v>
      </c>
      <c r="F130" s="219">
        <v>14.461077844311372</v>
      </c>
      <c r="G130" s="219">
        <v>13.812163202463433</v>
      </c>
      <c r="H130" s="219">
        <v>14.321601941747568</v>
      </c>
      <c r="I130" s="219">
        <v>13.849414389291692</v>
      </c>
      <c r="J130" s="219">
        <v>13.31824146981627</v>
      </c>
      <c r="K130" s="219">
        <v>13.147791619479044</v>
      </c>
      <c r="L130" s="219">
        <v>12.916247906197659</v>
      </c>
      <c r="M130" s="219">
        <v>12.943021432305281</v>
      </c>
      <c r="N130" s="219">
        <v>13.015414258188827</v>
      </c>
      <c r="O130" s="219">
        <v>12.592926045016075</v>
      </c>
      <c r="P130" s="219">
        <v>13.050448909790507</v>
      </c>
      <c r="Q130" s="219">
        <v>13.342713955281418</v>
      </c>
      <c r="R130" s="219">
        <v>13.471794871794868</v>
      </c>
      <c r="S130" s="219">
        <v>13.147872340425533</v>
      </c>
      <c r="T130" s="61">
        <f t="shared" si="21"/>
        <v>-0.17036912939073723</v>
      </c>
      <c r="U130" s="61">
        <f t="shared" si="22"/>
        <v>0.55494629540945795</v>
      </c>
      <c r="V130" s="214">
        <f t="shared" si="23"/>
        <v>-0.32392253136933569</v>
      </c>
    </row>
    <row r="131" spans="1:22" ht="15" customHeight="1" x14ac:dyDescent="0.2">
      <c r="A131" s="34" t="s">
        <v>187</v>
      </c>
      <c r="B131" s="219">
        <v>11.736062717770031</v>
      </c>
      <c r="C131" s="62">
        <v>11.961904761904758</v>
      </c>
      <c r="D131" s="219">
        <v>12.190258751902586</v>
      </c>
      <c r="E131" s="219">
        <v>12.354215003866972</v>
      </c>
      <c r="F131" s="219">
        <v>12.0109249817917</v>
      </c>
      <c r="G131" s="219">
        <v>11.732402559627692</v>
      </c>
      <c r="H131" s="219">
        <v>12.182365826944141</v>
      </c>
      <c r="I131" s="219">
        <v>11.837309160305344</v>
      </c>
      <c r="J131" s="219">
        <v>12.033527696793007</v>
      </c>
      <c r="K131" s="219">
        <v>11.958754549130608</v>
      </c>
      <c r="L131" s="219">
        <v>11.920723226703753</v>
      </c>
      <c r="M131" s="219">
        <v>11.957692307692305</v>
      </c>
      <c r="N131" s="219">
        <v>11.967730742539903</v>
      </c>
      <c r="O131" s="219">
        <v>11.848101265822786</v>
      </c>
      <c r="P131" s="219">
        <v>12.095894516032367</v>
      </c>
      <c r="Q131" s="219">
        <v>12.257654534950895</v>
      </c>
      <c r="R131" s="219">
        <v>11.787855495772481</v>
      </c>
      <c r="S131" s="219">
        <v>11.68778801843318</v>
      </c>
      <c r="T131" s="61">
        <f t="shared" si="21"/>
        <v>-0.345739678359827</v>
      </c>
      <c r="U131" s="61">
        <f t="shared" si="22"/>
        <v>-0.16031324738960606</v>
      </c>
      <c r="V131" s="214">
        <f t="shared" si="23"/>
        <v>-0.10006747733930155</v>
      </c>
    </row>
    <row r="132" spans="1:22" ht="15" customHeight="1" x14ac:dyDescent="0.2">
      <c r="A132" s="34" t="s">
        <v>188</v>
      </c>
      <c r="B132" s="219">
        <v>10.696428571428573</v>
      </c>
      <c r="C132" s="62">
        <v>11</v>
      </c>
      <c r="D132" s="219">
        <v>10.777777777777779</v>
      </c>
      <c r="E132" s="219">
        <v>10.836734693877553</v>
      </c>
      <c r="F132" s="219">
        <v>10.687499999999988</v>
      </c>
      <c r="G132" s="219">
        <v>9.2307692307692299</v>
      </c>
      <c r="H132" s="219">
        <v>9.9655172413793096</v>
      </c>
      <c r="I132" s="219">
        <v>10.451612903225806</v>
      </c>
      <c r="J132" s="219">
        <v>10.308510638297868</v>
      </c>
      <c r="K132" s="219">
        <v>10.933333333333335</v>
      </c>
      <c r="L132" s="219">
        <v>10.302752293577976</v>
      </c>
      <c r="M132" s="219">
        <v>10.182926829268293</v>
      </c>
      <c r="N132" s="219">
        <v>11.671641791044777</v>
      </c>
      <c r="O132" s="219">
        <v>11.080645161290326</v>
      </c>
      <c r="P132" s="219">
        <v>10.754966887417218</v>
      </c>
      <c r="Q132" s="219">
        <v>11.210526315789464</v>
      </c>
      <c r="R132" s="219">
        <v>10.989010989010994</v>
      </c>
      <c r="S132" s="219">
        <v>11.548611111111107</v>
      </c>
      <c r="T132" s="61">
        <f t="shared" si="21"/>
        <v>1.2401004728132392</v>
      </c>
      <c r="U132" s="61">
        <f t="shared" si="22"/>
        <v>0.46796594982078155</v>
      </c>
      <c r="V132" s="214">
        <f t="shared" si="23"/>
        <v>0.55960012210011278</v>
      </c>
    </row>
    <row r="133" spans="1:22" ht="15" customHeight="1" x14ac:dyDescent="0.2">
      <c r="A133" s="34" t="s">
        <v>189</v>
      </c>
      <c r="B133" s="219">
        <v>12.407894736842099</v>
      </c>
      <c r="C133" s="62">
        <v>12.065963060686029</v>
      </c>
      <c r="D133" s="219">
        <v>12.031791907514446</v>
      </c>
      <c r="E133" s="219">
        <v>12.215938303341904</v>
      </c>
      <c r="F133" s="219">
        <v>12.980686695278971</v>
      </c>
      <c r="G133" s="219">
        <v>12.175531914893622</v>
      </c>
      <c r="H133" s="219">
        <v>12.090047393364934</v>
      </c>
      <c r="I133" s="219">
        <v>12.312796208530806</v>
      </c>
      <c r="J133" s="219">
        <v>12.432242990654206</v>
      </c>
      <c r="K133" s="219">
        <v>11.330330330330328</v>
      </c>
      <c r="L133" s="219">
        <v>12.074999999999994</v>
      </c>
      <c r="M133" s="219">
        <v>11.747232472324725</v>
      </c>
      <c r="N133" s="219">
        <v>11.924398625429554</v>
      </c>
      <c r="O133" s="219">
        <v>11.259259259259249</v>
      </c>
      <c r="P133" s="219">
        <v>11.86909871244635</v>
      </c>
      <c r="Q133" s="219">
        <v>12.099999999999998</v>
      </c>
      <c r="R133" s="219">
        <v>11.731843575418994</v>
      </c>
      <c r="S133" s="219">
        <v>12.067982456140349</v>
      </c>
      <c r="T133" s="61">
        <f t="shared" si="21"/>
        <v>-0.36426053451385698</v>
      </c>
      <c r="U133" s="61">
        <f t="shared" si="22"/>
        <v>0.80872319688110039</v>
      </c>
      <c r="V133" s="214">
        <f t="shared" si="23"/>
        <v>0.33613888072135545</v>
      </c>
    </row>
    <row r="134" spans="1:22" ht="15" customHeight="1" x14ac:dyDescent="0.2">
      <c r="A134" s="42" t="s">
        <v>6</v>
      </c>
      <c r="B134" s="215">
        <v>7.0364532972345772</v>
      </c>
      <c r="C134" s="215">
        <v>6.5633354551241245</v>
      </c>
      <c r="D134" s="215">
        <v>6.5537520244736367</v>
      </c>
      <c r="E134" s="215">
        <v>6.8149992220320526</v>
      </c>
      <c r="F134" s="215">
        <v>6.6448289738430582</v>
      </c>
      <c r="G134" s="215">
        <v>6.5616306632675876</v>
      </c>
      <c r="H134" s="215">
        <v>6.7085045595084338</v>
      </c>
      <c r="I134" s="215">
        <v>6.5523957997347955</v>
      </c>
      <c r="J134" s="215">
        <v>6.3964894886055559</v>
      </c>
      <c r="K134" s="215">
        <v>6.3397363037053873</v>
      </c>
      <c r="L134" s="215">
        <v>6.2728333450481477</v>
      </c>
      <c r="M134" s="215">
        <v>6.5120528667362283</v>
      </c>
      <c r="N134" s="215">
        <v>6.2869238130682117</v>
      </c>
      <c r="O134" s="215">
        <v>6.3812144373673032</v>
      </c>
      <c r="P134" s="215">
        <v>6.5840687795180877</v>
      </c>
      <c r="Q134" s="215">
        <v>6.5458421882498117</v>
      </c>
      <c r="R134" s="215">
        <v>6.4232814892416794</v>
      </c>
      <c r="S134" s="215">
        <v>6.1907403005572723</v>
      </c>
      <c r="T134" s="212">
        <f t="shared" si="21"/>
        <v>-0.20574918804828357</v>
      </c>
      <c r="U134" s="212">
        <f t="shared" si="22"/>
        <v>-0.19047413681003089</v>
      </c>
      <c r="V134" s="216">
        <f t="shared" si="23"/>
        <v>-0.2325411886844071</v>
      </c>
    </row>
    <row r="135" spans="1:22" ht="15" customHeight="1" x14ac:dyDescent="0.2">
      <c r="A135" s="34" t="s">
        <v>176</v>
      </c>
      <c r="B135" s="219">
        <v>6.8622950819672131</v>
      </c>
      <c r="C135" s="219">
        <v>6.766381766381766</v>
      </c>
      <c r="D135" s="219">
        <v>6.6331360946745566</v>
      </c>
      <c r="E135" s="219">
        <v>6.8869257950530027</v>
      </c>
      <c r="F135" s="219">
        <v>6.4052757793764989</v>
      </c>
      <c r="G135" s="219">
        <v>6.672597864768683</v>
      </c>
      <c r="H135" s="219">
        <v>6.5202398800599699</v>
      </c>
      <c r="I135" s="219">
        <v>6.6357947434292868</v>
      </c>
      <c r="J135" s="219">
        <v>6.454954954954955</v>
      </c>
      <c r="K135" s="219">
        <v>6.5973659454374411</v>
      </c>
      <c r="L135" s="219">
        <v>6.384680134680135</v>
      </c>
      <c r="M135" s="219">
        <v>6.4494640122511484</v>
      </c>
      <c r="N135" s="219">
        <v>6.3844566712517192</v>
      </c>
      <c r="O135" s="219">
        <v>6.6144067796610173</v>
      </c>
      <c r="P135" s="219">
        <v>7.0448343079922031</v>
      </c>
      <c r="Q135" s="219">
        <v>6.9245647969052229</v>
      </c>
      <c r="R135" s="219">
        <v>6.5111940298507465</v>
      </c>
      <c r="S135" s="219">
        <v>6.3074324324324325</v>
      </c>
      <c r="T135" s="61">
        <f t="shared" si="21"/>
        <v>-0.14752252252252251</v>
      </c>
      <c r="U135" s="61">
        <f t="shared" si="22"/>
        <v>-0.30697434722858485</v>
      </c>
      <c r="V135" s="214">
        <f t="shared" si="23"/>
        <v>-0.20376159741831401</v>
      </c>
    </row>
    <row r="136" spans="1:22" ht="15" customHeight="1" x14ac:dyDescent="0.2">
      <c r="A136" s="34" t="s">
        <v>177</v>
      </c>
      <c r="B136" s="219">
        <v>8.0260223048327131</v>
      </c>
      <c r="C136" s="219">
        <v>6.949704142011834</v>
      </c>
      <c r="D136" s="219">
        <v>6.8772563176895307</v>
      </c>
      <c r="E136" s="219">
        <v>7.8316831683168324</v>
      </c>
      <c r="F136" s="219">
        <v>6.5489510489510492</v>
      </c>
      <c r="G136" s="219">
        <v>6.6081730769230766</v>
      </c>
      <c r="H136" s="219">
        <v>6.8012684989429175</v>
      </c>
      <c r="I136" s="219">
        <v>6.705636743215031</v>
      </c>
      <c r="J136" s="219">
        <v>6.7089871611982881</v>
      </c>
      <c r="K136" s="219">
        <v>6.4782135076252727</v>
      </c>
      <c r="L136" s="219">
        <v>6.4216614090431126</v>
      </c>
      <c r="M136" s="219">
        <v>6.6935797665369652</v>
      </c>
      <c r="N136" s="219">
        <v>6.6352015732546707</v>
      </c>
      <c r="O136" s="219">
        <v>6.4205479452054792</v>
      </c>
      <c r="P136" s="219">
        <v>6.6164901664145237</v>
      </c>
      <c r="Q136" s="219">
        <v>6.6246376811594203</v>
      </c>
      <c r="R136" s="219">
        <v>6.9774545454545454</v>
      </c>
      <c r="S136" s="219">
        <v>6.5292901447277742</v>
      </c>
      <c r="T136" s="61">
        <f t="shared" si="21"/>
        <v>-0.17969701647051384</v>
      </c>
      <c r="U136" s="61">
        <f t="shared" si="22"/>
        <v>0.10874219952229502</v>
      </c>
      <c r="V136" s="214">
        <f t="shared" si="23"/>
        <v>-0.44816440072677111</v>
      </c>
    </row>
    <row r="137" spans="1:22" ht="15" customHeight="1" x14ac:dyDescent="0.2">
      <c r="A137" s="34" t="s">
        <v>178</v>
      </c>
      <c r="B137" s="219">
        <v>7.1267427122940434</v>
      </c>
      <c r="C137" s="219">
        <v>6.8673835125448033</v>
      </c>
      <c r="D137" s="219">
        <v>6.6346368715083797</v>
      </c>
      <c r="E137" s="219">
        <v>6.8004640371229694</v>
      </c>
      <c r="F137" s="219">
        <v>6.8018575851393193</v>
      </c>
      <c r="G137" s="219">
        <v>6.709677419354839</v>
      </c>
      <c r="H137" s="219">
        <v>6.9773722627737227</v>
      </c>
      <c r="I137" s="219">
        <v>6.676904176904177</v>
      </c>
      <c r="J137" s="219">
        <v>6.3986420950533462</v>
      </c>
      <c r="K137" s="219">
        <v>6.4638783269961966</v>
      </c>
      <c r="L137" s="219">
        <v>6.4625228519195614</v>
      </c>
      <c r="M137" s="219">
        <v>6.5678478824546236</v>
      </c>
      <c r="N137" s="219">
        <v>6.4975071225071224</v>
      </c>
      <c r="O137" s="219">
        <v>6.5186321788689172</v>
      </c>
      <c r="P137" s="219">
        <v>6.5621621621621617</v>
      </c>
      <c r="Q137" s="219">
        <v>6.6520979020979025</v>
      </c>
      <c r="R137" s="219">
        <v>6.6698446327683616</v>
      </c>
      <c r="S137" s="219">
        <v>6.3553840499816241</v>
      </c>
      <c r="T137" s="61">
        <f t="shared" si="21"/>
        <v>-4.3258045071722151E-2</v>
      </c>
      <c r="U137" s="61">
        <f t="shared" si="22"/>
        <v>-0.16324812888729312</v>
      </c>
      <c r="V137" s="214">
        <f t="shared" si="23"/>
        <v>-0.3144605827867375</v>
      </c>
    </row>
    <row r="138" spans="1:22" ht="15" customHeight="1" x14ac:dyDescent="0.2">
      <c r="A138" s="34" t="s">
        <v>179</v>
      </c>
      <c r="B138" s="219">
        <v>7.8363636363636378</v>
      </c>
      <c r="C138" s="219">
        <v>8.1330049261083737</v>
      </c>
      <c r="D138" s="219">
        <v>7.546742209631728</v>
      </c>
      <c r="E138" s="219">
        <v>8.1198979591836729</v>
      </c>
      <c r="F138" s="219">
        <v>7.3176795580110507</v>
      </c>
      <c r="G138" s="219">
        <v>6.7878192534381139</v>
      </c>
      <c r="H138" s="219">
        <v>7.4386503067484666</v>
      </c>
      <c r="I138" s="219">
        <v>7</v>
      </c>
      <c r="J138" s="219">
        <v>6.7705570291777191</v>
      </c>
      <c r="K138" s="219">
        <v>7.0158061116965218</v>
      </c>
      <c r="L138" s="219">
        <v>6.7266355140186915</v>
      </c>
      <c r="M138" s="219">
        <v>6.5622222222222222</v>
      </c>
      <c r="N138" s="219">
        <v>6.7085714285714273</v>
      </c>
      <c r="O138" s="219">
        <v>6.4261811023622064</v>
      </c>
      <c r="P138" s="219">
        <v>6.6897759103641459</v>
      </c>
      <c r="Q138" s="219">
        <v>6.6057619408642907</v>
      </c>
      <c r="R138" s="219">
        <v>6.5492359932088284</v>
      </c>
      <c r="S138" s="219">
        <v>6.1226831421006178</v>
      </c>
      <c r="T138" s="61">
        <f t="shared" si="21"/>
        <v>-0.64787388707710125</v>
      </c>
      <c r="U138" s="61">
        <f t="shared" si="22"/>
        <v>-0.3034979602615886</v>
      </c>
      <c r="V138" s="214">
        <f t="shared" si="23"/>
        <v>-0.42655285110821062</v>
      </c>
    </row>
    <row r="139" spans="1:22" ht="15" customHeight="1" x14ac:dyDescent="0.2">
      <c r="A139" s="34" t="s">
        <v>180</v>
      </c>
      <c r="B139" s="219">
        <v>7.2590090090090094</v>
      </c>
      <c r="C139" s="219">
        <v>6.8636363636363633</v>
      </c>
      <c r="D139" s="219">
        <v>6.5066037735849056</v>
      </c>
      <c r="E139" s="219">
        <v>7.1393568147013786</v>
      </c>
      <c r="F139" s="219">
        <v>6.7590808005930318</v>
      </c>
      <c r="G139" s="219">
        <v>6.7525252525252526</v>
      </c>
      <c r="H139" s="219">
        <v>7.0972602739726032</v>
      </c>
      <c r="I139" s="219">
        <v>6.6231203007518795</v>
      </c>
      <c r="J139" s="219">
        <v>6.7552149851000429</v>
      </c>
      <c r="K139" s="219">
        <v>6.7555720653789004</v>
      </c>
      <c r="L139" s="219">
        <v>6.785089254462723</v>
      </c>
      <c r="M139" s="219">
        <v>6.7553422112109009</v>
      </c>
      <c r="N139" s="219">
        <v>6.5584627964022895</v>
      </c>
      <c r="O139" s="219">
        <v>6.7093942054433713</v>
      </c>
      <c r="P139" s="219">
        <v>6.8524317912218269</v>
      </c>
      <c r="Q139" s="219">
        <v>6.6480532786885247</v>
      </c>
      <c r="R139" s="219">
        <v>6.4804106998108617</v>
      </c>
      <c r="S139" s="219">
        <v>6.2433920704845818</v>
      </c>
      <c r="T139" s="61">
        <f t="shared" si="21"/>
        <v>-0.51182291461546114</v>
      </c>
      <c r="U139" s="61">
        <f t="shared" si="22"/>
        <v>-0.4660021349587895</v>
      </c>
      <c r="V139" s="214">
        <f t="shared" si="23"/>
        <v>-0.23701862932627993</v>
      </c>
    </row>
    <row r="140" spans="1:22" ht="15" customHeight="1" x14ac:dyDescent="0.2">
      <c r="A140" s="34" t="s">
        <v>181</v>
      </c>
      <c r="B140" s="219">
        <v>7.8726608854404381</v>
      </c>
      <c r="C140" s="219">
        <v>7.258364953432217</v>
      </c>
      <c r="D140" s="219">
        <v>7.2384266263237516</v>
      </c>
      <c r="E140" s="219">
        <v>7.4373673036093404</v>
      </c>
      <c r="F140" s="219">
        <v>7.2770848618244068</v>
      </c>
      <c r="G140" s="219">
        <v>6.9745669001105783</v>
      </c>
      <c r="H140" s="219">
        <v>7.1236323851203505</v>
      </c>
      <c r="I140" s="219">
        <v>6.9605379840378365</v>
      </c>
      <c r="J140" s="219">
        <v>6.7468179302711677</v>
      </c>
      <c r="K140" s="219">
        <v>6.5567151881351275</v>
      </c>
      <c r="L140" s="219">
        <v>6.538352638352638</v>
      </c>
      <c r="M140" s="219">
        <v>6.966551326412918</v>
      </c>
      <c r="N140" s="219">
        <v>6.586986490212297</v>
      </c>
      <c r="O140" s="219">
        <v>6.5348016139878951</v>
      </c>
      <c r="P140" s="219">
        <v>6.7397348436092157</v>
      </c>
      <c r="Q140" s="219">
        <v>6.7906467405307911</v>
      </c>
      <c r="R140" s="219">
        <v>6.4452958705832266</v>
      </c>
      <c r="S140" s="219">
        <v>6.2077387486278814</v>
      </c>
      <c r="T140" s="61">
        <f t="shared" si="21"/>
        <v>-0.53907918164328628</v>
      </c>
      <c r="U140" s="61">
        <f t="shared" si="22"/>
        <v>-0.32706286536001361</v>
      </c>
      <c r="V140" s="214">
        <f t="shared" si="23"/>
        <v>-0.23755712195534517</v>
      </c>
    </row>
    <row r="141" spans="1:22" ht="15" customHeight="1" x14ac:dyDescent="0.2">
      <c r="A141" s="34" t="s">
        <v>163</v>
      </c>
      <c r="B141" s="219">
        <v>6.9410679275746743</v>
      </c>
      <c r="C141" s="219">
        <v>6.53437876960193</v>
      </c>
      <c r="D141" s="219">
        <v>6.5742982013783831</v>
      </c>
      <c r="E141" s="219">
        <v>6.7856032719836401</v>
      </c>
      <c r="F141" s="219">
        <v>6.5807299444477634</v>
      </c>
      <c r="G141" s="219">
        <v>6.5533931118809861</v>
      </c>
      <c r="H141" s="219">
        <v>6.5601183701343047</v>
      </c>
      <c r="I141" s="219">
        <v>6.4598785655003716</v>
      </c>
      <c r="J141" s="219">
        <v>6.329891079033656</v>
      </c>
      <c r="K141" s="219">
        <v>6.2116678346180798</v>
      </c>
      <c r="L141" s="219">
        <v>6.1626981380217343</v>
      </c>
      <c r="M141" s="219">
        <v>6.5808333882771803</v>
      </c>
      <c r="N141" s="219">
        <v>6.2622046707973036</v>
      </c>
      <c r="O141" s="219">
        <v>6.4081941715782582</v>
      </c>
      <c r="P141" s="219">
        <v>6.6173060608916954</v>
      </c>
      <c r="Q141" s="219">
        <v>6.5465088433512371</v>
      </c>
      <c r="R141" s="219">
        <v>6.3637269556552072</v>
      </c>
      <c r="S141" s="219">
        <v>6.1954707985697262</v>
      </c>
      <c r="T141" s="61">
        <f t="shared" si="21"/>
        <v>-0.13442028046392984</v>
      </c>
      <c r="U141" s="61">
        <f t="shared" si="22"/>
        <v>-0.21272337300853206</v>
      </c>
      <c r="V141" s="214">
        <f t="shared" si="23"/>
        <v>-0.16825615708548103</v>
      </c>
    </row>
    <row r="142" spans="1:22" ht="15" customHeight="1" x14ac:dyDescent="0.2">
      <c r="A142" s="34" t="s">
        <v>289</v>
      </c>
      <c r="B142" s="219">
        <v>6.3556561085972847</v>
      </c>
      <c r="C142" s="219">
        <v>5.8862718707940784</v>
      </c>
      <c r="D142" s="219">
        <v>5.7671641791044772</v>
      </c>
      <c r="E142" s="219">
        <v>6.1603630862329801</v>
      </c>
      <c r="F142" s="219">
        <v>6.1683377308707126</v>
      </c>
      <c r="G142" s="219">
        <v>6.0935672514619883</v>
      </c>
      <c r="H142" s="219">
        <v>6.634976525821596</v>
      </c>
      <c r="I142" s="219">
        <v>6.0912547528517109</v>
      </c>
      <c r="J142" s="219">
        <v>6.0127011007620661</v>
      </c>
      <c r="K142" s="219">
        <v>5.9904145698538223</v>
      </c>
      <c r="L142" s="219">
        <v>6.1942548350398177</v>
      </c>
      <c r="M142" s="219">
        <v>6.1275989746510966</v>
      </c>
      <c r="N142" s="219">
        <v>6.1529381575570952</v>
      </c>
      <c r="O142" s="219">
        <v>6.3441762854144805</v>
      </c>
      <c r="P142" s="219">
        <v>6.4059727971614429</v>
      </c>
      <c r="Q142" s="219">
        <v>6.4854827819041185</v>
      </c>
      <c r="R142" s="219">
        <v>6.4159323228762775</v>
      </c>
      <c r="S142" s="219">
        <v>6.2125124131082421</v>
      </c>
      <c r="T142" s="61">
        <f t="shared" si="21"/>
        <v>0.199811312346176</v>
      </c>
      <c r="U142" s="61">
        <f t="shared" si="22"/>
        <v>-0.13166387230623844</v>
      </c>
      <c r="V142" s="214">
        <f t="shared" si="23"/>
        <v>-0.20341990976803537</v>
      </c>
    </row>
    <row r="143" spans="1:22" ht="15" customHeight="1" x14ac:dyDescent="0.2">
      <c r="A143" s="34" t="s">
        <v>182</v>
      </c>
      <c r="B143" s="219">
        <v>6.7556029882604065</v>
      </c>
      <c r="C143" s="219">
        <v>6.0878186968838524</v>
      </c>
      <c r="D143" s="219">
        <v>6.2205761316872428</v>
      </c>
      <c r="E143" s="219">
        <v>6.6310344827586203</v>
      </c>
      <c r="F143" s="219">
        <v>6.7608566329565738</v>
      </c>
      <c r="G143" s="219">
        <v>6.6774661508704058</v>
      </c>
      <c r="H143" s="219">
        <v>6.8796728971962615</v>
      </c>
      <c r="I143" s="219">
        <v>6.8469044414535665</v>
      </c>
      <c r="J143" s="219">
        <v>6.6369047619047619</v>
      </c>
      <c r="K143" s="219">
        <v>6.5552812071330591</v>
      </c>
      <c r="L143" s="219">
        <v>6.4714285714285715</v>
      </c>
      <c r="M143" s="219">
        <v>6.5450774336283182</v>
      </c>
      <c r="N143" s="219">
        <v>6.2457314259344718</v>
      </c>
      <c r="O143" s="219">
        <v>6.2250690781210753</v>
      </c>
      <c r="P143" s="219">
        <v>6.3232497839239414</v>
      </c>
      <c r="Q143" s="219">
        <v>6.1923245614035087</v>
      </c>
      <c r="R143" s="219">
        <v>6.1632893496701229</v>
      </c>
      <c r="S143" s="219">
        <v>6.1626126126126124</v>
      </c>
      <c r="T143" s="61">
        <f t="shared" si="21"/>
        <v>-0.47429214929214947</v>
      </c>
      <c r="U143" s="61">
        <f t="shared" si="22"/>
        <v>-6.2456465508462955E-2</v>
      </c>
      <c r="V143" s="214">
        <f t="shared" si="23"/>
        <v>-6.7673705751047919E-4</v>
      </c>
    </row>
    <row r="144" spans="1:22" ht="15" customHeight="1" x14ac:dyDescent="0.2">
      <c r="A144" s="34" t="s">
        <v>183</v>
      </c>
      <c r="B144" s="219">
        <v>6.8283093053735255</v>
      </c>
      <c r="C144" s="219">
        <v>5.8888888888888893</v>
      </c>
      <c r="D144" s="219">
        <v>5.6342141863699586</v>
      </c>
      <c r="E144" s="219">
        <v>6.0978886756238015</v>
      </c>
      <c r="F144" s="219">
        <v>6.0917431192660549</v>
      </c>
      <c r="G144" s="219">
        <v>5.9832460732984289</v>
      </c>
      <c r="H144" s="219">
        <v>6.2428687856560714</v>
      </c>
      <c r="I144" s="219">
        <v>6.3883892068683563</v>
      </c>
      <c r="J144" s="219">
        <v>6.1807228915662646</v>
      </c>
      <c r="K144" s="219">
        <v>6.1454150841020079</v>
      </c>
      <c r="L144" s="219">
        <v>5.9740820734341247</v>
      </c>
      <c r="M144" s="219">
        <v>5.9911041339612758</v>
      </c>
      <c r="N144" s="219">
        <v>5.9344000000000001</v>
      </c>
      <c r="O144" s="219">
        <v>6.0659133709981168</v>
      </c>
      <c r="P144" s="219">
        <v>6.5125881168177244</v>
      </c>
      <c r="Q144" s="219">
        <v>6.5231231231231241</v>
      </c>
      <c r="R144" s="219">
        <v>6.3857566765578637</v>
      </c>
      <c r="S144" s="219">
        <v>6.2327868852459014</v>
      </c>
      <c r="T144" s="61">
        <f t="shared" si="21"/>
        <v>5.2063993679636766E-2</v>
      </c>
      <c r="U144" s="61">
        <f t="shared" si="22"/>
        <v>0.16687351424778463</v>
      </c>
      <c r="V144" s="214">
        <f t="shared" si="23"/>
        <v>-0.15296979131196231</v>
      </c>
    </row>
    <row r="145" spans="1:22" ht="15" customHeight="1" x14ac:dyDescent="0.2">
      <c r="A145" s="34" t="s">
        <v>184</v>
      </c>
      <c r="B145" s="219">
        <v>6.9075949367088612</v>
      </c>
      <c r="C145" s="219">
        <v>6.5284866468842733</v>
      </c>
      <c r="D145" s="219">
        <v>6.4653085326247419</v>
      </c>
      <c r="E145" s="219">
        <v>6.5542091836734695</v>
      </c>
      <c r="F145" s="219">
        <v>6.4696205308181618</v>
      </c>
      <c r="G145" s="219">
        <v>6.2794836690788198</v>
      </c>
      <c r="H145" s="219">
        <v>6.6146685925212649</v>
      </c>
      <c r="I145" s="219">
        <v>6.4374152733845458</v>
      </c>
      <c r="J145" s="219">
        <v>6.2337980893364318</v>
      </c>
      <c r="K145" s="219">
        <v>6.2727153705158418</v>
      </c>
      <c r="L145" s="219">
        <v>6.0412050292543258</v>
      </c>
      <c r="M145" s="219">
        <v>6.1824269714813536</v>
      </c>
      <c r="N145" s="219">
        <v>6.0688721450435601</v>
      </c>
      <c r="O145" s="219">
        <v>6.1460785939313549</v>
      </c>
      <c r="P145" s="219">
        <v>6.2882106523040093</v>
      </c>
      <c r="Q145" s="219">
        <v>6.4120793112444563</v>
      </c>
      <c r="R145" s="219">
        <v>6.3128734383487233</v>
      </c>
      <c r="S145" s="219">
        <v>5.986160146871911</v>
      </c>
      <c r="T145" s="61">
        <f t="shared" si="21"/>
        <v>-0.24763794246452075</v>
      </c>
      <c r="U145" s="61">
        <f t="shared" si="22"/>
        <v>-0.15991844705944391</v>
      </c>
      <c r="V145" s="214">
        <f t="shared" si="23"/>
        <v>-0.32671329147681227</v>
      </c>
    </row>
    <row r="146" spans="1:22" ht="15" customHeight="1" x14ac:dyDescent="0.2">
      <c r="A146" s="34" t="s">
        <v>185</v>
      </c>
      <c r="B146" s="219">
        <v>7.0336817653890824</v>
      </c>
      <c r="C146" s="219">
        <v>6.4214285714285717</v>
      </c>
      <c r="D146" s="219">
        <v>6.4690189328743548</v>
      </c>
      <c r="E146" s="219">
        <v>6.8348717948717947</v>
      </c>
      <c r="F146" s="219">
        <v>6.5709322524609153</v>
      </c>
      <c r="G146" s="219">
        <v>6.5415887850467289</v>
      </c>
      <c r="H146" s="219">
        <v>6.5983967935871748</v>
      </c>
      <c r="I146" s="219">
        <v>6.3775474956822107</v>
      </c>
      <c r="J146" s="219">
        <v>6.2566636717580115</v>
      </c>
      <c r="K146" s="219">
        <v>6.3391082802547771</v>
      </c>
      <c r="L146" s="219">
        <v>6.1896800230614009</v>
      </c>
      <c r="M146" s="219">
        <v>6.3396377197655838</v>
      </c>
      <c r="N146" s="219">
        <v>6.1883597883597883</v>
      </c>
      <c r="O146" s="219">
        <v>6.1946095917558459</v>
      </c>
      <c r="P146" s="219">
        <v>6.6793212539545586</v>
      </c>
      <c r="Q146" s="219">
        <v>6.5918674698795181</v>
      </c>
      <c r="R146" s="219">
        <v>6.6537180910099893</v>
      </c>
      <c r="S146" s="219">
        <v>6.1258297258297256</v>
      </c>
      <c r="T146" s="61">
        <f t="shared" si="21"/>
        <v>-0.1308339459282859</v>
      </c>
      <c r="U146" s="61">
        <f t="shared" si="22"/>
        <v>-6.8779865926120287E-2</v>
      </c>
      <c r="V146" s="214">
        <f t="shared" si="23"/>
        <v>-0.52788836518026372</v>
      </c>
    </row>
    <row r="147" spans="1:22" ht="15" customHeight="1" x14ac:dyDescent="0.2">
      <c r="A147" s="34" t="s">
        <v>186</v>
      </c>
      <c r="B147" s="219">
        <v>6.8449612403100781</v>
      </c>
      <c r="C147" s="219">
        <v>5.9419889502762402</v>
      </c>
      <c r="D147" s="219">
        <v>6.4335443037974702</v>
      </c>
      <c r="E147" s="219">
        <v>7.3888888888888893</v>
      </c>
      <c r="F147" s="219">
        <v>6.5335463258785946</v>
      </c>
      <c r="G147" s="219">
        <v>6.66</v>
      </c>
      <c r="H147" s="219">
        <v>6.7186813186813179</v>
      </c>
      <c r="I147" s="219">
        <v>6.8411016949152543</v>
      </c>
      <c r="J147" s="219">
        <v>6.6333333333333337</v>
      </c>
      <c r="K147" s="219">
        <v>6.5072463768115938</v>
      </c>
      <c r="L147" s="219">
        <v>6.5817984832069341</v>
      </c>
      <c r="M147" s="219">
        <v>6.2885624344176287</v>
      </c>
      <c r="N147" s="219">
        <v>6.301011804384486</v>
      </c>
      <c r="O147" s="219">
        <v>6.3404605263157894</v>
      </c>
      <c r="P147" s="219">
        <v>6.875</v>
      </c>
      <c r="Q147" s="219">
        <v>6.7455089820359282</v>
      </c>
      <c r="R147" s="219">
        <v>6.8845247446975648</v>
      </c>
      <c r="S147" s="219">
        <v>6.4811452513966481</v>
      </c>
      <c r="T147" s="61">
        <f t="shared" si="21"/>
        <v>-0.15218808193668565</v>
      </c>
      <c r="U147" s="61">
        <f t="shared" si="22"/>
        <v>0.14068472508085872</v>
      </c>
      <c r="V147" s="214">
        <f t="shared" si="23"/>
        <v>-0.40337949330091671</v>
      </c>
    </row>
    <row r="148" spans="1:22" ht="15" customHeight="1" x14ac:dyDescent="0.2">
      <c r="A148" s="34" t="s">
        <v>187</v>
      </c>
      <c r="B148" s="219">
        <v>6.9812080536912751</v>
      </c>
      <c r="C148" s="219">
        <v>6.3318056828597618</v>
      </c>
      <c r="D148" s="219">
        <v>6.3409770687936193</v>
      </c>
      <c r="E148" s="219">
        <v>6.639546858908342</v>
      </c>
      <c r="F148" s="219">
        <v>6.7616822429906538</v>
      </c>
      <c r="G148" s="219">
        <v>6.6407097092163632</v>
      </c>
      <c r="H148" s="219">
        <v>6.9565623540401678</v>
      </c>
      <c r="I148" s="219">
        <v>6.8046398046398044</v>
      </c>
      <c r="J148" s="219">
        <v>6.5430868167202574</v>
      </c>
      <c r="K148" s="219">
        <v>6.6269298911667933</v>
      </c>
      <c r="L148" s="219">
        <v>6.490518331226296</v>
      </c>
      <c r="M148" s="219">
        <v>6.4704100652376511</v>
      </c>
      <c r="N148" s="219">
        <v>6.1983879355174203</v>
      </c>
      <c r="O148" s="219">
        <v>6.4377982818962778</v>
      </c>
      <c r="P148" s="219">
        <v>6.5158405723045476</v>
      </c>
      <c r="Q148" s="219">
        <v>6.4357227488151656</v>
      </c>
      <c r="R148" s="219">
        <v>6.494620350445742</v>
      </c>
      <c r="S148" s="219">
        <v>6.1197588380378187</v>
      </c>
      <c r="T148" s="61">
        <f t="shared" si="21"/>
        <v>-0.42332797868243865</v>
      </c>
      <c r="U148" s="61">
        <f t="shared" si="22"/>
        <v>-0.31803944385845906</v>
      </c>
      <c r="V148" s="214">
        <f t="shared" si="23"/>
        <v>-0.37486151240792331</v>
      </c>
    </row>
    <row r="149" spans="1:22" ht="15" customHeight="1" x14ac:dyDescent="0.2">
      <c r="A149" s="34" t="s">
        <v>188</v>
      </c>
      <c r="B149" s="219">
        <v>6.2747252747252746</v>
      </c>
      <c r="C149" s="219">
        <v>6.9189189189189193</v>
      </c>
      <c r="D149" s="219">
        <v>6.7798165137614665</v>
      </c>
      <c r="E149" s="219">
        <v>6.770833333333333</v>
      </c>
      <c r="F149" s="219">
        <v>6.8560606060606091</v>
      </c>
      <c r="G149" s="219">
        <v>6.2307692307692317</v>
      </c>
      <c r="H149" s="219">
        <v>6.6771653543307083</v>
      </c>
      <c r="I149" s="219">
        <v>6.7340425531914896</v>
      </c>
      <c r="J149" s="219">
        <v>6.1635514018691593</v>
      </c>
      <c r="K149" s="219">
        <v>6.369718309859155</v>
      </c>
      <c r="L149" s="219">
        <v>5.9644808743169397</v>
      </c>
      <c r="M149" s="219">
        <v>5.8337531486146093</v>
      </c>
      <c r="N149" s="219">
        <v>6.0887850467289724</v>
      </c>
      <c r="O149" s="219">
        <v>6.1223404255319149</v>
      </c>
      <c r="P149" s="219">
        <v>6.5916230366492146</v>
      </c>
      <c r="Q149" s="219">
        <v>6.5041322314049586</v>
      </c>
      <c r="R149" s="219">
        <v>7.1088709677419342</v>
      </c>
      <c r="S149" s="219">
        <v>7.0244897959183676</v>
      </c>
      <c r="T149" s="61">
        <f t="shared" si="21"/>
        <v>0.86093839404920836</v>
      </c>
      <c r="U149" s="61">
        <f t="shared" si="22"/>
        <v>0.90214937038645271</v>
      </c>
      <c r="V149" s="214">
        <f t="shared" si="23"/>
        <v>-8.4381171823566525E-2</v>
      </c>
    </row>
    <row r="150" spans="1:22" ht="15" customHeight="1" x14ac:dyDescent="0.2">
      <c r="A150" s="34" t="s">
        <v>189</v>
      </c>
      <c r="B150" s="219">
        <v>7.1195652173913038</v>
      </c>
      <c r="C150" s="219">
        <v>6.5665634674922604</v>
      </c>
      <c r="D150" s="219">
        <v>5.9362745098039218</v>
      </c>
      <c r="E150" s="219">
        <v>6.4690721649484537</v>
      </c>
      <c r="F150" s="219">
        <v>6.6805194805194805</v>
      </c>
      <c r="G150" s="219">
        <v>6.3903002309468819</v>
      </c>
      <c r="H150" s="219">
        <v>6.740518962075849</v>
      </c>
      <c r="I150" s="219">
        <v>6.2876190476190468</v>
      </c>
      <c r="J150" s="219">
        <v>6.189419795221843</v>
      </c>
      <c r="K150" s="219">
        <v>6.2200647249190935</v>
      </c>
      <c r="L150" s="219">
        <v>6.024096385542169</v>
      </c>
      <c r="M150" s="219">
        <v>6.0979865771812083</v>
      </c>
      <c r="N150" s="219">
        <v>6.3103896103896107</v>
      </c>
      <c r="O150" s="219">
        <v>6.1756440281030445</v>
      </c>
      <c r="P150" s="219">
        <v>6.4745547073791352</v>
      </c>
      <c r="Q150" s="219">
        <v>6.2871148459383752</v>
      </c>
      <c r="R150" s="219">
        <v>6.4610492845786966</v>
      </c>
      <c r="S150" s="219">
        <v>5.9701897018970191</v>
      </c>
      <c r="T150" s="61">
        <f t="shared" si="21"/>
        <v>-0.2192300933248239</v>
      </c>
      <c r="U150" s="61">
        <f t="shared" si="22"/>
        <v>-0.20545432620602533</v>
      </c>
      <c r="V150" s="214">
        <f t="shared" si="23"/>
        <v>-0.49085958268167751</v>
      </c>
    </row>
    <row r="151" spans="1:22" ht="15" customHeight="1" x14ac:dyDescent="0.2">
      <c r="A151" s="42" t="s">
        <v>0</v>
      </c>
      <c r="B151" s="215">
        <v>11.307060977073581</v>
      </c>
      <c r="C151" s="215">
        <v>10.714235353138177</v>
      </c>
      <c r="D151" s="215">
        <v>10.722611727885457</v>
      </c>
      <c r="E151" s="215">
        <v>10.945505891761531</v>
      </c>
      <c r="F151" s="215">
        <v>10.2730697398022</v>
      </c>
      <c r="G151" s="215">
        <v>10.084574195651161</v>
      </c>
      <c r="H151" s="215">
        <v>10.072292412121609</v>
      </c>
      <c r="I151" s="215">
        <v>10.000957079793746</v>
      </c>
      <c r="J151" s="215">
        <v>9.7481050324017122</v>
      </c>
      <c r="K151" s="215">
        <v>9.6190476190476186</v>
      </c>
      <c r="L151" s="215">
        <v>9.644967123152222</v>
      </c>
      <c r="M151" s="215">
        <v>9.8078211838654141</v>
      </c>
      <c r="N151" s="215">
        <v>9.6718656893429671</v>
      </c>
      <c r="O151" s="215">
        <v>9.5981580479542696</v>
      </c>
      <c r="P151" s="215">
        <v>10.079722792083857</v>
      </c>
      <c r="Q151" s="215">
        <v>10.119079670117131</v>
      </c>
      <c r="R151" s="215">
        <v>9.9733307880032402</v>
      </c>
      <c r="S151" s="215">
        <v>9.7231949377980893</v>
      </c>
      <c r="T151" s="212">
        <f t="shared" si="21"/>
        <v>-2.4910094603622923E-2</v>
      </c>
      <c r="U151" s="212">
        <f t="shared" si="22"/>
        <v>0.12503688984381967</v>
      </c>
      <c r="V151" s="216">
        <f t="shared" si="23"/>
        <v>-0.25013585020515094</v>
      </c>
    </row>
    <row r="152" spans="1:22" ht="15" customHeight="1" x14ac:dyDescent="0.2">
      <c r="A152" s="44"/>
      <c r="B152" s="44"/>
      <c r="C152" s="44"/>
      <c r="D152" s="44"/>
      <c r="E152" s="44"/>
      <c r="F152" s="44"/>
      <c r="G152" s="44"/>
      <c r="H152" s="44"/>
      <c r="I152" s="44"/>
      <c r="J152" s="44"/>
      <c r="K152" s="44"/>
      <c r="L152" s="44"/>
      <c r="M152" s="44"/>
      <c r="N152" s="44"/>
      <c r="O152" s="44"/>
      <c r="P152" s="44"/>
      <c r="Q152" s="44"/>
      <c r="R152" s="44"/>
      <c r="S152" s="44"/>
      <c r="T152" s="51"/>
      <c r="U152" s="51"/>
      <c r="V152" s="44"/>
    </row>
    <row r="153" spans="1:22" ht="15" customHeight="1" x14ac:dyDescent="0.2">
      <c r="A153" s="49" t="s">
        <v>492</v>
      </c>
      <c r="B153" s="49"/>
      <c r="C153" s="49"/>
      <c r="D153" s="49"/>
      <c r="E153" s="49"/>
      <c r="F153" s="49"/>
      <c r="G153" s="49"/>
      <c r="H153" s="49"/>
      <c r="I153" s="49"/>
      <c r="J153" s="49"/>
      <c r="K153" s="49"/>
      <c r="L153" s="49"/>
      <c r="M153" s="49"/>
      <c r="N153" s="49"/>
      <c r="O153" s="49"/>
      <c r="P153" s="49"/>
      <c r="Q153" s="49"/>
      <c r="R153" s="49"/>
      <c r="S153" s="49"/>
      <c r="T153" s="79"/>
      <c r="U153" s="79"/>
      <c r="V153" s="49"/>
    </row>
    <row r="154" spans="1:22" ht="50.25" customHeight="1" x14ac:dyDescent="0.2">
      <c r="A154" s="50" t="s">
        <v>148</v>
      </c>
      <c r="B154" s="15">
        <v>2007</v>
      </c>
      <c r="C154" s="15">
        <v>2008</v>
      </c>
      <c r="D154" s="15">
        <v>2009</v>
      </c>
      <c r="E154" s="15">
        <v>2010</v>
      </c>
      <c r="F154" s="15">
        <v>2011</v>
      </c>
      <c r="G154" s="15">
        <v>2012</v>
      </c>
      <c r="H154" s="15">
        <v>2013</v>
      </c>
      <c r="I154" s="15">
        <v>2014</v>
      </c>
      <c r="J154" s="15">
        <v>2015</v>
      </c>
      <c r="K154" s="15">
        <v>2016</v>
      </c>
      <c r="L154" s="15">
        <v>2017</v>
      </c>
      <c r="M154" s="15">
        <v>2018</v>
      </c>
      <c r="N154" s="15">
        <v>2019</v>
      </c>
      <c r="O154" s="15">
        <v>2020</v>
      </c>
      <c r="P154" s="15">
        <v>2021</v>
      </c>
      <c r="Q154" s="15">
        <v>2022</v>
      </c>
      <c r="R154" s="15">
        <v>2023</v>
      </c>
      <c r="S154" s="15">
        <v>2024</v>
      </c>
      <c r="T154" s="27" t="s">
        <v>469</v>
      </c>
      <c r="U154" s="27" t="s">
        <v>470</v>
      </c>
      <c r="V154" s="27" t="s">
        <v>471</v>
      </c>
    </row>
    <row r="155" spans="1:22" ht="15" customHeight="1" x14ac:dyDescent="0.2">
      <c r="A155" s="29" t="s">
        <v>50</v>
      </c>
      <c r="B155" s="62">
        <v>13.282608695652174</v>
      </c>
      <c r="C155" s="62">
        <v>13.233609645817632</v>
      </c>
      <c r="D155" s="62">
        <v>13.218033424018655</v>
      </c>
      <c r="E155" s="62">
        <v>13.144431326249514</v>
      </c>
      <c r="F155" s="62">
        <v>12.982397003745312</v>
      </c>
      <c r="G155" s="62">
        <v>12.731813610459263</v>
      </c>
      <c r="H155" s="62">
        <v>12.464761376248614</v>
      </c>
      <c r="I155" s="62">
        <v>12.47629684785306</v>
      </c>
      <c r="J155" s="62">
        <v>12.594948772933041</v>
      </c>
      <c r="K155" s="62">
        <v>12.432975245212527</v>
      </c>
      <c r="L155" s="62">
        <v>12.427708333333323</v>
      </c>
      <c r="M155" s="62">
        <v>12.54666146036705</v>
      </c>
      <c r="N155" s="62">
        <v>12.604775719705419</v>
      </c>
      <c r="O155" s="62">
        <v>12.72847118860302</v>
      </c>
      <c r="P155" s="62">
        <v>12.608818166749552</v>
      </c>
      <c r="Q155" s="62">
        <v>12.473586497890297</v>
      </c>
      <c r="R155" s="62">
        <v>12.335550868083725</v>
      </c>
      <c r="S155" s="62">
        <v>12.290272774060728</v>
      </c>
      <c r="T155" s="61">
        <f t="shared" ref="T155:T174" si="24">IFERROR((S155-J155),"n/a")</f>
        <v>-0.30467599887231245</v>
      </c>
      <c r="U155" s="61">
        <f t="shared" ref="U155:U174" si="25">IFERROR((S155-O155),"n/a")</f>
        <v>-0.43819841454229191</v>
      </c>
      <c r="V155" s="214">
        <f t="shared" ref="V155:V174" si="26">IFERROR((S155-R155),"n/a")</f>
        <v>-4.5278094022997095E-2</v>
      </c>
    </row>
    <row r="156" spans="1:22" ht="15" customHeight="1" x14ac:dyDescent="0.2">
      <c r="A156" s="29" t="s">
        <v>58</v>
      </c>
      <c r="B156" s="62">
        <v>13.886588235294115</v>
      </c>
      <c r="C156" s="62">
        <v>13.028820629503221</v>
      </c>
      <c r="D156" s="62">
        <v>12.938086956521737</v>
      </c>
      <c r="E156" s="62">
        <v>13.409055118110242</v>
      </c>
      <c r="F156" s="62">
        <v>12.956813104988829</v>
      </c>
      <c r="G156" s="62">
        <v>12.775403074615676</v>
      </c>
      <c r="H156" s="62">
        <v>12.723727693324522</v>
      </c>
      <c r="I156" s="62">
        <v>12.584524549409577</v>
      </c>
      <c r="J156" s="62">
        <v>12.391673746813934</v>
      </c>
      <c r="K156" s="62">
        <v>12.218135158254922</v>
      </c>
      <c r="L156" s="62">
        <v>12.281433772052655</v>
      </c>
      <c r="M156" s="62">
        <v>12.189561091340449</v>
      </c>
      <c r="N156" s="62">
        <v>12.082868183769857</v>
      </c>
      <c r="O156" s="62">
        <v>11.918958742632611</v>
      </c>
      <c r="P156" s="62">
        <v>11.978458431504539</v>
      </c>
      <c r="Q156" s="62">
        <v>11.769604666234603</v>
      </c>
      <c r="R156" s="62">
        <v>11.575505889459377</v>
      </c>
      <c r="S156" s="62">
        <v>11.501141924959217</v>
      </c>
      <c r="T156" s="61">
        <f t="shared" si="24"/>
        <v>-0.89053182185471691</v>
      </c>
      <c r="U156" s="61">
        <f t="shared" si="25"/>
        <v>-0.41781681767339407</v>
      </c>
      <c r="V156" s="214">
        <f t="shared" si="26"/>
        <v>-7.4363964500159696E-2</v>
      </c>
    </row>
    <row r="157" spans="1:22" ht="15" customHeight="1" x14ac:dyDescent="0.2">
      <c r="A157" s="29" t="s">
        <v>49</v>
      </c>
      <c r="B157" s="62">
        <v>16.549565217391311</v>
      </c>
      <c r="C157" s="62">
        <v>15.981762917933123</v>
      </c>
      <c r="D157" s="62">
        <v>16.16083916083916</v>
      </c>
      <c r="E157" s="62">
        <v>15.889967637540447</v>
      </c>
      <c r="F157" s="62">
        <v>15.725114155251145</v>
      </c>
      <c r="G157" s="62">
        <v>15.594520547945192</v>
      </c>
      <c r="H157" s="62">
        <v>14.795535261288677</v>
      </c>
      <c r="I157" s="62">
        <v>15.024253731343277</v>
      </c>
      <c r="J157" s="62">
        <v>14.636472945891784</v>
      </c>
      <c r="K157" s="62">
        <v>14.403168316831685</v>
      </c>
      <c r="L157" s="62">
        <v>14.293929712460066</v>
      </c>
      <c r="M157" s="62">
        <v>14.610062893081761</v>
      </c>
      <c r="N157" s="62">
        <v>14.360778443113773</v>
      </c>
      <c r="O157" s="62">
        <v>14.445618153364627</v>
      </c>
      <c r="P157" s="62">
        <v>14.588082057961573</v>
      </c>
      <c r="Q157" s="62">
        <v>14.367024280067756</v>
      </c>
      <c r="R157" s="62">
        <v>14.188340807174891</v>
      </c>
      <c r="S157" s="62">
        <v>14.069423929098971</v>
      </c>
      <c r="T157" s="61">
        <f t="shared" si="24"/>
        <v>-0.56704901679281328</v>
      </c>
      <c r="U157" s="61">
        <f t="shared" si="25"/>
        <v>-0.37619422426565663</v>
      </c>
      <c r="V157" s="214">
        <f t="shared" si="26"/>
        <v>-0.11891687807592</v>
      </c>
    </row>
    <row r="158" spans="1:22" ht="15" customHeight="1" x14ac:dyDescent="0.2">
      <c r="A158" s="29" t="s">
        <v>48</v>
      </c>
      <c r="B158" s="62">
        <v>11.902092050209196</v>
      </c>
      <c r="C158" s="62">
        <v>12.162589928057546</v>
      </c>
      <c r="D158" s="62">
        <v>12.097029702970293</v>
      </c>
      <c r="E158" s="62">
        <v>11.82908163265307</v>
      </c>
      <c r="F158" s="62">
        <v>12.061481870730422</v>
      </c>
      <c r="G158" s="62">
        <v>11.98377455166524</v>
      </c>
      <c r="H158" s="62">
        <v>12.019389701207885</v>
      </c>
      <c r="I158" s="62">
        <v>11.992171717171709</v>
      </c>
      <c r="J158" s="62">
        <v>12.263596389724606</v>
      </c>
      <c r="K158" s="62">
        <v>12.44849246231156</v>
      </c>
      <c r="L158" s="62">
        <v>12.572778099093886</v>
      </c>
      <c r="M158" s="62">
        <v>12.687389302160819</v>
      </c>
      <c r="N158" s="62">
        <v>12.728004600345026</v>
      </c>
      <c r="O158" s="62">
        <v>13.669733656174335</v>
      </c>
      <c r="P158" s="62">
        <v>13.148359099538924</v>
      </c>
      <c r="Q158" s="62">
        <v>12.803195962994113</v>
      </c>
      <c r="R158" s="62">
        <v>12.391559909570454</v>
      </c>
      <c r="S158" s="62">
        <v>12.061990212071775</v>
      </c>
      <c r="T158" s="61">
        <f t="shared" si="24"/>
        <v>-0.20160617765283106</v>
      </c>
      <c r="U158" s="61">
        <f t="shared" si="25"/>
        <v>-1.6077434441025602</v>
      </c>
      <c r="V158" s="214">
        <f t="shared" si="26"/>
        <v>-0.32956969749867859</v>
      </c>
    </row>
    <row r="159" spans="1:22" ht="15" customHeight="1" x14ac:dyDescent="0.2">
      <c r="A159" s="29" t="s">
        <v>13</v>
      </c>
      <c r="B159" s="62">
        <v>17.832004904966276</v>
      </c>
      <c r="C159" s="62">
        <v>17.811726734803656</v>
      </c>
      <c r="D159" s="62">
        <v>17.444391408114559</v>
      </c>
      <c r="E159" s="62">
        <v>17.344894026974966</v>
      </c>
      <c r="F159" s="62">
        <v>16.786751361161521</v>
      </c>
      <c r="G159" s="62">
        <v>16.867700729927012</v>
      </c>
      <c r="H159" s="62">
        <v>16.934528773978325</v>
      </c>
      <c r="I159" s="62">
        <v>16.655885295098354</v>
      </c>
      <c r="J159" s="62">
        <v>16.638734353268422</v>
      </c>
      <c r="K159" s="62">
        <v>16.627407641300913</v>
      </c>
      <c r="L159" s="62">
        <v>16.98275404616609</v>
      </c>
      <c r="M159" s="62">
        <v>16.969756924816274</v>
      </c>
      <c r="N159" s="62">
        <v>16.676927343316699</v>
      </c>
      <c r="O159" s="62">
        <v>16.624713083397097</v>
      </c>
      <c r="P159" s="62">
        <v>16.675982800982798</v>
      </c>
      <c r="Q159" s="62">
        <v>16.478744650499287</v>
      </c>
      <c r="R159" s="62">
        <v>16.272810848080901</v>
      </c>
      <c r="S159" s="62">
        <v>16.193918025561928</v>
      </c>
      <c r="T159" s="61">
        <f t="shared" si="24"/>
        <v>-0.44481632770649426</v>
      </c>
      <c r="U159" s="61">
        <f t="shared" si="25"/>
        <v>-0.43079505783516936</v>
      </c>
      <c r="V159" s="214">
        <f t="shared" si="26"/>
        <v>-7.889282251897356E-2</v>
      </c>
    </row>
    <row r="160" spans="1:22" ht="15" customHeight="1" x14ac:dyDescent="0.2">
      <c r="A160" s="29" t="s">
        <v>46</v>
      </c>
      <c r="B160" s="62">
        <v>11.614838200473555</v>
      </c>
      <c r="C160" s="62">
        <v>11.115000000000002</v>
      </c>
      <c r="D160" s="62">
        <v>11.568770226537215</v>
      </c>
      <c r="E160" s="62">
        <v>11.922837100545598</v>
      </c>
      <c r="F160" s="62">
        <v>11.825155494125781</v>
      </c>
      <c r="G160" s="62">
        <v>11.597368421052634</v>
      </c>
      <c r="H160" s="62">
        <v>11.647058823529411</v>
      </c>
      <c r="I160" s="62">
        <v>11.669021739130432</v>
      </c>
      <c r="J160" s="62">
        <v>11.500849858356938</v>
      </c>
      <c r="K160" s="62">
        <v>11.605152786099461</v>
      </c>
      <c r="L160" s="62">
        <v>11.602416918429004</v>
      </c>
      <c r="M160" s="62">
        <v>11.497805642633228</v>
      </c>
      <c r="N160" s="62">
        <v>11.494887525562373</v>
      </c>
      <c r="O160" s="62">
        <v>11.561470215462609</v>
      </c>
      <c r="P160" s="62">
        <v>11.489003880983182</v>
      </c>
      <c r="Q160" s="62">
        <v>11.307963044434674</v>
      </c>
      <c r="R160" s="62">
        <v>11.358134920634924</v>
      </c>
      <c r="S160" s="62">
        <v>11.295489102889</v>
      </c>
      <c r="T160" s="61">
        <f t="shared" si="24"/>
        <v>-0.20536075546793775</v>
      </c>
      <c r="U160" s="61">
        <f t="shared" si="25"/>
        <v>-0.26598111257360912</v>
      </c>
      <c r="V160" s="214">
        <f t="shared" si="26"/>
        <v>-6.2645817745924148E-2</v>
      </c>
    </row>
    <row r="161" spans="1:22" ht="15" customHeight="1" x14ac:dyDescent="0.2">
      <c r="A161" s="29" t="s">
        <v>51</v>
      </c>
      <c r="B161" s="62">
        <v>12.586620926243562</v>
      </c>
      <c r="C161" s="62">
        <v>11.579691516709515</v>
      </c>
      <c r="D161" s="62">
        <v>12.28148148148148</v>
      </c>
      <c r="E161" s="62">
        <v>12.793269230769235</v>
      </c>
      <c r="F161" s="62">
        <v>12.745997088791849</v>
      </c>
      <c r="G161" s="62">
        <v>12.943827563683865</v>
      </c>
      <c r="H161" s="62">
        <v>13.244476464937557</v>
      </c>
      <c r="I161" s="62">
        <v>13.225578658297378</v>
      </c>
      <c r="J161" s="62">
        <v>13.051823416506712</v>
      </c>
      <c r="K161" s="62">
        <v>13.312648221343874</v>
      </c>
      <c r="L161" s="62">
        <v>13.27708703374778</v>
      </c>
      <c r="M161" s="62">
        <v>13.649109511178477</v>
      </c>
      <c r="N161" s="62">
        <v>13.49877949552482</v>
      </c>
      <c r="O161" s="62">
        <v>14.535664335664341</v>
      </c>
      <c r="P161" s="62">
        <v>13.816747181964564</v>
      </c>
      <c r="Q161" s="62">
        <v>13.134391834420187</v>
      </c>
      <c r="R161" s="62">
        <v>12.627842866988287</v>
      </c>
      <c r="S161" s="62">
        <v>12.195423855963989</v>
      </c>
      <c r="T161" s="61">
        <f t="shared" si="24"/>
        <v>-0.85639956054272304</v>
      </c>
      <c r="U161" s="61">
        <f t="shared" si="25"/>
        <v>-2.340240479700352</v>
      </c>
      <c r="V161" s="214">
        <f t="shared" si="26"/>
        <v>-0.43241901102429736</v>
      </c>
    </row>
    <row r="162" spans="1:22" ht="15" customHeight="1" x14ac:dyDescent="0.2">
      <c r="A162" s="29" t="s">
        <v>37</v>
      </c>
      <c r="B162" s="62">
        <v>11.301989150090414</v>
      </c>
      <c r="C162" s="62">
        <v>11.470967741935485</v>
      </c>
      <c r="D162" s="62">
        <v>11.535211267605638</v>
      </c>
      <c r="E162" s="62">
        <v>11.051820728291313</v>
      </c>
      <c r="F162" s="62">
        <v>11.054994388327719</v>
      </c>
      <c r="G162" s="62">
        <v>10.749462365591402</v>
      </c>
      <c r="H162" s="62">
        <v>10.855329949238579</v>
      </c>
      <c r="I162" s="62">
        <v>10.772797527047912</v>
      </c>
      <c r="J162" s="62">
        <v>10.874706342991391</v>
      </c>
      <c r="K162" s="62">
        <v>10.845763939174514</v>
      </c>
      <c r="L162" s="62">
        <v>10.773758865248224</v>
      </c>
      <c r="M162" s="62">
        <v>10.683531233866804</v>
      </c>
      <c r="N162" s="62">
        <v>10.764274061990211</v>
      </c>
      <c r="O162" s="62">
        <v>10.899526564965806</v>
      </c>
      <c r="P162" s="62">
        <v>11.329350261389097</v>
      </c>
      <c r="Q162" s="62">
        <v>11.245854063018239</v>
      </c>
      <c r="R162" s="62">
        <v>11.728121353558926</v>
      </c>
      <c r="S162" s="62">
        <v>12.029702970297027</v>
      </c>
      <c r="T162" s="61">
        <f t="shared" si="24"/>
        <v>1.1549966273056356</v>
      </c>
      <c r="U162" s="61">
        <f t="shared" si="25"/>
        <v>1.1301764053312215</v>
      </c>
      <c r="V162" s="214">
        <f t="shared" si="26"/>
        <v>0.30158161673810113</v>
      </c>
    </row>
    <row r="163" spans="1:22" ht="15" customHeight="1" x14ac:dyDescent="0.2">
      <c r="A163" s="29" t="s">
        <v>52</v>
      </c>
      <c r="B163" s="62">
        <v>15.048206278026919</v>
      </c>
      <c r="C163" s="62">
        <v>14.753921568627451</v>
      </c>
      <c r="D163" s="62">
        <v>14.80297397769516</v>
      </c>
      <c r="E163" s="62">
        <v>14.956118143459912</v>
      </c>
      <c r="F163" s="62">
        <v>14.968903436988537</v>
      </c>
      <c r="G163" s="62">
        <v>15.079631181894383</v>
      </c>
      <c r="H163" s="62">
        <v>14.991285403050108</v>
      </c>
      <c r="I163" s="62">
        <v>15.255829903978059</v>
      </c>
      <c r="J163" s="62">
        <v>15.217449664429536</v>
      </c>
      <c r="K163" s="62">
        <v>15.292216358839051</v>
      </c>
      <c r="L163" s="62">
        <v>15.395150720838792</v>
      </c>
      <c r="M163" s="62">
        <v>15.267206477732792</v>
      </c>
      <c r="N163" s="62">
        <v>15.282719546742213</v>
      </c>
      <c r="O163" s="62">
        <v>15.877263581488945</v>
      </c>
      <c r="P163" s="62">
        <v>15.88581449727201</v>
      </c>
      <c r="Q163" s="62">
        <v>15.521422797089736</v>
      </c>
      <c r="R163" s="62">
        <v>15.280944625407169</v>
      </c>
      <c r="S163" s="62">
        <v>15.084276729559745</v>
      </c>
      <c r="T163" s="61">
        <f t="shared" si="24"/>
        <v>-0.13317293486979054</v>
      </c>
      <c r="U163" s="61">
        <f t="shared" si="25"/>
        <v>-0.79298685192920004</v>
      </c>
      <c r="V163" s="214">
        <f t="shared" si="26"/>
        <v>-0.19666789584742439</v>
      </c>
    </row>
    <row r="164" spans="1:22" ht="15" customHeight="1" x14ac:dyDescent="0.2">
      <c r="A164" s="29" t="s">
        <v>111</v>
      </c>
      <c r="B164" s="62">
        <v>12.184397163120583</v>
      </c>
      <c r="C164" s="62">
        <v>12.786259541984732</v>
      </c>
      <c r="D164" s="62">
        <v>12.680487804878046</v>
      </c>
      <c r="E164" s="62">
        <v>12.991820040899793</v>
      </c>
      <c r="F164" s="62">
        <v>13.206299212598411</v>
      </c>
      <c r="G164" s="62">
        <v>13.322751322751328</v>
      </c>
      <c r="H164" s="62">
        <v>13.366421568627445</v>
      </c>
      <c r="I164" s="62">
        <v>13.263337116912593</v>
      </c>
      <c r="J164" s="62">
        <v>13.435072142064369</v>
      </c>
      <c r="K164" s="62">
        <v>13.530612244897963</v>
      </c>
      <c r="L164" s="62">
        <v>13.604026845637589</v>
      </c>
      <c r="M164" s="62">
        <v>13.634016704631739</v>
      </c>
      <c r="N164" s="62">
        <v>13.371320754716983</v>
      </c>
      <c r="O164" s="62">
        <v>14.073170731707329</v>
      </c>
      <c r="P164" s="62">
        <v>13.8856338028169</v>
      </c>
      <c r="Q164" s="62">
        <v>13.422750424448209</v>
      </c>
      <c r="R164" s="62">
        <v>12.890701468189233</v>
      </c>
      <c r="S164" s="62">
        <v>12.737591911764707</v>
      </c>
      <c r="T164" s="61">
        <f t="shared" si="24"/>
        <v>-0.69748023029966255</v>
      </c>
      <c r="U164" s="61">
        <f t="shared" si="25"/>
        <v>-1.3355788199426222</v>
      </c>
      <c r="V164" s="214">
        <f t="shared" si="26"/>
        <v>-0.15310955642452662</v>
      </c>
    </row>
    <row r="165" spans="1:22" ht="15" customHeight="1" x14ac:dyDescent="0.2">
      <c r="A165" s="29" t="s">
        <v>298</v>
      </c>
      <c r="B165" s="62">
        <v>11.785046728971958</v>
      </c>
      <c r="C165" s="62">
        <v>12.000000000000025</v>
      </c>
      <c r="D165" s="62">
        <v>11.901315789473681</v>
      </c>
      <c r="E165" s="62">
        <v>12.430851063829792</v>
      </c>
      <c r="F165" s="62">
        <v>12.642857142857149</v>
      </c>
      <c r="G165" s="62">
        <v>12.054982817869398</v>
      </c>
      <c r="H165" s="62">
        <v>12.568914956011735</v>
      </c>
      <c r="I165" s="62">
        <v>11.729729729729721</v>
      </c>
      <c r="J165" s="62">
        <v>12.306027820710982</v>
      </c>
      <c r="K165" s="62">
        <v>12.122222222222213</v>
      </c>
      <c r="L165" s="62">
        <v>12.191285866099898</v>
      </c>
      <c r="M165" s="62">
        <v>12.36071428571428</v>
      </c>
      <c r="N165" s="62">
        <v>12.288923315259487</v>
      </c>
      <c r="O165" s="62">
        <v>13.684759916492689</v>
      </c>
      <c r="P165" s="62">
        <v>12.642258491398332</v>
      </c>
      <c r="Q165" s="62">
        <v>11.779838709677417</v>
      </c>
      <c r="R165" s="62">
        <v>11.655357881671499</v>
      </c>
      <c r="S165" s="62">
        <v>11.467520151730682</v>
      </c>
      <c r="T165" s="61">
        <f t="shared" si="24"/>
        <v>-0.83850766898030038</v>
      </c>
      <c r="U165" s="61">
        <f t="shared" si="25"/>
        <v>-2.2172397647620077</v>
      </c>
      <c r="V165" s="214">
        <f t="shared" si="26"/>
        <v>-0.18783772994081716</v>
      </c>
    </row>
    <row r="166" spans="1:22" ht="15" customHeight="1" x14ac:dyDescent="0.2">
      <c r="A166" s="29" t="s">
        <v>38</v>
      </c>
      <c r="B166" s="62">
        <v>13.00810810810812</v>
      </c>
      <c r="C166" s="62">
        <v>13.747359154929566</v>
      </c>
      <c r="D166" s="62">
        <v>13.35728346456693</v>
      </c>
      <c r="E166" s="62">
        <v>13.555077452667822</v>
      </c>
      <c r="F166" s="62">
        <v>13.049586776859512</v>
      </c>
      <c r="G166" s="62">
        <v>13.313862249346112</v>
      </c>
      <c r="H166" s="62">
        <v>12.709183673469385</v>
      </c>
      <c r="I166" s="62">
        <v>12.286454957874273</v>
      </c>
      <c r="J166" s="62">
        <v>12.212618296529973</v>
      </c>
      <c r="K166" s="62">
        <v>12.130705394190869</v>
      </c>
      <c r="L166" s="62">
        <v>12.014820042342977</v>
      </c>
      <c r="M166" s="62">
        <v>11.913135593220341</v>
      </c>
      <c r="N166" s="62">
        <v>11.743198407431981</v>
      </c>
      <c r="O166" s="62">
        <v>11.931353135313527</v>
      </c>
      <c r="P166" s="62">
        <v>11.816402609506053</v>
      </c>
      <c r="Q166" s="62">
        <v>11.489547885269811</v>
      </c>
      <c r="R166" s="62">
        <v>11.707744763760362</v>
      </c>
      <c r="S166" s="62">
        <v>11.779499404052446</v>
      </c>
      <c r="T166" s="61">
        <f t="shared" si="24"/>
        <v>-0.43311889247752688</v>
      </c>
      <c r="U166" s="61">
        <f t="shared" si="25"/>
        <v>-0.15185373126108104</v>
      </c>
      <c r="V166" s="214">
        <f t="shared" si="26"/>
        <v>7.1754640292084559E-2</v>
      </c>
    </row>
    <row r="167" spans="1:22" ht="15" customHeight="1" x14ac:dyDescent="0.2">
      <c r="A167" s="29" t="s">
        <v>308</v>
      </c>
      <c r="B167" s="62">
        <v>12.630094043887157</v>
      </c>
      <c r="C167" s="62">
        <v>12.034700315457414</v>
      </c>
      <c r="D167" s="62">
        <v>12.341397849462352</v>
      </c>
      <c r="E167" s="62">
        <v>12.2069970845481</v>
      </c>
      <c r="F167" s="62">
        <v>12.117263843648194</v>
      </c>
      <c r="G167" s="62">
        <v>11.63716814159293</v>
      </c>
      <c r="H167" s="62">
        <v>12.097727272727282</v>
      </c>
      <c r="I167" s="62">
        <v>11.83241252302026</v>
      </c>
      <c r="J167" s="62">
        <v>11.887265135699369</v>
      </c>
      <c r="K167" s="62">
        <v>11.803981623277183</v>
      </c>
      <c r="L167" s="62">
        <v>11.641399416909628</v>
      </c>
      <c r="M167" s="62">
        <v>12.111479028697566</v>
      </c>
      <c r="N167" s="62">
        <v>12.310276679841911</v>
      </c>
      <c r="O167" s="62">
        <v>13.397979797979792</v>
      </c>
      <c r="P167" s="62">
        <v>13.028854824165903</v>
      </c>
      <c r="Q167" s="62">
        <v>12.688000000000002</v>
      </c>
      <c r="R167" s="62">
        <v>12.707699852869061</v>
      </c>
      <c r="S167" s="62">
        <v>12.260287555775898</v>
      </c>
      <c r="T167" s="61">
        <f t="shared" si="24"/>
        <v>0.37302242007652886</v>
      </c>
      <c r="U167" s="61">
        <f t="shared" si="25"/>
        <v>-1.1376922422038938</v>
      </c>
      <c r="V167" s="214">
        <f t="shared" si="26"/>
        <v>-0.44741229709316244</v>
      </c>
    </row>
    <row r="168" spans="1:22" ht="15" customHeight="1" x14ac:dyDescent="0.2">
      <c r="A168" s="29" t="s">
        <v>55</v>
      </c>
      <c r="B168" s="62">
        <v>10.807244501940493</v>
      </c>
      <c r="C168" s="62">
        <v>10.46236559139785</v>
      </c>
      <c r="D168" s="62">
        <v>10.416243654822344</v>
      </c>
      <c r="E168" s="62">
        <v>10.681428571428569</v>
      </c>
      <c r="F168" s="62">
        <v>10.57687420584498</v>
      </c>
      <c r="G168" s="62">
        <v>10.860439560439568</v>
      </c>
      <c r="H168" s="62">
        <v>10.705882352941176</v>
      </c>
      <c r="I168" s="62">
        <v>10.699537750385208</v>
      </c>
      <c r="J168" s="62">
        <v>10.694426229508196</v>
      </c>
      <c r="K168" s="62">
        <v>10.333540759178593</v>
      </c>
      <c r="L168" s="62">
        <v>10.225378787878787</v>
      </c>
      <c r="M168" s="62">
        <v>10.209703504043125</v>
      </c>
      <c r="N168" s="62">
        <v>10.171987641606593</v>
      </c>
      <c r="O168" s="62">
        <v>10.598039215686274</v>
      </c>
      <c r="P168" s="62">
        <v>10.741632413388141</v>
      </c>
      <c r="Q168" s="62">
        <v>10.695589298626178</v>
      </c>
      <c r="R168" s="62">
        <v>10.609442060085836</v>
      </c>
      <c r="S168" s="62">
        <v>10.438871473354233</v>
      </c>
      <c r="T168" s="61">
        <f t="shared" si="24"/>
        <v>-0.25555475615396261</v>
      </c>
      <c r="U168" s="61">
        <f t="shared" si="25"/>
        <v>-0.15916774233204123</v>
      </c>
      <c r="V168" s="214">
        <f t="shared" si="26"/>
        <v>-0.17057058673160341</v>
      </c>
    </row>
    <row r="169" spans="1:22" ht="15" customHeight="1" x14ac:dyDescent="0.2">
      <c r="A169" s="29" t="s">
        <v>436</v>
      </c>
      <c r="B169" s="62">
        <v>12.660098522167486</v>
      </c>
      <c r="C169" s="62">
        <v>13.328571428571426</v>
      </c>
      <c r="D169" s="62">
        <v>11.971962616822438</v>
      </c>
      <c r="E169" s="62">
        <v>12.120603015075375</v>
      </c>
      <c r="F169" s="62">
        <v>12.895196506550203</v>
      </c>
      <c r="G169" s="62">
        <v>12.809701492537313</v>
      </c>
      <c r="H169" s="62">
        <v>12.167682926829281</v>
      </c>
      <c r="I169" s="62">
        <v>12.656587473002142</v>
      </c>
      <c r="J169" s="62">
        <v>12.121654501216534</v>
      </c>
      <c r="K169" s="62">
        <v>12.653164556962023</v>
      </c>
      <c r="L169" s="62">
        <v>12.282857142857145</v>
      </c>
      <c r="M169" s="62">
        <v>12.380789022298455</v>
      </c>
      <c r="N169" s="62">
        <v>11.18479880774963</v>
      </c>
      <c r="O169" s="62">
        <v>11.337979094076658</v>
      </c>
      <c r="P169" s="62">
        <v>11.391644908616195</v>
      </c>
      <c r="Q169" s="62">
        <v>11.870129870129876</v>
      </c>
      <c r="R169" s="62">
        <v>12.001919385796544</v>
      </c>
      <c r="S169" s="62">
        <v>12.655097613882866</v>
      </c>
      <c r="T169" s="61">
        <f t="shared" si="24"/>
        <v>0.53344311266633149</v>
      </c>
      <c r="U169" s="61">
        <f t="shared" si="25"/>
        <v>1.3171185198062076</v>
      </c>
      <c r="V169" s="214">
        <f t="shared" si="26"/>
        <v>0.65317822808632187</v>
      </c>
    </row>
    <row r="170" spans="1:22" ht="15" customHeight="1" x14ac:dyDescent="0.2">
      <c r="A170" s="29" t="s">
        <v>68</v>
      </c>
      <c r="B170" s="62">
        <v>11.376760563380284</v>
      </c>
      <c r="C170" s="62">
        <v>11.015831134564639</v>
      </c>
      <c r="D170" s="62">
        <v>11.196754563894526</v>
      </c>
      <c r="E170" s="62">
        <v>11.58214285714285</v>
      </c>
      <c r="F170" s="62">
        <v>11.992187500000005</v>
      </c>
      <c r="G170" s="62">
        <v>11.952160493827158</v>
      </c>
      <c r="H170" s="62">
        <v>12.223748773307161</v>
      </c>
      <c r="I170" s="62">
        <v>12.432148626817444</v>
      </c>
      <c r="J170" s="62">
        <v>12.335697399527193</v>
      </c>
      <c r="K170" s="62">
        <v>12.453757225433534</v>
      </c>
      <c r="L170" s="62">
        <v>12.755829015544039</v>
      </c>
      <c r="M170" s="62">
        <v>13.105090311986862</v>
      </c>
      <c r="N170" s="62">
        <v>12.840991535671096</v>
      </c>
      <c r="O170" s="62">
        <v>13.847690387016225</v>
      </c>
      <c r="P170" s="62">
        <v>13.156758803483534</v>
      </c>
      <c r="Q170" s="62">
        <v>13.094615993665887</v>
      </c>
      <c r="R170" s="62">
        <v>12.533269045323053</v>
      </c>
      <c r="S170" s="62">
        <v>12.564434440067528</v>
      </c>
      <c r="T170" s="61">
        <f t="shared" si="24"/>
        <v>0.22873704054033439</v>
      </c>
      <c r="U170" s="61">
        <f t="shared" si="25"/>
        <v>-1.2832559469486977</v>
      </c>
      <c r="V170" s="214">
        <f t="shared" si="26"/>
        <v>3.1165394744474995E-2</v>
      </c>
    </row>
    <row r="171" spans="1:22" ht="15" customHeight="1" x14ac:dyDescent="0.2">
      <c r="A171" s="29" t="s">
        <v>53</v>
      </c>
      <c r="B171" s="62">
        <v>13.696390658174096</v>
      </c>
      <c r="C171" s="62">
        <v>13.55748031496063</v>
      </c>
      <c r="D171" s="62">
        <v>13.773889636608335</v>
      </c>
      <c r="E171" s="62">
        <v>14.183754993342207</v>
      </c>
      <c r="F171" s="62">
        <v>14.350253807106599</v>
      </c>
      <c r="G171" s="62">
        <v>14.312318137730353</v>
      </c>
      <c r="H171" s="62">
        <v>14.659929701230231</v>
      </c>
      <c r="I171" s="62">
        <v>14.793893129770995</v>
      </c>
      <c r="J171" s="62">
        <v>14.99079048349962</v>
      </c>
      <c r="K171" s="62">
        <v>15.09697821503865</v>
      </c>
      <c r="L171" s="62">
        <v>15.020270270270276</v>
      </c>
      <c r="M171" s="62">
        <v>15.230769230769237</v>
      </c>
      <c r="N171" s="62">
        <v>15.432121212121213</v>
      </c>
      <c r="O171" s="62">
        <v>15.797530864197526</v>
      </c>
      <c r="P171" s="62">
        <v>16.206279809220987</v>
      </c>
      <c r="Q171" s="62">
        <v>15.631873252562915</v>
      </c>
      <c r="R171" s="62">
        <v>15.4641304347826</v>
      </c>
      <c r="S171" s="62">
        <v>15.068155784650624</v>
      </c>
      <c r="T171" s="61">
        <f t="shared" si="24"/>
        <v>7.7365301151004928E-2</v>
      </c>
      <c r="U171" s="61">
        <f t="shared" si="25"/>
        <v>-0.72937507954690162</v>
      </c>
      <c r="V171" s="214">
        <f t="shared" si="26"/>
        <v>-0.39597465013197564</v>
      </c>
    </row>
    <row r="172" spans="1:22" ht="15" customHeight="1" x14ac:dyDescent="0.2">
      <c r="A172" s="29" t="s">
        <v>47</v>
      </c>
      <c r="B172" s="62">
        <v>16.892982456140349</v>
      </c>
      <c r="C172" s="62">
        <v>17.080952380952382</v>
      </c>
      <c r="D172" s="62">
        <v>16.545382794001583</v>
      </c>
      <c r="E172" s="62">
        <v>16.623355263157901</v>
      </c>
      <c r="F172" s="62">
        <v>17.010416666666664</v>
      </c>
      <c r="G172" s="62">
        <v>16.686623012160901</v>
      </c>
      <c r="H172" s="62">
        <v>16.529752066115702</v>
      </c>
      <c r="I172" s="62">
        <v>16.454887218045119</v>
      </c>
      <c r="J172" s="62">
        <v>16.165616561656158</v>
      </c>
      <c r="K172" s="62">
        <v>16.309458218549128</v>
      </c>
      <c r="L172" s="62">
        <v>16.096995708154502</v>
      </c>
      <c r="M172" s="62">
        <v>15.913636363636373</v>
      </c>
      <c r="N172" s="62">
        <v>16.123275068997234</v>
      </c>
      <c r="O172" s="62">
        <v>15.925959780621563</v>
      </c>
      <c r="P172" s="62">
        <v>15.493661971830976</v>
      </c>
      <c r="Q172" s="62">
        <v>15.198292843072892</v>
      </c>
      <c r="R172" s="62">
        <v>14.951482479784362</v>
      </c>
      <c r="S172" s="62">
        <v>14.729881472239553</v>
      </c>
      <c r="T172" s="61">
        <f t="shared" si="24"/>
        <v>-1.435735089416605</v>
      </c>
      <c r="U172" s="61">
        <f t="shared" si="25"/>
        <v>-1.1960783083820097</v>
      </c>
      <c r="V172" s="214">
        <f t="shared" si="26"/>
        <v>-0.22160100754480894</v>
      </c>
    </row>
    <row r="173" spans="1:22" ht="15" customHeight="1" x14ac:dyDescent="0.2">
      <c r="A173" s="29" t="s">
        <v>64</v>
      </c>
      <c r="B173" s="62">
        <v>16.659459459459455</v>
      </c>
      <c r="C173" s="62">
        <v>16.361323155216294</v>
      </c>
      <c r="D173" s="62">
        <v>16.51010101010101</v>
      </c>
      <c r="E173" s="62">
        <v>17.132211538461547</v>
      </c>
      <c r="F173" s="62">
        <v>16.664688427299705</v>
      </c>
      <c r="G173" s="62">
        <v>16.503432494279178</v>
      </c>
      <c r="H173" s="62">
        <v>16.770925110132165</v>
      </c>
      <c r="I173" s="62">
        <v>16.579831932773104</v>
      </c>
      <c r="J173" s="62">
        <v>16.341463414634145</v>
      </c>
      <c r="K173" s="62">
        <v>16.034552845528456</v>
      </c>
      <c r="L173" s="62">
        <v>16.220833333333324</v>
      </c>
      <c r="M173" s="62">
        <v>16.06066536203522</v>
      </c>
      <c r="N173" s="62">
        <v>16.683146067415727</v>
      </c>
      <c r="O173" s="62">
        <v>15.350553505535059</v>
      </c>
      <c r="P173" s="62">
        <v>15.010937500000002</v>
      </c>
      <c r="Q173" s="62">
        <v>14.957264957264963</v>
      </c>
      <c r="R173" s="62">
        <v>14.569105691056899</v>
      </c>
      <c r="S173" s="62">
        <v>14.116205533596844</v>
      </c>
      <c r="T173" s="61">
        <f t="shared" si="24"/>
        <v>-2.2252578810373009</v>
      </c>
      <c r="U173" s="61">
        <f t="shared" si="25"/>
        <v>-1.2343479719382149</v>
      </c>
      <c r="V173" s="214">
        <f t="shared" si="26"/>
        <v>-0.4529001574600553</v>
      </c>
    </row>
    <row r="174" spans="1:22" ht="15" customHeight="1" x14ac:dyDescent="0.2">
      <c r="A174" s="29" t="s">
        <v>54</v>
      </c>
      <c r="B174" s="62">
        <v>10.495305164319252</v>
      </c>
      <c r="C174" s="62">
        <v>9.9905271828665576</v>
      </c>
      <c r="D174" s="62">
        <v>10.935437174290678</v>
      </c>
      <c r="E174" s="62">
        <v>11.071544715447153</v>
      </c>
      <c r="F174" s="62">
        <v>10.865118850193474</v>
      </c>
      <c r="G174" s="62">
        <v>10.467427309532571</v>
      </c>
      <c r="H174" s="62">
        <v>10.321532694710534</v>
      </c>
      <c r="I174" s="62">
        <v>10.573497147871871</v>
      </c>
      <c r="J174" s="62">
        <v>10.697137117026623</v>
      </c>
      <c r="K174" s="62">
        <v>10.743071593533491</v>
      </c>
      <c r="L174" s="62">
        <v>10.82624113475177</v>
      </c>
      <c r="M174" s="62">
        <v>10.802172226532196</v>
      </c>
      <c r="N174" s="62">
        <v>10.673879443585777</v>
      </c>
      <c r="O174" s="62">
        <v>10.835466179159054</v>
      </c>
      <c r="P174" s="62">
        <v>10.847647498132929</v>
      </c>
      <c r="Q174" s="62">
        <v>10.747074122236675</v>
      </c>
      <c r="R174" s="62">
        <v>10.771109560362872</v>
      </c>
      <c r="S174" s="62">
        <v>10.599433828733178</v>
      </c>
      <c r="T174" s="61">
        <f t="shared" si="24"/>
        <v>-9.7703288293445212E-2</v>
      </c>
      <c r="U174" s="61">
        <f t="shared" si="25"/>
        <v>-0.23603235042587656</v>
      </c>
      <c r="V174" s="214">
        <f t="shared" si="26"/>
        <v>-0.17167573162969418</v>
      </c>
    </row>
    <row r="175" spans="1:22" ht="15" customHeight="1" x14ac:dyDescent="0.2">
      <c r="A175" s="158" t="s">
        <v>583</v>
      </c>
      <c r="B175" s="51"/>
      <c r="C175" s="51"/>
      <c r="D175" s="51"/>
      <c r="E175" s="51"/>
      <c r="F175" s="51"/>
      <c r="G175" s="51"/>
      <c r="H175" s="51"/>
      <c r="I175" s="51"/>
      <c r="J175" s="51"/>
      <c r="K175" s="51"/>
      <c r="L175" s="51"/>
      <c r="M175" s="51"/>
      <c r="N175" s="51"/>
      <c r="O175" s="51"/>
      <c r="P175" s="51"/>
      <c r="Q175" s="51"/>
      <c r="R175" s="51"/>
      <c r="S175" s="51"/>
      <c r="T175" s="51"/>
      <c r="U175" s="51"/>
      <c r="V175" s="51"/>
    </row>
    <row r="176" spans="1:22" ht="15" customHeight="1" x14ac:dyDescent="0.2">
      <c r="A176" s="158"/>
      <c r="B176" s="51"/>
      <c r="C176" s="51"/>
      <c r="D176" s="51"/>
      <c r="E176" s="51"/>
      <c r="F176" s="51"/>
      <c r="G176" s="51"/>
      <c r="H176" s="51"/>
      <c r="I176" s="51"/>
      <c r="J176" s="51"/>
      <c r="K176" s="51"/>
      <c r="L176" s="51"/>
      <c r="M176" s="51"/>
      <c r="N176" s="51"/>
      <c r="O176" s="51"/>
      <c r="P176" s="51"/>
      <c r="Q176" s="51"/>
      <c r="R176" s="51"/>
      <c r="S176" s="51"/>
      <c r="T176" s="51"/>
      <c r="U176" s="51"/>
      <c r="V176" s="51"/>
    </row>
    <row r="177" spans="1:22" ht="15" customHeight="1" x14ac:dyDescent="0.2">
      <c r="A177" s="49" t="s">
        <v>493</v>
      </c>
      <c r="B177" s="49"/>
      <c r="C177" s="49"/>
      <c r="D177" s="49"/>
      <c r="E177" s="49"/>
      <c r="F177" s="49"/>
      <c r="G177" s="49"/>
      <c r="H177" s="49"/>
      <c r="I177" s="49"/>
      <c r="J177" s="49"/>
      <c r="K177" s="49"/>
      <c r="L177" s="49"/>
      <c r="M177" s="49"/>
      <c r="N177" s="49"/>
      <c r="O177" s="49"/>
      <c r="P177" s="49"/>
      <c r="Q177" s="49"/>
      <c r="R177" s="49"/>
      <c r="S177" s="49"/>
      <c r="T177" s="79"/>
      <c r="U177" s="79"/>
      <c r="V177" s="49"/>
    </row>
    <row r="178" spans="1:22" ht="38.25" x14ac:dyDescent="0.2">
      <c r="A178" s="36" t="s">
        <v>148</v>
      </c>
      <c r="B178" s="15">
        <v>2007</v>
      </c>
      <c r="C178" s="15">
        <v>2008</v>
      </c>
      <c r="D178" s="15">
        <v>2009</v>
      </c>
      <c r="E178" s="15">
        <v>2010</v>
      </c>
      <c r="F178" s="15">
        <v>2011</v>
      </c>
      <c r="G178" s="15">
        <v>2012</v>
      </c>
      <c r="H178" s="15">
        <v>2013</v>
      </c>
      <c r="I178" s="15">
        <v>2014</v>
      </c>
      <c r="J178" s="15">
        <v>2015</v>
      </c>
      <c r="K178" s="15">
        <v>2016</v>
      </c>
      <c r="L178" s="15">
        <v>2017</v>
      </c>
      <c r="M178" s="15">
        <v>2018</v>
      </c>
      <c r="N178" s="15">
        <v>2019</v>
      </c>
      <c r="O178" s="15">
        <v>2020</v>
      </c>
      <c r="P178" s="15">
        <v>2021</v>
      </c>
      <c r="Q178" s="15">
        <v>2022</v>
      </c>
      <c r="R178" s="15">
        <v>2023</v>
      </c>
      <c r="S178" s="15">
        <v>2024</v>
      </c>
      <c r="T178" s="27" t="s">
        <v>469</v>
      </c>
      <c r="U178" s="27" t="s">
        <v>470</v>
      </c>
      <c r="V178" s="27" t="s">
        <v>471</v>
      </c>
    </row>
    <row r="179" spans="1:22" ht="15" customHeight="1" x14ac:dyDescent="0.2">
      <c r="A179" s="29" t="s">
        <v>30</v>
      </c>
      <c r="B179" s="61">
        <v>6.3454935622317601</v>
      </c>
      <c r="C179" s="61">
        <v>5.857016769638129</v>
      </c>
      <c r="D179" s="61">
        <v>5.9966273187183807</v>
      </c>
      <c r="E179" s="61">
        <v>5.9970760233918128</v>
      </c>
      <c r="F179" s="61">
        <v>6.1724461105904407</v>
      </c>
      <c r="G179" s="61">
        <v>6.0679513184584177</v>
      </c>
      <c r="H179" s="61">
        <v>6.4579991557619252</v>
      </c>
      <c r="I179" s="61">
        <v>6.1438037249283663</v>
      </c>
      <c r="J179" s="61">
        <v>6.1445096122515475</v>
      </c>
      <c r="K179" s="61">
        <v>6.0840588887129963</v>
      </c>
      <c r="L179" s="61">
        <v>5.9906224737267584</v>
      </c>
      <c r="M179" s="61">
        <v>6.0862910008410429</v>
      </c>
      <c r="N179" s="61">
        <v>5.9097317744154054</v>
      </c>
      <c r="O179" s="61">
        <v>5.9893458342211803</v>
      </c>
      <c r="P179" s="61">
        <v>6.3726204270816087</v>
      </c>
      <c r="Q179" s="61">
        <v>6.1727948990435708</v>
      </c>
      <c r="R179" s="61">
        <v>5.8792181449382257</v>
      </c>
      <c r="S179" s="61">
        <v>5.8478260869565215</v>
      </c>
      <c r="T179" s="61">
        <f t="shared" ref="T179:T198" si="27">IFERROR((S179-J179),"n/a")</f>
        <v>-0.29668352529502595</v>
      </c>
      <c r="U179" s="61">
        <f t="shared" ref="U179:U198" si="28">IFERROR((S179-O179),"n/a")</f>
        <v>-0.14151974726465877</v>
      </c>
      <c r="V179" s="214">
        <f t="shared" ref="V179:V198" si="29">IFERROR((S179-R179),"n/a")</f>
        <v>-3.1392057981704191E-2</v>
      </c>
    </row>
    <row r="180" spans="1:22" ht="15" customHeight="1" x14ac:dyDescent="0.2">
      <c r="A180" s="29" t="s">
        <v>37</v>
      </c>
      <c r="B180" s="61">
        <v>11.018633540372674</v>
      </c>
      <c r="C180" s="61">
        <v>11.362204724409446</v>
      </c>
      <c r="D180" s="61">
        <v>10.581673306772908</v>
      </c>
      <c r="E180" s="61">
        <v>10.338815789473681</v>
      </c>
      <c r="F180" s="61">
        <v>9.9373695198329841</v>
      </c>
      <c r="G180" s="61">
        <v>10.042675893886962</v>
      </c>
      <c r="H180" s="61">
        <v>9.695883134130149</v>
      </c>
      <c r="I180" s="61">
        <v>9.7351164797238976</v>
      </c>
      <c r="J180" s="61">
        <v>9.8065595716198146</v>
      </c>
      <c r="K180" s="61">
        <v>9.9906759906759888</v>
      </c>
      <c r="L180" s="61">
        <v>9.9272807404142736</v>
      </c>
      <c r="M180" s="61">
        <v>10.044637321760696</v>
      </c>
      <c r="N180" s="61">
        <v>9.9932885906040241</v>
      </c>
      <c r="O180" s="61">
        <v>10.07120253164557</v>
      </c>
      <c r="P180" s="61">
        <v>10.207445211648153</v>
      </c>
      <c r="Q180" s="61">
        <v>10.202502844141067</v>
      </c>
      <c r="R180" s="61">
        <v>10.28198517563648</v>
      </c>
      <c r="S180" s="61">
        <v>10.191055673866746</v>
      </c>
      <c r="T180" s="61">
        <f t="shared" si="27"/>
        <v>0.38449610224693131</v>
      </c>
      <c r="U180" s="61">
        <f t="shared" si="28"/>
        <v>0.11985314222117616</v>
      </c>
      <c r="V180" s="214">
        <f t="shared" si="29"/>
        <v>-9.0929501769734244E-2</v>
      </c>
    </row>
    <row r="181" spans="1:22" ht="15" customHeight="1" x14ac:dyDescent="0.2">
      <c r="A181" s="29" t="s">
        <v>25</v>
      </c>
      <c r="B181" s="61">
        <v>6.5930599369085172</v>
      </c>
      <c r="C181" s="61">
        <v>6.5430809399477807</v>
      </c>
      <c r="D181" s="61">
        <v>6.4889807162534439</v>
      </c>
      <c r="E181" s="61">
        <v>6.3351063829787231</v>
      </c>
      <c r="F181" s="61">
        <v>6.2711631108052304</v>
      </c>
      <c r="G181" s="61">
        <v>6.1868014901543376</v>
      </c>
      <c r="H181" s="61">
        <v>6.5725062866722546</v>
      </c>
      <c r="I181" s="61">
        <v>5.9454214675560948</v>
      </c>
      <c r="J181" s="61">
        <v>5.8531044926804645</v>
      </c>
      <c r="K181" s="61">
        <v>5.8468922486201107</v>
      </c>
      <c r="L181" s="61">
        <v>5.9563552833078104</v>
      </c>
      <c r="M181" s="61">
        <v>6.05175421593332</v>
      </c>
      <c r="N181" s="61">
        <v>5.9491377428509056</v>
      </c>
      <c r="O181" s="61">
        <v>6.2504770992366412</v>
      </c>
      <c r="P181" s="61">
        <v>6.2701375245579571</v>
      </c>
      <c r="Q181" s="61">
        <v>6.2308584686774946</v>
      </c>
      <c r="R181" s="61">
        <v>6.2495457298606905</v>
      </c>
      <c r="S181" s="61">
        <v>6.0228587166069953</v>
      </c>
      <c r="T181" s="61">
        <f t="shared" si="27"/>
        <v>0.16975422392653083</v>
      </c>
      <c r="U181" s="61">
        <f t="shared" si="28"/>
        <v>-0.22761838262964584</v>
      </c>
      <c r="V181" s="214">
        <f t="shared" si="29"/>
        <v>-0.22668701325369511</v>
      </c>
    </row>
    <row r="182" spans="1:22" ht="15" customHeight="1" x14ac:dyDescent="0.2">
      <c r="A182" s="29" t="s">
        <v>46</v>
      </c>
      <c r="B182" s="61">
        <v>10.404715127701373</v>
      </c>
      <c r="C182" s="61">
        <v>11.1437908496732</v>
      </c>
      <c r="D182" s="61">
        <v>10.497340425531913</v>
      </c>
      <c r="E182" s="61">
        <v>9.4348837209302374</v>
      </c>
      <c r="F182" s="61">
        <v>9.3144654088050309</v>
      </c>
      <c r="G182" s="61">
        <v>9.4182547642928789</v>
      </c>
      <c r="H182" s="61">
        <v>9.2916299559471351</v>
      </c>
      <c r="I182" s="61">
        <v>9.6006309148264979</v>
      </c>
      <c r="J182" s="61">
        <v>9.5474162407722893</v>
      </c>
      <c r="K182" s="61">
        <v>9.5844411619891652</v>
      </c>
      <c r="L182" s="61">
        <v>9.5159983799108936</v>
      </c>
      <c r="M182" s="61">
        <v>9.9425202652910816</v>
      </c>
      <c r="N182" s="61">
        <v>10.0560593569662</v>
      </c>
      <c r="O182" s="61">
        <v>9.7074468085106371</v>
      </c>
      <c r="P182" s="61">
        <v>9.2338709677419359</v>
      </c>
      <c r="Q182" s="61">
        <v>9.8184832159137994</v>
      </c>
      <c r="R182" s="61">
        <v>9.9522695367337395</v>
      </c>
      <c r="S182" s="61">
        <v>9.8255499807024318</v>
      </c>
      <c r="T182" s="61">
        <f t="shared" si="27"/>
        <v>0.27813373993014245</v>
      </c>
      <c r="U182" s="61">
        <f t="shared" si="28"/>
        <v>0.11810317219179467</v>
      </c>
      <c r="V182" s="214">
        <f t="shared" si="29"/>
        <v>-0.12671955603130769</v>
      </c>
    </row>
    <row r="183" spans="1:22" ht="15" customHeight="1" x14ac:dyDescent="0.2">
      <c r="A183" s="29" t="s">
        <v>41</v>
      </c>
      <c r="B183" s="61">
        <v>12.483965014577265</v>
      </c>
      <c r="C183" s="61">
        <v>11.985754985754983</v>
      </c>
      <c r="D183" s="61">
        <v>11.632688927943761</v>
      </c>
      <c r="E183" s="61">
        <v>12.091463414634157</v>
      </c>
      <c r="F183" s="61">
        <v>10.955140186915886</v>
      </c>
      <c r="G183" s="61">
        <v>10.951020408163261</v>
      </c>
      <c r="H183" s="61">
        <v>11.005970149253731</v>
      </c>
      <c r="I183" s="61">
        <v>11.38513513513513</v>
      </c>
      <c r="J183" s="61">
        <v>11.284900284900285</v>
      </c>
      <c r="K183" s="61">
        <v>11.170792079207921</v>
      </c>
      <c r="L183" s="61">
        <v>11.111776447105795</v>
      </c>
      <c r="M183" s="61">
        <v>11.110433190970097</v>
      </c>
      <c r="N183" s="61">
        <v>11.28007793472967</v>
      </c>
      <c r="O183" s="61">
        <v>10.818759936406995</v>
      </c>
      <c r="P183" s="61">
        <v>11.385022960084774</v>
      </c>
      <c r="Q183" s="61">
        <v>11.254608294930879</v>
      </c>
      <c r="R183" s="61">
        <v>10.687950937950943</v>
      </c>
      <c r="S183" s="61">
        <v>10.64461247637051</v>
      </c>
      <c r="T183" s="61">
        <f t="shared" si="27"/>
        <v>-0.6402878085297754</v>
      </c>
      <c r="U183" s="61">
        <f t="shared" si="28"/>
        <v>-0.17414746003648496</v>
      </c>
      <c r="V183" s="214">
        <f t="shared" si="29"/>
        <v>-4.3338461580432863E-2</v>
      </c>
    </row>
    <row r="184" spans="1:22" ht="15" customHeight="1" x14ac:dyDescent="0.2">
      <c r="A184" s="29" t="s">
        <v>22</v>
      </c>
      <c r="B184" s="61">
        <v>6.1047619047619044</v>
      </c>
      <c r="C184" s="61">
        <v>6.1261261261261275</v>
      </c>
      <c r="D184" s="61">
        <v>6.3529411764705879</v>
      </c>
      <c r="E184" s="61">
        <v>5.9999999999999991</v>
      </c>
      <c r="F184" s="61">
        <v>6.0905292479108635</v>
      </c>
      <c r="G184" s="61">
        <v>6.0343781597573294</v>
      </c>
      <c r="H184" s="61">
        <v>6.43079200592154</v>
      </c>
      <c r="I184" s="61">
        <v>6.3295225285810357</v>
      </c>
      <c r="J184" s="61">
        <v>6.1435035552682615</v>
      </c>
      <c r="K184" s="61">
        <v>6.159895150720839</v>
      </c>
      <c r="L184" s="61">
        <v>5.5004240882103481</v>
      </c>
      <c r="M184" s="61">
        <v>5.5200623295675886</v>
      </c>
      <c r="N184" s="61">
        <v>5.4470169189670523</v>
      </c>
      <c r="O184" s="61">
        <v>5.8633557046979865</v>
      </c>
      <c r="P184" s="61">
        <v>5.6610127826941987</v>
      </c>
      <c r="Q184" s="61">
        <v>5.7833211944646763</v>
      </c>
      <c r="R184" s="61">
        <v>5.9360465116279073</v>
      </c>
      <c r="S184" s="61">
        <v>5.6437086092715232</v>
      </c>
      <c r="T184" s="61">
        <f t="shared" si="27"/>
        <v>-0.49979494599673835</v>
      </c>
      <c r="U184" s="61">
        <f t="shared" si="28"/>
        <v>-0.21964709542646332</v>
      </c>
      <c r="V184" s="214">
        <f t="shared" si="29"/>
        <v>-0.29233790235638413</v>
      </c>
    </row>
    <row r="185" spans="1:22" ht="15" customHeight="1" x14ac:dyDescent="0.2">
      <c r="A185" s="29" t="s">
        <v>39</v>
      </c>
      <c r="B185" s="61">
        <v>12.112745098039214</v>
      </c>
      <c r="C185" s="61">
        <v>11.912735849056606</v>
      </c>
      <c r="D185" s="61">
        <v>11.738955823293177</v>
      </c>
      <c r="E185" s="61">
        <v>11.843989769820967</v>
      </c>
      <c r="F185" s="61">
        <v>11.307851239669422</v>
      </c>
      <c r="G185" s="61">
        <v>11.432234432234431</v>
      </c>
      <c r="H185" s="61">
        <v>11.047451669595775</v>
      </c>
      <c r="I185" s="61">
        <v>11.14117647058824</v>
      </c>
      <c r="J185" s="61">
        <v>11.034224598930479</v>
      </c>
      <c r="K185" s="61">
        <v>11.394866732477791</v>
      </c>
      <c r="L185" s="61">
        <v>11.000993048659389</v>
      </c>
      <c r="M185" s="61">
        <v>11.185036202735319</v>
      </c>
      <c r="N185" s="61">
        <v>11.126871552403466</v>
      </c>
      <c r="O185" s="61">
        <v>10.175257731958757</v>
      </c>
      <c r="P185" s="61">
        <v>10.60172626387177</v>
      </c>
      <c r="Q185" s="61">
        <v>10.188343227199136</v>
      </c>
      <c r="R185" s="61">
        <v>10.194399569197628</v>
      </c>
      <c r="S185" s="61">
        <v>9.931893687707646</v>
      </c>
      <c r="T185" s="61">
        <f t="shared" si="27"/>
        <v>-1.1023309112228326</v>
      </c>
      <c r="U185" s="61">
        <f t="shared" si="28"/>
        <v>-0.24336404425111091</v>
      </c>
      <c r="V185" s="214">
        <f t="shared" si="29"/>
        <v>-0.26250588148998233</v>
      </c>
    </row>
    <row r="186" spans="1:22" ht="15" customHeight="1" x14ac:dyDescent="0.2">
      <c r="A186" s="29" t="s">
        <v>38</v>
      </c>
      <c r="B186" s="61">
        <v>11.700980392156865</v>
      </c>
      <c r="C186" s="61">
        <v>11.487619047619059</v>
      </c>
      <c r="D186" s="61">
        <v>11.057251908396937</v>
      </c>
      <c r="E186" s="61">
        <v>10.945283018867915</v>
      </c>
      <c r="F186" s="61">
        <v>10.838945827232793</v>
      </c>
      <c r="G186" s="61">
        <v>11.054611650485443</v>
      </c>
      <c r="H186" s="61">
        <v>11.138255033557051</v>
      </c>
      <c r="I186" s="61">
        <v>10.645914396887168</v>
      </c>
      <c r="J186" s="61">
        <v>10.447411003236247</v>
      </c>
      <c r="K186" s="61">
        <v>10.469600000000003</v>
      </c>
      <c r="L186" s="61">
        <v>10.197548666186007</v>
      </c>
      <c r="M186" s="61">
        <v>10.404101995565409</v>
      </c>
      <c r="N186" s="61">
        <v>10.509141274238223</v>
      </c>
      <c r="O186" s="61">
        <v>10.050371593724192</v>
      </c>
      <c r="P186" s="61">
        <v>10.520540821632865</v>
      </c>
      <c r="Q186" s="61">
        <v>10.300382043935056</v>
      </c>
      <c r="R186" s="61">
        <v>10.0045197740113</v>
      </c>
      <c r="S186" s="61">
        <v>10.067106710671066</v>
      </c>
      <c r="T186" s="61">
        <f t="shared" si="27"/>
        <v>-0.38030429256518161</v>
      </c>
      <c r="U186" s="61">
        <f t="shared" si="28"/>
        <v>1.6735116946874129E-2</v>
      </c>
      <c r="V186" s="214">
        <f t="shared" si="29"/>
        <v>6.2586936659766224E-2</v>
      </c>
    </row>
    <row r="187" spans="1:22" ht="15" customHeight="1" x14ac:dyDescent="0.2">
      <c r="A187" s="29" t="s">
        <v>45</v>
      </c>
      <c r="B187" s="61">
        <v>6.6356589147286842</v>
      </c>
      <c r="C187" s="61">
        <v>6.2267206477732797</v>
      </c>
      <c r="D187" s="61">
        <v>5.6646153846153844</v>
      </c>
      <c r="E187" s="61">
        <v>6.8031496062992129</v>
      </c>
      <c r="F187" s="61">
        <v>6.1633466135458166</v>
      </c>
      <c r="G187" s="61">
        <v>6.3192019950124685</v>
      </c>
      <c r="H187" s="61">
        <v>6.6227876106194694</v>
      </c>
      <c r="I187" s="61">
        <v>6.2466918714555764</v>
      </c>
      <c r="J187" s="61">
        <v>6.0606299212598422</v>
      </c>
      <c r="K187" s="61">
        <v>6.1663442940038689</v>
      </c>
      <c r="L187" s="61">
        <v>5.8962779156327541</v>
      </c>
      <c r="M187" s="61">
        <v>5.9986784140969167</v>
      </c>
      <c r="N187" s="61">
        <v>5.9359743897559021</v>
      </c>
      <c r="O187" s="61">
        <v>6.1898792943361185</v>
      </c>
      <c r="P187" s="61">
        <v>5.9522021167634005</v>
      </c>
      <c r="Q187" s="61">
        <v>5.9558359621451107</v>
      </c>
      <c r="R187" s="61">
        <v>6.1642651296829962</v>
      </c>
      <c r="S187" s="61">
        <v>6.0119294605809133</v>
      </c>
      <c r="T187" s="61">
        <f t="shared" si="27"/>
        <v>-4.870046067892897E-2</v>
      </c>
      <c r="U187" s="61">
        <f t="shared" si="28"/>
        <v>-0.17794983375520523</v>
      </c>
      <c r="V187" s="214">
        <f t="shared" si="29"/>
        <v>-0.15233566910208296</v>
      </c>
    </row>
    <row r="188" spans="1:22" ht="15" customHeight="1" x14ac:dyDescent="0.2">
      <c r="A188" s="29" t="s">
        <v>67</v>
      </c>
      <c r="B188" s="61">
        <v>14.783132530120474</v>
      </c>
      <c r="C188" s="61">
        <v>15.862745098039211</v>
      </c>
      <c r="D188" s="61">
        <v>14.791666666666659</v>
      </c>
      <c r="E188" s="61">
        <v>14.396825396825387</v>
      </c>
      <c r="F188" s="61">
        <v>11.828124999999993</v>
      </c>
      <c r="G188" s="61">
        <v>12.847457627118645</v>
      </c>
      <c r="H188" s="61">
        <v>12.3265306122449</v>
      </c>
      <c r="I188" s="61">
        <v>11.612068965517242</v>
      </c>
      <c r="J188" s="61">
        <v>13.730538922155691</v>
      </c>
      <c r="K188" s="61">
        <v>11.65217391304347</v>
      </c>
      <c r="L188" s="61">
        <v>10.923875432525943</v>
      </c>
      <c r="M188" s="61">
        <v>11.203669724770656</v>
      </c>
      <c r="N188" s="61">
        <v>11.026272577996712</v>
      </c>
      <c r="O188" s="61">
        <v>10.015544041450774</v>
      </c>
      <c r="P188" s="61">
        <v>11.065650644783116</v>
      </c>
      <c r="Q188" s="61">
        <v>10.733639494833518</v>
      </c>
      <c r="R188" s="61">
        <v>10.969377990430621</v>
      </c>
      <c r="S188" s="61">
        <v>10.5859778597786</v>
      </c>
      <c r="T188" s="61">
        <f t="shared" si="27"/>
        <v>-3.1445610623770914</v>
      </c>
      <c r="U188" s="61">
        <f t="shared" si="28"/>
        <v>0.57043381832782636</v>
      </c>
      <c r="V188" s="214">
        <f t="shared" si="29"/>
        <v>-0.38340013065202072</v>
      </c>
    </row>
    <row r="189" spans="1:22" ht="15" customHeight="1" x14ac:dyDescent="0.2">
      <c r="A189" s="29" t="s">
        <v>96</v>
      </c>
      <c r="B189" s="61">
        <v>7.5327695560253689</v>
      </c>
      <c r="C189" s="61">
        <v>7.4623655913978491</v>
      </c>
      <c r="D189" s="61">
        <v>7.3095684803001877</v>
      </c>
      <c r="E189" s="61">
        <v>7.4558823529411731</v>
      </c>
      <c r="F189" s="61">
        <v>7.1450216450216448</v>
      </c>
      <c r="G189" s="61">
        <v>7.1582278481012658</v>
      </c>
      <c r="H189" s="61">
        <v>7.1086956521739131</v>
      </c>
      <c r="I189" s="61">
        <v>7.2244897959183669</v>
      </c>
      <c r="J189" s="61">
        <v>7.132985658409388</v>
      </c>
      <c r="K189" s="61">
        <v>7.2951593860684767</v>
      </c>
      <c r="L189" s="61">
        <v>7.0247718383311604</v>
      </c>
      <c r="M189" s="61">
        <v>7.5220588235294121</v>
      </c>
      <c r="N189" s="61">
        <v>7.1679224973089344</v>
      </c>
      <c r="O189" s="61">
        <v>7.0232876712328771</v>
      </c>
      <c r="P189" s="61">
        <v>7.1546085232903867</v>
      </c>
      <c r="Q189" s="61">
        <v>6.7683881064162756</v>
      </c>
      <c r="R189" s="61">
        <v>6.4944521497919556</v>
      </c>
      <c r="S189" s="61">
        <v>6.4116251482799536</v>
      </c>
      <c r="T189" s="61">
        <f t="shared" si="27"/>
        <v>-0.72136051012943447</v>
      </c>
      <c r="U189" s="61">
        <f t="shared" si="28"/>
        <v>-0.61166252295292356</v>
      </c>
      <c r="V189" s="214">
        <f t="shared" si="29"/>
        <v>-8.2827001512002063E-2</v>
      </c>
    </row>
    <row r="190" spans="1:22" ht="15" customHeight="1" x14ac:dyDescent="0.2">
      <c r="A190" s="29" t="s">
        <v>27</v>
      </c>
      <c r="B190" s="61">
        <v>6.6538461538461551</v>
      </c>
      <c r="C190" s="61">
        <v>6.2139917695473255</v>
      </c>
      <c r="D190" s="61">
        <v>6.7014925373134329</v>
      </c>
      <c r="E190" s="61">
        <v>6.4116331096196877</v>
      </c>
      <c r="F190" s="61">
        <v>6.232899022801301</v>
      </c>
      <c r="G190" s="61">
        <v>6.3307692307692305</v>
      </c>
      <c r="H190" s="61">
        <v>6.5489964580873661</v>
      </c>
      <c r="I190" s="61">
        <v>6.1695906432748542</v>
      </c>
      <c r="J190" s="61">
        <v>6.0031055900621118</v>
      </c>
      <c r="K190" s="61">
        <v>5.8931552587646081</v>
      </c>
      <c r="L190" s="61">
        <v>6.1219730941704036</v>
      </c>
      <c r="M190" s="61">
        <v>6.3898089171974499</v>
      </c>
      <c r="N190" s="61">
        <v>6.1129629629629632</v>
      </c>
      <c r="O190" s="61">
        <v>6.3394160583941597</v>
      </c>
      <c r="P190" s="61">
        <v>6.6983972802331211</v>
      </c>
      <c r="Q190" s="61">
        <v>6.8816018572257693</v>
      </c>
      <c r="R190" s="61">
        <v>6.6714285714285717</v>
      </c>
      <c r="S190" s="61">
        <v>6.4878353087960079</v>
      </c>
      <c r="T190" s="61">
        <f t="shared" si="27"/>
        <v>0.48472971873389614</v>
      </c>
      <c r="U190" s="61">
        <f t="shared" si="28"/>
        <v>0.14841925040184822</v>
      </c>
      <c r="V190" s="214">
        <f t="shared" si="29"/>
        <v>-0.18359326263256381</v>
      </c>
    </row>
    <row r="191" spans="1:22" ht="15" customHeight="1" x14ac:dyDescent="0.2">
      <c r="A191" s="29" t="s">
        <v>42</v>
      </c>
      <c r="B191" s="61">
        <v>10.992869875222818</v>
      </c>
      <c r="C191" s="61">
        <v>11.008247422680412</v>
      </c>
      <c r="D191" s="61">
        <v>9.6792114695340494</v>
      </c>
      <c r="E191" s="61">
        <v>10.113981762917939</v>
      </c>
      <c r="F191" s="61">
        <v>9.8612903225806452</v>
      </c>
      <c r="G191" s="61">
        <v>9.8372093023255811</v>
      </c>
      <c r="H191" s="61">
        <v>9.9512349588347035</v>
      </c>
      <c r="I191" s="61">
        <v>10.183165696135521</v>
      </c>
      <c r="J191" s="61">
        <v>10.20498162515312</v>
      </c>
      <c r="K191" s="61">
        <v>10.163694826074247</v>
      </c>
      <c r="L191" s="61">
        <v>10.105343511450378</v>
      </c>
      <c r="M191" s="61">
        <v>10.457203842049093</v>
      </c>
      <c r="N191" s="61">
        <v>10.79812834224599</v>
      </c>
      <c r="O191" s="61">
        <v>11.249544626593805</v>
      </c>
      <c r="P191" s="61">
        <v>12.145811240721104</v>
      </c>
      <c r="Q191" s="61">
        <v>12.221513944223108</v>
      </c>
      <c r="R191" s="61">
        <v>11.921568627450981</v>
      </c>
      <c r="S191" s="61">
        <v>11.620853080568718</v>
      </c>
      <c r="T191" s="61">
        <f t="shared" si="27"/>
        <v>1.4158714554155978</v>
      </c>
      <c r="U191" s="61">
        <f t="shared" si="28"/>
        <v>0.37130845397491363</v>
      </c>
      <c r="V191" s="214">
        <f t="shared" si="29"/>
        <v>-0.30071554688226243</v>
      </c>
    </row>
    <row r="192" spans="1:22" ht="15" customHeight="1" x14ac:dyDescent="0.2">
      <c r="A192" s="29" t="s">
        <v>169</v>
      </c>
      <c r="B192" s="61" t="s">
        <v>100</v>
      </c>
      <c r="C192" s="61">
        <v>4.8181818181818201</v>
      </c>
      <c r="D192" s="61">
        <v>5.8095238095238111</v>
      </c>
      <c r="E192" s="61">
        <v>5.9285714285714262</v>
      </c>
      <c r="F192" s="61">
        <v>5.862068965517242</v>
      </c>
      <c r="G192" s="61">
        <v>6.2678571428571432</v>
      </c>
      <c r="H192" s="61">
        <v>6.3863636363636367</v>
      </c>
      <c r="I192" s="61">
        <v>5.9690721649484537</v>
      </c>
      <c r="J192" s="61">
        <v>5.5322580645161281</v>
      </c>
      <c r="K192" s="61">
        <v>5.4807692307692299</v>
      </c>
      <c r="L192" s="61">
        <v>5.6615853658536572</v>
      </c>
      <c r="M192" s="61">
        <v>6.8693957115009745</v>
      </c>
      <c r="N192" s="61">
        <v>5.8629856850715747</v>
      </c>
      <c r="O192" s="61">
        <v>5.8503184713375793</v>
      </c>
      <c r="P192" s="61">
        <v>5.9145454545454541</v>
      </c>
      <c r="Q192" s="61">
        <v>5.7856450048496617</v>
      </c>
      <c r="R192" s="61">
        <v>5.8436815193571947</v>
      </c>
      <c r="S192" s="61">
        <v>5.8853754940711465</v>
      </c>
      <c r="T192" s="61">
        <f t="shared" si="27"/>
        <v>0.35311742955501835</v>
      </c>
      <c r="U192" s="61">
        <f t="shared" si="28"/>
        <v>3.5057022733567145E-2</v>
      </c>
      <c r="V192" s="214">
        <f t="shared" si="29"/>
        <v>4.1693974713951754E-2</v>
      </c>
    </row>
    <row r="193" spans="1:22" ht="15" customHeight="1" x14ac:dyDescent="0.2">
      <c r="A193" s="29" t="s">
        <v>95</v>
      </c>
      <c r="B193" s="61">
        <v>11.404907975460118</v>
      </c>
      <c r="C193" s="61">
        <v>11.352941176470587</v>
      </c>
      <c r="D193" s="61">
        <v>10.872549019607844</v>
      </c>
      <c r="E193" s="61">
        <v>11.366412213740455</v>
      </c>
      <c r="F193" s="61">
        <v>10.637426900584801</v>
      </c>
      <c r="G193" s="61">
        <v>10.570048309178745</v>
      </c>
      <c r="H193" s="61">
        <v>10.061320754716981</v>
      </c>
      <c r="I193" s="61">
        <v>10.656914893617019</v>
      </c>
      <c r="J193" s="61">
        <v>10.698656429942414</v>
      </c>
      <c r="K193" s="61">
        <v>10.836220472440944</v>
      </c>
      <c r="L193" s="61">
        <v>10.296413502109713</v>
      </c>
      <c r="M193" s="61">
        <v>10.386792452830189</v>
      </c>
      <c r="N193" s="61">
        <v>10.746775288526823</v>
      </c>
      <c r="O193" s="61">
        <v>10.890126206384554</v>
      </c>
      <c r="P193" s="61">
        <v>10.948266060261508</v>
      </c>
      <c r="Q193" s="61">
        <v>11.387050359712234</v>
      </c>
      <c r="R193" s="61">
        <v>11.692857142857147</v>
      </c>
      <c r="S193" s="61">
        <v>11.440993788819879</v>
      </c>
      <c r="T193" s="61">
        <f t="shared" si="27"/>
        <v>0.74233735887746555</v>
      </c>
      <c r="U193" s="61">
        <f t="shared" si="28"/>
        <v>0.55086758243532508</v>
      </c>
      <c r="V193" s="214">
        <f t="shared" si="29"/>
        <v>-0.25186335403726723</v>
      </c>
    </row>
    <row r="194" spans="1:22" ht="15" customHeight="1" x14ac:dyDescent="0.2">
      <c r="A194" s="29" t="s">
        <v>339</v>
      </c>
      <c r="B194" s="61">
        <v>6</v>
      </c>
      <c r="C194" s="61">
        <v>5.7627118644067812</v>
      </c>
      <c r="D194" s="61">
        <v>6.0204081632653059</v>
      </c>
      <c r="E194" s="61">
        <v>6.2727272727272725</v>
      </c>
      <c r="F194" s="61">
        <v>6.0700000000000021</v>
      </c>
      <c r="G194" s="61">
        <v>6.2583333333333337</v>
      </c>
      <c r="H194" s="61">
        <v>6.7864583333333321</v>
      </c>
      <c r="I194" s="61">
        <v>6.0925373134328362</v>
      </c>
      <c r="J194" s="61">
        <v>5.7299412915851269</v>
      </c>
      <c r="K194" s="61">
        <v>5.6543689320388353</v>
      </c>
      <c r="L194" s="61">
        <v>5.7048611111111116</v>
      </c>
      <c r="M194" s="61">
        <v>5.463382157123835</v>
      </c>
      <c r="N194" s="61">
        <v>5.6489971346704877</v>
      </c>
      <c r="O194" s="61">
        <v>5.8909952606635079</v>
      </c>
      <c r="P194" s="61">
        <v>5.7990654205607468</v>
      </c>
      <c r="Q194" s="61">
        <v>5.8397839783978398</v>
      </c>
      <c r="R194" s="61">
        <v>5.7604938271604933</v>
      </c>
      <c r="S194" s="61">
        <v>5.708783783783784</v>
      </c>
      <c r="T194" s="61">
        <f t="shared" si="27"/>
        <v>-2.1157507801342845E-2</v>
      </c>
      <c r="U194" s="61">
        <f t="shared" si="28"/>
        <v>-0.18221147687972383</v>
      </c>
      <c r="V194" s="214">
        <f t="shared" si="29"/>
        <v>-5.1710043376709258E-2</v>
      </c>
    </row>
    <row r="195" spans="1:22" ht="15" customHeight="1" x14ac:dyDescent="0.2">
      <c r="A195" s="29" t="s">
        <v>44</v>
      </c>
      <c r="B195" s="61">
        <v>10.17924528301887</v>
      </c>
      <c r="C195" s="61">
        <v>9.923664122137426</v>
      </c>
      <c r="D195" s="61">
        <v>9.774725274725272</v>
      </c>
      <c r="E195" s="61">
        <v>10.067073170731705</v>
      </c>
      <c r="F195" s="61">
        <v>10.072916666666661</v>
      </c>
      <c r="G195" s="61">
        <v>9.841004184100413</v>
      </c>
      <c r="H195" s="61">
        <v>9.9808917197452303</v>
      </c>
      <c r="I195" s="61">
        <v>9.8269419862340239</v>
      </c>
      <c r="J195" s="61">
        <v>9.8770281810418439</v>
      </c>
      <c r="K195" s="61">
        <v>9.575148809523812</v>
      </c>
      <c r="L195" s="61">
        <v>9.3737480231945156</v>
      </c>
      <c r="M195" s="61">
        <v>9.5687458081824275</v>
      </c>
      <c r="N195" s="61">
        <v>9.6158490566037731</v>
      </c>
      <c r="O195" s="61">
        <v>9.4435004248088337</v>
      </c>
      <c r="P195" s="61">
        <v>9.2974169741697406</v>
      </c>
      <c r="Q195" s="61">
        <v>9.4574927953890509</v>
      </c>
      <c r="R195" s="61">
        <v>9.4087705559906016</v>
      </c>
      <c r="S195" s="61">
        <v>9.4670818505338072</v>
      </c>
      <c r="T195" s="61">
        <f t="shared" si="27"/>
        <v>-0.40994633050803664</v>
      </c>
      <c r="U195" s="61">
        <f t="shared" si="28"/>
        <v>2.358142572497357E-2</v>
      </c>
      <c r="V195" s="214">
        <f t="shared" si="29"/>
        <v>5.8311294543205605E-2</v>
      </c>
    </row>
    <row r="196" spans="1:22" ht="15" customHeight="1" x14ac:dyDescent="0.2">
      <c r="A196" s="29" t="s">
        <v>452</v>
      </c>
      <c r="B196" s="61">
        <v>9.4705882352941302</v>
      </c>
      <c r="C196" s="61">
        <v>10.111111111111111</v>
      </c>
      <c r="D196" s="61">
        <v>9.6153846153846168</v>
      </c>
      <c r="E196" s="61">
        <v>11.166666666666666</v>
      </c>
      <c r="F196" s="61">
        <v>9.1666666666666661</v>
      </c>
      <c r="G196" s="61">
        <v>8.9285714285714288</v>
      </c>
      <c r="H196" s="61">
        <v>10</v>
      </c>
      <c r="I196" s="61">
        <v>9.7096774193548416</v>
      </c>
      <c r="J196" s="61">
        <v>9.2894736842105257</v>
      </c>
      <c r="K196" s="61">
        <v>9.1454545454545464</v>
      </c>
      <c r="L196" s="61">
        <v>9.3382352941176467</v>
      </c>
      <c r="M196" s="61">
        <v>10.72864321608041</v>
      </c>
      <c r="N196" s="61">
        <v>9.6113744075829342</v>
      </c>
      <c r="O196" s="61">
        <v>9.028571428571432</v>
      </c>
      <c r="P196" s="61">
        <v>9.8468468468468515</v>
      </c>
      <c r="Q196" s="61">
        <v>9.4982876712328732</v>
      </c>
      <c r="R196" s="61">
        <v>9.4570200573065897</v>
      </c>
      <c r="S196" s="61">
        <v>9.5696682464454952</v>
      </c>
      <c r="T196" s="61">
        <f t="shared" si="27"/>
        <v>0.28019456223496952</v>
      </c>
      <c r="U196" s="61">
        <f t="shared" si="28"/>
        <v>0.54109681787406316</v>
      </c>
      <c r="V196" s="214">
        <f t="shared" si="29"/>
        <v>0.11264818913890551</v>
      </c>
    </row>
    <row r="197" spans="1:22" ht="15" customHeight="1" x14ac:dyDescent="0.2">
      <c r="A197" s="29" t="s">
        <v>299</v>
      </c>
      <c r="B197" s="61">
        <v>12.461538461538479</v>
      </c>
      <c r="C197" s="61">
        <v>10.676923076923075</v>
      </c>
      <c r="D197" s="61">
        <v>9.9600000000000026</v>
      </c>
      <c r="E197" s="61">
        <v>10.07246376811594</v>
      </c>
      <c r="F197" s="61">
        <v>9.8846153846153832</v>
      </c>
      <c r="G197" s="61">
        <v>9.9218749999999858</v>
      </c>
      <c r="H197" s="61">
        <v>9.4768211920529826</v>
      </c>
      <c r="I197" s="61">
        <v>9.804979253112025</v>
      </c>
      <c r="J197" s="61">
        <v>9.6056910569105636</v>
      </c>
      <c r="K197" s="61">
        <v>9.2915851272015662</v>
      </c>
      <c r="L197" s="61">
        <v>9.5835351089588414</v>
      </c>
      <c r="M197" s="61">
        <v>10.261942675159236</v>
      </c>
      <c r="N197" s="61">
        <v>9.6111999999999949</v>
      </c>
      <c r="O197" s="61">
        <v>9.1875923190546587</v>
      </c>
      <c r="P197" s="61">
        <v>9.8926417370325712</v>
      </c>
      <c r="Q197" s="61">
        <v>9.7556935817805375</v>
      </c>
      <c r="R197" s="61">
        <v>9.7390965732087196</v>
      </c>
      <c r="S197" s="61">
        <v>9.6579710144927553</v>
      </c>
      <c r="T197" s="61">
        <f t="shared" si="27"/>
        <v>5.2279957582191727E-2</v>
      </c>
      <c r="U197" s="61">
        <f t="shared" si="28"/>
        <v>0.47037869543809663</v>
      </c>
      <c r="V197" s="214">
        <f t="shared" si="29"/>
        <v>-8.1125558715964274E-2</v>
      </c>
    </row>
    <row r="198" spans="1:22" ht="15" customHeight="1" x14ac:dyDescent="0.2">
      <c r="A198" s="29" t="s">
        <v>40</v>
      </c>
      <c r="B198" s="61">
        <v>12.406779661016934</v>
      </c>
      <c r="C198" s="61">
        <v>13.135135135135139</v>
      </c>
      <c r="D198" s="61">
        <v>12.461538461538442</v>
      </c>
      <c r="E198" s="61">
        <v>10.353448275862075</v>
      </c>
      <c r="F198" s="61">
        <v>10.44884488448845</v>
      </c>
      <c r="G198" s="61">
        <v>11.047961630695443</v>
      </c>
      <c r="H198" s="61">
        <v>11.163380281690142</v>
      </c>
      <c r="I198" s="61">
        <v>11.188841201716734</v>
      </c>
      <c r="J198" s="61">
        <v>12.112637362637347</v>
      </c>
      <c r="K198" s="61">
        <v>11.339522546419108</v>
      </c>
      <c r="L198" s="61">
        <v>11.077731092436979</v>
      </c>
      <c r="M198" s="61">
        <v>11.863756613756626</v>
      </c>
      <c r="N198" s="61">
        <v>11.879649890590796</v>
      </c>
      <c r="O198" s="61">
        <v>10.453507340946175</v>
      </c>
      <c r="P198" s="61">
        <v>11.437453737971873</v>
      </c>
      <c r="Q198" s="61">
        <v>11.098005203816133</v>
      </c>
      <c r="R198" s="61">
        <v>10.624884792626716</v>
      </c>
      <c r="S198" s="61">
        <v>10.370036101083029</v>
      </c>
      <c r="T198" s="61">
        <f t="shared" si="27"/>
        <v>-1.7426012615543183</v>
      </c>
      <c r="U198" s="61">
        <f t="shared" si="28"/>
        <v>-8.3471239863145641E-2</v>
      </c>
      <c r="V198" s="214">
        <f t="shared" si="29"/>
        <v>-0.25484869154368717</v>
      </c>
    </row>
    <row r="199" spans="1:22" ht="15" customHeight="1" x14ac:dyDescent="0.2">
      <c r="A199" s="51"/>
      <c r="B199" s="51"/>
      <c r="C199" s="51"/>
      <c r="D199" s="51"/>
      <c r="E199" s="51"/>
      <c r="F199" s="51"/>
      <c r="G199" s="51"/>
      <c r="H199" s="51"/>
      <c r="I199" s="51"/>
      <c r="J199" s="51"/>
      <c r="K199" s="51"/>
      <c r="L199" s="51"/>
      <c r="M199" s="51"/>
      <c r="N199" s="51"/>
      <c r="O199" s="51"/>
      <c r="P199" s="51"/>
      <c r="Q199" s="51"/>
      <c r="R199" s="51"/>
      <c r="S199" s="51"/>
      <c r="T199" s="51"/>
      <c r="U199" s="51"/>
      <c r="V199" s="51"/>
    </row>
    <row r="200" spans="1:22" ht="15" customHeight="1" x14ac:dyDescent="0.2">
      <c r="A200" s="49" t="s">
        <v>494</v>
      </c>
      <c r="B200" s="49"/>
      <c r="C200" s="49"/>
      <c r="D200" s="49"/>
      <c r="E200" s="49"/>
      <c r="F200" s="49"/>
      <c r="G200" s="49"/>
      <c r="H200" s="49"/>
      <c r="I200" s="49"/>
      <c r="J200" s="49"/>
      <c r="K200" s="49"/>
      <c r="L200" s="49"/>
      <c r="M200" s="49"/>
      <c r="N200" s="49"/>
      <c r="O200" s="49"/>
      <c r="P200" s="49"/>
      <c r="Q200" s="49"/>
      <c r="R200" s="49"/>
      <c r="S200" s="49"/>
      <c r="T200" s="79"/>
      <c r="U200" s="79"/>
      <c r="V200" s="49"/>
    </row>
    <row r="201" spans="1:22" ht="46.5" customHeight="1" x14ac:dyDescent="0.2">
      <c r="A201" s="36" t="s">
        <v>148</v>
      </c>
      <c r="B201" s="15">
        <v>2007</v>
      </c>
      <c r="C201" s="15">
        <v>2008</v>
      </c>
      <c r="D201" s="15">
        <v>2009</v>
      </c>
      <c r="E201" s="15">
        <v>2010</v>
      </c>
      <c r="F201" s="15">
        <v>2011</v>
      </c>
      <c r="G201" s="15">
        <v>2012</v>
      </c>
      <c r="H201" s="15">
        <v>2013</v>
      </c>
      <c r="I201" s="15">
        <v>2014</v>
      </c>
      <c r="J201" s="15">
        <v>2015</v>
      </c>
      <c r="K201" s="15">
        <v>2016</v>
      </c>
      <c r="L201" s="15">
        <v>2017</v>
      </c>
      <c r="M201" s="15">
        <v>2018</v>
      </c>
      <c r="N201" s="15">
        <v>2019</v>
      </c>
      <c r="O201" s="15">
        <v>2020</v>
      </c>
      <c r="P201" s="15">
        <v>2021</v>
      </c>
      <c r="Q201" s="15">
        <v>2022</v>
      </c>
      <c r="R201" s="15">
        <v>2023</v>
      </c>
      <c r="S201" s="15">
        <v>2024</v>
      </c>
      <c r="T201" s="27" t="s">
        <v>469</v>
      </c>
      <c r="U201" s="27" t="s">
        <v>470</v>
      </c>
      <c r="V201" s="27" t="s">
        <v>471</v>
      </c>
    </row>
    <row r="202" spans="1:22" ht="15" customHeight="1" x14ac:dyDescent="0.2">
      <c r="A202" s="29" t="s">
        <v>30</v>
      </c>
      <c r="B202" s="62">
        <v>6.3352490421455947</v>
      </c>
      <c r="C202" s="62">
        <v>5.710482130007196</v>
      </c>
      <c r="D202" s="62">
        <v>5.4548358989253556</v>
      </c>
      <c r="E202" s="62">
        <v>6.2447300771208232</v>
      </c>
      <c r="F202" s="62">
        <v>6.2802172928927114</v>
      </c>
      <c r="G202" s="62">
        <v>6.2567232837933462</v>
      </c>
      <c r="H202" s="62">
        <v>6.4541358803387983</v>
      </c>
      <c r="I202" s="62">
        <v>6.5669947009841012</v>
      </c>
      <c r="J202" s="62">
        <v>6.6367650010034112</v>
      </c>
      <c r="K202" s="62">
        <v>6.5537529319781083</v>
      </c>
      <c r="L202" s="62">
        <v>6.4220314735336199</v>
      </c>
      <c r="M202" s="62">
        <v>6.5482116711984952</v>
      </c>
      <c r="N202" s="62">
        <v>6.4338823529411764</v>
      </c>
      <c r="O202" s="62">
        <v>6.769047619047619</v>
      </c>
      <c r="P202" s="62">
        <v>6.899187349000659</v>
      </c>
      <c r="Q202" s="62">
        <v>6.7180180180180189</v>
      </c>
      <c r="R202" s="62">
        <v>6.3802985074626868</v>
      </c>
      <c r="S202" s="62">
        <v>6.0560552185735199</v>
      </c>
      <c r="T202" s="61">
        <f t="shared" ref="T202:T221" si="30">IFERROR((S202-J202),"n/a")</f>
        <v>-0.58070978242989124</v>
      </c>
      <c r="U202" s="61">
        <f t="shared" ref="U202:U221" si="31">IFERROR((S202-O202),"n/a")</f>
        <v>-0.71299240047409906</v>
      </c>
      <c r="V202" s="214">
        <f t="shared" ref="V202:V221" si="32">IFERROR((S202-R202),"n/a")</f>
        <v>-0.32424328888916687</v>
      </c>
    </row>
    <row r="203" spans="1:22" ht="15" customHeight="1" x14ac:dyDescent="0.2">
      <c r="A203" s="29" t="s">
        <v>25</v>
      </c>
      <c r="B203" s="62">
        <v>6.9605055292259088</v>
      </c>
      <c r="C203" s="62">
        <v>6.6940993788819876</v>
      </c>
      <c r="D203" s="62">
        <v>6.2306477093206949</v>
      </c>
      <c r="E203" s="62">
        <v>6.5590230664857527</v>
      </c>
      <c r="F203" s="62">
        <v>6.530188679245283</v>
      </c>
      <c r="G203" s="62">
        <v>6.3534351145038164</v>
      </c>
      <c r="H203" s="62">
        <v>6.5433604336043363</v>
      </c>
      <c r="I203" s="62">
        <v>6.4693113772455089</v>
      </c>
      <c r="J203" s="62">
        <v>6.1838805970149258</v>
      </c>
      <c r="K203" s="62">
        <v>5.9896283491789113</v>
      </c>
      <c r="L203" s="62">
        <v>5.9760547320410486</v>
      </c>
      <c r="M203" s="62">
        <v>6.3066812705366919</v>
      </c>
      <c r="N203" s="62">
        <v>6.2982351181573435</v>
      </c>
      <c r="O203" s="62">
        <v>6.2505651846269785</v>
      </c>
      <c r="P203" s="62">
        <v>6.4622747747747749</v>
      </c>
      <c r="Q203" s="62">
        <v>6.3781882145998239</v>
      </c>
      <c r="R203" s="62">
        <v>6.414959349593496</v>
      </c>
      <c r="S203" s="62">
        <v>6.3169164882226978</v>
      </c>
      <c r="T203" s="61">
        <f t="shared" si="30"/>
        <v>0.13303589120777204</v>
      </c>
      <c r="U203" s="61">
        <f t="shared" si="31"/>
        <v>6.635130359571928E-2</v>
      </c>
      <c r="V203" s="214">
        <f t="shared" si="32"/>
        <v>-9.8042861370798207E-2</v>
      </c>
    </row>
    <row r="204" spans="1:22" ht="15" customHeight="1" x14ac:dyDescent="0.2">
      <c r="A204" s="29" t="s">
        <v>31</v>
      </c>
      <c r="B204" s="62">
        <v>7.7402597402597406</v>
      </c>
      <c r="C204" s="62">
        <v>6.9467889908256879</v>
      </c>
      <c r="D204" s="62">
        <v>6.8480392156862742</v>
      </c>
      <c r="E204" s="62">
        <v>7.690769230769229</v>
      </c>
      <c r="F204" s="62">
        <v>7.1548998946259221</v>
      </c>
      <c r="G204" s="62">
        <v>7.1918755401901473</v>
      </c>
      <c r="H204" s="62">
        <v>7.0632621951219514</v>
      </c>
      <c r="I204" s="62">
        <v>6.9689336691855583</v>
      </c>
      <c r="J204" s="62">
        <v>6.8251318101933212</v>
      </c>
      <c r="K204" s="62">
        <v>6.6604554865424435</v>
      </c>
      <c r="L204" s="62">
        <v>6.0817214700193425</v>
      </c>
      <c r="M204" s="62">
        <v>6.4709931170108161</v>
      </c>
      <c r="N204" s="62">
        <v>6.2444976076555019</v>
      </c>
      <c r="O204" s="62">
        <v>6.6533333333333333</v>
      </c>
      <c r="P204" s="62">
        <v>6.9708631115997797</v>
      </c>
      <c r="Q204" s="62">
        <v>6.8226982680036459</v>
      </c>
      <c r="R204" s="62">
        <v>6.7936974789915965</v>
      </c>
      <c r="S204" s="62">
        <v>6.494595601938129</v>
      </c>
      <c r="T204" s="61">
        <f t="shared" si="30"/>
        <v>-0.33053620825519214</v>
      </c>
      <c r="U204" s="61">
        <f t="shared" si="31"/>
        <v>-0.15873773139520431</v>
      </c>
      <c r="V204" s="214">
        <f t="shared" si="32"/>
        <v>-0.29910187705346747</v>
      </c>
    </row>
    <row r="205" spans="1:22" ht="15" customHeight="1" x14ac:dyDescent="0.2">
      <c r="A205" s="29" t="s">
        <v>22</v>
      </c>
      <c r="B205" s="62">
        <v>6.6861924686192467</v>
      </c>
      <c r="C205" s="62">
        <v>6.5857988165680474</v>
      </c>
      <c r="D205" s="62">
        <v>6.0760233918128659</v>
      </c>
      <c r="E205" s="62">
        <v>6.4025974025974035</v>
      </c>
      <c r="F205" s="62">
        <v>6.1241379310344826</v>
      </c>
      <c r="G205" s="62">
        <v>6.2385931558935352</v>
      </c>
      <c r="H205" s="62">
        <v>6.2226004084411164</v>
      </c>
      <c r="I205" s="62">
        <v>6.3905362776025241</v>
      </c>
      <c r="J205" s="62">
        <v>6.2627877237851663</v>
      </c>
      <c r="K205" s="62">
        <v>6.2478839177750904</v>
      </c>
      <c r="L205" s="62">
        <v>6.0539466212379329</v>
      </c>
      <c r="M205" s="62">
        <v>5.9805225653206655</v>
      </c>
      <c r="N205" s="62">
        <v>5.8396084337349397</v>
      </c>
      <c r="O205" s="62">
        <v>5.9517058041648205</v>
      </c>
      <c r="P205" s="62">
        <v>6.2803054406617882</v>
      </c>
      <c r="Q205" s="62">
        <v>6.0946856287425151</v>
      </c>
      <c r="R205" s="62">
        <v>6.1059103530345098</v>
      </c>
      <c r="S205" s="62">
        <v>6.1018197573656847</v>
      </c>
      <c r="T205" s="61">
        <f t="shared" si="30"/>
        <v>-0.16096796641948163</v>
      </c>
      <c r="U205" s="61">
        <f t="shared" si="31"/>
        <v>0.15011395320086418</v>
      </c>
      <c r="V205" s="214">
        <f t="shared" si="32"/>
        <v>-4.0905956688250811E-3</v>
      </c>
    </row>
    <row r="206" spans="1:22" ht="15" customHeight="1" x14ac:dyDescent="0.2">
      <c r="A206" s="29" t="s">
        <v>34</v>
      </c>
      <c r="B206" s="62">
        <v>7.7758241758241757</v>
      </c>
      <c r="C206" s="62">
        <v>7.6512141280353205</v>
      </c>
      <c r="D206" s="62">
        <v>7.1111111111111107</v>
      </c>
      <c r="E206" s="62">
        <v>7.2284263959390866</v>
      </c>
      <c r="F206" s="62">
        <v>7.154285714285713</v>
      </c>
      <c r="G206" s="62">
        <v>7.138222849083216</v>
      </c>
      <c r="H206" s="62">
        <v>7.3532467532467534</v>
      </c>
      <c r="I206" s="62">
        <v>7.0325379609544472</v>
      </c>
      <c r="J206" s="62">
        <v>6.6169491525423725</v>
      </c>
      <c r="K206" s="62">
        <v>6.7634024303073623</v>
      </c>
      <c r="L206" s="62">
        <v>6.5657726692209453</v>
      </c>
      <c r="M206" s="62">
        <v>6.9167893961708398</v>
      </c>
      <c r="N206" s="62">
        <v>6.8532918610679108</v>
      </c>
      <c r="O206" s="62">
        <v>6.9235668789808908</v>
      </c>
      <c r="P206" s="62">
        <v>7.5711689884918227</v>
      </c>
      <c r="Q206" s="62">
        <v>7.3280000000000003</v>
      </c>
      <c r="R206" s="62">
        <v>7.3665977249224408</v>
      </c>
      <c r="S206" s="62">
        <v>6.9137737961926078</v>
      </c>
      <c r="T206" s="61">
        <f t="shared" si="30"/>
        <v>0.29682464365023531</v>
      </c>
      <c r="U206" s="61">
        <f t="shared" si="31"/>
        <v>-9.7930827882830584E-3</v>
      </c>
      <c r="V206" s="214">
        <f t="shared" si="32"/>
        <v>-0.45282392872983301</v>
      </c>
    </row>
    <row r="207" spans="1:22" ht="15" customHeight="1" x14ac:dyDescent="0.2">
      <c r="A207" s="29" t="s">
        <v>29</v>
      </c>
      <c r="B207" s="62">
        <v>7.795774647887324</v>
      </c>
      <c r="C207" s="62">
        <v>8.3733333333333331</v>
      </c>
      <c r="D207" s="62">
        <v>7.596774193548387</v>
      </c>
      <c r="E207" s="62">
        <v>7.2568093385214008</v>
      </c>
      <c r="F207" s="62">
        <v>7.1039325842696632</v>
      </c>
      <c r="G207" s="62">
        <v>7.2330623306233059</v>
      </c>
      <c r="H207" s="62">
        <v>7.4342723004694822</v>
      </c>
      <c r="I207" s="62">
        <v>7.1816479400749067</v>
      </c>
      <c r="J207" s="62">
        <v>7.0227272727272734</v>
      </c>
      <c r="K207" s="62">
        <v>6.994413407821229</v>
      </c>
      <c r="L207" s="62">
        <v>6.9797468354430379</v>
      </c>
      <c r="M207" s="62">
        <v>6.9933628318584073</v>
      </c>
      <c r="N207" s="62">
        <v>7.1236786469344615</v>
      </c>
      <c r="O207" s="62">
        <v>7.3405238828967638</v>
      </c>
      <c r="P207" s="62">
        <v>7.6108108108108112</v>
      </c>
      <c r="Q207" s="62">
        <v>7.6417233560090709</v>
      </c>
      <c r="R207" s="62">
        <v>7.2861736334405141</v>
      </c>
      <c r="S207" s="62">
        <v>6.6803953871499173</v>
      </c>
      <c r="T207" s="61">
        <f t="shared" si="30"/>
        <v>-0.34233188557735605</v>
      </c>
      <c r="U207" s="61">
        <f t="shared" si="31"/>
        <v>-0.66012849574684651</v>
      </c>
      <c r="V207" s="214">
        <f t="shared" si="32"/>
        <v>-0.60577824629059673</v>
      </c>
    </row>
    <row r="208" spans="1:22" ht="15" customHeight="1" x14ac:dyDescent="0.2">
      <c r="A208" s="29" t="s">
        <v>26</v>
      </c>
      <c r="B208" s="62">
        <v>8.0210526315789465</v>
      </c>
      <c r="C208" s="62">
        <v>6.8232558139534882</v>
      </c>
      <c r="D208" s="62">
        <v>6.9888888888888889</v>
      </c>
      <c r="E208" s="62">
        <v>7.6769230769230772</v>
      </c>
      <c r="F208" s="62">
        <v>7.1373626373626378</v>
      </c>
      <c r="G208" s="62">
        <v>7.4378881987577641</v>
      </c>
      <c r="H208" s="62">
        <v>7.2382198952879584</v>
      </c>
      <c r="I208" s="62">
        <v>7.1797752808988768</v>
      </c>
      <c r="J208" s="62">
        <v>6.7956043956043954</v>
      </c>
      <c r="K208" s="62">
        <v>6.8442776735459674</v>
      </c>
      <c r="L208" s="62">
        <v>6.7156549520766777</v>
      </c>
      <c r="M208" s="62">
        <v>6.8059125964010283</v>
      </c>
      <c r="N208" s="62">
        <v>6.8230256898192199</v>
      </c>
      <c r="O208" s="62">
        <v>6.6815642458100557</v>
      </c>
      <c r="P208" s="62">
        <v>7.2027210884353741</v>
      </c>
      <c r="Q208" s="62">
        <v>7</v>
      </c>
      <c r="R208" s="62">
        <v>6.9766536964980546</v>
      </c>
      <c r="S208" s="62">
        <v>6.7450271247739586</v>
      </c>
      <c r="T208" s="61">
        <f t="shared" si="30"/>
        <v>-5.0577270830436838E-2</v>
      </c>
      <c r="U208" s="61">
        <f t="shared" si="31"/>
        <v>6.3462878963902902E-2</v>
      </c>
      <c r="V208" s="214">
        <f t="shared" si="32"/>
        <v>-0.23162657172409595</v>
      </c>
    </row>
    <row r="209" spans="1:22" ht="15" customHeight="1" x14ac:dyDescent="0.2">
      <c r="A209" s="29" t="s">
        <v>96</v>
      </c>
      <c r="B209" s="62">
        <v>7.9058295964125564</v>
      </c>
      <c r="C209" s="62">
        <v>8.1560693641618496</v>
      </c>
      <c r="D209" s="62">
        <v>7.4256756756756754</v>
      </c>
      <c r="E209" s="62">
        <v>6.9999999999999991</v>
      </c>
      <c r="F209" s="62">
        <v>7.2131147540983598</v>
      </c>
      <c r="G209" s="62">
        <v>7.3262411347517711</v>
      </c>
      <c r="H209" s="62">
        <v>7.5681818181818183</v>
      </c>
      <c r="I209" s="62">
        <v>7.4798657718120802</v>
      </c>
      <c r="J209" s="62">
        <v>7.5987654320987659</v>
      </c>
      <c r="K209" s="62">
        <v>7.4637681159420293</v>
      </c>
      <c r="L209" s="62">
        <v>7.5649038461538449</v>
      </c>
      <c r="M209" s="62">
        <v>7.6601941747572813</v>
      </c>
      <c r="N209" s="62">
        <v>7.5309446254071659</v>
      </c>
      <c r="O209" s="62">
        <v>7.3779069767441863</v>
      </c>
      <c r="P209" s="62">
        <v>8.0100755667506292</v>
      </c>
      <c r="Q209" s="62">
        <v>7.471387002909796</v>
      </c>
      <c r="R209" s="62">
        <v>7.513204225352113</v>
      </c>
      <c r="S209" s="62">
        <v>7.1048458149779732</v>
      </c>
      <c r="T209" s="61">
        <f t="shared" si="30"/>
        <v>-0.49391961712079269</v>
      </c>
      <c r="U209" s="61">
        <f t="shared" si="31"/>
        <v>-0.27306116176621309</v>
      </c>
      <c r="V209" s="214">
        <f t="shared" si="32"/>
        <v>-0.40835841037413978</v>
      </c>
    </row>
    <row r="210" spans="1:22" ht="15" customHeight="1" x14ac:dyDescent="0.2">
      <c r="A210" s="29" t="s">
        <v>33</v>
      </c>
      <c r="B210" s="62">
        <v>6.3414634146341466</v>
      </c>
      <c r="C210" s="62">
        <v>6.6529411764705868</v>
      </c>
      <c r="D210" s="62">
        <v>6.5488372093023264</v>
      </c>
      <c r="E210" s="62">
        <v>6.6412213740458013</v>
      </c>
      <c r="F210" s="62">
        <v>6.6896551724137927</v>
      </c>
      <c r="G210" s="62">
        <v>6.4774193548387116</v>
      </c>
      <c r="H210" s="62">
        <v>6.8203125</v>
      </c>
      <c r="I210" s="62">
        <v>6.7930327868852451</v>
      </c>
      <c r="J210" s="62">
        <v>6.6341463414634152</v>
      </c>
      <c r="K210" s="62">
        <v>6.1904255319148938</v>
      </c>
      <c r="L210" s="62">
        <v>6.1136363636363633</v>
      </c>
      <c r="M210" s="62">
        <v>6.4657142857142853</v>
      </c>
      <c r="N210" s="62">
        <v>6.5608504398826977</v>
      </c>
      <c r="O210" s="62">
        <v>6.8271144278606952</v>
      </c>
      <c r="P210" s="62">
        <v>7.125</v>
      </c>
      <c r="Q210" s="62">
        <v>7.1048109965635735</v>
      </c>
      <c r="R210" s="62">
        <v>7.2232441471571907</v>
      </c>
      <c r="S210" s="62">
        <v>6.7179962894248613</v>
      </c>
      <c r="T210" s="61">
        <f t="shared" si="30"/>
        <v>8.384994796144607E-2</v>
      </c>
      <c r="U210" s="61">
        <f t="shared" si="31"/>
        <v>-0.10911813843583396</v>
      </c>
      <c r="V210" s="214">
        <f t="shared" si="32"/>
        <v>-0.50524785773232939</v>
      </c>
    </row>
    <row r="211" spans="1:22" ht="15" customHeight="1" x14ac:dyDescent="0.2">
      <c r="A211" s="29" t="s">
        <v>23</v>
      </c>
      <c r="B211" s="62">
        <v>6.2941176470588234</v>
      </c>
      <c r="C211" s="62">
        <v>5.2970588235294107</v>
      </c>
      <c r="D211" s="62">
        <v>4.6461126005361928</v>
      </c>
      <c r="E211" s="62">
        <v>6.6774193548387109</v>
      </c>
      <c r="F211" s="62">
        <v>6.3515151515151516</v>
      </c>
      <c r="G211" s="62">
        <v>6.4526315789473676</v>
      </c>
      <c r="H211" s="62">
        <v>6.6087591240875909</v>
      </c>
      <c r="I211" s="62">
        <v>6.3224999999999998</v>
      </c>
      <c r="J211" s="62">
        <v>6.3641975308641978</v>
      </c>
      <c r="K211" s="62">
        <v>6.3276699029126213</v>
      </c>
      <c r="L211" s="62">
        <v>6.290684624017957</v>
      </c>
      <c r="M211" s="62">
        <v>6.2900274473924975</v>
      </c>
      <c r="N211" s="62">
        <v>6.2001819836214738</v>
      </c>
      <c r="O211" s="62">
        <v>6.3811881188118811</v>
      </c>
      <c r="P211" s="62">
        <v>6.6350194552529187</v>
      </c>
      <c r="Q211" s="62">
        <v>6.3505942275042448</v>
      </c>
      <c r="R211" s="62">
        <v>6.3076329992289901</v>
      </c>
      <c r="S211" s="62">
        <v>6.3603082851637769</v>
      </c>
      <c r="T211" s="61">
        <f t="shared" si="30"/>
        <v>-3.8892457004209291E-3</v>
      </c>
      <c r="U211" s="61">
        <f t="shared" si="31"/>
        <v>-2.0879833648104196E-2</v>
      </c>
      <c r="V211" s="214">
        <f t="shared" si="32"/>
        <v>5.2675285934786764E-2</v>
      </c>
    </row>
    <row r="212" spans="1:22" ht="15" customHeight="1" x14ac:dyDescent="0.2">
      <c r="A212" s="29" t="s">
        <v>169</v>
      </c>
      <c r="B212" s="62">
        <v>7.259999999999998</v>
      </c>
      <c r="C212" s="62">
        <v>6.833333333333333</v>
      </c>
      <c r="D212" s="62">
        <v>6.1111111111111125</v>
      </c>
      <c r="E212" s="62">
        <v>7.3586956521739131</v>
      </c>
      <c r="F212" s="62">
        <v>6.3088235294117636</v>
      </c>
      <c r="G212" s="62">
        <v>6.4905660377358476</v>
      </c>
      <c r="H212" s="62">
        <v>6.6450381679389299</v>
      </c>
      <c r="I212" s="62">
        <v>6.4254545454545449</v>
      </c>
      <c r="J212" s="62">
        <v>5.8738738738738725</v>
      </c>
      <c r="K212" s="62">
        <v>5.722397476340694</v>
      </c>
      <c r="L212" s="62">
        <v>5.5771028037383168</v>
      </c>
      <c r="M212" s="62">
        <v>5.8195211786372019</v>
      </c>
      <c r="N212" s="62">
        <v>6.0181058495821729</v>
      </c>
      <c r="O212" s="62">
        <v>6.0951683748169838</v>
      </c>
      <c r="P212" s="62">
        <v>6.5111346765641569</v>
      </c>
      <c r="Q212" s="62">
        <v>6.2990654205607477</v>
      </c>
      <c r="R212" s="62">
        <v>6.010438413361169</v>
      </c>
      <c r="S212" s="62">
        <v>5.8133616118769895</v>
      </c>
      <c r="T212" s="61">
        <f t="shared" si="30"/>
        <v>-6.0512261996882977E-2</v>
      </c>
      <c r="U212" s="61">
        <f t="shared" si="31"/>
        <v>-0.28180676293999429</v>
      </c>
      <c r="V212" s="214">
        <f t="shared" si="32"/>
        <v>-0.1970768014841795</v>
      </c>
    </row>
    <row r="213" spans="1:22" ht="15" customHeight="1" x14ac:dyDescent="0.2">
      <c r="A213" s="29" t="s">
        <v>21</v>
      </c>
      <c r="B213" s="62">
        <v>7.3866171003717467</v>
      </c>
      <c r="C213" s="62">
        <v>6.8477801268498943</v>
      </c>
      <c r="D213" s="62">
        <v>6.51048951048951</v>
      </c>
      <c r="E213" s="62">
        <v>7.3644067796610173</v>
      </c>
      <c r="F213" s="62">
        <v>6.8184713375796182</v>
      </c>
      <c r="G213" s="62">
        <v>6.8434343434343434</v>
      </c>
      <c r="H213" s="62">
        <v>6.9480198019801982</v>
      </c>
      <c r="I213" s="62">
        <v>7.0787401574803148</v>
      </c>
      <c r="J213" s="62">
        <v>7.0215982721382293</v>
      </c>
      <c r="K213" s="62">
        <v>6.7152777777777777</v>
      </c>
      <c r="L213" s="62">
        <v>6.4612736660929428</v>
      </c>
      <c r="M213" s="62">
        <v>6.6923076923076925</v>
      </c>
      <c r="N213" s="62">
        <v>6.5634328358208958</v>
      </c>
      <c r="O213" s="62">
        <v>6.6671826625386998</v>
      </c>
      <c r="P213" s="62">
        <v>7</v>
      </c>
      <c r="Q213" s="62">
        <v>6.57981220657277</v>
      </c>
      <c r="R213" s="62">
        <v>6.7391304347826084</v>
      </c>
      <c r="S213" s="62">
        <v>6.6611489776046726</v>
      </c>
      <c r="T213" s="61">
        <f t="shared" si="30"/>
        <v>-0.36044929453355667</v>
      </c>
      <c r="U213" s="61">
        <f t="shared" si="31"/>
        <v>-6.0336849340272281E-3</v>
      </c>
      <c r="V213" s="214">
        <f t="shared" si="32"/>
        <v>-7.7981457177935809E-2</v>
      </c>
    </row>
    <row r="214" spans="1:22" ht="15" customHeight="1" x14ac:dyDescent="0.2">
      <c r="A214" s="29" t="s">
        <v>28</v>
      </c>
      <c r="B214" s="62">
        <v>6.0506329113924062</v>
      </c>
      <c r="C214" s="62">
        <v>5.6378737541528228</v>
      </c>
      <c r="D214" s="62">
        <v>6.0263157894736823</v>
      </c>
      <c r="E214" s="62">
        <v>6.7080291970802932</v>
      </c>
      <c r="F214" s="62">
        <v>6.8882352941176457</v>
      </c>
      <c r="G214" s="62">
        <v>6.8991935483870961</v>
      </c>
      <c r="H214" s="62">
        <v>7.0553505535055354</v>
      </c>
      <c r="I214" s="62">
        <v>7.1751968503937009</v>
      </c>
      <c r="J214" s="62">
        <v>6.9703153988868269</v>
      </c>
      <c r="K214" s="62">
        <v>6.9753086419753094</v>
      </c>
      <c r="L214" s="62">
        <v>6.856870229007634</v>
      </c>
      <c r="M214" s="62">
        <v>6.7445573294629915</v>
      </c>
      <c r="N214" s="62">
        <v>6.5680628272251296</v>
      </c>
      <c r="O214" s="62">
        <v>7.4310954063604244</v>
      </c>
      <c r="P214" s="62">
        <v>7.4173913043478263</v>
      </c>
      <c r="Q214" s="62">
        <v>7.2999999999999989</v>
      </c>
      <c r="R214" s="62">
        <v>7.2030798845043309</v>
      </c>
      <c r="S214" s="62">
        <v>6.5373781148429044</v>
      </c>
      <c r="T214" s="61">
        <f t="shared" si="30"/>
        <v>-0.43293728404392251</v>
      </c>
      <c r="U214" s="61">
        <f t="shared" si="31"/>
        <v>-0.89371729151752</v>
      </c>
      <c r="V214" s="214">
        <f t="shared" si="32"/>
        <v>-0.66570176966142647</v>
      </c>
    </row>
    <row r="215" spans="1:22" ht="15" customHeight="1" x14ac:dyDescent="0.2">
      <c r="A215" s="29" t="s">
        <v>45</v>
      </c>
      <c r="B215" s="62">
        <v>6.6753246753246751</v>
      </c>
      <c r="C215" s="62">
        <v>6.7183098591549291</v>
      </c>
      <c r="D215" s="62">
        <v>5.9489795918367347</v>
      </c>
      <c r="E215" s="62">
        <v>6.1666666666666643</v>
      </c>
      <c r="F215" s="62">
        <v>6.0176991150442474</v>
      </c>
      <c r="G215" s="62">
        <v>6.2475247524752477</v>
      </c>
      <c r="H215" s="62">
        <v>6.1374045801526735</v>
      </c>
      <c r="I215" s="62">
        <v>5.927777777777778</v>
      </c>
      <c r="J215" s="62">
        <v>5.760162601626015</v>
      </c>
      <c r="K215" s="62">
        <v>5.7142857142857144</v>
      </c>
      <c r="L215" s="62">
        <v>5.7419354838709689</v>
      </c>
      <c r="M215" s="62">
        <v>5.9868073878627968</v>
      </c>
      <c r="N215" s="62">
        <v>5.9545454545454559</v>
      </c>
      <c r="O215" s="62">
        <v>6.0461285008237233</v>
      </c>
      <c r="P215" s="62">
        <v>6.1036585365853648</v>
      </c>
      <c r="Q215" s="62">
        <v>5.7319587628865989</v>
      </c>
      <c r="R215" s="62">
        <v>5.6696230598669626</v>
      </c>
      <c r="S215" s="62">
        <v>5.7551867219917003</v>
      </c>
      <c r="T215" s="61">
        <f t="shared" si="30"/>
        <v>-4.9758796343146727E-3</v>
      </c>
      <c r="U215" s="61">
        <f t="shared" si="31"/>
        <v>-0.29094177883202299</v>
      </c>
      <c r="V215" s="214">
        <f t="shared" si="32"/>
        <v>8.556366212473776E-2</v>
      </c>
    </row>
    <row r="216" spans="1:22" ht="15" customHeight="1" x14ac:dyDescent="0.2">
      <c r="A216" s="29" t="s">
        <v>24</v>
      </c>
      <c r="B216" s="62">
        <v>5.6966292134831464</v>
      </c>
      <c r="C216" s="62">
        <v>5.2976744186046512</v>
      </c>
      <c r="D216" s="62">
        <v>5.2499999999999991</v>
      </c>
      <c r="E216" s="62">
        <v>5.5838926174496635</v>
      </c>
      <c r="F216" s="62">
        <v>5.7957746478873231</v>
      </c>
      <c r="G216" s="62">
        <v>5.7720430107526886</v>
      </c>
      <c r="H216" s="62">
        <v>6.2559852670349914</v>
      </c>
      <c r="I216" s="62">
        <v>6.3155737704918034</v>
      </c>
      <c r="J216" s="62">
        <v>6.4520833333333334</v>
      </c>
      <c r="K216" s="62">
        <v>6.3417721518987333</v>
      </c>
      <c r="L216" s="62">
        <v>6.2954128440366972</v>
      </c>
      <c r="M216" s="62">
        <v>6.3612167300380227</v>
      </c>
      <c r="N216" s="62">
        <v>6.1907790143084265</v>
      </c>
      <c r="O216" s="62">
        <v>6.4645476772616135</v>
      </c>
      <c r="P216" s="62">
        <v>6.6572916666666666</v>
      </c>
      <c r="Q216" s="62">
        <v>6.2351421188630489</v>
      </c>
      <c r="R216" s="62">
        <v>6.3458549222797931</v>
      </c>
      <c r="S216" s="62">
        <v>6.1326034063260337</v>
      </c>
      <c r="T216" s="61">
        <f t="shared" si="30"/>
        <v>-0.31947992700729966</v>
      </c>
      <c r="U216" s="61">
        <f t="shared" si="31"/>
        <v>-0.33194427093557977</v>
      </c>
      <c r="V216" s="214">
        <f t="shared" si="32"/>
        <v>-0.21325151595375935</v>
      </c>
    </row>
    <row r="217" spans="1:22" ht="15" customHeight="1" x14ac:dyDescent="0.2">
      <c r="A217" s="29" t="s">
        <v>27</v>
      </c>
      <c r="B217" s="62">
        <v>6.9512820512820515</v>
      </c>
      <c r="C217" s="62">
        <v>7.1793313069908811</v>
      </c>
      <c r="D217" s="62">
        <v>6.2684365781710918</v>
      </c>
      <c r="E217" s="62">
        <v>6.4957020057306574</v>
      </c>
      <c r="F217" s="62">
        <v>6.3941441441441453</v>
      </c>
      <c r="G217" s="62">
        <v>6.391304347826086</v>
      </c>
      <c r="H217" s="62">
        <v>6.4204545454545459</v>
      </c>
      <c r="I217" s="62">
        <v>6.5088105726872234</v>
      </c>
      <c r="J217" s="62">
        <v>6.1019108280254777</v>
      </c>
      <c r="K217" s="62">
        <v>5.96661101836394</v>
      </c>
      <c r="L217" s="62">
        <v>5.8573717948717938</v>
      </c>
      <c r="M217" s="62">
        <v>6.3946540880503147</v>
      </c>
      <c r="N217" s="62">
        <v>6.3510140405616227</v>
      </c>
      <c r="O217" s="62">
        <v>6.4413223140495868</v>
      </c>
      <c r="P217" s="62">
        <v>6.5649582836710367</v>
      </c>
      <c r="Q217" s="62">
        <v>6.3701923076923075</v>
      </c>
      <c r="R217" s="62">
        <v>6.4168831168831177</v>
      </c>
      <c r="S217" s="62">
        <v>6.2979351032448374</v>
      </c>
      <c r="T217" s="61">
        <f t="shared" si="30"/>
        <v>0.19602427521935972</v>
      </c>
      <c r="U217" s="61">
        <f t="shared" si="31"/>
        <v>-0.14338721080474937</v>
      </c>
      <c r="V217" s="214">
        <f t="shared" si="32"/>
        <v>-0.11894801363828034</v>
      </c>
    </row>
    <row r="218" spans="1:22" ht="15" customHeight="1" x14ac:dyDescent="0.2">
      <c r="A218" s="29" t="s">
        <v>32</v>
      </c>
      <c r="B218" s="62">
        <v>7</v>
      </c>
      <c r="C218" s="62">
        <v>6.9421052631578934</v>
      </c>
      <c r="D218" s="62">
        <v>7.2105263157894735</v>
      </c>
      <c r="E218" s="62">
        <v>7.1414634146341456</v>
      </c>
      <c r="F218" s="62">
        <v>7.2036363636363641</v>
      </c>
      <c r="G218" s="62">
        <v>6.9243986254295544</v>
      </c>
      <c r="H218" s="62">
        <v>7.114583333333333</v>
      </c>
      <c r="I218" s="62">
        <v>7.2763636363636373</v>
      </c>
      <c r="J218" s="62">
        <v>7.046753246753247</v>
      </c>
      <c r="K218" s="62">
        <v>7.1374663072776281</v>
      </c>
      <c r="L218" s="62">
        <v>6.7682926829268295</v>
      </c>
      <c r="M218" s="62">
        <v>6.8322033898305081</v>
      </c>
      <c r="N218" s="62">
        <v>6.7259923175416132</v>
      </c>
      <c r="O218" s="62">
        <v>6.9099437148217637</v>
      </c>
      <c r="P218" s="62">
        <v>7.2843256379100847</v>
      </c>
      <c r="Q218" s="62">
        <v>7.2468856172140432</v>
      </c>
      <c r="R218" s="62">
        <v>7.5072463768115938</v>
      </c>
      <c r="S218" s="62">
        <v>7.250793650793649</v>
      </c>
      <c r="T218" s="61">
        <f t="shared" si="30"/>
        <v>0.20404040404040202</v>
      </c>
      <c r="U218" s="61">
        <f t="shared" si="31"/>
        <v>0.34084993597188529</v>
      </c>
      <c r="V218" s="214">
        <f t="shared" si="32"/>
        <v>-0.25645272601794478</v>
      </c>
    </row>
    <row r="219" spans="1:22" ht="15" customHeight="1" x14ac:dyDescent="0.2">
      <c r="A219" s="29" t="s">
        <v>464</v>
      </c>
      <c r="B219" s="62">
        <v>6.1250000000000018</v>
      </c>
      <c r="C219" s="61">
        <v>5.1999999999999975</v>
      </c>
      <c r="D219" s="62">
        <v>5.2413793103448256</v>
      </c>
      <c r="E219" s="62">
        <v>6</v>
      </c>
      <c r="F219" s="62">
        <v>5.2857142857142856</v>
      </c>
      <c r="G219" s="62">
        <v>6.4230769230769242</v>
      </c>
      <c r="H219" s="62">
        <v>6.125</v>
      </c>
      <c r="I219" s="62">
        <v>6.2916666666666643</v>
      </c>
      <c r="J219" s="62">
        <v>6.1304347826086936</v>
      </c>
      <c r="K219" s="62">
        <v>5.9473684210526327</v>
      </c>
      <c r="L219" s="62">
        <v>5.9166666666666679</v>
      </c>
      <c r="M219" s="62">
        <v>6.089999999999999</v>
      </c>
      <c r="N219" s="62">
        <v>5.916666666666667</v>
      </c>
      <c r="O219" s="62">
        <v>5.887931034482758</v>
      </c>
      <c r="P219" s="62">
        <v>6.1451104100946363</v>
      </c>
      <c r="Q219" s="62">
        <v>5.9347826086956523</v>
      </c>
      <c r="R219" s="62">
        <v>6.145833333333333</v>
      </c>
      <c r="S219" s="62">
        <v>6.0176767676767673</v>
      </c>
      <c r="T219" s="61">
        <f t="shared" si="30"/>
        <v>-0.11275801493192628</v>
      </c>
      <c r="U219" s="61">
        <f t="shared" si="31"/>
        <v>0.12974573319400928</v>
      </c>
      <c r="V219" s="214">
        <f t="shared" si="32"/>
        <v>-0.12815656565656575</v>
      </c>
    </row>
    <row r="220" spans="1:22" ht="15" customHeight="1" x14ac:dyDescent="0.2">
      <c r="A220" s="29" t="s">
        <v>284</v>
      </c>
      <c r="B220" s="62">
        <v>5.6785714285714253</v>
      </c>
      <c r="C220" s="62">
        <v>6</v>
      </c>
      <c r="D220" s="61">
        <v>6.6153846153846168</v>
      </c>
      <c r="E220" s="62">
        <v>6.7959183673469408</v>
      </c>
      <c r="F220" s="62">
        <v>7.2333333333333334</v>
      </c>
      <c r="G220" s="62">
        <v>7.2264150943396208</v>
      </c>
      <c r="H220" s="62">
        <v>6.9843750000000018</v>
      </c>
      <c r="I220" s="62">
        <v>7.2289156626506026</v>
      </c>
      <c r="J220" s="62">
        <v>6.8648648648648667</v>
      </c>
      <c r="K220" s="62">
        <v>6.9999999999999991</v>
      </c>
      <c r="L220" s="62">
        <v>6.6966292134831464</v>
      </c>
      <c r="M220" s="62">
        <v>6.4548872180451111</v>
      </c>
      <c r="N220" s="62">
        <v>6.7090909090909099</v>
      </c>
      <c r="O220" s="62">
        <v>7.1058823529411734</v>
      </c>
      <c r="P220" s="62">
        <v>6.8954869358669812</v>
      </c>
      <c r="Q220" s="62">
        <v>6.7392290249433096</v>
      </c>
      <c r="R220" s="62">
        <v>6.3116490166414509</v>
      </c>
      <c r="S220" s="62">
        <v>6.4245283018867907</v>
      </c>
      <c r="T220" s="61">
        <f t="shared" si="30"/>
        <v>-0.440336562978076</v>
      </c>
      <c r="U220" s="61">
        <f t="shared" si="31"/>
        <v>-0.68135405105438274</v>
      </c>
      <c r="V220" s="214">
        <f t="shared" si="32"/>
        <v>0.11287928524533974</v>
      </c>
    </row>
    <row r="221" spans="1:22" ht="15" customHeight="1" x14ac:dyDescent="0.2">
      <c r="A221" s="29" t="s">
        <v>36</v>
      </c>
      <c r="B221" s="62">
        <v>7.0129870129870131</v>
      </c>
      <c r="C221" s="62">
        <v>6.9190031152647959</v>
      </c>
      <c r="D221" s="62">
        <v>7.4509803921568629</v>
      </c>
      <c r="E221" s="62">
        <v>7.075441412520064</v>
      </c>
      <c r="F221" s="62">
        <v>6.9448398576512451</v>
      </c>
      <c r="G221" s="62">
        <v>7.0078864353312316</v>
      </c>
      <c r="H221" s="62">
        <v>6.9194244604316557</v>
      </c>
      <c r="I221" s="62">
        <v>6.6045454545454545</v>
      </c>
      <c r="J221" s="62">
        <v>6.4828614008941878</v>
      </c>
      <c r="K221" s="62">
        <v>6.3962516733601067</v>
      </c>
      <c r="L221" s="62">
        <v>6.0592885375494072</v>
      </c>
      <c r="M221" s="62">
        <v>6.5720081135902637</v>
      </c>
      <c r="N221" s="62">
        <v>6.3947826086956523</v>
      </c>
      <c r="O221" s="62">
        <v>6.6252821670428892</v>
      </c>
      <c r="P221" s="62">
        <v>7.0970873786407784</v>
      </c>
      <c r="Q221" s="62">
        <v>7.0437756497948021</v>
      </c>
      <c r="R221" s="62">
        <v>7.1497919556171974</v>
      </c>
      <c r="S221" s="62">
        <v>7.2461273666092945</v>
      </c>
      <c r="T221" s="61">
        <f t="shared" si="30"/>
        <v>0.76326596571510663</v>
      </c>
      <c r="U221" s="61">
        <f t="shared" si="31"/>
        <v>0.62084519956640527</v>
      </c>
      <c r="V221" s="214">
        <f t="shared" si="32"/>
        <v>9.6335410992097081E-2</v>
      </c>
    </row>
    <row r="222" spans="1:22" ht="15" customHeight="1" x14ac:dyDescent="0.2">
      <c r="A222" s="51"/>
      <c r="B222" s="51"/>
      <c r="C222" s="51"/>
      <c r="D222" s="51"/>
      <c r="E222" s="51"/>
      <c r="F222" s="51"/>
      <c r="G222" s="51"/>
      <c r="H222" s="51"/>
      <c r="I222" s="51"/>
      <c r="J222" s="51"/>
      <c r="K222" s="51"/>
      <c r="L222" s="51"/>
      <c r="M222" s="51"/>
      <c r="N222" s="51"/>
      <c r="O222" s="51"/>
      <c r="P222" s="51"/>
      <c r="Q222" s="51"/>
      <c r="R222" s="51"/>
      <c r="S222" s="51"/>
      <c r="T222" s="51"/>
      <c r="U222" s="51"/>
      <c r="V222" s="51"/>
    </row>
    <row r="223" spans="1:22" ht="15" customHeight="1" x14ac:dyDescent="0.2">
      <c r="A223" s="49" t="s">
        <v>495</v>
      </c>
      <c r="B223" s="49"/>
      <c r="C223" s="49"/>
      <c r="D223" s="49"/>
      <c r="E223" s="49"/>
      <c r="F223" s="49"/>
      <c r="G223" s="49"/>
      <c r="H223" s="49"/>
      <c r="I223" s="49"/>
      <c r="J223" s="49"/>
      <c r="K223" s="49"/>
      <c r="L223" s="49"/>
      <c r="M223" s="49"/>
      <c r="N223" s="49"/>
      <c r="O223" s="49"/>
      <c r="P223" s="49"/>
      <c r="Q223" s="49"/>
      <c r="R223" s="49"/>
      <c r="S223" s="49"/>
      <c r="T223" s="79"/>
      <c r="U223" s="79"/>
      <c r="V223" s="49"/>
    </row>
    <row r="224" spans="1:22" ht="46.5" customHeight="1" x14ac:dyDescent="0.2">
      <c r="A224" s="50" t="s">
        <v>149</v>
      </c>
      <c r="B224" s="15">
        <v>2007</v>
      </c>
      <c r="C224" s="15">
        <v>2008</v>
      </c>
      <c r="D224" s="15">
        <v>2009</v>
      </c>
      <c r="E224" s="15">
        <v>2010</v>
      </c>
      <c r="F224" s="15">
        <v>2011</v>
      </c>
      <c r="G224" s="15">
        <v>2012</v>
      </c>
      <c r="H224" s="15">
        <v>2013</v>
      </c>
      <c r="I224" s="15">
        <v>2014</v>
      </c>
      <c r="J224" s="15">
        <v>2015</v>
      </c>
      <c r="K224" s="15">
        <v>2016</v>
      </c>
      <c r="L224" s="15">
        <v>2017</v>
      </c>
      <c r="M224" s="15">
        <v>2018</v>
      </c>
      <c r="N224" s="15">
        <v>2019</v>
      </c>
      <c r="O224" s="15">
        <v>2020</v>
      </c>
      <c r="P224" s="15">
        <v>2021</v>
      </c>
      <c r="Q224" s="15">
        <v>2022</v>
      </c>
      <c r="R224" s="15">
        <v>2023</v>
      </c>
      <c r="S224" s="15">
        <v>2024</v>
      </c>
      <c r="T224" s="27" t="s">
        <v>469</v>
      </c>
      <c r="U224" s="27" t="s">
        <v>470</v>
      </c>
      <c r="V224" s="27" t="s">
        <v>471</v>
      </c>
    </row>
    <row r="225" spans="1:22" ht="15" customHeight="1" x14ac:dyDescent="0.2">
      <c r="A225" s="29" t="s">
        <v>60</v>
      </c>
      <c r="B225" s="62">
        <v>19.921052631578949</v>
      </c>
      <c r="C225" s="62">
        <v>17.767857142857157</v>
      </c>
      <c r="D225" s="62">
        <v>17.510204081632658</v>
      </c>
      <c r="E225" s="62">
        <v>17.849315068493183</v>
      </c>
      <c r="F225" s="62">
        <v>18.892857142857128</v>
      </c>
      <c r="G225" s="62">
        <v>16.999999999999982</v>
      </c>
      <c r="H225" s="62">
        <v>17.094594594594575</v>
      </c>
      <c r="I225" s="62">
        <v>16.812500000000004</v>
      </c>
      <c r="J225" s="62">
        <v>15.952380952380963</v>
      </c>
      <c r="K225" s="62">
        <v>16.750000000000007</v>
      </c>
      <c r="L225" s="62">
        <v>16.806629834254153</v>
      </c>
      <c r="M225" s="62">
        <v>16.312775330396473</v>
      </c>
      <c r="N225" s="62">
        <v>16.389610389610382</v>
      </c>
      <c r="O225" s="62">
        <v>15.887500000000019</v>
      </c>
      <c r="P225" s="62">
        <v>16.639344262295079</v>
      </c>
      <c r="Q225" s="62">
        <v>16.337962962962976</v>
      </c>
      <c r="R225" s="62">
        <v>15.911627906976749</v>
      </c>
      <c r="S225" s="62">
        <v>17.091836734693878</v>
      </c>
      <c r="T225" s="61">
        <f t="shared" ref="T225:T244" si="33">IFERROR((S225-J225),"n/a")</f>
        <v>1.1394557823129148</v>
      </c>
      <c r="U225" s="61">
        <f t="shared" ref="U225:U244" si="34">IFERROR((S225-O225),"n/a")</f>
        <v>1.2043367346938592</v>
      </c>
      <c r="V225" s="214">
        <f t="shared" ref="V225:V244" si="35">IFERROR((S225-R225),"n/a")</f>
        <v>1.180208827717129</v>
      </c>
    </row>
    <row r="226" spans="1:22" ht="15" customHeight="1" x14ac:dyDescent="0.2">
      <c r="A226" s="29" t="s">
        <v>63</v>
      </c>
      <c r="B226" s="62">
        <v>17.309677419354863</v>
      </c>
      <c r="C226" s="62">
        <v>16.95384615384614</v>
      </c>
      <c r="D226" s="62">
        <v>16.525714285714297</v>
      </c>
      <c r="E226" s="62">
        <v>17.422857142857136</v>
      </c>
      <c r="F226" s="62">
        <v>16.865248226950342</v>
      </c>
      <c r="G226" s="62">
        <v>17.191011235955042</v>
      </c>
      <c r="H226" s="62">
        <v>17.02162162162163</v>
      </c>
      <c r="I226" s="62">
        <v>16.6078431372549</v>
      </c>
      <c r="J226" s="62">
        <v>16.444000000000017</v>
      </c>
      <c r="K226" s="62">
        <v>16.57198443579766</v>
      </c>
      <c r="L226" s="62">
        <v>16.096666666666643</v>
      </c>
      <c r="M226" s="62">
        <v>16.642076502732234</v>
      </c>
      <c r="N226" s="62">
        <v>16.187660668380452</v>
      </c>
      <c r="O226" s="62">
        <v>16.522727272727277</v>
      </c>
      <c r="P226" s="62">
        <v>16.262222222222231</v>
      </c>
      <c r="Q226" s="62">
        <v>16.653333333333322</v>
      </c>
      <c r="R226" s="62">
        <v>16.083185840707962</v>
      </c>
      <c r="S226" s="62">
        <v>16.218309859154925</v>
      </c>
      <c r="T226" s="61">
        <f t="shared" si="33"/>
        <v>-0.2256901408450922</v>
      </c>
      <c r="U226" s="61">
        <f t="shared" si="34"/>
        <v>-0.3044174135723523</v>
      </c>
      <c r="V226" s="214">
        <f t="shared" si="35"/>
        <v>0.13512401844696242</v>
      </c>
    </row>
    <row r="227" spans="1:22" ht="15" customHeight="1" x14ac:dyDescent="0.2">
      <c r="A227" s="29" t="s">
        <v>13</v>
      </c>
      <c r="B227" s="62">
        <v>17.832004904966276</v>
      </c>
      <c r="C227" s="62">
        <v>17.811726734803656</v>
      </c>
      <c r="D227" s="62">
        <v>17.444391408114559</v>
      </c>
      <c r="E227" s="62">
        <v>17.344894026974966</v>
      </c>
      <c r="F227" s="62">
        <v>16.786751361161521</v>
      </c>
      <c r="G227" s="62">
        <v>16.867700729927012</v>
      </c>
      <c r="H227" s="62">
        <v>16.934528773978325</v>
      </c>
      <c r="I227" s="62">
        <v>16.655885295098354</v>
      </c>
      <c r="J227" s="62">
        <v>16.638734353268422</v>
      </c>
      <c r="K227" s="62">
        <v>16.627407641300913</v>
      </c>
      <c r="L227" s="62">
        <v>16.98275404616609</v>
      </c>
      <c r="M227" s="62">
        <v>16.969756924816274</v>
      </c>
      <c r="N227" s="62">
        <v>16.676927343316699</v>
      </c>
      <c r="O227" s="62">
        <v>16.624713083397097</v>
      </c>
      <c r="P227" s="62">
        <v>16.675982800982798</v>
      </c>
      <c r="Q227" s="62">
        <v>16.478744650499287</v>
      </c>
      <c r="R227" s="62">
        <v>16.272810848080901</v>
      </c>
      <c r="S227" s="62">
        <v>16.193918025561928</v>
      </c>
      <c r="T227" s="61">
        <f t="shared" si="33"/>
        <v>-0.44481632770649426</v>
      </c>
      <c r="U227" s="61">
        <f t="shared" si="34"/>
        <v>-0.43079505783516936</v>
      </c>
      <c r="V227" s="214">
        <f t="shared" si="35"/>
        <v>-7.889282251897356E-2</v>
      </c>
    </row>
    <row r="228" spans="1:22" ht="15" customHeight="1" x14ac:dyDescent="0.2">
      <c r="A228" s="29" t="s">
        <v>59</v>
      </c>
      <c r="B228" s="62">
        <v>20.351851851851844</v>
      </c>
      <c r="C228" s="62">
        <v>19.112903225806452</v>
      </c>
      <c r="D228" s="62">
        <v>19.811594202898526</v>
      </c>
      <c r="E228" s="62">
        <v>21.13636363636364</v>
      </c>
      <c r="F228" s="62">
        <v>20.000000000000014</v>
      </c>
      <c r="G228" s="62">
        <v>20.372881355932211</v>
      </c>
      <c r="H228" s="62">
        <v>20.918918918918919</v>
      </c>
      <c r="I228" s="62">
        <v>19.561643835616433</v>
      </c>
      <c r="J228" s="62">
        <v>19.809523809523835</v>
      </c>
      <c r="K228" s="62">
        <v>19.153846153846146</v>
      </c>
      <c r="L228" s="62">
        <v>17.23943661971833</v>
      </c>
      <c r="M228" s="62">
        <v>16.547325102880635</v>
      </c>
      <c r="N228" s="62">
        <v>17.427947598253283</v>
      </c>
      <c r="O228" s="62">
        <v>16.140495867768593</v>
      </c>
      <c r="P228" s="62">
        <v>16.229452054794535</v>
      </c>
      <c r="Q228" s="62">
        <v>16.556844547563802</v>
      </c>
      <c r="R228" s="62">
        <v>15.698375870069613</v>
      </c>
      <c r="S228" s="62">
        <v>16.17256637168142</v>
      </c>
      <c r="T228" s="61">
        <f t="shared" si="33"/>
        <v>-3.6369574378424154</v>
      </c>
      <c r="U228" s="61">
        <f t="shared" si="34"/>
        <v>3.2070503912827064E-2</v>
      </c>
      <c r="V228" s="214">
        <f t="shared" si="35"/>
        <v>0.47419050161180643</v>
      </c>
    </row>
    <row r="229" spans="1:22" ht="15" customHeight="1" x14ac:dyDescent="0.2">
      <c r="A229" s="29" t="s">
        <v>498</v>
      </c>
      <c r="B229" s="62">
        <v>16.214285714285744</v>
      </c>
      <c r="C229" s="62">
        <v>13.444444444444478</v>
      </c>
      <c r="D229" s="62">
        <v>16.615384615384624</v>
      </c>
      <c r="E229" s="62">
        <v>14.333333333333316</v>
      </c>
      <c r="F229" s="62">
        <v>14.5</v>
      </c>
      <c r="G229" s="62">
        <v>16.307692307692307</v>
      </c>
      <c r="H229" s="62">
        <v>13.6</v>
      </c>
      <c r="I229" s="62">
        <v>14.454545454545455</v>
      </c>
      <c r="J229" s="62">
        <v>18.307692307692285</v>
      </c>
      <c r="K229" s="62">
        <v>18.29999999999999</v>
      </c>
      <c r="L229" s="62">
        <v>17.133333333333326</v>
      </c>
      <c r="M229" s="62">
        <v>17.5625</v>
      </c>
      <c r="N229" s="62">
        <v>15.263157894736848</v>
      </c>
      <c r="O229" s="62">
        <v>15.785714285714278</v>
      </c>
      <c r="P229" s="62">
        <v>15.758620689655173</v>
      </c>
      <c r="Q229" s="62">
        <v>15.736842105263136</v>
      </c>
      <c r="R229" s="62">
        <v>17.104166666666654</v>
      </c>
      <c r="S229" s="62">
        <v>15.718309859154939</v>
      </c>
      <c r="T229" s="61">
        <f t="shared" si="33"/>
        <v>-2.5893824485373464</v>
      </c>
      <c r="U229" s="61">
        <f t="shared" si="34"/>
        <v>-6.7404426559338759E-2</v>
      </c>
      <c r="V229" s="214">
        <f t="shared" si="35"/>
        <v>-1.3858568075117148</v>
      </c>
    </row>
    <row r="230" spans="1:22" ht="15" customHeight="1" x14ac:dyDescent="0.2">
      <c r="A230" s="29" t="s">
        <v>285</v>
      </c>
      <c r="B230" s="62">
        <v>17.500000000000011</v>
      </c>
      <c r="C230" s="62">
        <v>18.31746031746032</v>
      </c>
      <c r="D230" s="62">
        <v>18.470588235294123</v>
      </c>
      <c r="E230" s="62">
        <v>19.403846153846146</v>
      </c>
      <c r="F230" s="62">
        <v>17.821917808219204</v>
      </c>
      <c r="G230" s="62">
        <v>17.726027397260289</v>
      </c>
      <c r="H230" s="62">
        <v>17.494252873563241</v>
      </c>
      <c r="I230" s="62">
        <v>16.43103448275863</v>
      </c>
      <c r="J230" s="62">
        <v>16.787878787878796</v>
      </c>
      <c r="K230" s="62">
        <v>16.228070175438603</v>
      </c>
      <c r="L230" s="62">
        <v>15.680327868852453</v>
      </c>
      <c r="M230" s="62">
        <v>14.808398950131233</v>
      </c>
      <c r="N230" s="62">
        <v>14.803455723542116</v>
      </c>
      <c r="O230" s="62">
        <v>14.805555555555559</v>
      </c>
      <c r="P230" s="62">
        <v>15.281250000000007</v>
      </c>
      <c r="Q230" s="62">
        <v>16.069444444444436</v>
      </c>
      <c r="R230" s="62">
        <v>15.93260473588343</v>
      </c>
      <c r="S230" s="62">
        <v>15.709125475285168</v>
      </c>
      <c r="T230" s="61">
        <f t="shared" si="33"/>
        <v>-1.0787533125936282</v>
      </c>
      <c r="U230" s="61">
        <f t="shared" si="34"/>
        <v>0.90356991972960898</v>
      </c>
      <c r="V230" s="214">
        <f t="shared" si="35"/>
        <v>-0.22347926059826229</v>
      </c>
    </row>
    <row r="231" spans="1:22" ht="15" customHeight="1" x14ac:dyDescent="0.2">
      <c r="A231" s="29" t="s">
        <v>62</v>
      </c>
      <c r="B231" s="62">
        <v>18.421052631578956</v>
      </c>
      <c r="C231" s="62">
        <v>17.570175438596507</v>
      </c>
      <c r="D231" s="62">
        <v>17.415204678362585</v>
      </c>
      <c r="E231" s="62">
        <v>18.096153846153829</v>
      </c>
      <c r="F231" s="62">
        <v>17.359154929577453</v>
      </c>
      <c r="G231" s="62">
        <v>17.879999999999988</v>
      </c>
      <c r="H231" s="62">
        <v>17.766467065868273</v>
      </c>
      <c r="I231" s="62">
        <v>17.921212121212143</v>
      </c>
      <c r="J231" s="62">
        <v>18.014184397163124</v>
      </c>
      <c r="K231" s="62">
        <v>17.435714285714283</v>
      </c>
      <c r="L231" s="62">
        <v>17.432835820895519</v>
      </c>
      <c r="M231" s="62">
        <v>17.831858407079647</v>
      </c>
      <c r="N231" s="62">
        <v>16.400000000000006</v>
      </c>
      <c r="O231" s="62">
        <v>16.366336633663366</v>
      </c>
      <c r="P231" s="62">
        <v>16.803921568627455</v>
      </c>
      <c r="Q231" s="62">
        <v>17.264150943396235</v>
      </c>
      <c r="R231" s="62">
        <v>16.055793991416298</v>
      </c>
      <c r="S231" s="62">
        <v>15.665271966527174</v>
      </c>
      <c r="T231" s="61">
        <f t="shared" si="33"/>
        <v>-2.3489124306359503</v>
      </c>
      <c r="U231" s="61">
        <f t="shared" si="34"/>
        <v>-0.7010646671361922</v>
      </c>
      <c r="V231" s="214">
        <f t="shared" si="35"/>
        <v>-0.39052202488912435</v>
      </c>
    </row>
    <row r="232" spans="1:22" ht="15" customHeight="1" x14ac:dyDescent="0.2">
      <c r="A232" s="29" t="s">
        <v>98</v>
      </c>
      <c r="B232" s="62">
        <v>18.256880733944964</v>
      </c>
      <c r="C232" s="62">
        <v>17.101123595505612</v>
      </c>
      <c r="D232" s="62">
        <v>17.014388489208653</v>
      </c>
      <c r="E232" s="62">
        <v>16.789062500000014</v>
      </c>
      <c r="F232" s="62">
        <v>17.562500000000028</v>
      </c>
      <c r="G232" s="62">
        <v>16.893081761006286</v>
      </c>
      <c r="H232" s="62">
        <v>16.36046511627907</v>
      </c>
      <c r="I232" s="62">
        <v>15.744680851063839</v>
      </c>
      <c r="J232" s="62">
        <v>16.470930232558125</v>
      </c>
      <c r="K232" s="62">
        <v>16.810572687224667</v>
      </c>
      <c r="L232" s="62">
        <v>16.076271186440685</v>
      </c>
      <c r="M232" s="62">
        <v>16.111524163568792</v>
      </c>
      <c r="N232" s="62">
        <v>15.628099173553693</v>
      </c>
      <c r="O232" s="62">
        <v>15.450495049504946</v>
      </c>
      <c r="P232" s="62">
        <v>16.152173913043477</v>
      </c>
      <c r="Q232" s="62">
        <v>15.754716981132075</v>
      </c>
      <c r="R232" s="62">
        <v>15.617250673854457</v>
      </c>
      <c r="S232" s="62">
        <v>15.63716814159292</v>
      </c>
      <c r="T232" s="61">
        <f t="shared" si="33"/>
        <v>-0.83376209096520526</v>
      </c>
      <c r="U232" s="61">
        <f t="shared" si="34"/>
        <v>0.18667309208797356</v>
      </c>
      <c r="V232" s="214">
        <f t="shared" si="35"/>
        <v>1.9917467738462591E-2</v>
      </c>
    </row>
    <row r="233" spans="1:22" ht="15" customHeight="1" x14ac:dyDescent="0.2">
      <c r="A233" s="29" t="s">
        <v>88</v>
      </c>
      <c r="B233" s="62">
        <v>16.525377229080934</v>
      </c>
      <c r="C233" s="62">
        <v>16.184931506849331</v>
      </c>
      <c r="D233" s="62">
        <v>16.253501400560218</v>
      </c>
      <c r="E233" s="62">
        <v>16.306349206349203</v>
      </c>
      <c r="F233" s="62">
        <v>15.469135802469122</v>
      </c>
      <c r="G233" s="62">
        <v>15.638668779714759</v>
      </c>
      <c r="H233" s="62">
        <v>17.500000000000004</v>
      </c>
      <c r="I233" s="62">
        <v>17.32780082987551</v>
      </c>
      <c r="J233" s="62">
        <v>17.321739130434775</v>
      </c>
      <c r="K233" s="62">
        <v>17.032967032967047</v>
      </c>
      <c r="L233" s="62">
        <v>17.565947242206235</v>
      </c>
      <c r="M233" s="62">
        <v>17.384816753926703</v>
      </c>
      <c r="N233" s="62">
        <v>16.834763948497841</v>
      </c>
      <c r="O233" s="62">
        <v>16.868632707774797</v>
      </c>
      <c r="P233" s="62">
        <v>16.239350912778889</v>
      </c>
      <c r="Q233" s="62">
        <v>16.51908396946564</v>
      </c>
      <c r="R233" s="62">
        <v>16.117540687160947</v>
      </c>
      <c r="S233" s="62">
        <v>15.623089983022075</v>
      </c>
      <c r="T233" s="61">
        <f t="shared" si="33"/>
        <v>-1.6986491474127003</v>
      </c>
      <c r="U233" s="61">
        <f t="shared" si="34"/>
        <v>-1.2455427247527222</v>
      </c>
      <c r="V233" s="214">
        <f t="shared" si="35"/>
        <v>-0.49445070413887215</v>
      </c>
    </row>
    <row r="234" spans="1:22" ht="15" customHeight="1" x14ac:dyDescent="0.2">
      <c r="A234" s="29" t="s">
        <v>61</v>
      </c>
      <c r="B234" s="62">
        <v>18.488549618320594</v>
      </c>
      <c r="C234" s="62">
        <v>16.942857142857154</v>
      </c>
      <c r="D234" s="62">
        <v>17.202531645569625</v>
      </c>
      <c r="E234" s="62">
        <v>18.889908256880755</v>
      </c>
      <c r="F234" s="62">
        <v>17.145454545454538</v>
      </c>
      <c r="G234" s="62">
        <v>18.05607476635511</v>
      </c>
      <c r="H234" s="62">
        <v>18.245033112582771</v>
      </c>
      <c r="I234" s="62">
        <v>17.357723577235777</v>
      </c>
      <c r="J234" s="62">
        <v>16.980769230769244</v>
      </c>
      <c r="K234" s="62">
        <v>16.579999999999998</v>
      </c>
      <c r="L234" s="62">
        <v>16.561497326203195</v>
      </c>
      <c r="M234" s="62">
        <v>16.741758241758234</v>
      </c>
      <c r="N234" s="62">
        <v>16.056497175141242</v>
      </c>
      <c r="O234" s="62">
        <v>16.073170731707314</v>
      </c>
      <c r="P234" s="62">
        <v>16.501792114695334</v>
      </c>
      <c r="Q234" s="62">
        <v>15.627777777777757</v>
      </c>
      <c r="R234" s="62">
        <v>15.901265822784815</v>
      </c>
      <c r="S234" s="62">
        <v>15.434447300771204</v>
      </c>
      <c r="T234" s="61">
        <f t="shared" si="33"/>
        <v>-1.5463219299980402</v>
      </c>
      <c r="U234" s="61">
        <f t="shared" si="34"/>
        <v>-0.6387234309361105</v>
      </c>
      <c r="V234" s="214">
        <f t="shared" si="35"/>
        <v>-0.46681852201361096</v>
      </c>
    </row>
    <row r="235" spans="1:22" ht="15" customHeight="1" x14ac:dyDescent="0.2">
      <c r="A235" s="29" t="s">
        <v>190</v>
      </c>
      <c r="B235" s="62">
        <v>19.64035087719299</v>
      </c>
      <c r="C235" s="62">
        <v>16.768707482993204</v>
      </c>
      <c r="D235" s="62">
        <v>15.908163265306118</v>
      </c>
      <c r="E235" s="62">
        <v>16.951048951048939</v>
      </c>
      <c r="F235" s="62">
        <v>17.050847457627146</v>
      </c>
      <c r="G235" s="62">
        <v>16.791366906474835</v>
      </c>
      <c r="H235" s="62">
        <v>16.288990825688074</v>
      </c>
      <c r="I235" s="62">
        <v>16.592964824120578</v>
      </c>
      <c r="J235" s="62">
        <v>15.398268398268392</v>
      </c>
      <c r="K235" s="62">
        <v>14.82716049382716</v>
      </c>
      <c r="L235" s="62">
        <v>14.610169491525438</v>
      </c>
      <c r="M235" s="62">
        <v>15.210784313725492</v>
      </c>
      <c r="N235" s="62">
        <v>14.793577981651383</v>
      </c>
      <c r="O235" s="62">
        <v>14.995951417004052</v>
      </c>
      <c r="P235" s="62">
        <v>15.461847389558258</v>
      </c>
      <c r="Q235" s="62">
        <v>15.249201277955297</v>
      </c>
      <c r="R235" s="62">
        <v>15.325779036827198</v>
      </c>
      <c r="S235" s="62">
        <v>15.122249388753055</v>
      </c>
      <c r="T235" s="61">
        <f t="shared" si="33"/>
        <v>-0.27601900951533764</v>
      </c>
      <c r="U235" s="61">
        <f t="shared" si="34"/>
        <v>0.12629797174900226</v>
      </c>
      <c r="V235" s="214">
        <f t="shared" si="35"/>
        <v>-0.20352964807414331</v>
      </c>
    </row>
    <row r="236" spans="1:22" ht="15" customHeight="1" x14ac:dyDescent="0.2">
      <c r="A236" s="29" t="s">
        <v>52</v>
      </c>
      <c r="B236" s="62">
        <v>15.048206278026919</v>
      </c>
      <c r="C236" s="62">
        <v>14.753921568627451</v>
      </c>
      <c r="D236" s="62">
        <v>14.80297397769516</v>
      </c>
      <c r="E236" s="62">
        <v>14.956118143459912</v>
      </c>
      <c r="F236" s="62">
        <v>14.968903436988537</v>
      </c>
      <c r="G236" s="62">
        <v>15.079631181894383</v>
      </c>
      <c r="H236" s="62">
        <v>14.991285403050108</v>
      </c>
      <c r="I236" s="62">
        <v>15.255829903978059</v>
      </c>
      <c r="J236" s="62">
        <v>15.217449664429536</v>
      </c>
      <c r="K236" s="62">
        <v>15.292216358839051</v>
      </c>
      <c r="L236" s="62">
        <v>15.395150720838792</v>
      </c>
      <c r="M236" s="62">
        <v>15.267206477732792</v>
      </c>
      <c r="N236" s="62">
        <v>15.282719546742213</v>
      </c>
      <c r="O236" s="62">
        <v>15.877263581488945</v>
      </c>
      <c r="P236" s="62">
        <v>15.88581449727201</v>
      </c>
      <c r="Q236" s="62">
        <v>15.521422797089736</v>
      </c>
      <c r="R236" s="62">
        <v>15.280944625407169</v>
      </c>
      <c r="S236" s="62">
        <v>15.084276729559745</v>
      </c>
      <c r="T236" s="61">
        <f t="shared" si="33"/>
        <v>-0.13317293486979054</v>
      </c>
      <c r="U236" s="61">
        <f t="shared" si="34"/>
        <v>-0.79298685192920004</v>
      </c>
      <c r="V236" s="214">
        <f t="shared" si="35"/>
        <v>-0.19666789584742439</v>
      </c>
    </row>
    <row r="237" spans="1:22" ht="15" customHeight="1" x14ac:dyDescent="0.2">
      <c r="A237" s="29" t="s">
        <v>301</v>
      </c>
      <c r="B237" s="62">
        <v>15.969387755102026</v>
      </c>
      <c r="C237" s="62">
        <v>14.831578947368431</v>
      </c>
      <c r="D237" s="62">
        <v>14.747368421052624</v>
      </c>
      <c r="E237" s="62">
        <v>16.318840579710152</v>
      </c>
      <c r="F237" s="62">
        <v>15.955882352941186</v>
      </c>
      <c r="G237" s="62">
        <v>16.805194805194816</v>
      </c>
      <c r="H237" s="62">
        <v>14.108695652173903</v>
      </c>
      <c r="I237" s="62">
        <v>15.311827956989251</v>
      </c>
      <c r="J237" s="62">
        <v>15.266666666666683</v>
      </c>
      <c r="K237" s="62">
        <v>14.673267326732676</v>
      </c>
      <c r="L237" s="62">
        <v>14.530303030303033</v>
      </c>
      <c r="M237" s="62">
        <v>14.25714285714286</v>
      </c>
      <c r="N237" s="62">
        <v>13.988888888888894</v>
      </c>
      <c r="O237" s="62">
        <v>14.369047619047619</v>
      </c>
      <c r="P237" s="62">
        <v>15.086956521739149</v>
      </c>
      <c r="Q237" s="62">
        <v>13.820224719101112</v>
      </c>
      <c r="R237" s="62">
        <v>14.604938271604953</v>
      </c>
      <c r="S237" s="62">
        <v>15.068965517241372</v>
      </c>
      <c r="T237" s="61">
        <f t="shared" si="33"/>
        <v>-0.19770114942531158</v>
      </c>
      <c r="U237" s="61">
        <f t="shared" si="34"/>
        <v>0.69991789819375327</v>
      </c>
      <c r="V237" s="214">
        <f t="shared" si="35"/>
        <v>0.46402724563641939</v>
      </c>
    </row>
    <row r="238" spans="1:22" ht="15" customHeight="1" x14ac:dyDescent="0.2">
      <c r="A238" s="29" t="s">
        <v>53</v>
      </c>
      <c r="B238" s="62">
        <v>13.696390658174096</v>
      </c>
      <c r="C238" s="62">
        <v>13.55748031496063</v>
      </c>
      <c r="D238" s="62">
        <v>13.773889636608335</v>
      </c>
      <c r="E238" s="62">
        <v>14.183754993342207</v>
      </c>
      <c r="F238" s="62">
        <v>14.350253807106599</v>
      </c>
      <c r="G238" s="62">
        <v>14.312318137730353</v>
      </c>
      <c r="H238" s="62">
        <v>14.659929701230231</v>
      </c>
      <c r="I238" s="62">
        <v>14.793893129770995</v>
      </c>
      <c r="J238" s="62">
        <v>14.99079048349962</v>
      </c>
      <c r="K238" s="62">
        <v>15.09697821503865</v>
      </c>
      <c r="L238" s="62">
        <v>15.020270270270276</v>
      </c>
      <c r="M238" s="62">
        <v>15.230769230769237</v>
      </c>
      <c r="N238" s="62">
        <v>15.432121212121213</v>
      </c>
      <c r="O238" s="62">
        <v>15.797530864197526</v>
      </c>
      <c r="P238" s="62">
        <v>16.206279809220987</v>
      </c>
      <c r="Q238" s="62">
        <v>15.631873252562915</v>
      </c>
      <c r="R238" s="62">
        <v>15.4641304347826</v>
      </c>
      <c r="S238" s="62">
        <v>15.068155784650624</v>
      </c>
      <c r="T238" s="61">
        <f t="shared" si="33"/>
        <v>7.7365301151004928E-2</v>
      </c>
      <c r="U238" s="61">
        <f t="shared" si="34"/>
        <v>-0.72937507954690162</v>
      </c>
      <c r="V238" s="214">
        <f t="shared" si="35"/>
        <v>-0.39597465013197564</v>
      </c>
    </row>
    <row r="239" spans="1:22" ht="15" customHeight="1" x14ac:dyDescent="0.2">
      <c r="A239" s="29" t="s">
        <v>499</v>
      </c>
      <c r="B239" s="62">
        <v>17.607142857142822</v>
      </c>
      <c r="C239" s="62">
        <v>16.346153846153847</v>
      </c>
      <c r="D239" s="62">
        <v>16.405405405405428</v>
      </c>
      <c r="E239" s="62">
        <v>15.931818181818171</v>
      </c>
      <c r="F239" s="62">
        <v>17.060606060606052</v>
      </c>
      <c r="G239" s="62">
        <v>18.865853658536576</v>
      </c>
      <c r="H239" s="62">
        <v>17.049180327868843</v>
      </c>
      <c r="I239" s="62">
        <v>17.604938271604937</v>
      </c>
      <c r="J239" s="62">
        <v>18.392156862745104</v>
      </c>
      <c r="K239" s="62">
        <v>17.425000000000011</v>
      </c>
      <c r="L239" s="62">
        <v>17.698412698412689</v>
      </c>
      <c r="M239" s="62">
        <v>18.703125000000007</v>
      </c>
      <c r="N239" s="62">
        <v>18.264367816091955</v>
      </c>
      <c r="O239" s="62">
        <v>17.984848484848477</v>
      </c>
      <c r="P239" s="62">
        <v>16.652777777777764</v>
      </c>
      <c r="Q239" s="62">
        <v>17.279279279279276</v>
      </c>
      <c r="R239" s="62">
        <v>16.315217391304348</v>
      </c>
      <c r="S239" s="62">
        <v>14.991999999999996</v>
      </c>
      <c r="T239" s="61">
        <f t="shared" si="33"/>
        <v>-3.4001568627451082</v>
      </c>
      <c r="U239" s="61">
        <f t="shared" si="34"/>
        <v>-2.9928484848484818</v>
      </c>
      <c r="V239" s="214">
        <f t="shared" si="35"/>
        <v>-1.3232173913043521</v>
      </c>
    </row>
    <row r="240" spans="1:22" ht="15" customHeight="1" x14ac:dyDescent="0.2">
      <c r="A240" s="29" t="s">
        <v>90</v>
      </c>
      <c r="B240" s="62">
        <v>15.18333333333333</v>
      </c>
      <c r="C240" s="62">
        <v>15.737254901960782</v>
      </c>
      <c r="D240" s="62">
        <v>14.706766917293233</v>
      </c>
      <c r="E240" s="62">
        <v>15.705882352941181</v>
      </c>
      <c r="F240" s="62">
        <v>15.47297297297297</v>
      </c>
      <c r="G240" s="62">
        <v>14.445054945054935</v>
      </c>
      <c r="H240" s="62">
        <v>15.173267326732679</v>
      </c>
      <c r="I240" s="62">
        <v>14.616</v>
      </c>
      <c r="J240" s="62">
        <v>14.255972696245749</v>
      </c>
      <c r="K240" s="62">
        <v>14.908163265306127</v>
      </c>
      <c r="L240" s="62">
        <v>14.614678899082563</v>
      </c>
      <c r="M240" s="62">
        <v>14.188498402555908</v>
      </c>
      <c r="N240" s="62">
        <v>14.785185185185181</v>
      </c>
      <c r="O240" s="62">
        <v>14.256198347107434</v>
      </c>
      <c r="P240" s="62">
        <v>13.885185185185183</v>
      </c>
      <c r="Q240" s="62">
        <v>14.841409691629948</v>
      </c>
      <c r="R240" s="62">
        <v>14.508130081300797</v>
      </c>
      <c r="S240" s="62">
        <v>14.986547085201805</v>
      </c>
      <c r="T240" s="61">
        <f t="shared" si="33"/>
        <v>0.73057438895605564</v>
      </c>
      <c r="U240" s="61">
        <f t="shared" si="34"/>
        <v>0.73034873809437073</v>
      </c>
      <c r="V240" s="214">
        <f t="shared" si="35"/>
        <v>0.47841700390100783</v>
      </c>
    </row>
    <row r="241" spans="1:22" ht="15" customHeight="1" x14ac:dyDescent="0.2">
      <c r="A241" s="29" t="s">
        <v>47</v>
      </c>
      <c r="B241" s="62">
        <v>16.892982456140349</v>
      </c>
      <c r="C241" s="62">
        <v>17.080952380952382</v>
      </c>
      <c r="D241" s="62">
        <v>16.545382794001583</v>
      </c>
      <c r="E241" s="62">
        <v>16.623355263157901</v>
      </c>
      <c r="F241" s="62">
        <v>17.010416666666664</v>
      </c>
      <c r="G241" s="62">
        <v>16.686623012160901</v>
      </c>
      <c r="H241" s="62">
        <v>16.529752066115702</v>
      </c>
      <c r="I241" s="62">
        <v>16.454887218045119</v>
      </c>
      <c r="J241" s="62">
        <v>16.165616561656158</v>
      </c>
      <c r="K241" s="62">
        <v>16.309458218549128</v>
      </c>
      <c r="L241" s="62">
        <v>16.096995708154502</v>
      </c>
      <c r="M241" s="62">
        <v>15.913636363636373</v>
      </c>
      <c r="N241" s="62">
        <v>16.123275068997234</v>
      </c>
      <c r="O241" s="62">
        <v>15.925959780621563</v>
      </c>
      <c r="P241" s="62">
        <v>15.493661971830976</v>
      </c>
      <c r="Q241" s="62">
        <v>15.198292843072892</v>
      </c>
      <c r="R241" s="62">
        <v>14.951482479784362</v>
      </c>
      <c r="S241" s="62">
        <v>14.729881472239553</v>
      </c>
      <c r="T241" s="61">
        <f t="shared" si="33"/>
        <v>-1.435735089416605</v>
      </c>
      <c r="U241" s="61">
        <f t="shared" si="34"/>
        <v>-1.1960783083820097</v>
      </c>
      <c r="V241" s="214">
        <f t="shared" si="35"/>
        <v>-0.22160100754480894</v>
      </c>
    </row>
    <row r="242" spans="1:22" ht="15" customHeight="1" x14ac:dyDescent="0.2">
      <c r="A242" s="29" t="s">
        <v>408</v>
      </c>
      <c r="B242" s="62">
        <v>15.585714285714285</v>
      </c>
      <c r="C242" s="62">
        <v>14.411111111111106</v>
      </c>
      <c r="D242" s="62">
        <v>14.022727272727268</v>
      </c>
      <c r="E242" s="62">
        <v>14.338461538461544</v>
      </c>
      <c r="F242" s="62">
        <v>14.626373626373621</v>
      </c>
      <c r="G242" s="62">
        <v>13.813725490196076</v>
      </c>
      <c r="H242" s="62">
        <v>14.280373831775686</v>
      </c>
      <c r="I242" s="62">
        <v>15.43</v>
      </c>
      <c r="J242" s="62">
        <v>14.552941176470588</v>
      </c>
      <c r="K242" s="62">
        <v>14.44871794871796</v>
      </c>
      <c r="L242" s="62">
        <v>14.226666666666652</v>
      </c>
      <c r="M242" s="62">
        <v>14.323529411764707</v>
      </c>
      <c r="N242" s="62">
        <v>15.37878787878789</v>
      </c>
      <c r="O242" s="62">
        <v>14.596153846153843</v>
      </c>
      <c r="P242" s="62">
        <v>15.083333333333352</v>
      </c>
      <c r="Q242" s="62">
        <v>14.681818181818166</v>
      </c>
      <c r="R242" s="62">
        <v>14.736363636363658</v>
      </c>
      <c r="S242" s="62">
        <v>14.720720720720722</v>
      </c>
      <c r="T242" s="61">
        <f t="shared" si="33"/>
        <v>0.16777954425013419</v>
      </c>
      <c r="U242" s="61">
        <f t="shared" si="34"/>
        <v>0.12456687456687909</v>
      </c>
      <c r="V242" s="214">
        <f t="shared" si="35"/>
        <v>-1.5642915642935407E-2</v>
      </c>
    </row>
    <row r="243" spans="1:22" ht="15" customHeight="1" x14ac:dyDescent="0.2">
      <c r="A243" s="29" t="s">
        <v>345</v>
      </c>
      <c r="B243" s="62">
        <v>16.678947368421049</v>
      </c>
      <c r="C243" s="62">
        <v>16.656862745098032</v>
      </c>
      <c r="D243" s="62">
        <v>15.555970149253714</v>
      </c>
      <c r="E243" s="62">
        <v>16.326315789473671</v>
      </c>
      <c r="F243" s="62">
        <v>15.710982658959542</v>
      </c>
      <c r="G243" s="62">
        <v>16.08074534161489</v>
      </c>
      <c r="H243" s="62">
        <v>16.300000000000008</v>
      </c>
      <c r="I243" s="62">
        <v>15.569892473118292</v>
      </c>
      <c r="J243" s="62">
        <v>15.468354430379764</v>
      </c>
      <c r="K243" s="62">
        <v>15.939597315436247</v>
      </c>
      <c r="L243" s="62">
        <v>16.174603174603174</v>
      </c>
      <c r="M243" s="62">
        <v>16.2409638554217</v>
      </c>
      <c r="N243" s="62">
        <v>17.235294117647054</v>
      </c>
      <c r="O243" s="62">
        <v>15.116883116883105</v>
      </c>
      <c r="P243" s="62">
        <v>15.685393258426968</v>
      </c>
      <c r="Q243" s="62">
        <v>14.75193798449612</v>
      </c>
      <c r="R243" s="62">
        <v>14.048951048951039</v>
      </c>
      <c r="S243" s="62">
        <v>14.588235294117625</v>
      </c>
      <c r="T243" s="61">
        <f t="shared" si="33"/>
        <v>-0.88011913626213811</v>
      </c>
      <c r="U243" s="61">
        <f t="shared" si="34"/>
        <v>-0.52864782276548006</v>
      </c>
      <c r="V243" s="214">
        <f t="shared" si="35"/>
        <v>0.53928424516658602</v>
      </c>
    </row>
    <row r="244" spans="1:22" ht="15" customHeight="1" x14ac:dyDescent="0.2">
      <c r="A244" s="29" t="s">
        <v>406</v>
      </c>
      <c r="B244" s="62">
        <v>17.163934426229499</v>
      </c>
      <c r="C244" s="62">
        <v>17.225806451612897</v>
      </c>
      <c r="D244" s="62">
        <v>16.84523809523812</v>
      </c>
      <c r="E244" s="62">
        <v>15.537634408602154</v>
      </c>
      <c r="F244" s="62">
        <v>16.290909090909096</v>
      </c>
      <c r="G244" s="62">
        <v>15.449438202247196</v>
      </c>
      <c r="H244" s="62">
        <v>17.13178294573644</v>
      </c>
      <c r="I244" s="62">
        <v>17.04615384615386</v>
      </c>
      <c r="J244" s="62">
        <v>15.918918918918912</v>
      </c>
      <c r="K244" s="62">
        <v>15.187096774193558</v>
      </c>
      <c r="L244" s="62">
        <v>15.197802197802206</v>
      </c>
      <c r="M244" s="62">
        <v>15.07</v>
      </c>
      <c r="N244" s="62">
        <v>15.19642857142855</v>
      </c>
      <c r="O244" s="62">
        <v>15.558558558558573</v>
      </c>
      <c r="P244" s="62">
        <v>14.794258373205732</v>
      </c>
      <c r="Q244" s="62">
        <v>14.642857142857149</v>
      </c>
      <c r="R244" s="62">
        <v>14.86842105263157</v>
      </c>
      <c r="S244" s="62">
        <v>14.586614173228343</v>
      </c>
      <c r="T244" s="61">
        <f t="shared" si="33"/>
        <v>-1.3323047456905694</v>
      </c>
      <c r="U244" s="61">
        <f t="shared" si="34"/>
        <v>-0.97194438533023053</v>
      </c>
      <c r="V244" s="214">
        <f t="shared" si="35"/>
        <v>-0.28180687940322713</v>
      </c>
    </row>
    <row r="245" spans="1:22" ht="15" customHeight="1" x14ac:dyDescent="0.2">
      <c r="A245" s="52" t="s">
        <v>547</v>
      </c>
      <c r="B245" s="52"/>
      <c r="C245" s="52"/>
      <c r="D245" s="52"/>
      <c r="E245" s="52"/>
      <c r="F245" s="52"/>
      <c r="G245" s="52"/>
      <c r="H245" s="52"/>
      <c r="I245" s="52"/>
      <c r="J245" s="52"/>
      <c r="K245" s="52"/>
      <c r="L245" s="52"/>
      <c r="M245" s="52"/>
      <c r="N245" s="52"/>
      <c r="O245" s="52"/>
      <c r="P245" s="52"/>
      <c r="Q245" s="52"/>
      <c r="R245" s="52"/>
      <c r="S245" s="52"/>
      <c r="T245" s="130"/>
      <c r="U245" s="130"/>
      <c r="V245" s="52"/>
    </row>
    <row r="246" spans="1:22" ht="15" customHeight="1" x14ac:dyDescent="0.2">
      <c r="A246" s="53"/>
      <c r="B246" s="53"/>
      <c r="C246" s="53"/>
      <c r="D246" s="53"/>
      <c r="E246" s="53"/>
      <c r="F246" s="53"/>
      <c r="G246" s="53"/>
      <c r="H246" s="53"/>
      <c r="I246" s="53"/>
      <c r="J246" s="53"/>
      <c r="K246" s="53"/>
      <c r="L246" s="53"/>
      <c r="M246" s="53"/>
      <c r="N246" s="53"/>
      <c r="O246" s="53"/>
      <c r="P246" s="53"/>
      <c r="Q246" s="53"/>
      <c r="R246" s="53"/>
      <c r="S246" s="53"/>
      <c r="T246" s="131"/>
      <c r="U246" s="131"/>
      <c r="V246" s="53"/>
    </row>
    <row r="247" spans="1:22" ht="15" customHeight="1" x14ac:dyDescent="0.2">
      <c r="A247" s="49" t="s">
        <v>496</v>
      </c>
      <c r="B247" s="49"/>
      <c r="C247" s="49"/>
      <c r="D247" s="49"/>
      <c r="E247" s="49"/>
      <c r="F247" s="49"/>
      <c r="G247" s="49"/>
      <c r="H247" s="49"/>
      <c r="I247" s="49"/>
      <c r="J247" s="49"/>
      <c r="K247" s="49"/>
      <c r="L247" s="49"/>
      <c r="M247" s="49"/>
      <c r="N247" s="49"/>
      <c r="O247" s="49"/>
      <c r="P247" s="49"/>
      <c r="Q247" s="49"/>
      <c r="R247" s="49"/>
      <c r="S247" s="49"/>
      <c r="T247" s="79"/>
      <c r="U247" s="79"/>
      <c r="V247" s="49"/>
    </row>
    <row r="248" spans="1:22" ht="48.75" customHeight="1" x14ac:dyDescent="0.2">
      <c r="A248" s="36" t="s">
        <v>148</v>
      </c>
      <c r="B248" s="15">
        <v>2007</v>
      </c>
      <c r="C248" s="15">
        <v>2008</v>
      </c>
      <c r="D248" s="15">
        <v>2009</v>
      </c>
      <c r="E248" s="15">
        <v>2010</v>
      </c>
      <c r="F248" s="15">
        <v>2011</v>
      </c>
      <c r="G248" s="15">
        <v>2012</v>
      </c>
      <c r="H248" s="15">
        <v>2013</v>
      </c>
      <c r="I248" s="15">
        <v>2014</v>
      </c>
      <c r="J248" s="15">
        <v>2015</v>
      </c>
      <c r="K248" s="15">
        <v>2016</v>
      </c>
      <c r="L248" s="15">
        <v>2017</v>
      </c>
      <c r="M248" s="15">
        <v>2018</v>
      </c>
      <c r="N248" s="15">
        <v>2019</v>
      </c>
      <c r="O248" s="15">
        <v>2020</v>
      </c>
      <c r="P248" s="15">
        <v>2021</v>
      </c>
      <c r="Q248" s="15">
        <v>2022</v>
      </c>
      <c r="R248" s="15">
        <v>2023</v>
      </c>
      <c r="S248" s="15">
        <v>2024</v>
      </c>
      <c r="T248" s="27" t="s">
        <v>469</v>
      </c>
      <c r="U248" s="27" t="s">
        <v>470</v>
      </c>
      <c r="V248" s="27" t="s">
        <v>471</v>
      </c>
    </row>
    <row r="249" spans="1:22" ht="15" customHeight="1" x14ac:dyDescent="0.2">
      <c r="A249" s="62" t="s">
        <v>51</v>
      </c>
      <c r="B249" s="61" t="s">
        <v>100</v>
      </c>
      <c r="C249" s="61" t="s">
        <v>100</v>
      </c>
      <c r="D249" s="61">
        <v>10</v>
      </c>
      <c r="E249" s="61">
        <v>10.875</v>
      </c>
      <c r="F249" s="61">
        <v>11.6</v>
      </c>
      <c r="G249" s="61">
        <v>12.642857142857125</v>
      </c>
      <c r="H249" s="61">
        <v>12.781249999999993</v>
      </c>
      <c r="I249" s="61">
        <v>12.793103448275856</v>
      </c>
      <c r="J249" s="61">
        <v>13.805755395683434</v>
      </c>
      <c r="K249" s="61">
        <v>12.76073619631903</v>
      </c>
      <c r="L249" s="61">
        <v>13.735483870967752</v>
      </c>
      <c r="M249" s="61">
        <v>13.99186991869918</v>
      </c>
      <c r="N249" s="61">
        <v>13.892473118279572</v>
      </c>
      <c r="O249" s="61">
        <v>16.062499999999979</v>
      </c>
      <c r="P249" s="61">
        <v>14.377622377622394</v>
      </c>
      <c r="Q249" s="61">
        <v>13.444444444444436</v>
      </c>
      <c r="R249" s="61">
        <v>12.801418439716311</v>
      </c>
      <c r="S249" s="61">
        <v>12.956140350877178</v>
      </c>
      <c r="T249" s="61">
        <f t="shared" ref="T249:T268" si="36">IFERROR((S249-J249),"n/a")</f>
        <v>-0.84961504480625649</v>
      </c>
      <c r="U249" s="61">
        <f t="shared" ref="U249:U268" si="37">IFERROR((S249-O249),"n/a")</f>
        <v>-3.1063596491228012</v>
      </c>
      <c r="V249" s="214">
        <f t="shared" ref="V249:V268" si="38">IFERROR((S249-R249),"n/a")</f>
        <v>0.1547219111608662</v>
      </c>
    </row>
    <row r="250" spans="1:22" ht="15" customHeight="1" x14ac:dyDescent="0.2">
      <c r="A250" s="62" t="s">
        <v>301</v>
      </c>
      <c r="B250" s="61">
        <v>11.235294117647065</v>
      </c>
      <c r="C250" s="61">
        <v>12.583333333333321</v>
      </c>
      <c r="D250" s="61">
        <v>11.434782608695683</v>
      </c>
      <c r="E250" s="61">
        <v>14.857142857142858</v>
      </c>
      <c r="F250" s="61">
        <v>12.333333333333334</v>
      </c>
      <c r="G250" s="61">
        <v>11.714285714285714</v>
      </c>
      <c r="H250" s="61">
        <v>12.777777777777779</v>
      </c>
      <c r="I250" s="61">
        <v>11.874999999999968</v>
      </c>
      <c r="J250" s="61">
        <v>12.5</v>
      </c>
      <c r="K250" s="61">
        <v>12.727272727272704</v>
      </c>
      <c r="L250" s="61">
        <v>14.1666666666667</v>
      </c>
      <c r="M250" s="61">
        <v>10.828571428571449</v>
      </c>
      <c r="N250" s="61">
        <v>11.480769230769226</v>
      </c>
      <c r="O250" s="61">
        <v>10.934782608695658</v>
      </c>
      <c r="P250" s="61">
        <v>11.819999999999991</v>
      </c>
      <c r="Q250" s="61">
        <v>12.076923076923087</v>
      </c>
      <c r="R250" s="61">
        <v>11.926666666666678</v>
      </c>
      <c r="S250" s="61">
        <v>12.07826086956522</v>
      </c>
      <c r="T250" s="61">
        <f t="shared" si="36"/>
        <v>-0.42173913043477995</v>
      </c>
      <c r="U250" s="61">
        <f t="shared" si="37"/>
        <v>1.1434782608695624</v>
      </c>
      <c r="V250" s="214">
        <f t="shared" si="38"/>
        <v>0.15159420289854175</v>
      </c>
    </row>
    <row r="251" spans="1:22" ht="15" customHeight="1" x14ac:dyDescent="0.2">
      <c r="A251" s="62" t="s">
        <v>298</v>
      </c>
      <c r="B251" s="61" t="s">
        <v>100</v>
      </c>
      <c r="C251" s="61" t="s">
        <v>100</v>
      </c>
      <c r="D251" s="61">
        <v>10</v>
      </c>
      <c r="E251" s="61">
        <v>10.3</v>
      </c>
      <c r="F251" s="61">
        <v>13.285714285714301</v>
      </c>
      <c r="G251" s="61">
        <v>12.322580645161279</v>
      </c>
      <c r="H251" s="61">
        <v>12.099999999999984</v>
      </c>
      <c r="I251" s="61">
        <v>13.54166666666665</v>
      </c>
      <c r="J251" s="61">
        <v>12.971428571428588</v>
      </c>
      <c r="K251" s="61">
        <v>12.34848484848488</v>
      </c>
      <c r="L251" s="61">
        <v>11.679611650485466</v>
      </c>
      <c r="M251" s="61">
        <v>11.742138364779866</v>
      </c>
      <c r="N251" s="61">
        <v>11.552147239263805</v>
      </c>
      <c r="O251" s="61">
        <v>12.205882352941167</v>
      </c>
      <c r="P251" s="61">
        <v>13.148936170212757</v>
      </c>
      <c r="Q251" s="61">
        <v>12.105577689243017</v>
      </c>
      <c r="R251" s="61">
        <v>11.283216783216774</v>
      </c>
      <c r="S251" s="61">
        <v>11.767567567567534</v>
      </c>
      <c r="T251" s="61">
        <f t="shared" si="36"/>
        <v>-1.2038610038610535</v>
      </c>
      <c r="U251" s="61">
        <f t="shared" si="37"/>
        <v>-0.43831478537363289</v>
      </c>
      <c r="V251" s="214">
        <f t="shared" si="38"/>
        <v>0.48435078435075951</v>
      </c>
    </row>
    <row r="252" spans="1:22" ht="15" customHeight="1" x14ac:dyDescent="0.2">
      <c r="A252" s="62" t="s">
        <v>42</v>
      </c>
      <c r="B252" s="61">
        <v>10.992869875222818</v>
      </c>
      <c r="C252" s="61">
        <v>11.008247422680412</v>
      </c>
      <c r="D252" s="61">
        <v>9.6792114695340494</v>
      </c>
      <c r="E252" s="61">
        <v>10.113981762917939</v>
      </c>
      <c r="F252" s="61">
        <v>9.8612903225806452</v>
      </c>
      <c r="G252" s="61">
        <v>9.8372093023255811</v>
      </c>
      <c r="H252" s="61">
        <v>9.9512349588347035</v>
      </c>
      <c r="I252" s="61">
        <v>10.183165696135521</v>
      </c>
      <c r="J252" s="61">
        <v>10.20498162515312</v>
      </c>
      <c r="K252" s="61">
        <v>10.163694826074247</v>
      </c>
      <c r="L252" s="61">
        <v>10.105343511450378</v>
      </c>
      <c r="M252" s="61">
        <v>10.457203842049093</v>
      </c>
      <c r="N252" s="61">
        <v>10.79812834224599</v>
      </c>
      <c r="O252" s="61">
        <v>11.249544626593805</v>
      </c>
      <c r="P252" s="61">
        <v>12.145811240721104</v>
      </c>
      <c r="Q252" s="61">
        <v>12.221513944223108</v>
      </c>
      <c r="R252" s="61">
        <v>11.921568627450981</v>
      </c>
      <c r="S252" s="61">
        <v>11.620853080568718</v>
      </c>
      <c r="T252" s="61">
        <f t="shared" si="36"/>
        <v>1.4158714554155978</v>
      </c>
      <c r="U252" s="61">
        <f t="shared" si="37"/>
        <v>0.37130845397491363</v>
      </c>
      <c r="V252" s="214">
        <f t="shared" si="38"/>
        <v>-0.30071554688226243</v>
      </c>
    </row>
    <row r="253" spans="1:22" ht="15" customHeight="1" x14ac:dyDescent="0.2">
      <c r="A253" s="62" t="s">
        <v>300</v>
      </c>
      <c r="B253" s="61">
        <v>11.586956521739131</v>
      </c>
      <c r="C253" s="61">
        <v>12.310344827586214</v>
      </c>
      <c r="D253" s="61">
        <v>13.190476190476184</v>
      </c>
      <c r="E253" s="61">
        <v>12.268292682926834</v>
      </c>
      <c r="F253" s="61">
        <v>11.08695652173914</v>
      </c>
      <c r="G253" s="61">
        <v>10.547619047619047</v>
      </c>
      <c r="H253" s="61">
        <v>10.732142857142851</v>
      </c>
      <c r="I253" s="61">
        <v>10.660550458715615</v>
      </c>
      <c r="J253" s="61">
        <v>10.931818181818198</v>
      </c>
      <c r="K253" s="61">
        <v>11.317460317460318</v>
      </c>
      <c r="L253" s="61">
        <v>11.149855907780987</v>
      </c>
      <c r="M253" s="61">
        <v>10.849462365591394</v>
      </c>
      <c r="N253" s="61">
        <v>11.448625180897249</v>
      </c>
      <c r="O253" s="61">
        <v>11.753886010362692</v>
      </c>
      <c r="P253" s="61">
        <v>12.278996865203764</v>
      </c>
      <c r="Q253" s="61">
        <v>12.443202979515833</v>
      </c>
      <c r="R253" s="61">
        <v>12.24549549549549</v>
      </c>
      <c r="S253" s="61">
        <v>11.553892215568858</v>
      </c>
      <c r="T253" s="61">
        <f t="shared" si="36"/>
        <v>0.6220740337506605</v>
      </c>
      <c r="U253" s="61">
        <f t="shared" si="37"/>
        <v>-0.1999937947938335</v>
      </c>
      <c r="V253" s="214">
        <f t="shared" si="38"/>
        <v>-0.69160327992663184</v>
      </c>
    </row>
    <row r="254" spans="1:22" ht="15" customHeight="1" x14ac:dyDescent="0.2">
      <c r="A254" s="62" t="s">
        <v>95</v>
      </c>
      <c r="B254" s="61">
        <v>11.404907975460118</v>
      </c>
      <c r="C254" s="61">
        <v>11.352941176470587</v>
      </c>
      <c r="D254" s="61">
        <v>10.872549019607844</v>
      </c>
      <c r="E254" s="61">
        <v>11.366412213740455</v>
      </c>
      <c r="F254" s="61">
        <v>10.637426900584801</v>
      </c>
      <c r="G254" s="61">
        <v>10.570048309178745</v>
      </c>
      <c r="H254" s="61">
        <v>10.061320754716981</v>
      </c>
      <c r="I254" s="61">
        <v>10.656914893617019</v>
      </c>
      <c r="J254" s="61">
        <v>10.698656429942414</v>
      </c>
      <c r="K254" s="61">
        <v>10.836220472440944</v>
      </c>
      <c r="L254" s="61">
        <v>10.296413502109713</v>
      </c>
      <c r="M254" s="61">
        <v>10.386792452830189</v>
      </c>
      <c r="N254" s="61">
        <v>10.746775288526823</v>
      </c>
      <c r="O254" s="61">
        <v>10.890126206384554</v>
      </c>
      <c r="P254" s="61">
        <v>10.948266060261508</v>
      </c>
      <c r="Q254" s="61">
        <v>11.387050359712234</v>
      </c>
      <c r="R254" s="61">
        <v>11.692857142857147</v>
      </c>
      <c r="S254" s="61">
        <v>11.440993788819879</v>
      </c>
      <c r="T254" s="61">
        <f t="shared" si="36"/>
        <v>0.74233735887746555</v>
      </c>
      <c r="U254" s="61">
        <f t="shared" si="37"/>
        <v>0.55086758243532508</v>
      </c>
      <c r="V254" s="214">
        <f t="shared" si="38"/>
        <v>-0.25186335403726723</v>
      </c>
    </row>
    <row r="255" spans="1:22" ht="15" customHeight="1" x14ac:dyDescent="0.2">
      <c r="A255" s="62" t="s">
        <v>303</v>
      </c>
      <c r="B255" s="61">
        <v>14.727272727272727</v>
      </c>
      <c r="C255" s="61">
        <v>14.4</v>
      </c>
      <c r="D255" s="61">
        <v>15.333333333333334</v>
      </c>
      <c r="E255" s="61">
        <v>11</v>
      </c>
      <c r="F255" s="61">
        <v>13.666666666666666</v>
      </c>
      <c r="G255" s="61">
        <v>11.807692307692273</v>
      </c>
      <c r="H255" s="61">
        <v>11.032258064516117</v>
      </c>
      <c r="I255" s="61">
        <v>11.444444444444425</v>
      </c>
      <c r="J255" s="61">
        <v>11.099999999999994</v>
      </c>
      <c r="K255" s="61">
        <v>11.500000000000005</v>
      </c>
      <c r="L255" s="61">
        <v>11.444444444444425</v>
      </c>
      <c r="M255" s="61">
        <v>11.349206349206332</v>
      </c>
      <c r="N255" s="61">
        <v>10.630136986301375</v>
      </c>
      <c r="O255" s="61">
        <v>10.88785046728972</v>
      </c>
      <c r="P255" s="61">
        <v>10.843537414965979</v>
      </c>
      <c r="Q255" s="61">
        <v>10.651785714285724</v>
      </c>
      <c r="R255" s="61">
        <v>10.744360902255647</v>
      </c>
      <c r="S255" s="61">
        <v>11.352272727272707</v>
      </c>
      <c r="T255" s="61">
        <f t="shared" si="36"/>
        <v>0.25227272727271277</v>
      </c>
      <c r="U255" s="61">
        <f t="shared" si="37"/>
        <v>0.46442225998298703</v>
      </c>
      <c r="V255" s="214">
        <f t="shared" si="38"/>
        <v>0.60791182501706054</v>
      </c>
    </row>
    <row r="256" spans="1:22" ht="15" customHeight="1" x14ac:dyDescent="0.2">
      <c r="A256" s="62" t="s">
        <v>90</v>
      </c>
      <c r="B256" s="61">
        <v>15.75</v>
      </c>
      <c r="C256" s="61">
        <v>9.0526315789473681</v>
      </c>
      <c r="D256" s="61">
        <v>9.5333333333333385</v>
      </c>
      <c r="E256" s="61">
        <v>9.7848101265822791</v>
      </c>
      <c r="F256" s="61">
        <v>10.123287671232879</v>
      </c>
      <c r="G256" s="61">
        <v>10.435</v>
      </c>
      <c r="H256" s="61">
        <v>10.423076923076914</v>
      </c>
      <c r="I256" s="61">
        <v>10.595141700404861</v>
      </c>
      <c r="J256" s="61">
        <v>10.812785388127853</v>
      </c>
      <c r="K256" s="61">
        <v>11.212000000000005</v>
      </c>
      <c r="L256" s="61">
        <v>10.890243902439019</v>
      </c>
      <c r="M256" s="61">
        <v>11.32710280373832</v>
      </c>
      <c r="N256" s="61">
        <v>10.864329268292682</v>
      </c>
      <c r="O256" s="61">
        <v>10.89007092198581</v>
      </c>
      <c r="P256" s="61">
        <v>11.430096051227325</v>
      </c>
      <c r="Q256" s="61">
        <v>11.276978417266189</v>
      </c>
      <c r="R256" s="61">
        <v>11.18156028368794</v>
      </c>
      <c r="S256" s="61">
        <v>11.263492063492055</v>
      </c>
      <c r="T256" s="61">
        <f t="shared" si="36"/>
        <v>0.45070667536420217</v>
      </c>
      <c r="U256" s="61">
        <f t="shared" si="37"/>
        <v>0.37342114150624539</v>
      </c>
      <c r="V256" s="214">
        <f t="shared" si="38"/>
        <v>8.1931779804115479E-2</v>
      </c>
    </row>
    <row r="257" spans="1:22" ht="15" customHeight="1" x14ac:dyDescent="0.2">
      <c r="A257" s="62" t="s">
        <v>89</v>
      </c>
      <c r="B257" s="61">
        <v>13.725490196078454</v>
      </c>
      <c r="C257" s="61">
        <v>11.653846153846162</v>
      </c>
      <c r="D257" s="61">
        <v>10.857142857142858</v>
      </c>
      <c r="E257" s="61">
        <v>11.75</v>
      </c>
      <c r="F257" s="61">
        <v>9.5172413793103647</v>
      </c>
      <c r="G257" s="61">
        <v>9.8431372549019578</v>
      </c>
      <c r="H257" s="61">
        <v>10.011627906976745</v>
      </c>
      <c r="I257" s="61">
        <v>10.517241379310368</v>
      </c>
      <c r="J257" s="61">
        <v>11.054545454545456</v>
      </c>
      <c r="K257" s="61">
        <v>11.465277777777798</v>
      </c>
      <c r="L257" s="61">
        <v>11.106557377049183</v>
      </c>
      <c r="M257" s="61">
        <v>11.404371584699458</v>
      </c>
      <c r="N257" s="61">
        <v>12.045833333333318</v>
      </c>
      <c r="O257" s="61">
        <v>11.599033816425125</v>
      </c>
      <c r="P257" s="61">
        <v>11.60966542750929</v>
      </c>
      <c r="Q257" s="61">
        <v>10.951289398280805</v>
      </c>
      <c r="R257" s="61">
        <v>11.15264797507789</v>
      </c>
      <c r="S257" s="61">
        <v>10.890109890109896</v>
      </c>
      <c r="T257" s="61">
        <f t="shared" si="36"/>
        <v>-0.16443556443556062</v>
      </c>
      <c r="U257" s="61">
        <f t="shared" si="37"/>
        <v>-0.70892392631522938</v>
      </c>
      <c r="V257" s="214">
        <f t="shared" si="38"/>
        <v>-0.26253808496799458</v>
      </c>
    </row>
    <row r="258" spans="1:22" ht="15" customHeight="1" x14ac:dyDescent="0.2">
      <c r="A258" s="62" t="s">
        <v>302</v>
      </c>
      <c r="B258" s="61">
        <v>11.84374999999998</v>
      </c>
      <c r="C258" s="61">
        <v>12.727272727272707</v>
      </c>
      <c r="D258" s="61">
        <v>13.5</v>
      </c>
      <c r="E258" s="61">
        <v>12.914285714285715</v>
      </c>
      <c r="F258" s="61">
        <v>11.49019607843139</v>
      </c>
      <c r="G258" s="61">
        <v>11.274999999999997</v>
      </c>
      <c r="H258" s="61">
        <v>11.507042253521142</v>
      </c>
      <c r="I258" s="61">
        <v>12.13953488372093</v>
      </c>
      <c r="J258" s="61">
        <v>12.121621621621607</v>
      </c>
      <c r="K258" s="61">
        <v>12.606060606060611</v>
      </c>
      <c r="L258" s="61">
        <v>12.316831683168315</v>
      </c>
      <c r="M258" s="61">
        <v>11.544642857142874</v>
      </c>
      <c r="N258" s="61">
        <v>10.735632183908054</v>
      </c>
      <c r="O258" s="61">
        <v>10.280898876404494</v>
      </c>
      <c r="P258" s="61">
        <v>11.43720930232559</v>
      </c>
      <c r="Q258" s="61">
        <v>11.346590909090912</v>
      </c>
      <c r="R258" s="61">
        <v>10.870967741935482</v>
      </c>
      <c r="S258" s="61">
        <v>10.663716814159292</v>
      </c>
      <c r="T258" s="61">
        <f t="shared" si="36"/>
        <v>-1.4579048074623149</v>
      </c>
      <c r="U258" s="61">
        <f t="shared" si="37"/>
        <v>0.38281793775479755</v>
      </c>
      <c r="V258" s="214">
        <f t="shared" si="38"/>
        <v>-0.20725092777619025</v>
      </c>
    </row>
    <row r="259" spans="1:22" ht="15" customHeight="1" x14ac:dyDescent="0.2">
      <c r="A259" s="62" t="s">
        <v>41</v>
      </c>
      <c r="B259" s="61">
        <v>12.483965014577267</v>
      </c>
      <c r="C259" s="61">
        <v>11.985754985754985</v>
      </c>
      <c r="D259" s="61">
        <v>11.632688927943761</v>
      </c>
      <c r="E259" s="61">
        <v>12.091463414634157</v>
      </c>
      <c r="F259" s="61">
        <v>10.955140186915886</v>
      </c>
      <c r="G259" s="61">
        <v>10.951020408163263</v>
      </c>
      <c r="H259" s="61">
        <v>11.005970149253733</v>
      </c>
      <c r="I259" s="61">
        <v>11.385135135135128</v>
      </c>
      <c r="J259" s="61">
        <v>11.284900284900285</v>
      </c>
      <c r="K259" s="61">
        <v>11.170792079207922</v>
      </c>
      <c r="L259" s="61">
        <v>11.111776447105795</v>
      </c>
      <c r="M259" s="61">
        <v>11.110433190970099</v>
      </c>
      <c r="N259" s="61">
        <v>11.280077934729666</v>
      </c>
      <c r="O259" s="61">
        <v>10.818759936406995</v>
      </c>
      <c r="P259" s="61">
        <v>11.385022960084768</v>
      </c>
      <c r="Q259" s="61">
        <v>11.254608294930879</v>
      </c>
      <c r="R259" s="61">
        <v>10.687950937950943</v>
      </c>
      <c r="S259" s="61">
        <v>10.64461247637051</v>
      </c>
      <c r="T259" s="61">
        <f t="shared" si="36"/>
        <v>-0.6402878085297754</v>
      </c>
      <c r="U259" s="61">
        <f t="shared" si="37"/>
        <v>-0.17414746003648496</v>
      </c>
      <c r="V259" s="214">
        <f t="shared" si="38"/>
        <v>-4.3338461580432863E-2</v>
      </c>
    </row>
    <row r="260" spans="1:22" ht="15" customHeight="1" x14ac:dyDescent="0.2">
      <c r="A260" s="62" t="s">
        <v>67</v>
      </c>
      <c r="B260" s="61">
        <v>14.783132530120474</v>
      </c>
      <c r="C260" s="61">
        <v>15.862745098039211</v>
      </c>
      <c r="D260" s="61">
        <v>14.791666666666659</v>
      </c>
      <c r="E260" s="61">
        <v>14.396825396825387</v>
      </c>
      <c r="F260" s="61">
        <v>11.828124999999993</v>
      </c>
      <c r="G260" s="61">
        <v>12.847457627118645</v>
      </c>
      <c r="H260" s="61">
        <v>12.3265306122449</v>
      </c>
      <c r="I260" s="61">
        <v>11.612068965517242</v>
      </c>
      <c r="J260" s="61">
        <v>13.730538922155691</v>
      </c>
      <c r="K260" s="61">
        <v>11.65217391304347</v>
      </c>
      <c r="L260" s="61">
        <v>10.923875432525943</v>
      </c>
      <c r="M260" s="61">
        <v>11.203669724770656</v>
      </c>
      <c r="N260" s="61">
        <v>11.026272577996712</v>
      </c>
      <c r="O260" s="61">
        <v>10.015544041450774</v>
      </c>
      <c r="P260" s="61">
        <v>11.065650644783116</v>
      </c>
      <c r="Q260" s="61">
        <v>10.733639494833518</v>
      </c>
      <c r="R260" s="61">
        <v>10.969377990430621</v>
      </c>
      <c r="S260" s="61">
        <v>10.5859778597786</v>
      </c>
      <c r="T260" s="61">
        <f t="shared" si="36"/>
        <v>-3.1445610623770914</v>
      </c>
      <c r="U260" s="61">
        <f t="shared" si="37"/>
        <v>0.57043381832782636</v>
      </c>
      <c r="V260" s="214">
        <f t="shared" si="38"/>
        <v>-0.38340013065202072</v>
      </c>
    </row>
    <row r="261" spans="1:22" ht="15" customHeight="1" x14ac:dyDescent="0.2">
      <c r="A261" s="62" t="s">
        <v>500</v>
      </c>
      <c r="B261" s="61" t="s">
        <v>100</v>
      </c>
      <c r="C261" s="61" t="s">
        <v>100</v>
      </c>
      <c r="D261" s="61" t="s">
        <v>100</v>
      </c>
      <c r="E261" s="61" t="s">
        <v>100</v>
      </c>
      <c r="F261" s="61">
        <v>8</v>
      </c>
      <c r="G261" s="61">
        <v>9.5</v>
      </c>
      <c r="H261" s="61">
        <v>9.7142857142857135</v>
      </c>
      <c r="I261" s="61">
        <v>10.714285714285728</v>
      </c>
      <c r="J261" s="61">
        <v>10.375000000000009</v>
      </c>
      <c r="K261" s="61">
        <v>10.799999999999995</v>
      </c>
      <c r="L261" s="61">
        <v>10.864864864864874</v>
      </c>
      <c r="M261" s="61">
        <v>11.14925373134329</v>
      </c>
      <c r="N261" s="61">
        <v>10.960000000000003</v>
      </c>
      <c r="O261" s="61">
        <v>11.333333333333334</v>
      </c>
      <c r="P261" s="61">
        <v>11.762711864406752</v>
      </c>
      <c r="Q261" s="61">
        <v>11.638095238095243</v>
      </c>
      <c r="R261" s="61">
        <v>11.226190476190462</v>
      </c>
      <c r="S261" s="61">
        <v>10.560000000000011</v>
      </c>
      <c r="T261" s="61">
        <f t="shared" si="36"/>
        <v>0.18500000000000227</v>
      </c>
      <c r="U261" s="61">
        <f t="shared" si="37"/>
        <v>-0.77333333333332277</v>
      </c>
      <c r="V261" s="214">
        <f t="shared" si="38"/>
        <v>-0.66619047619045091</v>
      </c>
    </row>
    <row r="262" spans="1:22" ht="15" customHeight="1" x14ac:dyDescent="0.2">
      <c r="A262" s="62" t="s">
        <v>69</v>
      </c>
      <c r="B262" s="61">
        <v>11.242424242424242</v>
      </c>
      <c r="C262" s="61">
        <v>10.91666666666668</v>
      </c>
      <c r="D262" s="61">
        <v>11.029069767441861</v>
      </c>
      <c r="E262" s="61">
        <v>10.900523560209427</v>
      </c>
      <c r="F262" s="61">
        <v>10.389908256880753</v>
      </c>
      <c r="G262" s="61">
        <v>10.509009009009015</v>
      </c>
      <c r="H262" s="61">
        <v>10.87687687687688</v>
      </c>
      <c r="I262" s="61">
        <v>10.776315789473681</v>
      </c>
      <c r="J262" s="61">
        <v>10.853070175438596</v>
      </c>
      <c r="K262" s="61">
        <v>10.828054298642522</v>
      </c>
      <c r="L262" s="61">
        <v>10.692650334075728</v>
      </c>
      <c r="M262" s="61">
        <v>10.780534351145038</v>
      </c>
      <c r="N262" s="61">
        <v>10.42837273991656</v>
      </c>
      <c r="O262" s="61">
        <v>10.734806629834267</v>
      </c>
      <c r="P262" s="61">
        <v>10.781690140845075</v>
      </c>
      <c r="Q262" s="61">
        <v>10.881330309901731</v>
      </c>
      <c r="R262" s="61">
        <v>10.625000000000002</v>
      </c>
      <c r="S262" s="61">
        <v>10.417374881964113</v>
      </c>
      <c r="T262" s="61">
        <f t="shared" si="36"/>
        <v>-0.43569529347448288</v>
      </c>
      <c r="U262" s="61">
        <f t="shared" si="37"/>
        <v>-0.31743174787015427</v>
      </c>
      <c r="V262" s="214">
        <f t="shared" si="38"/>
        <v>-0.20762511803588879</v>
      </c>
    </row>
    <row r="263" spans="1:22" ht="15" customHeight="1" x14ac:dyDescent="0.2">
      <c r="A263" s="62" t="s">
        <v>40</v>
      </c>
      <c r="B263" s="61">
        <v>12.406779661016934</v>
      </c>
      <c r="C263" s="61">
        <v>13.135135135135139</v>
      </c>
      <c r="D263" s="61">
        <v>12.461538461538442</v>
      </c>
      <c r="E263" s="61">
        <v>10.353448275862075</v>
      </c>
      <c r="F263" s="61">
        <v>10.44884488448845</v>
      </c>
      <c r="G263" s="61">
        <v>11.047961630695443</v>
      </c>
      <c r="H263" s="61">
        <v>11.163380281690142</v>
      </c>
      <c r="I263" s="61">
        <v>11.188841201716734</v>
      </c>
      <c r="J263" s="61">
        <v>12.112637362637347</v>
      </c>
      <c r="K263" s="61">
        <v>11.339522546419108</v>
      </c>
      <c r="L263" s="61">
        <v>11.077731092436979</v>
      </c>
      <c r="M263" s="61">
        <v>11.863756613756626</v>
      </c>
      <c r="N263" s="61">
        <v>11.879649890590796</v>
      </c>
      <c r="O263" s="61">
        <v>10.453507340946175</v>
      </c>
      <c r="P263" s="61">
        <v>11.437453737971873</v>
      </c>
      <c r="Q263" s="61">
        <v>11.098005203816133</v>
      </c>
      <c r="R263" s="61">
        <v>10.624884792626716</v>
      </c>
      <c r="S263" s="61">
        <v>10.370036101083029</v>
      </c>
      <c r="T263" s="61">
        <f t="shared" si="36"/>
        <v>-1.7426012615543183</v>
      </c>
      <c r="U263" s="61">
        <f t="shared" si="37"/>
        <v>-8.3471239863145641E-2</v>
      </c>
      <c r="V263" s="214">
        <f t="shared" si="38"/>
        <v>-0.25484869154368717</v>
      </c>
    </row>
    <row r="264" spans="1:22" ht="15" customHeight="1" x14ac:dyDescent="0.2">
      <c r="A264" s="62" t="s">
        <v>403</v>
      </c>
      <c r="B264" s="61">
        <v>11.791666666666654</v>
      </c>
      <c r="C264" s="61">
        <v>10.999999999999995</v>
      </c>
      <c r="D264" s="61">
        <v>10.69811320754717</v>
      </c>
      <c r="E264" s="61">
        <v>11.04458598726114</v>
      </c>
      <c r="F264" s="61">
        <v>10.664596273291911</v>
      </c>
      <c r="G264" s="61">
        <v>10.909638554216874</v>
      </c>
      <c r="H264" s="61">
        <v>10.533707865168545</v>
      </c>
      <c r="I264" s="61">
        <v>10.981818181818182</v>
      </c>
      <c r="J264" s="61">
        <v>10.92227979274611</v>
      </c>
      <c r="K264" s="61">
        <v>10.552083333333337</v>
      </c>
      <c r="L264" s="61">
        <v>10.359307359307344</v>
      </c>
      <c r="M264" s="61">
        <v>10.305232558139529</v>
      </c>
      <c r="N264" s="61">
        <v>10.399999999999991</v>
      </c>
      <c r="O264" s="61">
        <v>10.035623409669215</v>
      </c>
      <c r="P264" s="61">
        <v>10.48275862068966</v>
      </c>
      <c r="Q264" s="61">
        <v>10.429037520391523</v>
      </c>
      <c r="R264" s="61">
        <v>10.280060882800605</v>
      </c>
      <c r="S264" s="61">
        <v>10.316872427983535</v>
      </c>
      <c r="T264" s="61">
        <f t="shared" si="36"/>
        <v>-0.60540736476257528</v>
      </c>
      <c r="U264" s="61">
        <f t="shared" si="37"/>
        <v>0.2812490183143197</v>
      </c>
      <c r="V264" s="214">
        <f t="shared" si="38"/>
        <v>3.6811545182930061E-2</v>
      </c>
    </row>
    <row r="265" spans="1:22" ht="15" customHeight="1" x14ac:dyDescent="0.2">
      <c r="A265" s="62" t="s">
        <v>37</v>
      </c>
      <c r="B265" s="61">
        <v>11.018633540372676</v>
      </c>
      <c r="C265" s="61">
        <v>11.362204724409448</v>
      </c>
      <c r="D265" s="61">
        <v>10.581673306772908</v>
      </c>
      <c r="E265" s="61">
        <v>10.338815789473683</v>
      </c>
      <c r="F265" s="61">
        <v>9.9373695198329823</v>
      </c>
      <c r="G265" s="61">
        <v>10.042675893886964</v>
      </c>
      <c r="H265" s="61">
        <v>9.695883134130149</v>
      </c>
      <c r="I265" s="61">
        <v>9.7351164797238994</v>
      </c>
      <c r="J265" s="61">
        <v>9.8065595716198146</v>
      </c>
      <c r="K265" s="61">
        <v>9.990675990675987</v>
      </c>
      <c r="L265" s="61">
        <v>9.9272807404142753</v>
      </c>
      <c r="M265" s="61">
        <v>10.044637321760696</v>
      </c>
      <c r="N265" s="61">
        <v>9.9932885906040241</v>
      </c>
      <c r="O265" s="61">
        <v>10.071202531645572</v>
      </c>
      <c r="P265" s="61">
        <v>10.207445211648153</v>
      </c>
      <c r="Q265" s="61">
        <v>10.202502844141067</v>
      </c>
      <c r="R265" s="61">
        <v>10.281985175636484</v>
      </c>
      <c r="S265" s="61">
        <v>10.191055673866744</v>
      </c>
      <c r="T265" s="61">
        <f t="shared" si="36"/>
        <v>0.38449610224692954</v>
      </c>
      <c r="U265" s="61">
        <f t="shared" si="37"/>
        <v>0.1198531422211726</v>
      </c>
      <c r="V265" s="214">
        <f t="shared" si="38"/>
        <v>-9.0929501769739574E-2</v>
      </c>
    </row>
    <row r="266" spans="1:22" ht="15" customHeight="1" x14ac:dyDescent="0.2">
      <c r="A266" s="62" t="s">
        <v>449</v>
      </c>
      <c r="B266" s="61">
        <v>10.794871794871792</v>
      </c>
      <c r="C266" s="61">
        <v>10.677966101694913</v>
      </c>
      <c r="D266" s="61">
        <v>10.956521739130437</v>
      </c>
      <c r="E266" s="61">
        <v>10.594059405940612</v>
      </c>
      <c r="F266" s="61">
        <v>10.574257425742584</v>
      </c>
      <c r="G266" s="61">
        <v>10.570588235294128</v>
      </c>
      <c r="H266" s="61">
        <v>11.677777777777759</v>
      </c>
      <c r="I266" s="61">
        <v>11.302325581395351</v>
      </c>
      <c r="J266" s="61">
        <v>10.96296296296296</v>
      </c>
      <c r="K266" s="61">
        <v>10.842105263157904</v>
      </c>
      <c r="L266" s="61">
        <v>10.439306358381527</v>
      </c>
      <c r="M266" s="61">
        <v>10.875675675675677</v>
      </c>
      <c r="N266" s="61">
        <v>10.427184466019424</v>
      </c>
      <c r="O266" s="61">
        <v>10.595041322314044</v>
      </c>
      <c r="P266" s="61">
        <v>10.904761904761891</v>
      </c>
      <c r="Q266" s="61">
        <v>10.42471042471041</v>
      </c>
      <c r="R266" s="61">
        <v>9.9715639810426708</v>
      </c>
      <c r="S266" s="61">
        <v>10.171296296296306</v>
      </c>
      <c r="T266" s="61">
        <f t="shared" si="36"/>
        <v>-0.79166666666665364</v>
      </c>
      <c r="U266" s="61">
        <f t="shared" si="37"/>
        <v>-0.42374502601773756</v>
      </c>
      <c r="V266" s="214">
        <f t="shared" si="38"/>
        <v>0.19973231525363566</v>
      </c>
    </row>
    <row r="267" spans="1:22" ht="15" customHeight="1" x14ac:dyDescent="0.2">
      <c r="A267" s="62" t="s">
        <v>428</v>
      </c>
      <c r="B267" s="61">
        <v>11.715639810426534</v>
      </c>
      <c r="C267" s="61">
        <v>11.055762081784394</v>
      </c>
      <c r="D267" s="61">
        <v>11.097982708933722</v>
      </c>
      <c r="E267" s="61">
        <v>10.938073394495406</v>
      </c>
      <c r="F267" s="61">
        <v>10.770358306188937</v>
      </c>
      <c r="G267" s="61">
        <v>10.595135908440639</v>
      </c>
      <c r="H267" s="61">
        <v>11.049315068493131</v>
      </c>
      <c r="I267" s="61">
        <v>11.15133171912834</v>
      </c>
      <c r="J267" s="61">
        <v>11.066666666666665</v>
      </c>
      <c r="K267" s="61">
        <v>11.080794701986754</v>
      </c>
      <c r="L267" s="61">
        <v>11.170351105331601</v>
      </c>
      <c r="M267" s="61">
        <v>10.948439620081418</v>
      </c>
      <c r="N267" s="61">
        <v>10.436241610738248</v>
      </c>
      <c r="O267" s="61">
        <v>10.160066006600665</v>
      </c>
      <c r="P267" s="61">
        <v>10.696139476961406</v>
      </c>
      <c r="Q267" s="61">
        <v>10.167525773195875</v>
      </c>
      <c r="R267" s="61">
        <v>9.9718004338394781</v>
      </c>
      <c r="S267" s="61">
        <v>10.170848267622459</v>
      </c>
      <c r="T267" s="61">
        <f t="shared" si="36"/>
        <v>-0.8958183990442059</v>
      </c>
      <c r="U267" s="61">
        <f t="shared" si="37"/>
        <v>1.078226102179336E-2</v>
      </c>
      <c r="V267" s="214">
        <f t="shared" si="38"/>
        <v>0.19904783378298063</v>
      </c>
    </row>
    <row r="268" spans="1:22" ht="15" customHeight="1" x14ac:dyDescent="0.2">
      <c r="A268" s="62" t="s">
        <v>447</v>
      </c>
      <c r="B268" s="61">
        <v>11.25</v>
      </c>
      <c r="C268" s="61">
        <v>10.285714285714286</v>
      </c>
      <c r="D268" s="61">
        <v>8</v>
      </c>
      <c r="E268" s="61" t="s">
        <v>100</v>
      </c>
      <c r="F268" s="61">
        <v>9.6250000000000036</v>
      </c>
      <c r="G268" s="61">
        <v>10.346153846153838</v>
      </c>
      <c r="H268" s="61">
        <v>10.115384615384617</v>
      </c>
      <c r="I268" s="61">
        <v>10.00000000000002</v>
      </c>
      <c r="J268" s="61">
        <v>10.450980392156863</v>
      </c>
      <c r="K268" s="61">
        <v>9.7037037037037042</v>
      </c>
      <c r="L268" s="61">
        <v>10.845070422535198</v>
      </c>
      <c r="M268" s="61">
        <v>10.903225806451612</v>
      </c>
      <c r="N268" s="61">
        <v>11.095238095238106</v>
      </c>
      <c r="O268" s="61">
        <v>9.7767857142857064</v>
      </c>
      <c r="P268" s="61">
        <v>10.46666666666669</v>
      </c>
      <c r="Q268" s="61">
        <v>10.331288343558274</v>
      </c>
      <c r="R268" s="61">
        <v>10.307692307692303</v>
      </c>
      <c r="S268" s="61">
        <v>10.131067961165051</v>
      </c>
      <c r="T268" s="61">
        <f t="shared" si="36"/>
        <v>-0.31991243099181155</v>
      </c>
      <c r="U268" s="61">
        <f t="shared" si="37"/>
        <v>0.35428224687934495</v>
      </c>
      <c r="V268" s="214">
        <f t="shared" si="38"/>
        <v>-0.17662434652725167</v>
      </c>
    </row>
    <row r="269" spans="1:22" ht="15" customHeight="1" x14ac:dyDescent="0.2">
      <c r="A269" s="52" t="s">
        <v>548</v>
      </c>
      <c r="B269" s="77"/>
      <c r="C269" s="77"/>
      <c r="D269" s="77"/>
      <c r="E269" s="77"/>
      <c r="F269" s="77"/>
      <c r="G269" s="77"/>
      <c r="H269" s="77"/>
      <c r="I269" s="77"/>
      <c r="J269" s="77"/>
      <c r="K269" s="77"/>
      <c r="L269" s="77"/>
      <c r="M269" s="77"/>
      <c r="N269" s="77"/>
      <c r="O269" s="77"/>
      <c r="P269" s="77"/>
      <c r="Q269" s="77"/>
      <c r="R269" s="77"/>
      <c r="S269" s="77"/>
      <c r="T269" s="132"/>
      <c r="U269" s="132"/>
      <c r="V269" s="77"/>
    </row>
    <row r="270" spans="1:22" ht="15" customHeight="1" x14ac:dyDescent="0.2">
      <c r="A270" s="77"/>
      <c r="B270" s="77"/>
      <c r="C270" s="77"/>
      <c r="D270" s="77"/>
      <c r="E270" s="77"/>
      <c r="F270" s="77"/>
      <c r="G270" s="77"/>
      <c r="H270" s="77"/>
      <c r="I270" s="77"/>
      <c r="J270" s="77"/>
      <c r="K270" s="77"/>
      <c r="L270" s="77"/>
      <c r="M270" s="77"/>
      <c r="N270" s="77"/>
      <c r="O270" s="77"/>
      <c r="P270" s="77"/>
      <c r="Q270" s="77"/>
      <c r="R270" s="77"/>
      <c r="S270" s="77"/>
      <c r="T270" s="132"/>
      <c r="U270" s="132"/>
      <c r="V270" s="77"/>
    </row>
    <row r="271" spans="1:22" ht="15" customHeight="1" x14ac:dyDescent="0.2">
      <c r="A271" s="35" t="s">
        <v>497</v>
      </c>
      <c r="B271" s="35"/>
      <c r="C271" s="35"/>
      <c r="D271" s="35"/>
      <c r="E271" s="35"/>
      <c r="F271" s="35"/>
      <c r="G271" s="35"/>
      <c r="H271" s="35"/>
      <c r="I271" s="35"/>
      <c r="J271" s="35"/>
      <c r="K271" s="35"/>
      <c r="L271" s="35"/>
      <c r="M271" s="35"/>
      <c r="N271" s="35"/>
      <c r="O271" s="35"/>
      <c r="P271" s="35"/>
      <c r="Q271" s="35"/>
      <c r="R271" s="35"/>
      <c r="S271" s="35"/>
      <c r="T271" s="75"/>
      <c r="U271" s="75"/>
      <c r="V271" s="35"/>
    </row>
    <row r="272" spans="1:22" ht="50.25" customHeight="1" x14ac:dyDescent="0.2">
      <c r="A272" s="36" t="s">
        <v>148</v>
      </c>
      <c r="B272" s="15">
        <v>2007</v>
      </c>
      <c r="C272" s="15">
        <v>2008</v>
      </c>
      <c r="D272" s="15">
        <v>2009</v>
      </c>
      <c r="E272" s="15">
        <v>2010</v>
      </c>
      <c r="F272" s="15">
        <v>2011</v>
      </c>
      <c r="G272" s="15">
        <v>2012</v>
      </c>
      <c r="H272" s="15">
        <v>2013</v>
      </c>
      <c r="I272" s="15">
        <v>2014</v>
      </c>
      <c r="J272" s="15">
        <v>2015</v>
      </c>
      <c r="K272" s="15">
        <v>2016</v>
      </c>
      <c r="L272" s="15">
        <v>2017</v>
      </c>
      <c r="M272" s="15">
        <v>2018</v>
      </c>
      <c r="N272" s="15">
        <v>2019</v>
      </c>
      <c r="O272" s="15">
        <v>2020</v>
      </c>
      <c r="P272" s="15">
        <v>2021</v>
      </c>
      <c r="Q272" s="15">
        <v>2022</v>
      </c>
      <c r="R272" s="15">
        <v>2023</v>
      </c>
      <c r="S272" s="15">
        <v>2024</v>
      </c>
      <c r="T272" s="27" t="s">
        <v>469</v>
      </c>
      <c r="U272" s="27" t="s">
        <v>470</v>
      </c>
      <c r="V272" s="27" t="s">
        <v>471</v>
      </c>
    </row>
    <row r="273" spans="1:22" ht="15" customHeight="1" x14ac:dyDescent="0.2">
      <c r="A273" s="29" t="s">
        <v>35</v>
      </c>
      <c r="B273" s="61">
        <v>6.5218855218855216</v>
      </c>
      <c r="C273" s="61">
        <v>6.0983606557377046</v>
      </c>
      <c r="D273" s="61">
        <v>6.023952095808383</v>
      </c>
      <c r="E273" s="61">
        <v>6.4233716475095788</v>
      </c>
      <c r="F273" s="61">
        <v>6.7587878787878788</v>
      </c>
      <c r="G273" s="61">
        <v>6.7414965986394559</v>
      </c>
      <c r="H273" s="61">
        <v>6.9776785714285712</v>
      </c>
      <c r="I273" s="61">
        <v>6.8139149641082275</v>
      </c>
      <c r="J273" s="61">
        <v>6.5568022440392708</v>
      </c>
      <c r="K273" s="61">
        <v>6.7430510665804784</v>
      </c>
      <c r="L273" s="61">
        <v>7.0474156343442971</v>
      </c>
      <c r="M273" s="61">
        <v>7.9970291146761738</v>
      </c>
      <c r="N273" s="61">
        <v>8.3998272884283249</v>
      </c>
      <c r="O273" s="61">
        <v>8.3536299765807964</v>
      </c>
      <c r="P273" s="61">
        <v>8.4588235294117649</v>
      </c>
      <c r="Q273" s="61">
        <v>9.1296296296296298</v>
      </c>
      <c r="R273" s="61">
        <v>9.7185185185185183</v>
      </c>
      <c r="S273" s="61">
        <v>8.3863636363636367</v>
      </c>
      <c r="T273" s="61">
        <f t="shared" ref="T273:T292" si="39">IFERROR((S273-J273),"n/a")</f>
        <v>1.8295613923243659</v>
      </c>
      <c r="U273" s="61">
        <f t="shared" ref="U273:U292" si="40">IFERROR((S273-O273),"n/a")</f>
        <v>3.2733659782840263E-2</v>
      </c>
      <c r="V273" s="214">
        <f t="shared" ref="V273:V292" si="41">IFERROR((S273-R273),"n/a")</f>
        <v>-1.3321548821548816</v>
      </c>
    </row>
    <row r="274" spans="1:22" ht="15" customHeight="1" x14ac:dyDescent="0.2">
      <c r="A274" s="29" t="s">
        <v>70</v>
      </c>
      <c r="B274" s="61">
        <v>7.5454545454545467</v>
      </c>
      <c r="C274" s="61">
        <v>8.4249999999999972</v>
      </c>
      <c r="D274" s="61">
        <v>7.2258064516129039</v>
      </c>
      <c r="E274" s="61">
        <v>7.3676470588235281</v>
      </c>
      <c r="F274" s="61">
        <v>6.3421052631578947</v>
      </c>
      <c r="G274" s="61">
        <v>6.8554216867469879</v>
      </c>
      <c r="H274" s="61">
        <v>7.2208588957055211</v>
      </c>
      <c r="I274" s="61">
        <v>7.06989247311828</v>
      </c>
      <c r="J274" s="61">
        <v>6.8474576271186445</v>
      </c>
      <c r="K274" s="61">
        <v>6.5619335347432024</v>
      </c>
      <c r="L274" s="61">
        <v>6.8492647058823541</v>
      </c>
      <c r="M274" s="61">
        <v>7.0449438202247192</v>
      </c>
      <c r="N274" s="61">
        <v>6.9223300970873787</v>
      </c>
      <c r="O274" s="61">
        <v>6.4923076923076923</v>
      </c>
      <c r="P274" s="61">
        <v>7.5017793594306053</v>
      </c>
      <c r="Q274" s="61">
        <v>7.4777327935222671</v>
      </c>
      <c r="R274" s="61">
        <v>8.1382978723404253</v>
      </c>
      <c r="S274" s="61">
        <v>7.6739130434782599</v>
      </c>
      <c r="T274" s="61">
        <f t="shared" si="39"/>
        <v>0.82645541635961539</v>
      </c>
      <c r="U274" s="61">
        <f t="shared" si="40"/>
        <v>1.1816053511705675</v>
      </c>
      <c r="V274" s="214">
        <f t="shared" si="41"/>
        <v>-0.46438482886216548</v>
      </c>
    </row>
    <row r="275" spans="1:22" ht="15" customHeight="1" x14ac:dyDescent="0.2">
      <c r="A275" s="29" t="s">
        <v>307</v>
      </c>
      <c r="B275" s="61">
        <v>7.083333333333333</v>
      </c>
      <c r="C275" s="61">
        <v>6.0416666666666679</v>
      </c>
      <c r="D275" s="61">
        <v>6.2222222222222223</v>
      </c>
      <c r="E275" s="61">
        <v>6.7857142857142865</v>
      </c>
      <c r="F275" s="61">
        <v>6.5319148936170217</v>
      </c>
      <c r="G275" s="61">
        <v>6.3174603174603172</v>
      </c>
      <c r="H275" s="61">
        <v>7.6590909090909065</v>
      </c>
      <c r="I275" s="61">
        <v>7.2575757575757569</v>
      </c>
      <c r="J275" s="61">
        <v>6.9638554216867457</v>
      </c>
      <c r="K275" s="61">
        <v>6.6202531645569618</v>
      </c>
      <c r="L275" s="61">
        <v>6.2705882352941176</v>
      </c>
      <c r="M275" s="61">
        <v>6.3432835820895503</v>
      </c>
      <c r="N275" s="61">
        <v>7.4205607476635516</v>
      </c>
      <c r="O275" s="61">
        <v>6.8936170212765955</v>
      </c>
      <c r="P275" s="61">
        <v>7.0066666666666668</v>
      </c>
      <c r="Q275" s="61">
        <v>8.1472392638036801</v>
      </c>
      <c r="R275" s="61">
        <v>9.1999999999999993</v>
      </c>
      <c r="S275" s="61">
        <v>7.2954545454545459</v>
      </c>
      <c r="T275" s="61">
        <f t="shared" si="39"/>
        <v>0.33159912376780021</v>
      </c>
      <c r="U275" s="61">
        <f t="shared" si="40"/>
        <v>0.40183752417795038</v>
      </c>
      <c r="V275" s="214">
        <f t="shared" si="41"/>
        <v>-1.9045454545454534</v>
      </c>
    </row>
    <row r="276" spans="1:22" ht="15" customHeight="1" x14ac:dyDescent="0.2">
      <c r="A276" s="29" t="s">
        <v>32</v>
      </c>
      <c r="B276" s="61">
        <v>7.0000000000000009</v>
      </c>
      <c r="C276" s="61">
        <v>6.9421052631578934</v>
      </c>
      <c r="D276" s="61">
        <v>7.2105263157894735</v>
      </c>
      <c r="E276" s="61">
        <v>7.1414634146341456</v>
      </c>
      <c r="F276" s="61">
        <v>7.2036363636363641</v>
      </c>
      <c r="G276" s="61">
        <v>6.9243986254295535</v>
      </c>
      <c r="H276" s="61">
        <v>7.114583333333333</v>
      </c>
      <c r="I276" s="61">
        <v>7.2763636363636373</v>
      </c>
      <c r="J276" s="61">
        <v>7.046753246753247</v>
      </c>
      <c r="K276" s="61">
        <v>7.1374663072776281</v>
      </c>
      <c r="L276" s="61">
        <v>6.7682926829268286</v>
      </c>
      <c r="M276" s="61">
        <v>6.8322033898305081</v>
      </c>
      <c r="N276" s="61">
        <v>6.7259923175416132</v>
      </c>
      <c r="O276" s="61">
        <v>6.9099437148217637</v>
      </c>
      <c r="P276" s="61">
        <v>7.2843256379100847</v>
      </c>
      <c r="Q276" s="61">
        <v>7.2468856172140432</v>
      </c>
      <c r="R276" s="61">
        <v>7.5072463768115938</v>
      </c>
      <c r="S276" s="61">
        <v>7.2507936507936508</v>
      </c>
      <c r="T276" s="61">
        <f t="shared" si="39"/>
        <v>0.2040404040404038</v>
      </c>
      <c r="U276" s="61">
        <f t="shared" si="40"/>
        <v>0.34084993597188706</v>
      </c>
      <c r="V276" s="214">
        <f t="shared" si="41"/>
        <v>-0.256452726017943</v>
      </c>
    </row>
    <row r="277" spans="1:22" ht="15" customHeight="1" x14ac:dyDescent="0.2">
      <c r="A277" s="29" t="s">
        <v>36</v>
      </c>
      <c r="B277" s="61">
        <v>7.012987012987014</v>
      </c>
      <c r="C277" s="61">
        <v>6.9190031152647959</v>
      </c>
      <c r="D277" s="61">
        <v>7.4509803921568629</v>
      </c>
      <c r="E277" s="61">
        <v>7.075441412520064</v>
      </c>
      <c r="F277" s="61">
        <v>6.944839857651246</v>
      </c>
      <c r="G277" s="61">
        <v>7.0078864353312307</v>
      </c>
      <c r="H277" s="61">
        <v>6.9194244604316548</v>
      </c>
      <c r="I277" s="61">
        <v>6.6045454545454545</v>
      </c>
      <c r="J277" s="61">
        <v>6.4828614008941878</v>
      </c>
      <c r="K277" s="61">
        <v>6.3962516733601067</v>
      </c>
      <c r="L277" s="61">
        <v>6.0592885375494072</v>
      </c>
      <c r="M277" s="61">
        <v>6.5720081135902637</v>
      </c>
      <c r="N277" s="61">
        <v>6.3947826086956541</v>
      </c>
      <c r="O277" s="61">
        <v>6.6252821670428892</v>
      </c>
      <c r="P277" s="61">
        <v>7.0970873786407784</v>
      </c>
      <c r="Q277" s="61">
        <v>7.0437756497948021</v>
      </c>
      <c r="R277" s="61">
        <v>7.1497919556171983</v>
      </c>
      <c r="S277" s="61">
        <v>7.2461273666092945</v>
      </c>
      <c r="T277" s="61">
        <f t="shared" si="39"/>
        <v>0.76326596571510663</v>
      </c>
      <c r="U277" s="61">
        <f t="shared" si="40"/>
        <v>0.62084519956640527</v>
      </c>
      <c r="V277" s="214">
        <f t="shared" si="41"/>
        <v>9.6335410992096193E-2</v>
      </c>
    </row>
    <row r="278" spans="1:22" ht="15" customHeight="1" x14ac:dyDescent="0.2">
      <c r="A278" s="29" t="s">
        <v>96</v>
      </c>
      <c r="B278" s="61">
        <v>7.9058295964125564</v>
      </c>
      <c r="C278" s="61">
        <v>8.1560693641618496</v>
      </c>
      <c r="D278" s="61">
        <v>7.4256756756756754</v>
      </c>
      <c r="E278" s="61">
        <v>6.9999999999999991</v>
      </c>
      <c r="F278" s="61">
        <v>7.2131147540983598</v>
      </c>
      <c r="G278" s="61">
        <v>7.3262411347517711</v>
      </c>
      <c r="H278" s="61">
        <v>7.5681818181818183</v>
      </c>
      <c r="I278" s="61">
        <v>7.4798657718120802</v>
      </c>
      <c r="J278" s="61">
        <v>7.5987654320987659</v>
      </c>
      <c r="K278" s="61">
        <v>7.4637681159420293</v>
      </c>
      <c r="L278" s="61">
        <v>7.5649038461538449</v>
      </c>
      <c r="M278" s="61">
        <v>7.6601941747572813</v>
      </c>
      <c r="N278" s="61">
        <v>7.5309446254071659</v>
      </c>
      <c r="O278" s="61">
        <v>7.3779069767441863</v>
      </c>
      <c r="P278" s="61">
        <v>8.0100755667506292</v>
      </c>
      <c r="Q278" s="61">
        <v>7.471387002909796</v>
      </c>
      <c r="R278" s="61">
        <v>7.513204225352113</v>
      </c>
      <c r="S278" s="61">
        <v>7.1048458149779732</v>
      </c>
      <c r="T278" s="61">
        <f t="shared" si="39"/>
        <v>-0.49391961712079269</v>
      </c>
      <c r="U278" s="61">
        <f t="shared" si="40"/>
        <v>-0.27306116176621309</v>
      </c>
      <c r="V278" s="214">
        <f t="shared" si="41"/>
        <v>-0.40835841037413978</v>
      </c>
    </row>
    <row r="279" spans="1:22" ht="15" customHeight="1" x14ac:dyDescent="0.2">
      <c r="A279" s="29" t="s">
        <v>305</v>
      </c>
      <c r="B279" s="61">
        <v>8</v>
      </c>
      <c r="C279" s="61">
        <v>7.166666666666667</v>
      </c>
      <c r="D279" s="61">
        <v>6.3999999999999986</v>
      </c>
      <c r="E279" s="61">
        <v>6.9523809523809526</v>
      </c>
      <c r="F279" s="61">
        <v>7.875</v>
      </c>
      <c r="G279" s="61">
        <v>6.229166666666667</v>
      </c>
      <c r="H279" s="61">
        <v>6.2407407407407396</v>
      </c>
      <c r="I279" s="61">
        <v>6.6744186046511613</v>
      </c>
      <c r="J279" s="61">
        <v>6.7499999999999991</v>
      </c>
      <c r="K279" s="61">
        <v>6.0081967213114753</v>
      </c>
      <c r="L279" s="61">
        <v>6.5615763546798034</v>
      </c>
      <c r="M279" s="61">
        <v>7.27683615819209</v>
      </c>
      <c r="N279" s="61">
        <v>8.4029850746268693</v>
      </c>
      <c r="O279" s="61">
        <v>7.9844961240310077</v>
      </c>
      <c r="P279" s="61">
        <v>7.5971563981042651</v>
      </c>
      <c r="Q279" s="61">
        <v>7.9381818181818184</v>
      </c>
      <c r="R279" s="61">
        <v>7.2924901185770752</v>
      </c>
      <c r="S279" s="61">
        <v>7.0620155038759682</v>
      </c>
      <c r="T279" s="61">
        <f t="shared" si="39"/>
        <v>0.3120155038759691</v>
      </c>
      <c r="U279" s="61">
        <f t="shared" si="40"/>
        <v>-0.92248062015503951</v>
      </c>
      <c r="V279" s="214">
        <f t="shared" si="41"/>
        <v>-0.23047461470110697</v>
      </c>
    </row>
    <row r="280" spans="1:22" ht="15" customHeight="1" x14ac:dyDescent="0.2">
      <c r="A280" s="29" t="s">
        <v>99</v>
      </c>
      <c r="B280" s="61">
        <v>7.0810810810810798</v>
      </c>
      <c r="C280" s="61">
        <v>6.6868686868686877</v>
      </c>
      <c r="D280" s="61">
        <v>6.55</v>
      </c>
      <c r="E280" s="61">
        <v>7.166666666666667</v>
      </c>
      <c r="F280" s="61">
        <v>6.4456521739130439</v>
      </c>
      <c r="G280" s="61">
        <v>7.0515463917525771</v>
      </c>
      <c r="H280" s="61">
        <v>7.2166666666666668</v>
      </c>
      <c r="I280" s="61">
        <v>6.9115646258503398</v>
      </c>
      <c r="J280" s="61">
        <v>7.0071428571428562</v>
      </c>
      <c r="K280" s="61">
        <v>6.7969924812030067</v>
      </c>
      <c r="L280" s="61">
        <v>6.6096096096096097</v>
      </c>
      <c r="M280" s="61">
        <v>7.2210796915167093</v>
      </c>
      <c r="N280" s="61">
        <v>6.9551569506726461</v>
      </c>
      <c r="O280" s="61">
        <v>7.2099236641221376</v>
      </c>
      <c r="P280" s="61">
        <v>7.758064516129032</v>
      </c>
      <c r="Q280" s="61">
        <v>7.2991202346041044</v>
      </c>
      <c r="R280" s="61">
        <v>7.8978328173374628</v>
      </c>
      <c r="S280" s="61">
        <v>6.9250814332247561</v>
      </c>
      <c r="T280" s="61">
        <f t="shared" si="39"/>
        <v>-8.2061423918100118E-2</v>
      </c>
      <c r="U280" s="61">
        <f t="shared" si="40"/>
        <v>-0.28484223089738148</v>
      </c>
      <c r="V280" s="214">
        <f t="shared" si="41"/>
        <v>-0.97275138411270667</v>
      </c>
    </row>
    <row r="281" spans="1:22" ht="15" customHeight="1" x14ac:dyDescent="0.2">
      <c r="A281" s="29" t="s">
        <v>34</v>
      </c>
      <c r="B281" s="61">
        <v>7.7758241758241757</v>
      </c>
      <c r="C281" s="61">
        <v>7.6512141280353205</v>
      </c>
      <c r="D281" s="61">
        <v>7.1111111111111107</v>
      </c>
      <c r="E281" s="61">
        <v>7.2284263959390866</v>
      </c>
      <c r="F281" s="61">
        <v>7.154285714285713</v>
      </c>
      <c r="G281" s="61">
        <v>7.138222849083216</v>
      </c>
      <c r="H281" s="61">
        <v>7.3532467532467534</v>
      </c>
      <c r="I281" s="61">
        <v>7.0325379609544472</v>
      </c>
      <c r="J281" s="61">
        <v>6.6169491525423725</v>
      </c>
      <c r="K281" s="61">
        <v>6.7634024303073623</v>
      </c>
      <c r="L281" s="61">
        <v>6.5657726692209453</v>
      </c>
      <c r="M281" s="61">
        <v>6.9167893961708398</v>
      </c>
      <c r="N281" s="61">
        <v>6.8532918610679108</v>
      </c>
      <c r="O281" s="61">
        <v>6.9235668789808917</v>
      </c>
      <c r="P281" s="61">
        <v>7.5711689884918227</v>
      </c>
      <c r="Q281" s="61">
        <v>7.3280000000000003</v>
      </c>
      <c r="R281" s="61">
        <v>7.3665977249224408</v>
      </c>
      <c r="S281" s="61">
        <v>6.9137737961926096</v>
      </c>
      <c r="T281" s="61">
        <f t="shared" si="39"/>
        <v>0.29682464365023709</v>
      </c>
      <c r="U281" s="61">
        <f t="shared" si="40"/>
        <v>-9.7930827882821703E-3</v>
      </c>
      <c r="V281" s="214">
        <f t="shared" si="41"/>
        <v>-0.45282392872983124</v>
      </c>
    </row>
    <row r="282" spans="1:22" ht="15" customHeight="1" x14ac:dyDescent="0.2">
      <c r="A282" s="29" t="s">
        <v>401</v>
      </c>
      <c r="B282" s="61">
        <v>7.1728045325779046</v>
      </c>
      <c r="C282" s="61">
        <v>6.9351535836177467</v>
      </c>
      <c r="D282" s="61">
        <v>6.7291666666666679</v>
      </c>
      <c r="E282" s="61">
        <v>6.9096989966555187</v>
      </c>
      <c r="F282" s="61">
        <v>6.5667574931880113</v>
      </c>
      <c r="G282" s="61">
        <v>6.5458015267175576</v>
      </c>
      <c r="H282" s="61">
        <v>6.4083044982698958</v>
      </c>
      <c r="I282" s="61">
        <v>6.2555555555555555</v>
      </c>
      <c r="J282" s="61">
        <v>6.2119999999999997</v>
      </c>
      <c r="K282" s="61">
        <v>5.7795527156549502</v>
      </c>
      <c r="L282" s="61">
        <v>6.0066445182724255</v>
      </c>
      <c r="M282" s="61">
        <v>6.5137614678899096</v>
      </c>
      <c r="N282" s="61">
        <v>6.3491124260355045</v>
      </c>
      <c r="O282" s="61">
        <v>6.1676300578034686</v>
      </c>
      <c r="P282" s="61">
        <v>6.8693877551020384</v>
      </c>
      <c r="Q282" s="61">
        <v>6.6525679758308156</v>
      </c>
      <c r="R282" s="61">
        <v>7.448430493273543</v>
      </c>
      <c r="S282" s="61">
        <v>6.852348993288591</v>
      </c>
      <c r="T282" s="61">
        <f t="shared" si="39"/>
        <v>0.64034899328859129</v>
      </c>
      <c r="U282" s="61">
        <f t="shared" si="40"/>
        <v>0.68471893548512242</v>
      </c>
      <c r="V282" s="214">
        <f t="shared" si="41"/>
        <v>-0.59608149998495197</v>
      </c>
    </row>
    <row r="283" spans="1:22" ht="15" customHeight="1" x14ac:dyDescent="0.2">
      <c r="A283" s="29" t="s">
        <v>26</v>
      </c>
      <c r="B283" s="61">
        <v>8.0210526315789465</v>
      </c>
      <c r="C283" s="61">
        <v>6.8232558139534882</v>
      </c>
      <c r="D283" s="61">
        <v>6.9888888888888889</v>
      </c>
      <c r="E283" s="61">
        <v>7.6769230769230772</v>
      </c>
      <c r="F283" s="61">
        <v>7.1373626373626378</v>
      </c>
      <c r="G283" s="61">
        <v>7.4378881987577641</v>
      </c>
      <c r="H283" s="61">
        <v>7.2382198952879584</v>
      </c>
      <c r="I283" s="61">
        <v>7.1797752808988768</v>
      </c>
      <c r="J283" s="61">
        <v>6.7956043956043954</v>
      </c>
      <c r="K283" s="61">
        <v>6.8442776735459674</v>
      </c>
      <c r="L283" s="61">
        <v>6.7156549520766777</v>
      </c>
      <c r="M283" s="61">
        <v>6.8059125964010283</v>
      </c>
      <c r="N283" s="61">
        <v>6.8230256898192199</v>
      </c>
      <c r="O283" s="61">
        <v>6.6815642458100557</v>
      </c>
      <c r="P283" s="61">
        <v>7.2027210884353741</v>
      </c>
      <c r="Q283" s="61">
        <v>7</v>
      </c>
      <c r="R283" s="61">
        <v>6.9766536964980546</v>
      </c>
      <c r="S283" s="61">
        <v>6.7450271247739586</v>
      </c>
      <c r="T283" s="61">
        <f t="shared" si="39"/>
        <v>-5.0577270830436838E-2</v>
      </c>
      <c r="U283" s="61">
        <f t="shared" si="40"/>
        <v>6.3462878963902902E-2</v>
      </c>
      <c r="V283" s="214">
        <f t="shared" si="41"/>
        <v>-0.23162657172409595</v>
      </c>
    </row>
    <row r="284" spans="1:22" ht="15" customHeight="1" x14ac:dyDescent="0.2">
      <c r="A284" s="29" t="s">
        <v>33</v>
      </c>
      <c r="B284" s="61">
        <v>6.3414634146341466</v>
      </c>
      <c r="C284" s="61">
        <v>6.6529411764705886</v>
      </c>
      <c r="D284" s="61">
        <v>6.5488372093023264</v>
      </c>
      <c r="E284" s="61">
        <v>6.6412213740458013</v>
      </c>
      <c r="F284" s="61">
        <v>6.6896551724137927</v>
      </c>
      <c r="G284" s="61">
        <v>6.4774193548387107</v>
      </c>
      <c r="H284" s="61">
        <v>6.8203125</v>
      </c>
      <c r="I284" s="61">
        <v>6.7930327868852451</v>
      </c>
      <c r="J284" s="61">
        <v>6.6341463414634152</v>
      </c>
      <c r="K284" s="61">
        <v>6.1904255319148938</v>
      </c>
      <c r="L284" s="61">
        <v>6.1136363636363642</v>
      </c>
      <c r="M284" s="61">
        <v>6.4657142857142853</v>
      </c>
      <c r="N284" s="61">
        <v>6.5608504398826977</v>
      </c>
      <c r="O284" s="61">
        <v>6.8271144278606961</v>
      </c>
      <c r="P284" s="61">
        <v>7.125</v>
      </c>
      <c r="Q284" s="61">
        <v>7.1048109965635735</v>
      </c>
      <c r="R284" s="61">
        <v>7.2232441471571907</v>
      </c>
      <c r="S284" s="61">
        <v>6.7179962894248613</v>
      </c>
      <c r="T284" s="61">
        <f t="shared" si="39"/>
        <v>8.384994796144607E-2</v>
      </c>
      <c r="U284" s="61">
        <f t="shared" si="40"/>
        <v>-0.10911813843583484</v>
      </c>
      <c r="V284" s="214">
        <f t="shared" si="41"/>
        <v>-0.50524785773232939</v>
      </c>
    </row>
    <row r="285" spans="1:22" ht="15" customHeight="1" x14ac:dyDescent="0.2">
      <c r="A285" s="29" t="s">
        <v>29</v>
      </c>
      <c r="B285" s="61">
        <v>7.795774647887324</v>
      </c>
      <c r="C285" s="61">
        <v>8.3733333333333331</v>
      </c>
      <c r="D285" s="61">
        <v>7.596774193548387</v>
      </c>
      <c r="E285" s="61">
        <v>7.2568093385214008</v>
      </c>
      <c r="F285" s="61">
        <v>7.1039325842696632</v>
      </c>
      <c r="G285" s="61">
        <v>7.2330623306233059</v>
      </c>
      <c r="H285" s="61">
        <v>7.4342723004694822</v>
      </c>
      <c r="I285" s="61">
        <v>7.1816479400749067</v>
      </c>
      <c r="J285" s="61">
        <v>7.0227272727272734</v>
      </c>
      <c r="K285" s="61">
        <v>6.994413407821229</v>
      </c>
      <c r="L285" s="61">
        <v>6.9797468354430379</v>
      </c>
      <c r="M285" s="61">
        <v>6.9933628318584073</v>
      </c>
      <c r="N285" s="61">
        <v>7.1236786469344615</v>
      </c>
      <c r="O285" s="61">
        <v>7.3405238828967638</v>
      </c>
      <c r="P285" s="61">
        <v>7.6108108108108112</v>
      </c>
      <c r="Q285" s="61">
        <v>7.6417233560090709</v>
      </c>
      <c r="R285" s="61">
        <v>7.2861736334405141</v>
      </c>
      <c r="S285" s="61">
        <v>6.6803953871499173</v>
      </c>
      <c r="T285" s="61">
        <f t="shared" si="39"/>
        <v>-0.34233188557735605</v>
      </c>
      <c r="U285" s="61">
        <f t="shared" si="40"/>
        <v>-0.66012849574684651</v>
      </c>
      <c r="V285" s="214">
        <f t="shared" si="41"/>
        <v>-0.60577824629059673</v>
      </c>
    </row>
    <row r="286" spans="1:22" ht="15" customHeight="1" x14ac:dyDescent="0.2">
      <c r="A286" s="29" t="s">
        <v>21</v>
      </c>
      <c r="B286" s="61">
        <v>7.3866171003717467</v>
      </c>
      <c r="C286" s="61">
        <v>6.8477801268498943</v>
      </c>
      <c r="D286" s="61">
        <v>6.51048951048951</v>
      </c>
      <c r="E286" s="61">
        <v>7.3644067796610173</v>
      </c>
      <c r="F286" s="61">
        <v>6.8184713375796182</v>
      </c>
      <c r="G286" s="61">
        <v>6.8434343434343434</v>
      </c>
      <c r="H286" s="61">
        <v>6.9480198019801982</v>
      </c>
      <c r="I286" s="61">
        <v>7.0787401574803148</v>
      </c>
      <c r="J286" s="61">
        <v>7.0215982721382293</v>
      </c>
      <c r="K286" s="61">
        <v>6.7152777777777777</v>
      </c>
      <c r="L286" s="61">
        <v>6.4612736660929428</v>
      </c>
      <c r="M286" s="61">
        <v>6.6923076923076925</v>
      </c>
      <c r="N286" s="61">
        <v>6.5634328358208958</v>
      </c>
      <c r="O286" s="61">
        <v>6.6671826625386998</v>
      </c>
      <c r="P286" s="61">
        <v>7</v>
      </c>
      <c r="Q286" s="61">
        <v>6.57981220657277</v>
      </c>
      <c r="R286" s="61">
        <v>6.7391304347826084</v>
      </c>
      <c r="S286" s="61">
        <v>6.6611489776046726</v>
      </c>
      <c r="T286" s="61">
        <f t="shared" si="39"/>
        <v>-0.36044929453355667</v>
      </c>
      <c r="U286" s="61">
        <f t="shared" si="40"/>
        <v>-6.0336849340272281E-3</v>
      </c>
      <c r="V286" s="214">
        <f t="shared" si="41"/>
        <v>-7.7981457177935809E-2</v>
      </c>
    </row>
    <row r="287" spans="1:22" ht="15" customHeight="1" x14ac:dyDescent="0.2">
      <c r="A287" s="29" t="s">
        <v>402</v>
      </c>
      <c r="B287" s="61">
        <v>7.0357142857142838</v>
      </c>
      <c r="C287" s="61">
        <v>6.5555555555555554</v>
      </c>
      <c r="D287" s="61" t="s">
        <v>100</v>
      </c>
      <c r="E287" s="61">
        <v>9.5</v>
      </c>
      <c r="F287" s="61">
        <v>6.625</v>
      </c>
      <c r="G287" s="61" t="s">
        <v>100</v>
      </c>
      <c r="H287" s="61" t="s">
        <v>100</v>
      </c>
      <c r="I287" s="61" t="s">
        <v>100</v>
      </c>
      <c r="J287" s="61" t="s">
        <v>100</v>
      </c>
      <c r="K287" s="61">
        <v>6</v>
      </c>
      <c r="L287" s="61">
        <v>5.75</v>
      </c>
      <c r="M287" s="61">
        <v>5.75</v>
      </c>
      <c r="N287" s="61">
        <v>5.8409090909090908</v>
      </c>
      <c r="O287" s="61">
        <v>5.7826086956521738</v>
      </c>
      <c r="P287" s="61">
        <v>6.6836158192090398</v>
      </c>
      <c r="Q287" s="61">
        <v>6.4697674418604647</v>
      </c>
      <c r="R287" s="61">
        <v>6.6407185628742518</v>
      </c>
      <c r="S287" s="61">
        <v>6.5491329479768785</v>
      </c>
      <c r="T287" s="61" t="str">
        <f t="shared" si="39"/>
        <v>n/a</v>
      </c>
      <c r="U287" s="61">
        <f t="shared" si="40"/>
        <v>0.76652425232470467</v>
      </c>
      <c r="V287" s="214">
        <f t="shared" si="41"/>
        <v>-9.1585614897373269E-2</v>
      </c>
    </row>
    <row r="288" spans="1:22" ht="15" customHeight="1" x14ac:dyDescent="0.2">
      <c r="A288" s="29" t="s">
        <v>28</v>
      </c>
      <c r="B288" s="61">
        <v>6.0506329113924062</v>
      </c>
      <c r="C288" s="61">
        <v>5.6378737541528228</v>
      </c>
      <c r="D288" s="61">
        <v>6.0263157894736823</v>
      </c>
      <c r="E288" s="61">
        <v>6.7080291970802932</v>
      </c>
      <c r="F288" s="61">
        <v>6.8882352941176457</v>
      </c>
      <c r="G288" s="61">
        <v>6.8991935483870961</v>
      </c>
      <c r="H288" s="61">
        <v>7.0553505535055354</v>
      </c>
      <c r="I288" s="61">
        <v>7.1751968503937009</v>
      </c>
      <c r="J288" s="61">
        <v>6.9703153988868269</v>
      </c>
      <c r="K288" s="61">
        <v>6.9753086419753094</v>
      </c>
      <c r="L288" s="61">
        <v>6.856870229007634</v>
      </c>
      <c r="M288" s="61">
        <v>6.7445573294629915</v>
      </c>
      <c r="N288" s="61">
        <v>6.5680628272251296</v>
      </c>
      <c r="O288" s="61">
        <v>7.4310954063604244</v>
      </c>
      <c r="P288" s="61">
        <v>7.4173913043478263</v>
      </c>
      <c r="Q288" s="61">
        <v>7.2999999999999989</v>
      </c>
      <c r="R288" s="61">
        <v>7.2030798845043309</v>
      </c>
      <c r="S288" s="61">
        <v>6.5373781148429044</v>
      </c>
      <c r="T288" s="61">
        <f t="shared" si="39"/>
        <v>-0.43293728404392251</v>
      </c>
      <c r="U288" s="61">
        <f t="shared" si="40"/>
        <v>-0.89371729151752</v>
      </c>
      <c r="V288" s="214">
        <f t="shared" si="41"/>
        <v>-0.66570176966142647</v>
      </c>
    </row>
    <row r="289" spans="1:22" ht="15" customHeight="1" x14ac:dyDescent="0.2">
      <c r="A289" s="29" t="s">
        <v>31</v>
      </c>
      <c r="B289" s="61">
        <v>7.7402597402597406</v>
      </c>
      <c r="C289" s="61">
        <v>6.9467889908256879</v>
      </c>
      <c r="D289" s="61">
        <v>6.8480392156862742</v>
      </c>
      <c r="E289" s="61">
        <v>7.690769230769229</v>
      </c>
      <c r="F289" s="61">
        <v>7.1548998946259221</v>
      </c>
      <c r="G289" s="61">
        <v>7.1918755401901473</v>
      </c>
      <c r="H289" s="61">
        <v>7.0632621951219514</v>
      </c>
      <c r="I289" s="61">
        <v>6.9689336691855583</v>
      </c>
      <c r="J289" s="61">
        <v>6.8251318101933212</v>
      </c>
      <c r="K289" s="61">
        <v>6.6604554865424435</v>
      </c>
      <c r="L289" s="61">
        <v>6.0817214700193425</v>
      </c>
      <c r="M289" s="61">
        <v>6.4709931170108161</v>
      </c>
      <c r="N289" s="61">
        <v>6.2444976076555019</v>
      </c>
      <c r="O289" s="61">
        <v>6.6533333333333333</v>
      </c>
      <c r="P289" s="61">
        <v>6.9708631115997797</v>
      </c>
      <c r="Q289" s="61">
        <v>6.8226982680036459</v>
      </c>
      <c r="R289" s="61">
        <v>6.7936974789915965</v>
      </c>
      <c r="S289" s="61">
        <v>6.494595601938129</v>
      </c>
      <c r="T289" s="61">
        <f t="shared" si="39"/>
        <v>-0.33053620825519214</v>
      </c>
      <c r="U289" s="61">
        <f t="shared" si="40"/>
        <v>-0.15873773139520431</v>
      </c>
      <c r="V289" s="214">
        <f t="shared" si="41"/>
        <v>-0.29910187705346747</v>
      </c>
    </row>
    <row r="290" spans="1:22" ht="15" customHeight="1" x14ac:dyDescent="0.2">
      <c r="A290" s="29" t="s">
        <v>341</v>
      </c>
      <c r="B290" s="61">
        <v>7.7249999999999996</v>
      </c>
      <c r="C290" s="61">
        <v>7.9739130434782615</v>
      </c>
      <c r="D290" s="61">
        <v>7.5625</v>
      </c>
      <c r="E290" s="61">
        <v>7.1428571428571432</v>
      </c>
      <c r="F290" s="61">
        <v>6.9806451612903224</v>
      </c>
      <c r="G290" s="61">
        <v>7.5705882352941192</v>
      </c>
      <c r="H290" s="61">
        <v>7.3076923076923075</v>
      </c>
      <c r="I290" s="61">
        <v>6.83</v>
      </c>
      <c r="J290" s="61">
        <v>7.068322981366455</v>
      </c>
      <c r="K290" s="61">
        <v>7.2593984962406024</v>
      </c>
      <c r="L290" s="61">
        <v>7.0288808664259932</v>
      </c>
      <c r="M290" s="61">
        <v>6.3106382978723383</v>
      </c>
      <c r="N290" s="61">
        <v>6.7615062761506266</v>
      </c>
      <c r="O290" s="61">
        <v>6.7704918032786878</v>
      </c>
      <c r="P290" s="61">
        <v>6.7984189723320156</v>
      </c>
      <c r="Q290" s="61">
        <v>7.045045045045045</v>
      </c>
      <c r="R290" s="61">
        <v>6.5049504950495045</v>
      </c>
      <c r="S290" s="61">
        <v>6.4454976303317526</v>
      </c>
      <c r="T290" s="61">
        <f t="shared" si="39"/>
        <v>-0.62282535103470238</v>
      </c>
      <c r="U290" s="61">
        <f t="shared" si="40"/>
        <v>-0.32499417294693522</v>
      </c>
      <c r="V290" s="214">
        <f t="shared" si="41"/>
        <v>-5.9452864717751908E-2</v>
      </c>
    </row>
    <row r="291" spans="1:22" ht="15" customHeight="1" x14ac:dyDescent="0.2">
      <c r="A291" s="29" t="s">
        <v>284</v>
      </c>
      <c r="B291" s="61">
        <v>5.6785714285714253</v>
      </c>
      <c r="C291" s="61">
        <v>6</v>
      </c>
      <c r="D291" s="61">
        <v>6.6153846153846168</v>
      </c>
      <c r="E291" s="61">
        <v>6.7959183673469408</v>
      </c>
      <c r="F291" s="61">
        <v>7.2333333333333334</v>
      </c>
      <c r="G291" s="61">
        <v>7.2264150943396208</v>
      </c>
      <c r="H291" s="61">
        <v>6.9843750000000018</v>
      </c>
      <c r="I291" s="61">
        <v>7.2289156626506026</v>
      </c>
      <c r="J291" s="61">
        <v>6.8648648648648667</v>
      </c>
      <c r="K291" s="61">
        <v>6.9999999999999991</v>
      </c>
      <c r="L291" s="61">
        <v>6.6966292134831464</v>
      </c>
      <c r="M291" s="61">
        <v>6.4548872180451111</v>
      </c>
      <c r="N291" s="61">
        <v>6.7090909090909099</v>
      </c>
      <c r="O291" s="61">
        <v>7.1058823529411752</v>
      </c>
      <c r="P291" s="61">
        <v>6.8954869358669821</v>
      </c>
      <c r="Q291" s="61">
        <v>6.7392290249433096</v>
      </c>
      <c r="R291" s="61">
        <v>6.3116490166414527</v>
      </c>
      <c r="S291" s="61">
        <v>6.4245283018867925</v>
      </c>
      <c r="T291" s="61">
        <f t="shared" si="39"/>
        <v>-0.44033656297807422</v>
      </c>
      <c r="U291" s="61">
        <f t="shared" si="40"/>
        <v>-0.68135405105438274</v>
      </c>
      <c r="V291" s="214">
        <f t="shared" si="41"/>
        <v>0.11287928524533974</v>
      </c>
    </row>
    <row r="292" spans="1:22" ht="15" customHeight="1" x14ac:dyDescent="0.2">
      <c r="A292" s="29" t="s">
        <v>23</v>
      </c>
      <c r="B292" s="61">
        <v>6.2941176470588234</v>
      </c>
      <c r="C292" s="61">
        <v>5.2970588235294107</v>
      </c>
      <c r="D292" s="61">
        <v>4.6461126005361928</v>
      </c>
      <c r="E292" s="61">
        <v>6.6774193548387109</v>
      </c>
      <c r="F292" s="61">
        <v>6.3515151515151516</v>
      </c>
      <c r="G292" s="61">
        <v>6.4526315789473676</v>
      </c>
      <c r="H292" s="61">
        <v>6.6087591240875909</v>
      </c>
      <c r="I292" s="61">
        <v>6.3224999999999998</v>
      </c>
      <c r="J292" s="61">
        <v>6.3641975308641978</v>
      </c>
      <c r="K292" s="61">
        <v>6.3276699029126213</v>
      </c>
      <c r="L292" s="61">
        <v>6.290684624017957</v>
      </c>
      <c r="M292" s="61">
        <v>6.2900274473924975</v>
      </c>
      <c r="N292" s="61">
        <v>6.2001819836214738</v>
      </c>
      <c r="O292" s="61">
        <v>6.3811881188118811</v>
      </c>
      <c r="P292" s="61">
        <v>6.6350194552529187</v>
      </c>
      <c r="Q292" s="61">
        <v>6.3505942275042448</v>
      </c>
      <c r="R292" s="61">
        <v>6.3076329992289901</v>
      </c>
      <c r="S292" s="61">
        <v>6.3603082851637769</v>
      </c>
      <c r="T292" s="61">
        <f t="shared" si="39"/>
        <v>-3.8892457004209291E-3</v>
      </c>
      <c r="U292" s="61">
        <f t="shared" si="40"/>
        <v>-2.0879833648104196E-2</v>
      </c>
      <c r="V292" s="214">
        <f t="shared" si="41"/>
        <v>5.2675285934786764E-2</v>
      </c>
    </row>
    <row r="293" spans="1:22" x14ac:dyDescent="0.2">
      <c r="A293" s="52" t="s">
        <v>548</v>
      </c>
      <c r="B293" s="52"/>
      <c r="C293" s="52"/>
      <c r="D293" s="52"/>
      <c r="E293" s="52"/>
      <c r="F293" s="52"/>
      <c r="G293" s="52"/>
      <c r="H293" s="52"/>
      <c r="I293" s="52"/>
      <c r="J293" s="52"/>
      <c r="K293" s="52"/>
      <c r="L293" s="52"/>
      <c r="M293" s="52"/>
      <c r="N293" s="52"/>
      <c r="O293" s="52"/>
      <c r="P293" s="52"/>
      <c r="Q293" s="52"/>
      <c r="R293" s="52"/>
      <c r="S293" s="52"/>
      <c r="T293" s="130"/>
      <c r="U293" s="130"/>
      <c r="V293" s="52"/>
    </row>
    <row r="294" spans="1:22" x14ac:dyDescent="0.2">
      <c r="A294" s="52"/>
      <c r="B294" s="52"/>
      <c r="C294" s="52"/>
      <c r="D294" s="52"/>
      <c r="E294" s="52"/>
      <c r="F294" s="52"/>
      <c r="G294" s="52"/>
      <c r="H294" s="52"/>
      <c r="I294" s="52"/>
      <c r="J294" s="52"/>
      <c r="K294" s="52"/>
      <c r="L294" s="52"/>
      <c r="M294" s="52"/>
      <c r="N294" s="52"/>
      <c r="O294" s="52"/>
      <c r="P294" s="52"/>
      <c r="Q294" s="52"/>
      <c r="R294" s="52"/>
      <c r="S294" s="52"/>
      <c r="T294" s="130"/>
      <c r="U294" s="130"/>
      <c r="V294" s="52"/>
    </row>
    <row r="295" spans="1:22" ht="15.75" x14ac:dyDescent="0.2">
      <c r="A295" s="35" t="s">
        <v>522</v>
      </c>
      <c r="B295" s="35"/>
      <c r="C295" s="35"/>
      <c r="D295" s="35"/>
      <c r="E295" s="35"/>
      <c r="F295" s="35"/>
      <c r="G295" s="35"/>
      <c r="H295" s="35"/>
      <c r="I295" s="35"/>
      <c r="J295" s="35"/>
      <c r="K295" s="35"/>
      <c r="L295" s="35"/>
      <c r="M295" s="35"/>
      <c r="N295" s="35"/>
      <c r="O295" s="35"/>
      <c r="P295" s="35"/>
      <c r="Q295" s="35"/>
      <c r="R295" s="35"/>
      <c r="S295" s="35"/>
      <c r="T295" s="75"/>
      <c r="U295" s="75"/>
      <c r="V295" s="35"/>
    </row>
    <row r="296" spans="1:22" ht="44.25" customHeight="1" x14ac:dyDescent="0.2">
      <c r="A296" s="36" t="s">
        <v>148</v>
      </c>
      <c r="B296" s="15">
        <v>2007</v>
      </c>
      <c r="C296" s="15">
        <v>2008</v>
      </c>
      <c r="D296" s="15">
        <v>2009</v>
      </c>
      <c r="E296" s="15">
        <v>2010</v>
      </c>
      <c r="F296" s="15">
        <v>2011</v>
      </c>
      <c r="G296" s="15">
        <v>2012</v>
      </c>
      <c r="H296" s="15">
        <v>2013</v>
      </c>
      <c r="I296" s="15">
        <v>2014</v>
      </c>
      <c r="J296" s="15">
        <v>2015</v>
      </c>
      <c r="K296" s="15">
        <v>2016</v>
      </c>
      <c r="L296" s="15">
        <v>2017</v>
      </c>
      <c r="M296" s="15">
        <v>2018</v>
      </c>
      <c r="N296" s="15">
        <v>2019</v>
      </c>
      <c r="O296" s="15">
        <v>2020</v>
      </c>
      <c r="P296" s="15">
        <v>2021</v>
      </c>
      <c r="Q296" s="15">
        <v>2022</v>
      </c>
      <c r="R296" s="15">
        <v>2023</v>
      </c>
      <c r="S296" s="15">
        <v>2024</v>
      </c>
      <c r="T296" s="27" t="s">
        <v>469</v>
      </c>
      <c r="U296" s="27" t="s">
        <v>470</v>
      </c>
      <c r="V296" s="27" t="s">
        <v>471</v>
      </c>
    </row>
    <row r="297" spans="1:22" ht="15" customHeight="1" x14ac:dyDescent="0.2">
      <c r="A297" s="29" t="s">
        <v>438</v>
      </c>
      <c r="B297" s="61">
        <v>12.747826086956509</v>
      </c>
      <c r="C297" s="61">
        <v>12.467084639498429</v>
      </c>
      <c r="D297" s="61">
        <v>11.877256317689531</v>
      </c>
      <c r="E297" s="61">
        <v>12.055045871559631</v>
      </c>
      <c r="F297" s="61">
        <v>11.768421052631579</v>
      </c>
      <c r="G297" s="61">
        <v>12.304461942257218</v>
      </c>
      <c r="H297" s="61">
        <v>12.354838709677423</v>
      </c>
      <c r="I297" s="61">
        <v>12.449685534591202</v>
      </c>
      <c r="J297" s="61">
        <v>12.565359477124179</v>
      </c>
      <c r="K297" s="61">
        <v>12.220055710306415</v>
      </c>
      <c r="L297" s="61">
        <v>12.727040816326538</v>
      </c>
      <c r="M297" s="61">
        <v>12.334246575342457</v>
      </c>
      <c r="N297" s="61">
        <v>12.096103896103898</v>
      </c>
      <c r="O297" s="61">
        <v>12.570977917981072</v>
      </c>
      <c r="P297" s="61">
        <v>12.432038834951458</v>
      </c>
      <c r="Q297" s="61">
        <v>12.559585492227974</v>
      </c>
      <c r="R297" s="61">
        <v>12.255813953488376</v>
      </c>
      <c r="S297" s="61">
        <v>11.854395604395608</v>
      </c>
      <c r="T297" s="61">
        <f>IFERROR((S297-J297),"n/a")</f>
        <v>-0.71096387272857164</v>
      </c>
      <c r="U297" s="61">
        <f>IFERROR((S297-O297),"n/a")</f>
        <v>-0.71658231358546409</v>
      </c>
      <c r="V297" s="214">
        <f>IFERROR((S297-R297),"n/a")</f>
        <v>-0.40141834909276852</v>
      </c>
    </row>
    <row r="298" spans="1:22" ht="15" customHeight="1" x14ac:dyDescent="0.2">
      <c r="A298" s="29" t="s">
        <v>439</v>
      </c>
      <c r="B298" s="61">
        <v>13.503623188405786</v>
      </c>
      <c r="C298" s="61">
        <v>13.469090909090905</v>
      </c>
      <c r="D298" s="61">
        <v>12.647519582245435</v>
      </c>
      <c r="E298" s="61">
        <v>12.57461024498885</v>
      </c>
      <c r="F298" s="61">
        <v>12.614678899082561</v>
      </c>
      <c r="G298" s="61">
        <v>13.018083182640138</v>
      </c>
      <c r="H298" s="61">
        <v>13.293135435992577</v>
      </c>
      <c r="I298" s="61">
        <v>13.391544117647053</v>
      </c>
      <c r="J298" s="61">
        <v>13.236170212765959</v>
      </c>
      <c r="K298" s="61">
        <v>13.671264367816079</v>
      </c>
      <c r="L298" s="61">
        <v>13.115294117647073</v>
      </c>
      <c r="M298" s="61">
        <v>14.117449664429524</v>
      </c>
      <c r="N298" s="61">
        <v>14.0152091254753</v>
      </c>
      <c r="O298" s="61">
        <v>13.800947867298566</v>
      </c>
      <c r="P298" s="61">
        <v>12.78067885117494</v>
      </c>
      <c r="Q298" s="61">
        <v>12.508083140877602</v>
      </c>
      <c r="R298" s="61">
        <v>12.186000000000003</v>
      </c>
      <c r="S298" s="61">
        <v>11.838899803536343</v>
      </c>
      <c r="T298" s="61">
        <f t="shared" ref="T298:T306" si="42">IFERROR((S298-J298),"n/a")</f>
        <v>-1.3972704092296162</v>
      </c>
      <c r="U298" s="61">
        <f t="shared" ref="U298:U306" si="43">IFERROR((S298-O298),"n/a")</f>
        <v>-1.9620480637622233</v>
      </c>
      <c r="V298" s="214">
        <f t="shared" ref="V298:V306" si="44">IFERROR((S298-R298),"n/a")</f>
        <v>-0.34710019646366064</v>
      </c>
    </row>
    <row r="299" spans="1:22" ht="15" customHeight="1" x14ac:dyDescent="0.2">
      <c r="A299" s="29" t="s">
        <v>54</v>
      </c>
      <c r="B299" s="61">
        <v>10.337592867756317</v>
      </c>
      <c r="C299" s="61">
        <v>9.8778100072516324</v>
      </c>
      <c r="D299" s="61">
        <v>10.742010309278351</v>
      </c>
      <c r="E299" s="61">
        <v>10.88821052631579</v>
      </c>
      <c r="F299" s="61">
        <v>10.728444003964318</v>
      </c>
      <c r="G299" s="61">
        <v>10.352664576802505</v>
      </c>
      <c r="H299" s="61">
        <v>10.14455378350865</v>
      </c>
      <c r="I299" s="61">
        <v>10.547221142635056</v>
      </c>
      <c r="J299" s="61">
        <v>10.591607810552558</v>
      </c>
      <c r="K299" s="61">
        <v>10.689359556227943</v>
      </c>
      <c r="L299" s="61">
        <v>10.768743400211193</v>
      </c>
      <c r="M299" s="61">
        <v>10.887547169811322</v>
      </c>
      <c r="N299" s="61">
        <v>10.691833590138673</v>
      </c>
      <c r="O299" s="61">
        <v>10.839269406392699</v>
      </c>
      <c r="P299" s="61">
        <v>10.847647498132929</v>
      </c>
      <c r="Q299" s="61">
        <v>10.747074122236675</v>
      </c>
      <c r="R299" s="61">
        <v>10.771109560362872</v>
      </c>
      <c r="S299" s="61">
        <v>10.599433828733178</v>
      </c>
      <c r="T299" s="61">
        <f t="shared" si="42"/>
        <v>7.826018180619343E-3</v>
      </c>
      <c r="U299" s="61">
        <f t="shared" si="43"/>
        <v>-0.23983557765952135</v>
      </c>
      <c r="V299" s="214">
        <f t="shared" si="44"/>
        <v>-0.17167573162969418</v>
      </c>
    </row>
    <row r="300" spans="1:22" ht="15" customHeight="1" x14ac:dyDescent="0.2">
      <c r="A300" s="29" t="s">
        <v>43</v>
      </c>
      <c r="B300" s="61">
        <v>10.352300841167736</v>
      </c>
      <c r="C300" s="61">
        <v>10.503109452736323</v>
      </c>
      <c r="D300" s="61">
        <v>10.51793032786885</v>
      </c>
      <c r="E300" s="61">
        <v>10.481118881118885</v>
      </c>
      <c r="F300" s="61">
        <v>10.492616033755278</v>
      </c>
      <c r="G300" s="61">
        <v>10.054972513743129</v>
      </c>
      <c r="H300" s="61">
        <v>9.8181485547017946</v>
      </c>
      <c r="I300" s="61">
        <v>9.8057080131723389</v>
      </c>
      <c r="J300" s="61">
        <v>9.8772005152425955</v>
      </c>
      <c r="K300" s="61">
        <v>9.7042128603104203</v>
      </c>
      <c r="L300" s="61">
        <v>9.7359967051070839</v>
      </c>
      <c r="M300" s="61">
        <v>10.080624187256175</v>
      </c>
      <c r="N300" s="61">
        <v>9.7381416504223548</v>
      </c>
      <c r="O300" s="61">
        <v>10.052877138413686</v>
      </c>
      <c r="P300" s="61">
        <v>10.275999999999998</v>
      </c>
      <c r="Q300" s="61">
        <v>10.109822119102859</v>
      </c>
      <c r="R300" s="61">
        <v>9.8707782672540407</v>
      </c>
      <c r="S300" s="61">
        <v>10.216016859852475</v>
      </c>
      <c r="T300" s="61">
        <f t="shared" si="42"/>
        <v>0.33881634460987975</v>
      </c>
      <c r="U300" s="61">
        <f t="shared" si="43"/>
        <v>0.16313972143878885</v>
      </c>
      <c r="V300" s="214">
        <f t="shared" si="44"/>
        <v>0.34523859259843448</v>
      </c>
    </row>
    <row r="301" spans="1:22" ht="15" customHeight="1" x14ac:dyDescent="0.2">
      <c r="A301" s="29" t="s">
        <v>55</v>
      </c>
      <c r="B301" s="61">
        <v>10.667052023121389</v>
      </c>
      <c r="C301" s="61">
        <v>10.382675438596491</v>
      </c>
      <c r="D301" s="61">
        <v>10.278466741826389</v>
      </c>
      <c r="E301" s="61">
        <v>10.472361809045223</v>
      </c>
      <c r="F301" s="61">
        <v>10.392978482446209</v>
      </c>
      <c r="G301" s="61">
        <v>10.560408921933092</v>
      </c>
      <c r="H301" s="61">
        <v>10.317164179104475</v>
      </c>
      <c r="I301" s="61">
        <v>10.415222772277227</v>
      </c>
      <c r="J301" s="61">
        <v>10.565962307252999</v>
      </c>
      <c r="K301" s="61">
        <v>10.026467757459095</v>
      </c>
      <c r="L301" s="61">
        <v>10.033738938053096</v>
      </c>
      <c r="M301" s="61">
        <v>10.291366906474821</v>
      </c>
      <c r="N301" s="61">
        <v>10.257200606366855</v>
      </c>
      <c r="O301" s="61">
        <v>10.600122473974281</v>
      </c>
      <c r="P301" s="61">
        <v>10.744131455399064</v>
      </c>
      <c r="Q301" s="61">
        <v>10.695589298626178</v>
      </c>
      <c r="R301" s="61">
        <v>10.609442060085836</v>
      </c>
      <c r="S301" s="61">
        <v>10.438871473354233</v>
      </c>
      <c r="T301" s="61">
        <f t="shared" si="42"/>
        <v>-0.12709083389876596</v>
      </c>
      <c r="U301" s="61">
        <f t="shared" si="43"/>
        <v>-0.16125100062004805</v>
      </c>
      <c r="V301" s="214">
        <f t="shared" si="44"/>
        <v>-0.17057058673160341</v>
      </c>
    </row>
    <row r="302" spans="1:22" ht="15" customHeight="1" x14ac:dyDescent="0.2">
      <c r="A302" s="29" t="s">
        <v>56</v>
      </c>
      <c r="B302" s="61">
        <v>11.438570364854796</v>
      </c>
      <c r="C302" s="61">
        <v>11.144701086956527</v>
      </c>
      <c r="D302" s="61">
        <v>11.086501377410462</v>
      </c>
      <c r="E302" s="61">
        <v>11.191817215727939</v>
      </c>
      <c r="F302" s="61">
        <v>11.132003798670468</v>
      </c>
      <c r="G302" s="61">
        <v>11.255282449331613</v>
      </c>
      <c r="H302" s="61">
        <v>11.146873688627783</v>
      </c>
      <c r="I302" s="61">
        <v>11.331744868035196</v>
      </c>
      <c r="J302" s="61">
        <v>11.34312617702448</v>
      </c>
      <c r="K302" s="61">
        <v>11.350963509635097</v>
      </c>
      <c r="L302" s="61">
        <v>11.172985781990523</v>
      </c>
      <c r="M302" s="61">
        <v>11.522090517241379</v>
      </c>
      <c r="N302" s="61">
        <v>11.295979899497491</v>
      </c>
      <c r="O302" s="61">
        <v>11.284260921603835</v>
      </c>
      <c r="P302" s="61">
        <v>11.571798188874517</v>
      </c>
      <c r="Q302" s="61">
        <v>11.356200527704491</v>
      </c>
      <c r="R302" s="61">
        <v>11.350071736011481</v>
      </c>
      <c r="S302" s="61">
        <v>11.080876158382468</v>
      </c>
      <c r="T302" s="61">
        <f t="shared" si="42"/>
        <v>-0.26225001864201225</v>
      </c>
      <c r="U302" s="61">
        <f t="shared" si="43"/>
        <v>-0.20338476322136678</v>
      </c>
      <c r="V302" s="214">
        <f t="shared" si="44"/>
        <v>-0.26919557762901292</v>
      </c>
    </row>
    <row r="303" spans="1:22" ht="15" customHeight="1" x14ac:dyDescent="0.2">
      <c r="A303" s="29" t="s">
        <v>440</v>
      </c>
      <c r="B303" s="61">
        <v>12.218934911242609</v>
      </c>
      <c r="C303" s="61">
        <v>11.766561514195589</v>
      </c>
      <c r="D303" s="61">
        <v>11.854304635761579</v>
      </c>
      <c r="E303" s="61">
        <v>11.997375328083987</v>
      </c>
      <c r="F303" s="61">
        <v>12.222351571594885</v>
      </c>
      <c r="G303" s="61">
        <v>12.08850457782299</v>
      </c>
      <c r="H303" s="61">
        <v>12.075304540420827</v>
      </c>
      <c r="I303" s="61">
        <v>12.221709006928412</v>
      </c>
      <c r="J303" s="61">
        <v>12.153949129852739</v>
      </c>
      <c r="K303" s="61">
        <v>12.316368638239334</v>
      </c>
      <c r="L303" s="61">
        <v>12.98163606010017</v>
      </c>
      <c r="M303" s="61">
        <v>12.449244060475165</v>
      </c>
      <c r="N303" s="61">
        <v>12.423728813559329</v>
      </c>
      <c r="O303" s="61">
        <v>12.578947368421053</v>
      </c>
      <c r="P303" s="61">
        <v>12.549586776859508</v>
      </c>
      <c r="Q303" s="61">
        <v>12.362500000000001</v>
      </c>
      <c r="R303" s="61">
        <v>11.945392491467572</v>
      </c>
      <c r="S303" s="61">
        <v>11.770325203252018</v>
      </c>
      <c r="T303" s="61">
        <f t="shared" si="42"/>
        <v>-0.38362392660072153</v>
      </c>
      <c r="U303" s="61">
        <f t="shared" si="43"/>
        <v>-0.80862216516903551</v>
      </c>
      <c r="V303" s="214">
        <f t="shared" si="44"/>
        <v>-0.17506728821555484</v>
      </c>
    </row>
    <row r="304" spans="1:22" ht="15" customHeight="1" x14ac:dyDescent="0.2">
      <c r="A304" s="29" t="s">
        <v>57</v>
      </c>
      <c r="B304" s="61">
        <v>12.147810218978103</v>
      </c>
      <c r="C304" s="61">
        <v>11.403896103896104</v>
      </c>
      <c r="D304" s="61">
        <v>11.863883847549907</v>
      </c>
      <c r="E304" s="61">
        <v>11.829919857524485</v>
      </c>
      <c r="F304" s="61">
        <v>11.858125537403261</v>
      </c>
      <c r="G304" s="61">
        <v>11.953000723065808</v>
      </c>
      <c r="H304" s="61">
        <v>11.812818645302261</v>
      </c>
      <c r="I304" s="61">
        <v>11.782360406091366</v>
      </c>
      <c r="J304" s="61">
        <v>11.584089323098393</v>
      </c>
      <c r="K304" s="61">
        <v>11.91897654584222</v>
      </c>
      <c r="L304" s="61">
        <v>11.997708174178763</v>
      </c>
      <c r="M304" s="61">
        <v>11.757950530035334</v>
      </c>
      <c r="N304" s="61">
        <v>12.025963149078724</v>
      </c>
      <c r="O304" s="61">
        <v>11.753110047846889</v>
      </c>
      <c r="P304" s="61">
        <v>11.769168026101132</v>
      </c>
      <c r="Q304" s="61">
        <v>11.674220963172806</v>
      </c>
      <c r="R304" s="61">
        <v>11.767686424474185</v>
      </c>
      <c r="S304" s="61">
        <v>11.625641025641025</v>
      </c>
      <c r="T304" s="61">
        <f t="shared" si="42"/>
        <v>4.1551702542632185E-2</v>
      </c>
      <c r="U304" s="61">
        <f t="shared" si="43"/>
        <v>-0.12746902220586342</v>
      </c>
      <c r="V304" s="214">
        <f t="shared" si="44"/>
        <v>-0.14204539883315981</v>
      </c>
    </row>
    <row r="305" spans="1:22" ht="15" customHeight="1" x14ac:dyDescent="0.2">
      <c r="A305" s="29" t="s">
        <v>441</v>
      </c>
      <c r="B305" s="61">
        <v>12.583720930232566</v>
      </c>
      <c r="C305" s="61">
        <v>12.076233183856498</v>
      </c>
      <c r="D305" s="61">
        <v>11.602611940298496</v>
      </c>
      <c r="E305" s="61">
        <v>11.679324894514776</v>
      </c>
      <c r="F305" s="61">
        <v>11.570824524312901</v>
      </c>
      <c r="G305" s="61">
        <v>11.802758620689653</v>
      </c>
      <c r="H305" s="61">
        <v>12.000000000000004</v>
      </c>
      <c r="I305" s="61">
        <v>11.419836956521731</v>
      </c>
      <c r="J305" s="61">
        <v>11.738754325259523</v>
      </c>
      <c r="K305" s="61">
        <v>11.727685325264749</v>
      </c>
      <c r="L305" s="61">
        <v>11.70557491289199</v>
      </c>
      <c r="M305" s="61">
        <v>11.786666666666667</v>
      </c>
      <c r="N305" s="61">
        <v>12.181308411214955</v>
      </c>
      <c r="O305" s="61">
        <v>11.791208791208792</v>
      </c>
      <c r="P305" s="61">
        <v>11.612280701754393</v>
      </c>
      <c r="Q305" s="61">
        <v>11.474053295932674</v>
      </c>
      <c r="R305" s="61">
        <v>11.52817824377458</v>
      </c>
      <c r="S305" s="61">
        <v>11.327731092436979</v>
      </c>
      <c r="T305" s="61">
        <f t="shared" si="42"/>
        <v>-0.4110232328225436</v>
      </c>
      <c r="U305" s="61">
        <f t="shared" si="43"/>
        <v>-0.463477698771813</v>
      </c>
      <c r="V305" s="214">
        <f t="shared" si="44"/>
        <v>-0.20044715133760072</v>
      </c>
    </row>
    <row r="306" spans="1:22" ht="15" customHeight="1" x14ac:dyDescent="0.2">
      <c r="A306" s="29" t="s">
        <v>442</v>
      </c>
      <c r="B306" s="61">
        <v>12.216216216216216</v>
      </c>
      <c r="C306" s="61">
        <v>12.161172161172175</v>
      </c>
      <c r="D306" s="61">
        <v>12.514138817480724</v>
      </c>
      <c r="E306" s="61">
        <v>12.452261306532657</v>
      </c>
      <c r="F306" s="61">
        <v>12.627684964200478</v>
      </c>
      <c r="G306" s="61">
        <v>13.302211302211294</v>
      </c>
      <c r="H306" s="61">
        <v>12.72444444444444</v>
      </c>
      <c r="I306" s="61">
        <v>12.676416819012791</v>
      </c>
      <c r="J306" s="61">
        <v>12.582056892778997</v>
      </c>
      <c r="K306" s="61">
        <v>12.766071428571426</v>
      </c>
      <c r="L306" s="61">
        <v>13.087234042553181</v>
      </c>
      <c r="M306" s="61">
        <v>13.090909090909086</v>
      </c>
      <c r="N306" s="61">
        <v>13.031088082901553</v>
      </c>
      <c r="O306" s="61">
        <v>12.759759759759765</v>
      </c>
      <c r="P306" s="61">
        <v>12.581395348837205</v>
      </c>
      <c r="Q306" s="61">
        <v>11.335849056603772</v>
      </c>
      <c r="R306" s="61">
        <v>12.059210526315795</v>
      </c>
      <c r="S306" s="61">
        <v>11.826013513513518</v>
      </c>
      <c r="T306" s="61">
        <f t="shared" si="42"/>
        <v>-0.75604337926547949</v>
      </c>
      <c r="U306" s="61">
        <f t="shared" si="43"/>
        <v>-0.93374624624624758</v>
      </c>
      <c r="V306" s="214">
        <f t="shared" si="44"/>
        <v>-0.23319701280227711</v>
      </c>
    </row>
    <row r="307" spans="1:22" ht="15" customHeight="1" x14ac:dyDescent="0.2">
      <c r="A307" s="42" t="s">
        <v>598</v>
      </c>
      <c r="B307" s="212">
        <v>11.073880964092474</v>
      </c>
      <c r="C307" s="212">
        <v>10.853110836423568</v>
      </c>
      <c r="D307" s="212">
        <v>11.092612201677934</v>
      </c>
      <c r="E307" s="212">
        <v>11.176369607404091</v>
      </c>
      <c r="F307" s="212">
        <v>11.155907239109997</v>
      </c>
      <c r="G307" s="212">
        <v>11.182602118003025</v>
      </c>
      <c r="H307" s="212">
        <v>10.948003121231467</v>
      </c>
      <c r="I307" s="212">
        <v>11.092578423871462</v>
      </c>
      <c r="J307" s="212">
        <v>11.116718056704519</v>
      </c>
      <c r="K307" s="212">
        <v>11.075706388206388</v>
      </c>
      <c r="L307" s="212">
        <v>11.0885575418074</v>
      </c>
      <c r="M307" s="212">
        <v>11.260082886889718</v>
      </c>
      <c r="N307" s="212">
        <v>11.151140966116763</v>
      </c>
      <c r="O307" s="212">
        <v>11.248795959121344</v>
      </c>
      <c r="P307" s="212">
        <v>11.376978858135022</v>
      </c>
      <c r="Q307" s="212">
        <v>11.209876543209875</v>
      </c>
      <c r="R307" s="212">
        <v>11.220698385905687</v>
      </c>
      <c r="S307" s="212">
        <v>11.079372512292201</v>
      </c>
      <c r="T307" s="212">
        <f t="shared" ref="T307" si="45">IFERROR((S307-J307),"n/a")</f>
        <v>-3.7345544412318077E-2</v>
      </c>
      <c r="U307" s="212">
        <f t="shared" ref="U307" si="46">IFERROR((S307-O307),"n/a")</f>
        <v>-0.16942344682914268</v>
      </c>
      <c r="V307" s="216">
        <f t="shared" ref="V307" si="47">IFERROR((S307-R307),"n/a")</f>
        <v>-0.1413258736134857</v>
      </c>
    </row>
    <row r="308" spans="1:22" x14ac:dyDescent="0.2">
      <c r="A308" s="52" t="s">
        <v>599</v>
      </c>
      <c r="B308" s="52"/>
      <c r="C308" s="52"/>
      <c r="D308" s="52"/>
      <c r="E308" s="52"/>
      <c r="F308" s="52"/>
      <c r="G308" s="52"/>
      <c r="H308" s="52"/>
      <c r="I308" s="52"/>
      <c r="J308" s="52"/>
      <c r="K308" s="52"/>
      <c r="L308" s="52"/>
      <c r="M308" s="52"/>
      <c r="N308" s="52"/>
      <c r="O308" s="52"/>
      <c r="P308" s="52"/>
      <c r="Q308" s="52"/>
      <c r="R308" s="52"/>
      <c r="S308" s="52"/>
      <c r="T308" s="130"/>
      <c r="U308" s="130"/>
      <c r="V308" s="52"/>
    </row>
    <row r="309" spans="1:22" x14ac:dyDescent="0.2">
      <c r="A309" s="52"/>
      <c r="B309" s="52"/>
      <c r="C309" s="52"/>
      <c r="D309" s="52"/>
      <c r="E309" s="52"/>
      <c r="F309" s="52"/>
      <c r="G309" s="52"/>
      <c r="H309" s="52"/>
      <c r="I309" s="52"/>
      <c r="J309" s="52"/>
      <c r="K309" s="52"/>
      <c r="L309" s="52"/>
      <c r="M309" s="52"/>
      <c r="N309" s="52"/>
      <c r="O309" s="52"/>
      <c r="P309" s="52"/>
      <c r="Q309" s="52"/>
      <c r="R309" s="52"/>
      <c r="S309" s="52"/>
      <c r="T309" s="130"/>
      <c r="U309" s="130"/>
      <c r="V309" s="52"/>
    </row>
    <row r="311" spans="1:22" ht="15.75" x14ac:dyDescent="0.2">
      <c r="A311" s="122" t="s">
        <v>112</v>
      </c>
      <c r="B311" s="25"/>
      <c r="C311" s="25"/>
      <c r="D311" s="25"/>
      <c r="E311" s="25"/>
      <c r="F311" s="25"/>
      <c r="G311" s="25"/>
      <c r="H311" s="25"/>
      <c r="I311" s="25"/>
      <c r="J311" s="25"/>
      <c r="K311" s="25"/>
      <c r="L311" s="25"/>
      <c r="M311" s="25"/>
      <c r="N311" s="25"/>
      <c r="O311" s="25"/>
      <c r="P311" s="25"/>
      <c r="Q311" s="25"/>
      <c r="R311" s="25"/>
      <c r="S311" s="25"/>
      <c r="T311" s="80"/>
      <c r="U311" s="80"/>
      <c r="V311" s="25"/>
    </row>
    <row r="312" spans="1:22" ht="15" x14ac:dyDescent="0.2">
      <c r="R312" s="12"/>
    </row>
    <row r="313" spans="1:22" ht="15" x14ac:dyDescent="0.2">
      <c r="A313" s="12" t="s">
        <v>94</v>
      </c>
      <c r="B313" s="12"/>
      <c r="C313" s="12"/>
      <c r="D313" s="12"/>
      <c r="E313" s="12"/>
      <c r="F313" s="12"/>
      <c r="G313" s="12"/>
      <c r="H313" s="12"/>
      <c r="I313" s="12"/>
      <c r="J313" s="12"/>
      <c r="K313" s="12"/>
      <c r="L313" s="12"/>
      <c r="M313" s="12"/>
      <c r="N313" s="12"/>
      <c r="O313" s="12"/>
      <c r="P313" s="12"/>
      <c r="Q313" s="12"/>
      <c r="S313" s="12"/>
      <c r="T313" s="81"/>
      <c r="U313" s="81"/>
      <c r="V313" s="12"/>
    </row>
  </sheetData>
  <sortState xmlns:xlrd2="http://schemas.microsoft.com/office/spreadsheetml/2017/richdata2" ref="A297:V308">
    <sortCondition ref="A296:A308"/>
  </sortState>
  <mergeCells count="1">
    <mergeCell ref="A2:V2"/>
  </mergeCells>
  <phoneticPr fontId="19" type="noConversion"/>
  <hyperlinks>
    <hyperlink ref="A313" location="Índice!A1" display="Volver al índice" xr:uid="{00000000-0004-0000-0200-000000000000}"/>
  </hyperlinks>
  <pageMargins left="0.7" right="0.7" top="0.75" bottom="0.75" header="0.3" footer="0.3"/>
  <pageSetup paperSize="3" scale="96" orientation="landscape" verticalDpi="0" r:id="rId1"/>
  <rowBreaks count="1" manualBreakCount="1">
    <brk id="11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W211"/>
  <sheetViews>
    <sheetView showGridLines="0" zoomScale="80" zoomScaleNormal="80" workbookViewId="0">
      <pane ySplit="3" topLeftCell="A4" activePane="bottomLeft" state="frozen"/>
      <selection pane="bottomLeft" activeCell="A4" sqref="A4"/>
    </sheetView>
  </sheetViews>
  <sheetFormatPr baseColWidth="10" defaultRowHeight="12.75" x14ac:dyDescent="0.2"/>
  <cols>
    <col min="1" max="1" width="37.7109375" style="144" customWidth="1"/>
    <col min="2" max="19" width="8.7109375" style="144" customWidth="1"/>
    <col min="20" max="22" width="11.7109375" style="144" customWidth="1"/>
    <col min="23" max="16384" width="11.42578125" style="144"/>
  </cols>
  <sheetData>
    <row r="1" spans="1:23" ht="21" x14ac:dyDescent="0.2">
      <c r="A1" s="13" t="s">
        <v>473</v>
      </c>
      <c r="B1" s="13"/>
      <c r="C1" s="13"/>
      <c r="D1" s="13"/>
      <c r="E1" s="13"/>
      <c r="F1" s="13"/>
      <c r="G1" s="13"/>
      <c r="H1" s="13"/>
      <c r="I1" s="13"/>
      <c r="J1" s="13"/>
      <c r="K1" s="13"/>
      <c r="L1" s="13"/>
      <c r="M1" s="13"/>
      <c r="N1" s="13"/>
      <c r="O1" s="13"/>
      <c r="P1" s="13"/>
      <c r="Q1" s="13"/>
      <c r="R1" s="13"/>
      <c r="S1" s="13"/>
      <c r="T1" s="78"/>
      <c r="U1" s="78"/>
      <c r="V1" s="13"/>
      <c r="W1" s="1"/>
    </row>
    <row r="2" spans="1:23" ht="15" x14ac:dyDescent="0.2">
      <c r="A2" s="204" t="s">
        <v>133</v>
      </c>
      <c r="B2" s="204"/>
      <c r="C2" s="204"/>
      <c r="D2" s="204"/>
      <c r="E2" s="204"/>
      <c r="F2" s="204"/>
      <c r="G2" s="204"/>
      <c r="H2" s="204"/>
      <c r="I2" s="204"/>
      <c r="J2" s="204"/>
      <c r="K2" s="204"/>
      <c r="L2" s="204"/>
      <c r="M2" s="204"/>
      <c r="N2" s="204"/>
      <c r="O2" s="204"/>
      <c r="P2" s="204"/>
      <c r="Q2" s="204"/>
      <c r="R2" s="204"/>
      <c r="S2" s="204"/>
      <c r="T2" s="204"/>
      <c r="U2" s="204"/>
      <c r="V2" s="204"/>
      <c r="W2" s="1"/>
    </row>
    <row r="3" spans="1:23" ht="15.75" x14ac:dyDescent="0.2">
      <c r="A3" s="12" t="s">
        <v>94</v>
      </c>
      <c r="B3" s="7"/>
      <c r="C3" s="7"/>
      <c r="D3" s="7"/>
      <c r="E3" s="7"/>
      <c r="F3" s="7"/>
      <c r="G3" s="7"/>
      <c r="H3" s="7"/>
      <c r="I3" s="7"/>
      <c r="J3" s="7"/>
      <c r="K3" s="7"/>
      <c r="L3" s="7"/>
      <c r="M3" s="7"/>
      <c r="N3" s="7"/>
      <c r="O3" s="7"/>
      <c r="P3" s="7"/>
      <c r="Q3" s="7"/>
      <c r="R3" s="7"/>
      <c r="S3" s="7"/>
      <c r="T3" s="100"/>
      <c r="U3" s="100"/>
      <c r="V3" s="7"/>
      <c r="W3" s="1"/>
    </row>
    <row r="4" spans="1:23" x14ac:dyDescent="0.2">
      <c r="A4" s="8"/>
      <c r="B4" s="8"/>
      <c r="C4" s="8"/>
      <c r="D4" s="8"/>
      <c r="E4" s="8"/>
      <c r="F4" s="8"/>
      <c r="G4" s="8"/>
      <c r="H4" s="8"/>
      <c r="I4" s="8"/>
      <c r="J4" s="8"/>
      <c r="K4" s="8"/>
      <c r="L4" s="8"/>
      <c r="M4" s="8"/>
      <c r="N4" s="8"/>
      <c r="O4" s="8"/>
      <c r="P4" s="8"/>
      <c r="Q4" s="8"/>
      <c r="R4" s="8"/>
      <c r="S4" s="8"/>
      <c r="T4" s="21"/>
      <c r="U4" s="21"/>
      <c r="V4" s="8"/>
      <c r="W4" s="1"/>
    </row>
    <row r="5" spans="1:23" ht="15.75" x14ac:dyDescent="0.2">
      <c r="A5" s="35" t="s">
        <v>388</v>
      </c>
      <c r="B5" s="35"/>
      <c r="C5" s="35"/>
      <c r="D5" s="35"/>
      <c r="E5" s="35"/>
      <c r="F5" s="35"/>
      <c r="G5" s="35"/>
      <c r="H5" s="35"/>
      <c r="I5" s="35"/>
      <c r="J5" s="35"/>
      <c r="K5" s="35"/>
      <c r="L5" s="35"/>
      <c r="M5" s="35"/>
      <c r="N5" s="35"/>
      <c r="O5" s="35"/>
      <c r="P5" s="35"/>
      <c r="Q5" s="35"/>
      <c r="R5" s="35"/>
      <c r="S5" s="35"/>
      <c r="T5" s="75"/>
      <c r="U5" s="75"/>
      <c r="V5" s="35"/>
      <c r="W5" s="1"/>
    </row>
    <row r="6" spans="1:23" ht="42" customHeight="1" x14ac:dyDescent="0.2">
      <c r="A6" s="47" t="s">
        <v>110</v>
      </c>
      <c r="B6" s="15">
        <v>2007</v>
      </c>
      <c r="C6" s="15">
        <v>2008</v>
      </c>
      <c r="D6" s="15">
        <v>2009</v>
      </c>
      <c r="E6" s="15">
        <v>2010</v>
      </c>
      <c r="F6" s="15">
        <v>2011</v>
      </c>
      <c r="G6" s="15">
        <v>2012</v>
      </c>
      <c r="H6" s="15">
        <v>2013</v>
      </c>
      <c r="I6" s="15">
        <v>2014</v>
      </c>
      <c r="J6" s="15">
        <v>2015</v>
      </c>
      <c r="K6" s="15">
        <v>2016</v>
      </c>
      <c r="L6" s="15">
        <v>2017</v>
      </c>
      <c r="M6" s="15">
        <v>2018</v>
      </c>
      <c r="N6" s="15">
        <v>2019</v>
      </c>
      <c r="O6" s="15">
        <v>2020</v>
      </c>
      <c r="P6" s="15">
        <v>2021</v>
      </c>
      <c r="Q6" s="15">
        <v>2022</v>
      </c>
      <c r="R6" s="15">
        <v>2023</v>
      </c>
      <c r="S6" s="15">
        <v>2024</v>
      </c>
      <c r="T6" s="27" t="s">
        <v>469</v>
      </c>
      <c r="U6" s="27" t="s">
        <v>470</v>
      </c>
      <c r="V6" s="27" t="s">
        <v>471</v>
      </c>
      <c r="W6" s="1"/>
    </row>
    <row r="7" spans="1:23" ht="15" customHeight="1" x14ac:dyDescent="0.2">
      <c r="A7" s="29" t="s">
        <v>1</v>
      </c>
      <c r="B7" s="173">
        <v>1.8785245901639342</v>
      </c>
      <c r="C7" s="173">
        <v>1.3620368212537866</v>
      </c>
      <c r="D7" s="173">
        <v>1.2725297827610369</v>
      </c>
      <c r="E7" s="173">
        <v>1.7289171974522288</v>
      </c>
      <c r="F7" s="173">
        <v>1.6947216736937607</v>
      </c>
      <c r="G7" s="173">
        <v>1.6580912485201713</v>
      </c>
      <c r="H7" s="173">
        <v>1.7704841515678691</v>
      </c>
      <c r="I7" s="173">
        <v>1.7678226947314277</v>
      </c>
      <c r="J7" s="173">
        <v>1.6817034573935334</v>
      </c>
      <c r="K7" s="173">
        <v>1.6671285440204651</v>
      </c>
      <c r="L7" s="173">
        <v>1.6098995948564383</v>
      </c>
      <c r="M7" s="173">
        <v>1.8023459203621774</v>
      </c>
      <c r="N7" s="173">
        <v>1.8272398682148223</v>
      </c>
      <c r="O7" s="173">
        <v>1.8217533648599487</v>
      </c>
      <c r="P7" s="173">
        <v>2.1397330564124495</v>
      </c>
      <c r="Q7" s="173">
        <v>2.0189140271493216</v>
      </c>
      <c r="R7" s="173">
        <v>1.957699012202208</v>
      </c>
      <c r="S7" s="173">
        <v>1.7308682353653735</v>
      </c>
      <c r="T7" s="164">
        <f>IFERROR((S7-J7),"n/a")</f>
        <v>4.9164777971840046E-2</v>
      </c>
      <c r="U7" s="164">
        <f>IFERROR((S7-O7),"n/a")</f>
        <v>-9.0885129494575168E-2</v>
      </c>
      <c r="V7" s="174">
        <f>IFERROR((S7-R7),"n/a")</f>
        <v>-0.2268307768368345</v>
      </c>
      <c r="W7" s="1"/>
    </row>
    <row r="8" spans="1:23" ht="15" customHeight="1" x14ac:dyDescent="0.2">
      <c r="A8" s="29" t="s">
        <v>2</v>
      </c>
      <c r="B8" s="173">
        <v>1.8053492898853714</v>
      </c>
      <c r="C8" s="173">
        <v>1.6986132287809488</v>
      </c>
      <c r="D8" s="173">
        <v>1.8068310581125555</v>
      </c>
      <c r="E8" s="173">
        <v>1.5358504753209088</v>
      </c>
      <c r="F8" s="173">
        <v>1.6938871657963963</v>
      </c>
      <c r="G8" s="173">
        <v>1.6549473276029216</v>
      </c>
      <c r="H8" s="173">
        <v>1.7722442846409781</v>
      </c>
      <c r="I8" s="173">
        <v>1.6081510311814968</v>
      </c>
      <c r="J8" s="173">
        <v>1.5324934064474505</v>
      </c>
      <c r="K8" s="173">
        <v>1.5435417783233349</v>
      </c>
      <c r="L8" s="173">
        <v>1.5337441172189612</v>
      </c>
      <c r="M8" s="173">
        <v>1.8914100954113069</v>
      </c>
      <c r="N8" s="173">
        <v>1.6612807501706284</v>
      </c>
      <c r="O8" s="173">
        <v>1.6467254764918113</v>
      </c>
      <c r="P8" s="173">
        <v>1.9407955342288705</v>
      </c>
      <c r="Q8" s="173">
        <v>1.898620618889165</v>
      </c>
      <c r="R8" s="173">
        <v>1.7614745586708196</v>
      </c>
      <c r="S8" s="173">
        <v>1.5964726780578582</v>
      </c>
      <c r="T8" s="164">
        <f t="shared" ref="T8:T10" si="0">IFERROR((S8-J8),"n/a")</f>
        <v>6.3979271610407729E-2</v>
      </c>
      <c r="U8" s="164">
        <f t="shared" ref="U8:U10" si="1">IFERROR((S8-O8),"n/a")</f>
        <v>-5.0252798433953139E-2</v>
      </c>
      <c r="V8" s="174">
        <f t="shared" ref="V8:V10" si="2">IFERROR((S8-R8),"n/a")</f>
        <v>-0.16500188061296139</v>
      </c>
      <c r="W8" s="1"/>
    </row>
    <row r="9" spans="1:23" ht="15" customHeight="1" x14ac:dyDescent="0.2">
      <c r="A9" s="29" t="s">
        <v>3</v>
      </c>
      <c r="B9" s="173">
        <v>3.3359538654903034</v>
      </c>
      <c r="C9" s="173">
        <v>3.1745142002989528</v>
      </c>
      <c r="D9" s="173">
        <v>3.1054514621334324</v>
      </c>
      <c r="E9" s="173">
        <v>3.2567445046642369</v>
      </c>
      <c r="F9" s="173">
        <v>3.0987182819779644</v>
      </c>
      <c r="G9" s="173">
        <v>3.0940947555849245</v>
      </c>
      <c r="H9" s="173">
        <v>3.0730740366104357</v>
      </c>
      <c r="I9" s="173">
        <v>3.07054470278044</v>
      </c>
      <c r="J9" s="173">
        <v>3.0207065273458795</v>
      </c>
      <c r="K9" s="173">
        <v>2.969807482746095</v>
      </c>
      <c r="L9" s="173">
        <v>3.0185200703930253</v>
      </c>
      <c r="M9" s="173">
        <v>2.9942270084920573</v>
      </c>
      <c r="N9" s="173">
        <v>3.0077366832003456</v>
      </c>
      <c r="O9" s="173">
        <v>3.070394277739009</v>
      </c>
      <c r="P9" s="173">
        <v>3.1011913971839711</v>
      </c>
      <c r="Q9" s="173">
        <v>2.9260360146133735</v>
      </c>
      <c r="R9" s="173">
        <v>2.7722445074954614</v>
      </c>
      <c r="S9" s="173">
        <v>2.628179971374486</v>
      </c>
      <c r="T9" s="164">
        <f t="shared" si="0"/>
        <v>-0.39252655597139352</v>
      </c>
      <c r="U9" s="164">
        <f t="shared" si="1"/>
        <v>-0.44221430636452297</v>
      </c>
      <c r="V9" s="174">
        <f t="shared" si="2"/>
        <v>-0.14406453612097536</v>
      </c>
      <c r="W9" s="1"/>
    </row>
    <row r="10" spans="1:23" ht="15" customHeight="1" x14ac:dyDescent="0.2">
      <c r="A10" s="42" t="s">
        <v>0</v>
      </c>
      <c r="B10" s="166">
        <v>2.7506151722482297</v>
      </c>
      <c r="C10" s="166">
        <v>2.477092457255976</v>
      </c>
      <c r="D10" s="166">
        <v>2.4866123686188502</v>
      </c>
      <c r="E10" s="166">
        <v>2.631561847876343</v>
      </c>
      <c r="F10" s="166">
        <v>2.4397308398518343</v>
      </c>
      <c r="G10" s="166">
        <v>2.3856777017274284</v>
      </c>
      <c r="H10" s="166">
        <v>2.4247639790713098</v>
      </c>
      <c r="I10" s="166">
        <v>2.3600326445821134</v>
      </c>
      <c r="J10" s="166">
        <v>2.2520255365352497</v>
      </c>
      <c r="K10" s="166">
        <v>2.2000878484871969</v>
      </c>
      <c r="L10" s="166">
        <v>2.2040651109902605</v>
      </c>
      <c r="M10" s="166">
        <v>2.3520688180988367</v>
      </c>
      <c r="N10" s="166">
        <v>2.2692229813772391</v>
      </c>
      <c r="O10" s="166">
        <v>2.2928749120989638</v>
      </c>
      <c r="P10" s="166">
        <v>2.5098492503342626</v>
      </c>
      <c r="Q10" s="166">
        <v>2.4094446765383966</v>
      </c>
      <c r="R10" s="166">
        <v>2.2760462080600972</v>
      </c>
      <c r="S10" s="166">
        <v>2.0887406933243788</v>
      </c>
      <c r="T10" s="165">
        <f t="shared" si="0"/>
        <v>-0.16328484321087089</v>
      </c>
      <c r="U10" s="165">
        <f t="shared" si="1"/>
        <v>-0.20413421877458493</v>
      </c>
      <c r="V10" s="175">
        <f t="shared" si="2"/>
        <v>-0.18730551473571833</v>
      </c>
      <c r="W10" s="1"/>
    </row>
    <row r="11" spans="1:23" ht="15" customHeight="1" x14ac:dyDescent="0.2">
      <c r="A11" s="44"/>
      <c r="B11" s="44"/>
      <c r="C11" s="44"/>
      <c r="D11" s="44"/>
      <c r="E11" s="44"/>
      <c r="F11" s="44"/>
      <c r="G11" s="44"/>
      <c r="H11" s="44"/>
      <c r="I11" s="44"/>
      <c r="J11" s="44"/>
      <c r="K11" s="44"/>
      <c r="L11" s="44"/>
      <c r="M11" s="44"/>
      <c r="N11" s="44"/>
      <c r="O11" s="44"/>
      <c r="P11" s="44"/>
      <c r="Q11" s="44"/>
      <c r="R11" s="44"/>
      <c r="S11" s="44"/>
      <c r="T11" s="51"/>
      <c r="U11" s="51"/>
      <c r="V11" s="44"/>
      <c r="W11" s="1"/>
    </row>
    <row r="12" spans="1:23" ht="15.75" x14ac:dyDescent="0.2">
      <c r="A12" s="35" t="s">
        <v>394</v>
      </c>
      <c r="B12" s="35"/>
      <c r="C12" s="35"/>
      <c r="D12" s="35"/>
      <c r="E12" s="35"/>
      <c r="F12" s="35"/>
      <c r="G12" s="35"/>
      <c r="H12" s="35"/>
      <c r="I12" s="35"/>
      <c r="J12" s="35"/>
      <c r="K12" s="35"/>
      <c r="L12" s="35"/>
      <c r="M12" s="35"/>
      <c r="N12" s="35"/>
      <c r="O12" s="35"/>
      <c r="P12" s="35"/>
      <c r="Q12" s="35"/>
      <c r="R12" s="35"/>
      <c r="S12" s="35"/>
      <c r="T12" s="75"/>
      <c r="U12" s="75"/>
      <c r="V12" s="35"/>
      <c r="W12" s="1"/>
    </row>
    <row r="13" spans="1:23" ht="45.75" customHeight="1" x14ac:dyDescent="0.2">
      <c r="A13" s="36" t="s">
        <v>7</v>
      </c>
      <c r="B13" s="15">
        <v>2007</v>
      </c>
      <c r="C13" s="15">
        <v>2008</v>
      </c>
      <c r="D13" s="15">
        <v>2009</v>
      </c>
      <c r="E13" s="15">
        <v>2010</v>
      </c>
      <c r="F13" s="15">
        <v>2011</v>
      </c>
      <c r="G13" s="15">
        <v>2012</v>
      </c>
      <c r="H13" s="15">
        <v>2013</v>
      </c>
      <c r="I13" s="15">
        <v>2014</v>
      </c>
      <c r="J13" s="15">
        <v>2015</v>
      </c>
      <c r="K13" s="15">
        <v>2016</v>
      </c>
      <c r="L13" s="15">
        <v>2017</v>
      </c>
      <c r="M13" s="15">
        <v>2018</v>
      </c>
      <c r="N13" s="15">
        <v>2019</v>
      </c>
      <c r="O13" s="15">
        <v>2020</v>
      </c>
      <c r="P13" s="15">
        <v>2021</v>
      </c>
      <c r="Q13" s="15">
        <v>2022</v>
      </c>
      <c r="R13" s="15">
        <v>2023</v>
      </c>
      <c r="S13" s="15">
        <v>2024</v>
      </c>
      <c r="T13" s="27" t="s">
        <v>469</v>
      </c>
      <c r="U13" s="27" t="s">
        <v>470</v>
      </c>
      <c r="V13" s="27" t="s">
        <v>471</v>
      </c>
      <c r="W13" s="1"/>
    </row>
    <row r="14" spans="1:23" ht="15" customHeight="1" x14ac:dyDescent="0.2">
      <c r="A14" s="30" t="s">
        <v>1</v>
      </c>
      <c r="B14" s="176">
        <v>1.8785245901639342</v>
      </c>
      <c r="C14" s="176">
        <v>1.3620368212537866</v>
      </c>
      <c r="D14" s="176">
        <v>1.2725297827610369</v>
      </c>
      <c r="E14" s="176">
        <v>1.7289171974522288</v>
      </c>
      <c r="F14" s="176">
        <v>1.6947216736937607</v>
      </c>
      <c r="G14" s="176">
        <v>1.6580912485201713</v>
      </c>
      <c r="H14" s="176">
        <v>1.7704841515678691</v>
      </c>
      <c r="I14" s="176">
        <v>1.7678226947314277</v>
      </c>
      <c r="J14" s="176">
        <v>1.6817034573935334</v>
      </c>
      <c r="K14" s="176">
        <v>1.6671285440204651</v>
      </c>
      <c r="L14" s="176">
        <v>1.6098995948564383</v>
      </c>
      <c r="M14" s="176">
        <v>1.8023459203621774</v>
      </c>
      <c r="N14" s="176">
        <v>1.8272398682148223</v>
      </c>
      <c r="O14" s="176">
        <v>1.826864310148232</v>
      </c>
      <c r="P14" s="176">
        <v>2.1554320987654325</v>
      </c>
      <c r="Q14" s="176">
        <v>2.051418494570429</v>
      </c>
      <c r="R14" s="176">
        <v>2.0118634787369958</v>
      </c>
      <c r="S14" s="176">
        <v>1.7863108973317301</v>
      </c>
      <c r="T14" s="164">
        <f t="shared" ref="T14:T20" si="3">IFERROR((S14-J14),"n/a")</f>
        <v>0.10460743993819666</v>
      </c>
      <c r="U14" s="164">
        <f t="shared" ref="U14:U20" si="4">IFERROR((S14-O14),"n/a")</f>
        <v>-4.0553412816501933E-2</v>
      </c>
      <c r="V14" s="174">
        <f t="shared" ref="V14:V20" si="5">IFERROR((S14-R14),"n/a")</f>
        <v>-0.22555258140526568</v>
      </c>
      <c r="W14" s="1"/>
    </row>
    <row r="15" spans="1:23" ht="15" customHeight="1" x14ac:dyDescent="0.2">
      <c r="A15" s="30" t="s">
        <v>291</v>
      </c>
      <c r="B15" s="177" t="s">
        <v>100</v>
      </c>
      <c r="C15" s="177" t="s">
        <v>100</v>
      </c>
      <c r="D15" s="177" t="s">
        <v>100</v>
      </c>
      <c r="E15" s="177" t="s">
        <v>100</v>
      </c>
      <c r="F15" s="177" t="s">
        <v>100</v>
      </c>
      <c r="G15" s="177" t="s">
        <v>100</v>
      </c>
      <c r="H15" s="177" t="s">
        <v>100</v>
      </c>
      <c r="I15" s="177" t="s">
        <v>100</v>
      </c>
      <c r="J15" s="177" t="s">
        <v>100</v>
      </c>
      <c r="K15" s="177" t="s">
        <v>100</v>
      </c>
      <c r="L15" s="177" t="s">
        <v>100</v>
      </c>
      <c r="M15" s="177" t="s">
        <v>100</v>
      </c>
      <c r="N15" s="177" t="s">
        <v>100</v>
      </c>
      <c r="O15" s="176">
        <v>0.14925373134328357</v>
      </c>
      <c r="P15" s="176">
        <v>0.64809384164222905</v>
      </c>
      <c r="Q15" s="176">
        <v>0.74848851269649419</v>
      </c>
      <c r="R15" s="176">
        <v>0.8059508408796896</v>
      </c>
      <c r="S15" s="176">
        <v>0.9733570159857905</v>
      </c>
      <c r="T15" s="177" t="str">
        <f t="shared" si="3"/>
        <v>n/a</v>
      </c>
      <c r="U15" s="177">
        <f t="shared" si="4"/>
        <v>0.82410328464250693</v>
      </c>
      <c r="V15" s="174">
        <f t="shared" si="5"/>
        <v>0.1674061751061009</v>
      </c>
      <c r="W15" s="1"/>
    </row>
    <row r="16" spans="1:23" ht="15" customHeight="1" x14ac:dyDescent="0.2">
      <c r="A16" s="30" t="s">
        <v>2</v>
      </c>
      <c r="B16" s="176">
        <v>1.8053492898853714</v>
      </c>
      <c r="C16" s="176">
        <v>1.6986132287809488</v>
      </c>
      <c r="D16" s="176">
        <v>1.8068310581125555</v>
      </c>
      <c r="E16" s="176">
        <v>1.5358504753209088</v>
      </c>
      <c r="F16" s="176">
        <v>1.6938871657963963</v>
      </c>
      <c r="G16" s="176">
        <v>1.6549473276029216</v>
      </c>
      <c r="H16" s="176">
        <v>1.7722442846409781</v>
      </c>
      <c r="I16" s="176">
        <v>1.6081510311814968</v>
      </c>
      <c r="J16" s="176">
        <v>1.5324934064474505</v>
      </c>
      <c r="K16" s="176">
        <v>1.5435417783233349</v>
      </c>
      <c r="L16" s="176">
        <v>1.5337441172189612</v>
      </c>
      <c r="M16" s="176">
        <v>1.8914100954113069</v>
      </c>
      <c r="N16" s="176">
        <v>1.6612807501706284</v>
      </c>
      <c r="O16" s="176">
        <v>1.6467254764918113</v>
      </c>
      <c r="P16" s="176">
        <v>1.9407955342288705</v>
      </c>
      <c r="Q16" s="176">
        <v>1.898620618889165</v>
      </c>
      <c r="R16" s="176">
        <v>1.7614745586708196</v>
      </c>
      <c r="S16" s="176">
        <v>1.5964726780578582</v>
      </c>
      <c r="T16" s="164">
        <f t="shared" si="3"/>
        <v>6.3979271610407729E-2</v>
      </c>
      <c r="U16" s="164">
        <f t="shared" si="4"/>
        <v>-5.0252798433953139E-2</v>
      </c>
      <c r="V16" s="174">
        <f t="shared" si="5"/>
        <v>-0.16500188061296139</v>
      </c>
      <c r="W16" s="1"/>
    </row>
    <row r="17" spans="1:23" ht="15" customHeight="1" x14ac:dyDescent="0.2">
      <c r="A17" s="30" t="s">
        <v>286</v>
      </c>
      <c r="B17" s="176">
        <v>3.8944929838496165</v>
      </c>
      <c r="C17" s="176">
        <v>3.8922581970018477</v>
      </c>
      <c r="D17" s="176">
        <v>3.3830555879268154</v>
      </c>
      <c r="E17" s="176">
        <v>3.614634146341464</v>
      </c>
      <c r="F17" s="176">
        <v>3.5022842175793389</v>
      </c>
      <c r="G17" s="176">
        <v>3.6523770104068092</v>
      </c>
      <c r="H17" s="176">
        <v>3.6937149067197961</v>
      </c>
      <c r="I17" s="176">
        <v>3.5957209847596712</v>
      </c>
      <c r="J17" s="176">
        <v>3.5841477949940383</v>
      </c>
      <c r="K17" s="176">
        <v>3.4143755824790318</v>
      </c>
      <c r="L17" s="176">
        <v>3.4247936576889675</v>
      </c>
      <c r="M17" s="176">
        <v>3.3851215400511183</v>
      </c>
      <c r="N17" s="176">
        <v>3.3726730432993932</v>
      </c>
      <c r="O17" s="176">
        <v>3.3766340906206391</v>
      </c>
      <c r="P17" s="176">
        <v>3.2932908463922459</v>
      </c>
      <c r="Q17" s="176">
        <v>3.0815937772839135</v>
      </c>
      <c r="R17" s="176">
        <v>3.0492315179042127</v>
      </c>
      <c r="S17" s="176">
        <v>2.8622604044251734</v>
      </c>
      <c r="T17" s="164">
        <f t="shared" si="3"/>
        <v>-0.72188739056886497</v>
      </c>
      <c r="U17" s="164">
        <f t="shared" si="4"/>
        <v>-0.51437368619546575</v>
      </c>
      <c r="V17" s="174">
        <f t="shared" si="5"/>
        <v>-0.18697111347903927</v>
      </c>
      <c r="W17" s="1"/>
    </row>
    <row r="18" spans="1:23" ht="15" customHeight="1" x14ac:dyDescent="0.2">
      <c r="A18" s="30" t="s">
        <v>287</v>
      </c>
      <c r="B18" s="176">
        <v>3.8657294213528939</v>
      </c>
      <c r="C18" s="176">
        <v>3.683308119011599</v>
      </c>
      <c r="D18" s="176">
        <v>3.629369401018792</v>
      </c>
      <c r="E18" s="176">
        <v>3.6340080265224231</v>
      </c>
      <c r="F18" s="176">
        <v>3.5388504523682833</v>
      </c>
      <c r="G18" s="176">
        <v>3.4826624153049046</v>
      </c>
      <c r="H18" s="176">
        <v>3.5650274033476528</v>
      </c>
      <c r="I18" s="176">
        <v>3.5274495677233446</v>
      </c>
      <c r="J18" s="176">
        <v>3.4215316788736398</v>
      </c>
      <c r="K18" s="176">
        <v>3.215635179153093</v>
      </c>
      <c r="L18" s="176">
        <v>3.0431314048514722</v>
      </c>
      <c r="M18" s="176">
        <v>3.167209272040628</v>
      </c>
      <c r="N18" s="176">
        <v>3.0037974683544295</v>
      </c>
      <c r="O18" s="176">
        <v>3.045269615757185</v>
      </c>
      <c r="P18" s="176">
        <v>3.070400487020045</v>
      </c>
      <c r="Q18" s="176">
        <v>3.1247763864042923</v>
      </c>
      <c r="R18" s="176">
        <v>2.8351501753316075</v>
      </c>
      <c r="S18" s="176">
        <v>2.644371190923378</v>
      </c>
      <c r="T18" s="164">
        <f t="shared" si="3"/>
        <v>-0.77716048795026182</v>
      </c>
      <c r="U18" s="164">
        <f t="shared" si="4"/>
        <v>-0.400898424833807</v>
      </c>
      <c r="V18" s="174">
        <f t="shared" si="5"/>
        <v>-0.19077898440822949</v>
      </c>
      <c r="W18" s="1"/>
    </row>
    <row r="19" spans="1:23" ht="15" customHeight="1" x14ac:dyDescent="0.2">
      <c r="A19" s="30" t="s">
        <v>165</v>
      </c>
      <c r="B19" s="176">
        <v>2.4646393662556694</v>
      </c>
      <c r="C19" s="176">
        <v>2.325497485239449</v>
      </c>
      <c r="D19" s="176">
        <v>2.5637180652327558</v>
      </c>
      <c r="E19" s="176">
        <v>2.7120345277526869</v>
      </c>
      <c r="F19" s="176">
        <v>2.5795698924731152</v>
      </c>
      <c r="G19" s="176">
        <v>2.5219024780175854</v>
      </c>
      <c r="H19" s="176">
        <v>2.5312049697396652</v>
      </c>
      <c r="I19" s="176">
        <v>2.643275996872557</v>
      </c>
      <c r="J19" s="176">
        <v>2.6129424479870291</v>
      </c>
      <c r="K19" s="176">
        <v>2.6783732360868893</v>
      </c>
      <c r="L19" s="176">
        <v>2.8103484800338947</v>
      </c>
      <c r="M19" s="176">
        <v>2.7535870548263297</v>
      </c>
      <c r="N19" s="176">
        <v>2.8196488786597431</v>
      </c>
      <c r="O19" s="176">
        <v>2.9002569313954822</v>
      </c>
      <c r="P19" s="176">
        <v>3.018350681981337</v>
      </c>
      <c r="Q19" s="176">
        <v>2.7198764160659117</v>
      </c>
      <c r="R19" s="176">
        <v>2.5658733635080555</v>
      </c>
      <c r="S19" s="176">
        <v>2.4553666016169498</v>
      </c>
      <c r="T19" s="164">
        <f t="shared" si="3"/>
        <v>-0.15757584637007938</v>
      </c>
      <c r="U19" s="164">
        <f t="shared" si="4"/>
        <v>-0.44489032977853249</v>
      </c>
      <c r="V19" s="174">
        <f t="shared" si="5"/>
        <v>-0.11050676189110575</v>
      </c>
      <c r="W19" s="1"/>
    </row>
    <row r="20" spans="1:23" ht="15" customHeight="1" x14ac:dyDescent="0.2">
      <c r="A20" s="42" t="s">
        <v>0</v>
      </c>
      <c r="B20" s="166">
        <v>2.7506151722482297</v>
      </c>
      <c r="C20" s="166">
        <v>2.477092457255976</v>
      </c>
      <c r="D20" s="166">
        <v>2.4866123686188502</v>
      </c>
      <c r="E20" s="166">
        <v>2.6315618478763412</v>
      </c>
      <c r="F20" s="166">
        <v>2.4397308398518343</v>
      </c>
      <c r="G20" s="166">
        <v>2.3856777017274284</v>
      </c>
      <c r="H20" s="166">
        <v>2.4247639790713098</v>
      </c>
      <c r="I20" s="166">
        <v>2.3600326445821134</v>
      </c>
      <c r="J20" s="166">
        <v>2.2520255365352497</v>
      </c>
      <c r="K20" s="166">
        <v>2.2000878484871969</v>
      </c>
      <c r="L20" s="166">
        <v>2.2040651109902605</v>
      </c>
      <c r="M20" s="166">
        <v>2.3520688180988367</v>
      </c>
      <c r="N20" s="166">
        <v>2.2692229813772391</v>
      </c>
      <c r="O20" s="166">
        <v>2.2928749120989638</v>
      </c>
      <c r="P20" s="166">
        <v>2.5098492503342626</v>
      </c>
      <c r="Q20" s="166">
        <v>2.4094446765383966</v>
      </c>
      <c r="R20" s="166">
        <v>2.2760462080600972</v>
      </c>
      <c r="S20" s="166">
        <v>2.0887406933243788</v>
      </c>
      <c r="T20" s="165">
        <f t="shared" si="3"/>
        <v>-0.16328484321087089</v>
      </c>
      <c r="U20" s="165">
        <f t="shared" si="4"/>
        <v>-0.20413421877458493</v>
      </c>
      <c r="V20" s="175">
        <f t="shared" si="5"/>
        <v>-0.18730551473571833</v>
      </c>
      <c r="W20" s="1"/>
    </row>
    <row r="21" spans="1:23" ht="15" customHeight="1" x14ac:dyDescent="0.2">
      <c r="A21" s="44"/>
      <c r="B21" s="44"/>
      <c r="C21" s="44"/>
      <c r="D21" s="44"/>
      <c r="E21" s="44"/>
      <c r="F21" s="44"/>
      <c r="G21" s="44"/>
      <c r="H21" s="44"/>
      <c r="I21" s="44"/>
      <c r="J21" s="44"/>
      <c r="K21" s="44"/>
      <c r="L21" s="44"/>
      <c r="M21" s="44"/>
      <c r="N21" s="44"/>
      <c r="O21" s="44"/>
      <c r="P21" s="44"/>
      <c r="Q21" s="44"/>
      <c r="R21" s="44"/>
      <c r="S21" s="44"/>
      <c r="T21" s="51"/>
      <c r="U21" s="51"/>
      <c r="V21" s="44"/>
      <c r="W21" s="1"/>
    </row>
    <row r="22" spans="1:23" ht="15.75" x14ac:dyDescent="0.2">
      <c r="A22" s="35" t="s">
        <v>389</v>
      </c>
      <c r="B22" s="35"/>
      <c r="C22" s="35"/>
      <c r="D22" s="35"/>
      <c r="E22" s="35"/>
      <c r="F22" s="35"/>
      <c r="G22" s="35"/>
      <c r="H22" s="35"/>
      <c r="I22" s="35"/>
      <c r="J22" s="35"/>
      <c r="K22" s="35"/>
      <c r="L22" s="35"/>
      <c r="M22" s="35"/>
      <c r="N22" s="35"/>
      <c r="O22" s="35"/>
      <c r="P22" s="35"/>
      <c r="Q22" s="35"/>
      <c r="R22" s="35"/>
      <c r="S22" s="35"/>
      <c r="T22" s="75"/>
      <c r="U22" s="75"/>
      <c r="V22" s="35"/>
      <c r="W22" s="1"/>
    </row>
    <row r="23" spans="1:23" ht="44.25" customHeight="1" x14ac:dyDescent="0.2">
      <c r="A23" s="36" t="s">
        <v>74</v>
      </c>
      <c r="B23" s="15">
        <v>2007</v>
      </c>
      <c r="C23" s="15">
        <v>2008</v>
      </c>
      <c r="D23" s="15">
        <v>2009</v>
      </c>
      <c r="E23" s="15">
        <v>2010</v>
      </c>
      <c r="F23" s="15">
        <v>2011</v>
      </c>
      <c r="G23" s="15">
        <v>2012</v>
      </c>
      <c r="H23" s="15">
        <v>2013</v>
      </c>
      <c r="I23" s="15">
        <v>2014</v>
      </c>
      <c r="J23" s="15">
        <v>2015</v>
      </c>
      <c r="K23" s="15">
        <v>2016</v>
      </c>
      <c r="L23" s="15">
        <v>2017</v>
      </c>
      <c r="M23" s="15">
        <v>2018</v>
      </c>
      <c r="N23" s="15">
        <v>2019</v>
      </c>
      <c r="O23" s="15">
        <v>2020</v>
      </c>
      <c r="P23" s="15">
        <v>2021</v>
      </c>
      <c r="Q23" s="15">
        <v>2022</v>
      </c>
      <c r="R23" s="15">
        <v>2023</v>
      </c>
      <c r="S23" s="15">
        <v>2024</v>
      </c>
      <c r="T23" s="27" t="s">
        <v>469</v>
      </c>
      <c r="U23" s="27" t="s">
        <v>470</v>
      </c>
      <c r="V23" s="27" t="s">
        <v>471</v>
      </c>
      <c r="W23" s="1"/>
    </row>
    <row r="24" spans="1:23" ht="15" customHeight="1" x14ac:dyDescent="0.2">
      <c r="A24" s="42" t="s">
        <v>5</v>
      </c>
      <c r="B24" s="166">
        <v>3.208576277086415</v>
      </c>
      <c r="C24" s="165">
        <v>3.1133571398206019</v>
      </c>
      <c r="D24" s="165">
        <v>3.023401783706813</v>
      </c>
      <c r="E24" s="165">
        <v>3.1171413317623653</v>
      </c>
      <c r="F24" s="165">
        <v>2.9564308794605214</v>
      </c>
      <c r="G24" s="165">
        <v>2.9572023553066202</v>
      </c>
      <c r="H24" s="165">
        <v>2.9230996663240738</v>
      </c>
      <c r="I24" s="165">
        <v>2.9069626103141335</v>
      </c>
      <c r="J24" s="165">
        <v>2.8944150775615043</v>
      </c>
      <c r="K24" s="165">
        <v>2.850002368882361</v>
      </c>
      <c r="L24" s="165">
        <v>2.820414419779226</v>
      </c>
      <c r="M24" s="165">
        <v>2.8983933292658133</v>
      </c>
      <c r="N24" s="165">
        <v>2.904944835428255</v>
      </c>
      <c r="O24" s="165">
        <v>2.9126144788486705</v>
      </c>
      <c r="P24" s="165">
        <v>3.012139138463116</v>
      </c>
      <c r="Q24" s="165">
        <v>2.8134797274952046</v>
      </c>
      <c r="R24" s="165">
        <v>2.6704980521928547</v>
      </c>
      <c r="S24" s="165">
        <v>2.5313112142291256</v>
      </c>
      <c r="T24" s="165">
        <f t="shared" ref="T24:T30" si="6">IFERROR((S24-J24),"n/a")</f>
        <v>-0.36310386333237865</v>
      </c>
      <c r="U24" s="165">
        <f t="shared" ref="U24:U30" si="7">IFERROR((S24-O24),"n/a")</f>
        <v>-0.38130326461954489</v>
      </c>
      <c r="V24" s="175">
        <f t="shared" ref="V24:V30" si="8">IFERROR((S24-R24),"n/a")</f>
        <v>-0.1391868379637291</v>
      </c>
      <c r="W24" s="1"/>
    </row>
    <row r="25" spans="1:23" ht="15" customHeight="1" x14ac:dyDescent="0.2">
      <c r="A25" s="34" t="s">
        <v>113</v>
      </c>
      <c r="B25" s="167">
        <v>3.2868572091135704</v>
      </c>
      <c r="C25" s="164">
        <v>3.1222579859890196</v>
      </c>
      <c r="D25" s="164">
        <v>3.1086249941118265</v>
      </c>
      <c r="E25" s="164">
        <v>3.2754387977515211</v>
      </c>
      <c r="F25" s="164">
        <v>3.1396906394514446</v>
      </c>
      <c r="G25" s="164">
        <v>3.1515426688910946</v>
      </c>
      <c r="H25" s="164">
        <v>3.1439782220970613</v>
      </c>
      <c r="I25" s="164">
        <v>3.1354009336811757</v>
      </c>
      <c r="J25" s="164">
        <v>3.0917698221103613</v>
      </c>
      <c r="K25" s="164">
        <v>3.0781805501216244</v>
      </c>
      <c r="L25" s="164">
        <v>3.1111780019524904</v>
      </c>
      <c r="M25" s="164">
        <v>3.0949469041772879</v>
      </c>
      <c r="N25" s="164">
        <v>3.1116007025026651</v>
      </c>
      <c r="O25" s="164">
        <v>3.2162647083368103</v>
      </c>
      <c r="P25" s="164">
        <v>3.1795730589856053</v>
      </c>
      <c r="Q25" s="164">
        <v>2.9676196068357239</v>
      </c>
      <c r="R25" s="164">
        <v>2.8067118464209919</v>
      </c>
      <c r="S25" s="164">
        <v>2.6713362481039109</v>
      </c>
      <c r="T25" s="164">
        <f t="shared" si="6"/>
        <v>-0.42043357400645043</v>
      </c>
      <c r="U25" s="164">
        <f t="shared" si="7"/>
        <v>-0.54492846023289943</v>
      </c>
      <c r="V25" s="174">
        <f t="shared" si="8"/>
        <v>-0.13537559831708101</v>
      </c>
      <c r="W25" s="1"/>
    </row>
    <row r="26" spans="1:23" ht="15" customHeight="1" x14ac:dyDescent="0.2">
      <c r="A26" s="34" t="s">
        <v>114</v>
      </c>
      <c r="B26" s="167">
        <v>3.2975000000000048</v>
      </c>
      <c r="C26" s="164">
        <v>3.0313837375178316</v>
      </c>
      <c r="D26" s="164">
        <v>2.9278846153846132</v>
      </c>
      <c r="E26" s="164">
        <v>3.2049092849519756</v>
      </c>
      <c r="F26" s="164">
        <v>3.176033934252386</v>
      </c>
      <c r="G26" s="164">
        <v>3.2150423728813529</v>
      </c>
      <c r="H26" s="164">
        <v>3.4730238393977384</v>
      </c>
      <c r="I26" s="164">
        <v>3.6204188481675317</v>
      </c>
      <c r="J26" s="164">
        <v>3.7983425414364618</v>
      </c>
      <c r="K26" s="164">
        <v>3.0539215686274463</v>
      </c>
      <c r="L26" s="164">
        <v>3.1160896130346281</v>
      </c>
      <c r="M26" s="164">
        <v>3.2874999999999996</v>
      </c>
      <c r="N26" s="164">
        <v>2.9658590308370041</v>
      </c>
      <c r="O26" s="164">
        <v>2.359361135758645</v>
      </c>
      <c r="P26" s="164">
        <v>2.7941176470588207</v>
      </c>
      <c r="Q26" s="164">
        <v>2.4064327485380126</v>
      </c>
      <c r="R26" s="164">
        <v>2.1500672947510076</v>
      </c>
      <c r="S26" s="164">
        <v>2.273684210526314</v>
      </c>
      <c r="T26" s="164">
        <f t="shared" si="6"/>
        <v>-1.5246583309101478</v>
      </c>
      <c r="U26" s="164">
        <f t="shared" si="7"/>
        <v>-8.5676925232331058E-2</v>
      </c>
      <c r="V26" s="174">
        <f t="shared" si="8"/>
        <v>0.12361691577530642</v>
      </c>
      <c r="W26" s="1"/>
    </row>
    <row r="27" spans="1:23" ht="15" customHeight="1" x14ac:dyDescent="0.2">
      <c r="A27" s="34" t="s">
        <v>115</v>
      </c>
      <c r="B27" s="167">
        <v>2.9487155447215443</v>
      </c>
      <c r="C27" s="164">
        <v>3.084382334115638</v>
      </c>
      <c r="D27" s="164">
        <v>2.6723864312636376</v>
      </c>
      <c r="E27" s="164">
        <v>2.4045115851791365</v>
      </c>
      <c r="F27" s="164">
        <v>2.2747025776602765</v>
      </c>
      <c r="G27" s="164">
        <v>2.2998608211551854</v>
      </c>
      <c r="H27" s="164">
        <v>2.2037724727379899</v>
      </c>
      <c r="I27" s="164">
        <v>2.2125206756553553</v>
      </c>
      <c r="J27" s="164">
        <v>2.3365846956999583</v>
      </c>
      <c r="K27" s="164">
        <v>2.3029607250755291</v>
      </c>
      <c r="L27" s="164">
        <v>2.1773079783278444</v>
      </c>
      <c r="M27" s="164">
        <v>2.5150748534182554</v>
      </c>
      <c r="N27" s="164">
        <v>2.5031423626924116</v>
      </c>
      <c r="O27" s="164">
        <v>2.3397211827116831</v>
      </c>
      <c r="P27" s="164">
        <v>2.6576588884638497</v>
      </c>
      <c r="Q27" s="164">
        <v>2.4951766789121752</v>
      </c>
      <c r="R27" s="164">
        <v>2.3694314898000055</v>
      </c>
      <c r="S27" s="164">
        <v>2.2278274787778312</v>
      </c>
      <c r="T27" s="164">
        <f t="shared" si="6"/>
        <v>-0.10875721692212714</v>
      </c>
      <c r="U27" s="164">
        <f t="shared" si="7"/>
        <v>-0.1118937039338519</v>
      </c>
      <c r="V27" s="174">
        <f t="shared" si="8"/>
        <v>-0.14160401102217435</v>
      </c>
      <c r="W27" s="1"/>
    </row>
    <row r="28" spans="1:23" ht="15" customHeight="1" x14ac:dyDescent="0.2">
      <c r="A28" s="42" t="s">
        <v>6</v>
      </c>
      <c r="B28" s="166">
        <v>1.7329336685360666</v>
      </c>
      <c r="C28" s="165">
        <v>1.3562736361253602</v>
      </c>
      <c r="D28" s="165">
        <v>1.4554975706316355</v>
      </c>
      <c r="E28" s="165">
        <v>1.6055702505056795</v>
      </c>
      <c r="F28" s="165">
        <v>1.6503822937625756</v>
      </c>
      <c r="G28" s="165">
        <v>1.5847533431727712</v>
      </c>
      <c r="H28" s="165">
        <v>1.7321239873194783</v>
      </c>
      <c r="I28" s="165">
        <v>1.5859943375264312</v>
      </c>
      <c r="J28" s="165">
        <v>1.4462346434491629</v>
      </c>
      <c r="K28" s="165">
        <v>1.4204932939304387</v>
      </c>
      <c r="L28" s="165">
        <v>1.4183594573697897</v>
      </c>
      <c r="M28" s="165">
        <v>1.633370789522969</v>
      </c>
      <c r="N28" s="165">
        <v>1.4443883247381573</v>
      </c>
      <c r="O28" s="165">
        <v>1.5204925690021227</v>
      </c>
      <c r="P28" s="165">
        <v>1.765881205920711</v>
      </c>
      <c r="Q28" s="165">
        <v>1.7394118050318781</v>
      </c>
      <c r="R28" s="165">
        <v>1.6436591721062666</v>
      </c>
      <c r="S28" s="165">
        <v>1.4174391886538311</v>
      </c>
      <c r="T28" s="165">
        <f t="shared" si="6"/>
        <v>-2.8795454795331743E-2</v>
      </c>
      <c r="U28" s="165">
        <f t="shared" si="7"/>
        <v>-0.10305338034829159</v>
      </c>
      <c r="V28" s="175">
        <f t="shared" si="8"/>
        <v>-0.22621998345243544</v>
      </c>
      <c r="W28" s="1"/>
    </row>
    <row r="29" spans="1:23" ht="15" customHeight="1" x14ac:dyDescent="0.2">
      <c r="A29" s="34" t="s">
        <v>4</v>
      </c>
      <c r="B29" s="167">
        <v>1.7329336685360666</v>
      </c>
      <c r="C29" s="164">
        <v>1.3562736361253602</v>
      </c>
      <c r="D29" s="164">
        <v>1.4554975706316355</v>
      </c>
      <c r="E29" s="164">
        <v>1.6055702505056795</v>
      </c>
      <c r="F29" s="164">
        <v>1.6503822937625756</v>
      </c>
      <c r="G29" s="164">
        <v>1.5847533431727712</v>
      </c>
      <c r="H29" s="164">
        <v>1.7321239873194783</v>
      </c>
      <c r="I29" s="164">
        <v>1.5859943375264312</v>
      </c>
      <c r="J29" s="164">
        <v>1.4462346434491629</v>
      </c>
      <c r="K29" s="164">
        <v>1.4204932939304387</v>
      </c>
      <c r="L29" s="164">
        <v>1.4183594573697897</v>
      </c>
      <c r="M29" s="164">
        <v>1.633370789522969</v>
      </c>
      <c r="N29" s="164">
        <v>1.4443883247381573</v>
      </c>
      <c r="O29" s="164">
        <v>1.5204925690021227</v>
      </c>
      <c r="P29" s="164">
        <v>1.765881205920711</v>
      </c>
      <c r="Q29" s="164">
        <v>1.7394118050318781</v>
      </c>
      <c r="R29" s="164">
        <v>1.6436591721062666</v>
      </c>
      <c r="S29" s="164">
        <v>1.4174391886538311</v>
      </c>
      <c r="T29" s="164">
        <f t="shared" si="6"/>
        <v>-2.8795454795331743E-2</v>
      </c>
      <c r="U29" s="164">
        <f t="shared" si="7"/>
        <v>-0.10305338034829159</v>
      </c>
      <c r="V29" s="174">
        <f t="shared" si="8"/>
        <v>-0.22621998345243544</v>
      </c>
      <c r="W29" s="1"/>
    </row>
    <row r="30" spans="1:23" ht="15" customHeight="1" x14ac:dyDescent="0.2">
      <c r="A30" s="42" t="s">
        <v>0</v>
      </c>
      <c r="B30" s="166">
        <v>2.7506151722482297</v>
      </c>
      <c r="C30" s="165">
        <v>2.477092457255976</v>
      </c>
      <c r="D30" s="165">
        <v>2.4866123686188502</v>
      </c>
      <c r="E30" s="165">
        <v>2.631561847876343</v>
      </c>
      <c r="F30" s="165">
        <v>2.4397308398518343</v>
      </c>
      <c r="G30" s="165">
        <v>2.3856777017274284</v>
      </c>
      <c r="H30" s="165">
        <v>2.4247639790713098</v>
      </c>
      <c r="I30" s="165">
        <v>2.3600326445821134</v>
      </c>
      <c r="J30" s="165">
        <v>2.2520255365352497</v>
      </c>
      <c r="K30" s="165">
        <v>2.2000878484871969</v>
      </c>
      <c r="L30" s="165">
        <v>2.2040651109902605</v>
      </c>
      <c r="M30" s="165">
        <v>2.3520688180988367</v>
      </c>
      <c r="N30" s="165">
        <v>2.2692229813772391</v>
      </c>
      <c r="O30" s="165">
        <v>2.2928749120989638</v>
      </c>
      <c r="P30" s="165">
        <v>2.5098492503342626</v>
      </c>
      <c r="Q30" s="165">
        <v>2.4094446765383966</v>
      </c>
      <c r="R30" s="165">
        <v>2.2760462080600972</v>
      </c>
      <c r="S30" s="165">
        <v>2.0887406933243788</v>
      </c>
      <c r="T30" s="165">
        <f t="shared" si="6"/>
        <v>-0.16328484321087089</v>
      </c>
      <c r="U30" s="165">
        <f t="shared" si="7"/>
        <v>-0.20413421877458493</v>
      </c>
      <c r="V30" s="175">
        <f t="shared" si="8"/>
        <v>-0.18730551473571833</v>
      </c>
      <c r="W30" s="1"/>
    </row>
    <row r="31" spans="1:23" ht="15" customHeight="1" x14ac:dyDescent="0.2">
      <c r="A31" s="44"/>
      <c r="B31" s="44"/>
      <c r="C31" s="44"/>
      <c r="D31" s="44"/>
      <c r="E31" s="44"/>
      <c r="F31" s="44"/>
      <c r="G31" s="44"/>
      <c r="H31" s="44"/>
      <c r="I31" s="44"/>
      <c r="J31" s="44"/>
      <c r="K31" s="44"/>
      <c r="L31" s="44"/>
      <c r="M31" s="44"/>
      <c r="N31" s="44"/>
      <c r="O31" s="44"/>
      <c r="P31" s="44"/>
      <c r="Q31" s="44"/>
      <c r="R31" s="44"/>
      <c r="S31" s="44"/>
      <c r="T31" s="51"/>
      <c r="U31" s="51"/>
      <c r="V31" s="44"/>
      <c r="W31" s="1"/>
    </row>
    <row r="32" spans="1:23" ht="15.75" x14ac:dyDescent="0.2">
      <c r="A32" s="35" t="s">
        <v>390</v>
      </c>
      <c r="B32" s="35"/>
      <c r="C32" s="35"/>
      <c r="D32" s="35"/>
      <c r="E32" s="35"/>
      <c r="F32" s="35"/>
      <c r="G32" s="35"/>
      <c r="H32" s="35"/>
      <c r="I32" s="35"/>
      <c r="J32" s="35"/>
      <c r="K32" s="35"/>
      <c r="L32" s="35"/>
      <c r="M32" s="35"/>
      <c r="N32" s="35"/>
      <c r="O32" s="35"/>
      <c r="P32" s="35"/>
      <c r="Q32" s="35"/>
      <c r="R32" s="35"/>
      <c r="S32" s="35"/>
      <c r="T32" s="75"/>
      <c r="U32" s="75"/>
      <c r="V32" s="35"/>
      <c r="W32" s="1"/>
    </row>
    <row r="33" spans="1:23" ht="51.75" customHeight="1" x14ac:dyDescent="0.2">
      <c r="A33" s="36" t="s">
        <v>108</v>
      </c>
      <c r="B33" s="15">
        <v>2007</v>
      </c>
      <c r="C33" s="15">
        <v>2008</v>
      </c>
      <c r="D33" s="15">
        <v>2009</v>
      </c>
      <c r="E33" s="15">
        <v>2010</v>
      </c>
      <c r="F33" s="15">
        <v>2011</v>
      </c>
      <c r="G33" s="15">
        <v>2012</v>
      </c>
      <c r="H33" s="15">
        <v>2013</v>
      </c>
      <c r="I33" s="15">
        <v>2014</v>
      </c>
      <c r="J33" s="15">
        <v>2015</v>
      </c>
      <c r="K33" s="15">
        <v>2016</v>
      </c>
      <c r="L33" s="15">
        <v>2017</v>
      </c>
      <c r="M33" s="15">
        <v>2018</v>
      </c>
      <c r="N33" s="15">
        <v>2019</v>
      </c>
      <c r="O33" s="15">
        <v>2020</v>
      </c>
      <c r="P33" s="15">
        <v>2021</v>
      </c>
      <c r="Q33" s="15">
        <v>2022</v>
      </c>
      <c r="R33" s="15">
        <v>2023</v>
      </c>
      <c r="S33" s="15">
        <v>2024</v>
      </c>
      <c r="T33" s="27" t="s">
        <v>469</v>
      </c>
      <c r="U33" s="27" t="s">
        <v>470</v>
      </c>
      <c r="V33" s="27" t="s">
        <v>471</v>
      </c>
      <c r="W33" s="1"/>
    </row>
    <row r="34" spans="1:23" ht="15" customHeight="1" x14ac:dyDescent="0.2">
      <c r="A34" s="33" t="s">
        <v>1</v>
      </c>
      <c r="B34" s="168">
        <v>1.8785245901639342</v>
      </c>
      <c r="C34" s="168">
        <v>1.3620368212537866</v>
      </c>
      <c r="D34" s="168">
        <v>1.2725297827610369</v>
      </c>
      <c r="E34" s="168">
        <v>1.7289171974522288</v>
      </c>
      <c r="F34" s="168">
        <v>1.6947216736937607</v>
      </c>
      <c r="G34" s="168">
        <v>1.6580912485201713</v>
      </c>
      <c r="H34" s="168">
        <v>1.7704841515678691</v>
      </c>
      <c r="I34" s="168">
        <v>1.7678226947314277</v>
      </c>
      <c r="J34" s="168">
        <v>1.6817034573935334</v>
      </c>
      <c r="K34" s="168">
        <v>1.6671285440204651</v>
      </c>
      <c r="L34" s="168">
        <v>1.6098995948564383</v>
      </c>
      <c r="M34" s="168">
        <v>1.8023459203621774</v>
      </c>
      <c r="N34" s="168">
        <v>1.8272398682148223</v>
      </c>
      <c r="O34" s="168">
        <v>1.8217533648599487</v>
      </c>
      <c r="P34" s="168">
        <v>2.1397330564124495</v>
      </c>
      <c r="Q34" s="168">
        <v>2.0189140271493216</v>
      </c>
      <c r="R34" s="168">
        <v>1.957699012202208</v>
      </c>
      <c r="S34" s="168">
        <v>1.7308682353653735</v>
      </c>
      <c r="T34" s="165">
        <f t="shared" ref="T34:T44" si="9">IFERROR((S34-J34),"n/a")</f>
        <v>4.9164777971840046E-2</v>
      </c>
      <c r="U34" s="165">
        <f t="shared" ref="U34:U44" si="10">IFERROR((S34-O34),"n/a")</f>
        <v>-9.0885129494575168E-2</v>
      </c>
      <c r="V34" s="175">
        <f t="shared" ref="V34:V44" si="11">IFERROR((S34-R34),"n/a")</f>
        <v>-0.2268307768368345</v>
      </c>
      <c r="W34" s="1"/>
    </row>
    <row r="35" spans="1:23" ht="15" customHeight="1" x14ac:dyDescent="0.2">
      <c r="A35" s="34" t="s">
        <v>4</v>
      </c>
      <c r="B35" s="167">
        <v>1.8785245901639342</v>
      </c>
      <c r="C35" s="167">
        <v>1.3620368212537866</v>
      </c>
      <c r="D35" s="167">
        <v>1.2725297827610369</v>
      </c>
      <c r="E35" s="167">
        <v>1.7289171974522288</v>
      </c>
      <c r="F35" s="167">
        <v>1.6947216736937607</v>
      </c>
      <c r="G35" s="167">
        <v>1.6580912485201713</v>
      </c>
      <c r="H35" s="167">
        <v>1.7704841515678691</v>
      </c>
      <c r="I35" s="167">
        <v>1.7678226947314277</v>
      </c>
      <c r="J35" s="167">
        <v>1.6817034573935334</v>
      </c>
      <c r="K35" s="167">
        <v>1.6671285440204651</v>
      </c>
      <c r="L35" s="167">
        <v>1.6098995948564383</v>
      </c>
      <c r="M35" s="167">
        <v>1.8023459203621774</v>
      </c>
      <c r="N35" s="167">
        <v>1.8272398682148223</v>
      </c>
      <c r="O35" s="167">
        <v>1.8217533648599487</v>
      </c>
      <c r="P35" s="167">
        <v>2.1397330564124495</v>
      </c>
      <c r="Q35" s="167">
        <v>2.0189140271493216</v>
      </c>
      <c r="R35" s="167">
        <v>1.957699012202208</v>
      </c>
      <c r="S35" s="167">
        <v>1.7308682353653735</v>
      </c>
      <c r="T35" s="164">
        <f t="shared" si="9"/>
        <v>4.9164777971840046E-2</v>
      </c>
      <c r="U35" s="164">
        <f t="shared" si="10"/>
        <v>-9.0885129494575168E-2</v>
      </c>
      <c r="V35" s="174">
        <f t="shared" si="11"/>
        <v>-0.2268307768368345</v>
      </c>
      <c r="W35" s="1"/>
    </row>
    <row r="36" spans="1:23" ht="15" customHeight="1" x14ac:dyDescent="0.2">
      <c r="A36" s="33" t="s">
        <v>147</v>
      </c>
      <c r="B36" s="168">
        <v>1.8053492898853714</v>
      </c>
      <c r="C36" s="168">
        <v>1.6986132287809506</v>
      </c>
      <c r="D36" s="168">
        <v>1.8068310581125555</v>
      </c>
      <c r="E36" s="168">
        <v>1.5358504753209088</v>
      </c>
      <c r="F36" s="168">
        <v>1.6938871657963963</v>
      </c>
      <c r="G36" s="168">
        <v>1.6549473276029216</v>
      </c>
      <c r="H36" s="168">
        <v>1.7722442846409781</v>
      </c>
      <c r="I36" s="168">
        <v>1.6081510311814968</v>
      </c>
      <c r="J36" s="168">
        <v>1.5324934064474505</v>
      </c>
      <c r="K36" s="168">
        <v>1.5435417783233349</v>
      </c>
      <c r="L36" s="168">
        <v>1.5337441172189603</v>
      </c>
      <c r="M36" s="168">
        <v>1.8914100954113069</v>
      </c>
      <c r="N36" s="168">
        <v>1.6612807501706284</v>
      </c>
      <c r="O36" s="168">
        <v>1.6467254764918113</v>
      </c>
      <c r="P36" s="168">
        <v>1.9407955342288705</v>
      </c>
      <c r="Q36" s="168">
        <v>1.898620618889165</v>
      </c>
      <c r="R36" s="168">
        <v>1.7614745586708196</v>
      </c>
      <c r="S36" s="168">
        <v>1.5964726780578573</v>
      </c>
      <c r="T36" s="164">
        <f t="shared" si="9"/>
        <v>6.397927161040684E-2</v>
      </c>
      <c r="U36" s="164">
        <f t="shared" si="10"/>
        <v>-5.0252798433954027E-2</v>
      </c>
      <c r="V36" s="174">
        <f t="shared" si="11"/>
        <v>-0.16500188061296228</v>
      </c>
      <c r="W36" s="1"/>
    </row>
    <row r="37" spans="1:23" ht="15" customHeight="1" x14ac:dyDescent="0.2">
      <c r="A37" s="34" t="s">
        <v>115</v>
      </c>
      <c r="B37" s="167">
        <v>2.3920956838273533</v>
      </c>
      <c r="C37" s="167">
        <v>2.3440616500453331</v>
      </c>
      <c r="D37" s="167">
        <v>2.2847366491506786</v>
      </c>
      <c r="E37" s="167">
        <v>2.0036625410457187</v>
      </c>
      <c r="F37" s="167">
        <v>2.0839390620332576</v>
      </c>
      <c r="G37" s="167">
        <v>2.0894608870629678</v>
      </c>
      <c r="H37" s="167">
        <v>2.0451666782657121</v>
      </c>
      <c r="I37" s="167">
        <v>2.0924578527062998</v>
      </c>
      <c r="J37" s="167">
        <v>2.2281861308032624</v>
      </c>
      <c r="K37" s="167">
        <v>2.1833086328269733</v>
      </c>
      <c r="L37" s="167">
        <v>2.0462792004495451</v>
      </c>
      <c r="M37" s="167">
        <v>2.4050227090569063</v>
      </c>
      <c r="N37" s="167">
        <v>2.397672826830938</v>
      </c>
      <c r="O37" s="167">
        <v>2.1706174458915033</v>
      </c>
      <c r="P37" s="167">
        <v>2.5231999019938129</v>
      </c>
      <c r="Q37" s="167">
        <v>2.363575347262751</v>
      </c>
      <c r="R37" s="167">
        <v>2.2252916846718929</v>
      </c>
      <c r="S37" s="167">
        <v>2.0956927773953105</v>
      </c>
      <c r="T37" s="164">
        <f t="shared" si="9"/>
        <v>-0.13249335340795199</v>
      </c>
      <c r="U37" s="164">
        <f t="shared" si="10"/>
        <v>-7.4924668496192837E-2</v>
      </c>
      <c r="V37" s="174">
        <f t="shared" si="11"/>
        <v>-0.12959890727658241</v>
      </c>
      <c r="W37" s="1"/>
    </row>
    <row r="38" spans="1:23" ht="15" customHeight="1" x14ac:dyDescent="0.2">
      <c r="A38" s="34" t="s">
        <v>4</v>
      </c>
      <c r="B38" s="167">
        <v>1.074931218643794</v>
      </c>
      <c r="C38" s="167">
        <v>1.1016072676450035</v>
      </c>
      <c r="D38" s="167">
        <v>1.4289855072463773</v>
      </c>
      <c r="E38" s="167">
        <v>1.1897018970189697</v>
      </c>
      <c r="F38" s="167">
        <v>1.4399792584910553</v>
      </c>
      <c r="G38" s="167">
        <v>1.3824596456175406</v>
      </c>
      <c r="H38" s="167">
        <v>1.600986942661252</v>
      </c>
      <c r="I38" s="167">
        <v>1.3136577820941691</v>
      </c>
      <c r="J38" s="167">
        <v>1.147958281774792</v>
      </c>
      <c r="K38" s="167">
        <v>1.1624596540594228</v>
      </c>
      <c r="L38" s="167">
        <v>1.1878707440613239</v>
      </c>
      <c r="M38" s="167">
        <v>1.500419473751113</v>
      </c>
      <c r="N38" s="167">
        <v>1.0976740531195981</v>
      </c>
      <c r="O38" s="167">
        <v>1.2927547241477537</v>
      </c>
      <c r="P38" s="167">
        <v>1.4663423153692614</v>
      </c>
      <c r="Q38" s="167">
        <v>1.4293246148861591</v>
      </c>
      <c r="R38" s="167">
        <v>1.3322860733462818</v>
      </c>
      <c r="S38" s="167">
        <v>1.1519867814407165</v>
      </c>
      <c r="T38" s="164">
        <f t="shared" si="9"/>
        <v>4.0284996659245564E-3</v>
      </c>
      <c r="U38" s="164">
        <f t="shared" si="10"/>
        <v>-0.14076794270703719</v>
      </c>
      <c r="V38" s="174">
        <f t="shared" si="11"/>
        <v>-0.18029929190556526</v>
      </c>
      <c r="W38" s="1"/>
    </row>
    <row r="39" spans="1:23" ht="15" customHeight="1" x14ac:dyDescent="0.2">
      <c r="A39" s="33" t="s">
        <v>3</v>
      </c>
      <c r="B39" s="168">
        <v>3.3359538654903034</v>
      </c>
      <c r="C39" s="168">
        <v>3.1745142002989528</v>
      </c>
      <c r="D39" s="168">
        <v>3.1054514621334324</v>
      </c>
      <c r="E39" s="168">
        <v>3.2567445046642369</v>
      </c>
      <c r="F39" s="168">
        <v>3.0987182819779644</v>
      </c>
      <c r="G39" s="168">
        <v>3.0940947555849245</v>
      </c>
      <c r="H39" s="168">
        <v>3.0730740366104357</v>
      </c>
      <c r="I39" s="168">
        <v>3.07054470278044</v>
      </c>
      <c r="J39" s="168">
        <v>3.0207065273458777</v>
      </c>
      <c r="K39" s="168">
        <v>2.969807482746095</v>
      </c>
      <c r="L39" s="168">
        <v>3.0185200703930271</v>
      </c>
      <c r="M39" s="168">
        <v>2.9942270084920573</v>
      </c>
      <c r="N39" s="168">
        <v>3.0077366832003456</v>
      </c>
      <c r="O39" s="168">
        <v>3.070394277739009</v>
      </c>
      <c r="P39" s="168">
        <v>3.1011913971839711</v>
      </c>
      <c r="Q39" s="168">
        <v>2.9260360146133735</v>
      </c>
      <c r="R39" s="168">
        <v>2.7722445074954614</v>
      </c>
      <c r="S39" s="168">
        <v>2.628179971374486</v>
      </c>
      <c r="T39" s="165">
        <f t="shared" si="9"/>
        <v>-0.39252655597139174</v>
      </c>
      <c r="U39" s="165">
        <f t="shared" si="10"/>
        <v>-0.44221430636452297</v>
      </c>
      <c r="V39" s="175">
        <f t="shared" si="11"/>
        <v>-0.14406453612097536</v>
      </c>
      <c r="W39" s="1"/>
    </row>
    <row r="40" spans="1:23" ht="15" customHeight="1" x14ac:dyDescent="0.2">
      <c r="A40" s="34" t="s">
        <v>113</v>
      </c>
      <c r="B40" s="167">
        <v>3.2868572091135704</v>
      </c>
      <c r="C40" s="167">
        <v>3.1222579859890196</v>
      </c>
      <c r="D40" s="167">
        <v>3.1086249941118265</v>
      </c>
      <c r="E40" s="167">
        <v>3.2754387977515211</v>
      </c>
      <c r="F40" s="167">
        <v>3.1396906394514446</v>
      </c>
      <c r="G40" s="167">
        <v>3.1515426688910946</v>
      </c>
      <c r="H40" s="167">
        <v>3.1439782220970613</v>
      </c>
      <c r="I40" s="167">
        <v>3.1354009336811757</v>
      </c>
      <c r="J40" s="167">
        <v>3.0917698221103613</v>
      </c>
      <c r="K40" s="167">
        <v>3.0781805501216244</v>
      </c>
      <c r="L40" s="167">
        <v>3.1111780019524904</v>
      </c>
      <c r="M40" s="167">
        <v>3.0949469041772879</v>
      </c>
      <c r="N40" s="167">
        <v>3.1116007025026651</v>
      </c>
      <c r="O40" s="167">
        <v>3.2162647083368103</v>
      </c>
      <c r="P40" s="167">
        <v>3.1795730589856053</v>
      </c>
      <c r="Q40" s="167">
        <v>2.9676196068357239</v>
      </c>
      <c r="R40" s="167">
        <v>2.8067118464209919</v>
      </c>
      <c r="S40" s="167">
        <v>2.6713362481039109</v>
      </c>
      <c r="T40" s="164">
        <f t="shared" si="9"/>
        <v>-0.42043357400645043</v>
      </c>
      <c r="U40" s="164">
        <f t="shared" si="10"/>
        <v>-0.54492846023289943</v>
      </c>
      <c r="V40" s="174">
        <f t="shared" si="11"/>
        <v>-0.13537559831708101</v>
      </c>
      <c r="W40" s="1"/>
    </row>
    <row r="41" spans="1:23" ht="15" customHeight="1" x14ac:dyDescent="0.2">
      <c r="A41" s="34" t="s">
        <v>114</v>
      </c>
      <c r="B41" s="167">
        <v>3.2975000000000048</v>
      </c>
      <c r="C41" s="167">
        <v>3.0313837375178316</v>
      </c>
      <c r="D41" s="167">
        <v>2.9278846153846132</v>
      </c>
      <c r="E41" s="167">
        <v>3.2049092849519756</v>
      </c>
      <c r="F41" s="167">
        <v>3.176033934252386</v>
      </c>
      <c r="G41" s="167">
        <v>3.2150423728813529</v>
      </c>
      <c r="H41" s="167">
        <v>3.4730238393977384</v>
      </c>
      <c r="I41" s="167">
        <v>3.6204188481675317</v>
      </c>
      <c r="J41" s="167">
        <v>3.7983425414364618</v>
      </c>
      <c r="K41" s="167">
        <v>3.0539215686274463</v>
      </c>
      <c r="L41" s="167">
        <v>3.1160896130346281</v>
      </c>
      <c r="M41" s="167">
        <v>3.2874999999999996</v>
      </c>
      <c r="N41" s="167">
        <v>2.9658590308370041</v>
      </c>
      <c r="O41" s="167">
        <v>2.359361135758645</v>
      </c>
      <c r="P41" s="167">
        <v>2.7941176470588207</v>
      </c>
      <c r="Q41" s="167">
        <v>2.4064327485380126</v>
      </c>
      <c r="R41" s="167">
        <v>2.1500672947510076</v>
      </c>
      <c r="S41" s="167">
        <v>2.273684210526314</v>
      </c>
      <c r="T41" s="164">
        <f t="shared" si="9"/>
        <v>-1.5246583309101478</v>
      </c>
      <c r="U41" s="164">
        <f t="shared" si="10"/>
        <v>-8.5676925232331058E-2</v>
      </c>
      <c r="V41" s="174">
        <f t="shared" si="11"/>
        <v>0.12361691577530642</v>
      </c>
      <c r="W41" s="1"/>
    </row>
    <row r="42" spans="1:23" ht="15" customHeight="1" x14ac:dyDescent="0.2">
      <c r="A42" s="34" t="s">
        <v>115</v>
      </c>
      <c r="B42" s="167">
        <v>4.3883658372562238</v>
      </c>
      <c r="C42" s="167">
        <v>4.8621190130624079</v>
      </c>
      <c r="D42" s="167">
        <v>4.3428120063191198</v>
      </c>
      <c r="E42" s="167">
        <v>4.093666844065992</v>
      </c>
      <c r="F42" s="167">
        <v>3.2042697719553628</v>
      </c>
      <c r="G42" s="167">
        <v>3.3270568972574699</v>
      </c>
      <c r="H42" s="167">
        <v>3.0816640986132491</v>
      </c>
      <c r="I42" s="167">
        <v>2.8788575180564644</v>
      </c>
      <c r="J42" s="167">
        <v>2.9977243172951882</v>
      </c>
      <c r="K42" s="167">
        <v>3.1020723785957305</v>
      </c>
      <c r="L42" s="167">
        <v>3.1590977443609027</v>
      </c>
      <c r="M42" s="167">
        <v>3.4166894664842697</v>
      </c>
      <c r="N42" s="167">
        <v>3.332257196663976</v>
      </c>
      <c r="O42" s="167">
        <v>3.5546953887579917</v>
      </c>
      <c r="P42" s="167">
        <v>3.7699518621738024</v>
      </c>
      <c r="Q42" s="167">
        <v>3.758755954048751</v>
      </c>
      <c r="R42" s="167">
        <v>4.1985898942420645</v>
      </c>
      <c r="S42" s="167">
        <v>5.0253485424588114</v>
      </c>
      <c r="T42" s="164">
        <f t="shared" si="9"/>
        <v>2.0276242251636232</v>
      </c>
      <c r="U42" s="164">
        <f t="shared" si="10"/>
        <v>1.4706531537008196</v>
      </c>
      <c r="V42" s="174">
        <f t="shared" si="11"/>
        <v>0.82675864821674683</v>
      </c>
      <c r="W42" s="1"/>
    </row>
    <row r="43" spans="1:23" ht="15" customHeight="1" x14ac:dyDescent="0.2">
      <c r="A43" s="34" t="s">
        <v>4</v>
      </c>
      <c r="B43" s="167">
        <v>2.726247288503254</v>
      </c>
      <c r="C43" s="167">
        <v>2.0778894472361804</v>
      </c>
      <c r="D43" s="167">
        <v>2.3671406003159561</v>
      </c>
      <c r="E43" s="167">
        <v>2.5331064356435657</v>
      </c>
      <c r="F43" s="167">
        <v>2.4270096463022508</v>
      </c>
      <c r="G43" s="167">
        <v>2.1833021139951834</v>
      </c>
      <c r="H43" s="167">
        <v>2.1848576358930121</v>
      </c>
      <c r="I43" s="167">
        <v>2.2977768277041477</v>
      </c>
      <c r="J43" s="167">
        <v>2.1983705278072971</v>
      </c>
      <c r="K43" s="167">
        <v>1.8231758223409589</v>
      </c>
      <c r="L43" s="167">
        <v>1.9452924026753564</v>
      </c>
      <c r="M43" s="167">
        <v>1.6817310763334401</v>
      </c>
      <c r="N43" s="167">
        <v>1.6631578947368419</v>
      </c>
      <c r="O43" s="167">
        <v>1.6281663516068052</v>
      </c>
      <c r="P43" s="167">
        <v>1.7277452891487979</v>
      </c>
      <c r="Q43" s="167">
        <v>1.9557764826876927</v>
      </c>
      <c r="R43" s="167">
        <v>1.6620868180007973</v>
      </c>
      <c r="S43" s="167">
        <v>1.3423388653029722</v>
      </c>
      <c r="T43" s="164">
        <f t="shared" si="9"/>
        <v>-0.85603166250432494</v>
      </c>
      <c r="U43" s="164">
        <f t="shared" si="10"/>
        <v>-0.28582748630383303</v>
      </c>
      <c r="V43" s="174">
        <f t="shared" si="11"/>
        <v>-0.31974795269782508</v>
      </c>
      <c r="W43" s="1"/>
    </row>
    <row r="44" spans="1:23" ht="15" customHeight="1" x14ac:dyDescent="0.2">
      <c r="A44" s="42" t="s">
        <v>0</v>
      </c>
      <c r="B44" s="166">
        <v>2.7506151722482297</v>
      </c>
      <c r="C44" s="166">
        <v>2.477092457255976</v>
      </c>
      <c r="D44" s="166">
        <v>2.4866123686188502</v>
      </c>
      <c r="E44" s="166">
        <v>2.631561847876343</v>
      </c>
      <c r="F44" s="166">
        <v>2.4397308398518343</v>
      </c>
      <c r="G44" s="166">
        <v>2.3856777017274284</v>
      </c>
      <c r="H44" s="166">
        <v>2.4247639790713098</v>
      </c>
      <c r="I44" s="166">
        <v>2.3600326445821134</v>
      </c>
      <c r="J44" s="166">
        <v>2.2520255365352497</v>
      </c>
      <c r="K44" s="166">
        <v>2.2000878484871969</v>
      </c>
      <c r="L44" s="166">
        <v>2.2040651109902605</v>
      </c>
      <c r="M44" s="166">
        <v>2.3520688180988367</v>
      </c>
      <c r="N44" s="166">
        <v>2.2692229813772391</v>
      </c>
      <c r="O44" s="166">
        <v>2.2928749120989638</v>
      </c>
      <c r="P44" s="166">
        <v>2.5098492503342626</v>
      </c>
      <c r="Q44" s="166">
        <v>2.4094446765383966</v>
      </c>
      <c r="R44" s="166">
        <v>2.2760462080600972</v>
      </c>
      <c r="S44" s="166">
        <v>2.0887406933243788</v>
      </c>
      <c r="T44" s="165">
        <f t="shared" si="9"/>
        <v>-0.16328484321087089</v>
      </c>
      <c r="U44" s="165">
        <f t="shared" si="10"/>
        <v>-0.20413421877458493</v>
      </c>
      <c r="V44" s="175">
        <f t="shared" si="11"/>
        <v>-0.18730551473571833</v>
      </c>
      <c r="W44" s="1"/>
    </row>
    <row r="45" spans="1:23" ht="15" customHeight="1" x14ac:dyDescent="0.2">
      <c r="A45" s="44"/>
      <c r="B45" s="44"/>
      <c r="C45" s="44"/>
      <c r="D45" s="44"/>
      <c r="E45" s="44"/>
      <c r="F45" s="44"/>
      <c r="G45" s="44"/>
      <c r="H45" s="44"/>
      <c r="I45" s="44"/>
      <c r="J45" s="44"/>
      <c r="K45" s="44"/>
      <c r="L45" s="44"/>
      <c r="M45" s="44"/>
      <c r="N45" s="44"/>
      <c r="O45" s="44"/>
      <c r="P45" s="44"/>
      <c r="Q45" s="44"/>
      <c r="R45" s="44"/>
      <c r="S45" s="44"/>
      <c r="T45" s="51"/>
      <c r="U45" s="51"/>
      <c r="V45" s="44"/>
      <c r="W45" s="1"/>
    </row>
    <row r="46" spans="1:23" ht="15" customHeight="1" x14ac:dyDescent="0.2">
      <c r="A46" s="35" t="s">
        <v>391</v>
      </c>
      <c r="B46" s="35"/>
      <c r="C46" s="35"/>
      <c r="D46" s="35"/>
      <c r="E46" s="35"/>
      <c r="F46" s="35"/>
      <c r="G46" s="35"/>
      <c r="H46" s="35"/>
      <c r="I46" s="35"/>
      <c r="J46" s="35"/>
      <c r="K46" s="35"/>
      <c r="L46" s="35"/>
      <c r="M46" s="35"/>
      <c r="N46" s="35"/>
      <c r="O46" s="35"/>
      <c r="P46" s="35"/>
      <c r="Q46" s="35"/>
      <c r="R46" s="35"/>
      <c r="S46" s="35"/>
      <c r="T46" s="75"/>
      <c r="U46" s="75"/>
      <c r="V46" s="35"/>
      <c r="W46" s="1"/>
    </row>
    <row r="47" spans="1:23" ht="48.75" customHeight="1" x14ac:dyDescent="0.2">
      <c r="A47" s="36" t="s">
        <v>119</v>
      </c>
      <c r="B47" s="15">
        <v>2007</v>
      </c>
      <c r="C47" s="15">
        <v>2008</v>
      </c>
      <c r="D47" s="15">
        <v>2009</v>
      </c>
      <c r="E47" s="15">
        <v>2010</v>
      </c>
      <c r="F47" s="15">
        <v>2011</v>
      </c>
      <c r="G47" s="15">
        <v>2012</v>
      </c>
      <c r="H47" s="15">
        <v>2013</v>
      </c>
      <c r="I47" s="15">
        <v>2014</v>
      </c>
      <c r="J47" s="15">
        <v>2015</v>
      </c>
      <c r="K47" s="15">
        <v>2016</v>
      </c>
      <c r="L47" s="15">
        <v>2017</v>
      </c>
      <c r="M47" s="15">
        <v>2018</v>
      </c>
      <c r="N47" s="15">
        <v>2019</v>
      </c>
      <c r="O47" s="15">
        <v>2020</v>
      </c>
      <c r="P47" s="15">
        <v>2021</v>
      </c>
      <c r="Q47" s="15">
        <v>2022</v>
      </c>
      <c r="R47" s="15">
        <v>2023</v>
      </c>
      <c r="S47" s="15">
        <v>2024</v>
      </c>
      <c r="T47" s="27" t="s">
        <v>469</v>
      </c>
      <c r="U47" s="27" t="s">
        <v>470</v>
      </c>
      <c r="V47" s="27" t="s">
        <v>471</v>
      </c>
      <c r="W47" s="1"/>
    </row>
    <row r="48" spans="1:23" ht="15" customHeight="1" x14ac:dyDescent="0.2">
      <c r="A48" s="42" t="s">
        <v>5</v>
      </c>
      <c r="B48" s="165">
        <v>3.208576277086415</v>
      </c>
      <c r="C48" s="165">
        <v>3.1133571398206019</v>
      </c>
      <c r="D48" s="165">
        <v>3.023401783706813</v>
      </c>
      <c r="E48" s="165">
        <v>3.1171413317623653</v>
      </c>
      <c r="F48" s="165">
        <v>2.9564308794605214</v>
      </c>
      <c r="G48" s="165">
        <v>2.9572023553066202</v>
      </c>
      <c r="H48" s="165">
        <v>2.9230996663240738</v>
      </c>
      <c r="I48" s="165">
        <v>2.9069626103141335</v>
      </c>
      <c r="J48" s="165">
        <v>2.8944150775615061</v>
      </c>
      <c r="K48" s="165">
        <v>2.850002368882361</v>
      </c>
      <c r="L48" s="165">
        <v>2.820414419779226</v>
      </c>
      <c r="M48" s="165">
        <v>2.8983933292658133</v>
      </c>
      <c r="N48" s="165">
        <v>2.904944835428255</v>
      </c>
      <c r="O48" s="165">
        <v>2.9126144788486705</v>
      </c>
      <c r="P48" s="165">
        <v>3.0121391384631178</v>
      </c>
      <c r="Q48" s="165">
        <v>2.8134797274952046</v>
      </c>
      <c r="R48" s="165">
        <v>2.6704980521928547</v>
      </c>
      <c r="S48" s="165">
        <v>2.5313112142291256</v>
      </c>
      <c r="T48" s="165">
        <f t="shared" ref="T48:T70" si="12">IFERROR((S48-J48),"n/a")</f>
        <v>-0.36310386333238043</v>
      </c>
      <c r="U48" s="165">
        <f t="shared" ref="U48:U70" si="13">IFERROR((S48-O48),"n/a")</f>
        <v>-0.38130326461954489</v>
      </c>
      <c r="V48" s="175">
        <f t="shared" ref="V48:V70" si="14">IFERROR((S48-R48),"n/a")</f>
        <v>-0.1391868379637291</v>
      </c>
      <c r="W48" s="1"/>
    </row>
    <row r="49" spans="1:23" ht="15" customHeight="1" x14ac:dyDescent="0.2">
      <c r="A49" s="34" t="s">
        <v>8</v>
      </c>
      <c r="B49" s="164">
        <v>3.009995240361734</v>
      </c>
      <c r="C49" s="164">
        <v>3.206103051525762</v>
      </c>
      <c r="D49" s="164">
        <v>3.1043507251208542</v>
      </c>
      <c r="E49" s="164">
        <v>3.1026799626051726</v>
      </c>
      <c r="F49" s="164">
        <v>2.8404768663071209</v>
      </c>
      <c r="G49" s="164">
        <v>2.7630463736529798</v>
      </c>
      <c r="H49" s="164">
        <v>2.648372686662416</v>
      </c>
      <c r="I49" s="164">
        <v>2.5620207487595845</v>
      </c>
      <c r="J49" s="164">
        <v>2.5468947501474677</v>
      </c>
      <c r="K49" s="164">
        <v>2.4524349253498023</v>
      </c>
      <c r="L49" s="164">
        <v>2.3862144420131255</v>
      </c>
      <c r="M49" s="164">
        <v>2.4065628476084555</v>
      </c>
      <c r="N49" s="164">
        <v>2.281867431485022</v>
      </c>
      <c r="O49" s="164">
        <v>2.3887091658737685</v>
      </c>
      <c r="P49" s="164">
        <v>2.5036807095343701</v>
      </c>
      <c r="Q49" s="164">
        <v>2.3214724446138852</v>
      </c>
      <c r="R49" s="164">
        <v>2.2684065062752037</v>
      </c>
      <c r="S49" s="164">
        <v>2.171448275862069</v>
      </c>
      <c r="T49" s="164">
        <f t="shared" si="12"/>
        <v>-0.37544647428539868</v>
      </c>
      <c r="U49" s="164">
        <f t="shared" si="13"/>
        <v>-0.21726089001169946</v>
      </c>
      <c r="V49" s="174">
        <f t="shared" si="14"/>
        <v>-9.6958230413134672E-2</v>
      </c>
      <c r="W49" s="1"/>
    </row>
    <row r="50" spans="1:23" ht="15" customHeight="1" x14ac:dyDescent="0.2">
      <c r="A50" s="34" t="s">
        <v>9</v>
      </c>
      <c r="B50" s="164">
        <v>6.3829899630216609</v>
      </c>
      <c r="C50" s="164">
        <v>5.7012081784386588</v>
      </c>
      <c r="D50" s="164">
        <v>5.6194895591647285</v>
      </c>
      <c r="E50" s="164">
        <v>5.8717328170377474</v>
      </c>
      <c r="F50" s="164">
        <v>5.8232217573221696</v>
      </c>
      <c r="G50" s="164">
        <v>5.6170009551098392</v>
      </c>
      <c r="H50" s="164">
        <v>5.6447841726618631</v>
      </c>
      <c r="I50" s="164">
        <v>5.4905405405405467</v>
      </c>
      <c r="J50" s="164">
        <v>5.6339031339031358</v>
      </c>
      <c r="K50" s="164">
        <v>5.5329045027214203</v>
      </c>
      <c r="L50" s="164">
        <v>5.1824254881808844</v>
      </c>
      <c r="M50" s="164">
        <v>4.7542372881355881</v>
      </c>
      <c r="N50" s="164">
        <v>4.7402190923317704</v>
      </c>
      <c r="O50" s="164">
        <v>4.3659961064244008</v>
      </c>
      <c r="P50" s="164">
        <v>4.4228395061728403</v>
      </c>
      <c r="Q50" s="164">
        <v>4.0570581696924801</v>
      </c>
      <c r="R50" s="164">
        <v>3.9847581179589096</v>
      </c>
      <c r="S50" s="164">
        <v>3.7894736842105292</v>
      </c>
      <c r="T50" s="164">
        <f t="shared" si="12"/>
        <v>-1.8444294496926066</v>
      </c>
      <c r="U50" s="164">
        <f t="shared" si="13"/>
        <v>-0.57652242221387162</v>
      </c>
      <c r="V50" s="174">
        <f t="shared" si="14"/>
        <v>-0.19528443374838034</v>
      </c>
      <c r="W50" s="1"/>
    </row>
    <row r="51" spans="1:23" ht="15" customHeight="1" x14ac:dyDescent="0.2">
      <c r="A51" s="34" t="s">
        <v>10</v>
      </c>
      <c r="B51" s="164">
        <v>3.4997004194128216</v>
      </c>
      <c r="C51" s="164">
        <v>3.4756871035940815</v>
      </c>
      <c r="D51" s="164">
        <v>3.4944885926685494</v>
      </c>
      <c r="E51" s="164">
        <v>3.4821081830790561</v>
      </c>
      <c r="F51" s="164">
        <v>3.5612348178137658</v>
      </c>
      <c r="G51" s="164">
        <v>3.5201783200375463</v>
      </c>
      <c r="H51" s="164">
        <v>3.5669194507071058</v>
      </c>
      <c r="I51" s="164">
        <v>3.4648706896551733</v>
      </c>
      <c r="J51" s="164">
        <v>3.4215833512121847</v>
      </c>
      <c r="K51" s="164">
        <v>3.4208666980687727</v>
      </c>
      <c r="L51" s="164">
        <v>3.375783783783783</v>
      </c>
      <c r="M51" s="164">
        <v>3.3597330367074552</v>
      </c>
      <c r="N51" s="164">
        <v>3.2624444963776575</v>
      </c>
      <c r="O51" s="164">
        <v>3.0089881869542836</v>
      </c>
      <c r="P51" s="164">
        <v>3.0559999999999974</v>
      </c>
      <c r="Q51" s="164">
        <v>2.8648425910664272</v>
      </c>
      <c r="R51" s="164">
        <v>2.5423781920726931</v>
      </c>
      <c r="S51" s="164">
        <v>2.4495345056893765</v>
      </c>
      <c r="T51" s="164">
        <f t="shared" si="12"/>
        <v>-0.97204884552280824</v>
      </c>
      <c r="U51" s="164">
        <f t="shared" si="13"/>
        <v>-0.55945368126490713</v>
      </c>
      <c r="V51" s="174">
        <f t="shared" si="14"/>
        <v>-9.2843686383316637E-2</v>
      </c>
      <c r="W51" s="1"/>
    </row>
    <row r="52" spans="1:23" ht="15" customHeight="1" x14ac:dyDescent="0.2">
      <c r="A52" s="34" t="s">
        <v>11</v>
      </c>
      <c r="B52" s="164">
        <v>5.2984409799554566</v>
      </c>
      <c r="C52" s="164">
        <v>4.9651500484027125</v>
      </c>
      <c r="D52" s="164">
        <v>5.2660642570281038</v>
      </c>
      <c r="E52" s="164">
        <v>5.2878625134264254</v>
      </c>
      <c r="F52" s="164">
        <v>4.9537634408602127</v>
      </c>
      <c r="G52" s="164">
        <v>5.0448598130841145</v>
      </c>
      <c r="H52" s="164">
        <v>5.1775793650793549</v>
      </c>
      <c r="I52" s="164">
        <v>5.3042688465031791</v>
      </c>
      <c r="J52" s="164">
        <v>5.1998087954110925</v>
      </c>
      <c r="K52" s="164">
        <v>5.2126213592233004</v>
      </c>
      <c r="L52" s="164">
        <v>5.2158203125</v>
      </c>
      <c r="M52" s="164">
        <v>5.1466063348416284</v>
      </c>
      <c r="N52" s="164">
        <v>5.1426146010186766</v>
      </c>
      <c r="O52" s="164">
        <v>4.6838166510757713</v>
      </c>
      <c r="P52" s="164">
        <v>4.9944444444444507</v>
      </c>
      <c r="Q52" s="164">
        <v>4.8619685497961562</v>
      </c>
      <c r="R52" s="164">
        <v>4.3664843361511725</v>
      </c>
      <c r="S52" s="164">
        <v>4.1563565513882121</v>
      </c>
      <c r="T52" s="164">
        <f t="shared" si="12"/>
        <v>-1.0434522440228804</v>
      </c>
      <c r="U52" s="164">
        <f t="shared" si="13"/>
        <v>-0.52746009968755914</v>
      </c>
      <c r="V52" s="174">
        <f t="shared" si="14"/>
        <v>-0.21012778476296035</v>
      </c>
      <c r="W52" s="1"/>
    </row>
    <row r="53" spans="1:23" ht="15" customHeight="1" x14ac:dyDescent="0.2">
      <c r="A53" s="34" t="s">
        <v>12</v>
      </c>
      <c r="B53" s="164">
        <v>2.5829432416617895</v>
      </c>
      <c r="C53" s="164">
        <v>2.4545332075980077</v>
      </c>
      <c r="D53" s="164">
        <v>2.4507131940906763</v>
      </c>
      <c r="E53" s="164">
        <v>2.6598794373744159</v>
      </c>
      <c r="F53" s="164">
        <v>2.4696307094266263</v>
      </c>
      <c r="G53" s="164">
        <v>2.3506392440244586</v>
      </c>
      <c r="H53" s="164">
        <v>2.3738857374392222</v>
      </c>
      <c r="I53" s="164">
        <v>2.3589056289860437</v>
      </c>
      <c r="J53" s="164">
        <v>2.197911979119791</v>
      </c>
      <c r="K53" s="164">
        <v>2.1293541364296082</v>
      </c>
      <c r="L53" s="164">
        <v>2.0098526246067241</v>
      </c>
      <c r="M53" s="164">
        <v>2.1687599364069978</v>
      </c>
      <c r="N53" s="164">
        <v>2.1289830356341444</v>
      </c>
      <c r="O53" s="164">
        <v>2.0063100669837883</v>
      </c>
      <c r="P53" s="164">
        <v>1.9493254359986842</v>
      </c>
      <c r="Q53" s="164">
        <v>1.8647606220154263</v>
      </c>
      <c r="R53" s="164">
        <v>1.7806302469886859</v>
      </c>
      <c r="S53" s="164">
        <v>1.6810225563909782</v>
      </c>
      <c r="T53" s="164">
        <f t="shared" si="12"/>
        <v>-0.51688942272881278</v>
      </c>
      <c r="U53" s="164">
        <f t="shared" si="13"/>
        <v>-0.32528751059281014</v>
      </c>
      <c r="V53" s="174">
        <f t="shared" si="14"/>
        <v>-9.9607690597707688E-2</v>
      </c>
      <c r="W53" s="1"/>
    </row>
    <row r="54" spans="1:23" ht="15" customHeight="1" x14ac:dyDescent="0.2">
      <c r="A54" s="34" t="s">
        <v>13</v>
      </c>
      <c r="B54" s="164">
        <v>6.683642899940077</v>
      </c>
      <c r="C54" s="164">
        <v>6.5972562469377731</v>
      </c>
      <c r="D54" s="164">
        <v>5.7680372381691214</v>
      </c>
      <c r="E54" s="164">
        <v>6.2014533710133257</v>
      </c>
      <c r="F54" s="164">
        <v>5.8061742868308013</v>
      </c>
      <c r="G54" s="164">
        <v>6.3765836609873325</v>
      </c>
      <c r="H54" s="164">
        <v>6.4405481660620829</v>
      </c>
      <c r="I54" s="164">
        <v>6.1982160555004864</v>
      </c>
      <c r="J54" s="164">
        <v>6.2000691085003368</v>
      </c>
      <c r="K54" s="164">
        <v>6.0966320428076717</v>
      </c>
      <c r="L54" s="164">
        <v>6.4392572944297051</v>
      </c>
      <c r="M54" s="164">
        <v>6.4133936140152485</v>
      </c>
      <c r="N54" s="164">
        <v>6.1927343316694401</v>
      </c>
      <c r="O54" s="164">
        <v>6.1606732976281613</v>
      </c>
      <c r="P54" s="164">
        <v>6.2097665847665819</v>
      </c>
      <c r="Q54" s="164">
        <v>6.0641940085592019</v>
      </c>
      <c r="R54" s="164">
        <v>5.804412778671578</v>
      </c>
      <c r="S54" s="164">
        <v>5.7479065667695046</v>
      </c>
      <c r="T54" s="164">
        <f t="shared" si="12"/>
        <v>-0.45216254173083215</v>
      </c>
      <c r="U54" s="164">
        <f t="shared" si="13"/>
        <v>-0.41276673085865667</v>
      </c>
      <c r="V54" s="174">
        <f t="shared" si="14"/>
        <v>-5.6506211902073389E-2</v>
      </c>
      <c r="W54" s="1"/>
    </row>
    <row r="55" spans="1:23" ht="15" customHeight="1" x14ac:dyDescent="0.2">
      <c r="A55" s="34" t="s">
        <v>14</v>
      </c>
      <c r="B55" s="164">
        <v>1.6737836561171484</v>
      </c>
      <c r="C55" s="164">
        <v>1.5893494644982145</v>
      </c>
      <c r="D55" s="164">
        <v>1.6847657461991936</v>
      </c>
      <c r="E55" s="164">
        <v>1.9800765740215542</v>
      </c>
      <c r="F55" s="164">
        <v>1.8620792374143562</v>
      </c>
      <c r="G55" s="164">
        <v>1.9615329410076079</v>
      </c>
      <c r="H55" s="164">
        <v>1.9041059777235869</v>
      </c>
      <c r="I55" s="164">
        <v>2.0235602094240832</v>
      </c>
      <c r="J55" s="164">
        <v>2.0890768519130383</v>
      </c>
      <c r="K55" s="164">
        <v>2.0043501186396</v>
      </c>
      <c r="L55" s="164">
        <v>1.9835190498431974</v>
      </c>
      <c r="M55" s="164">
        <v>2.088582363259448</v>
      </c>
      <c r="N55" s="164">
        <v>2.0061809790670857</v>
      </c>
      <c r="O55" s="164">
        <v>2.0486768398686497</v>
      </c>
      <c r="P55" s="164">
        <v>2.1129018719046417</v>
      </c>
      <c r="Q55" s="164">
        <v>1.8369499438056547</v>
      </c>
      <c r="R55" s="164">
        <v>1.73319122479794</v>
      </c>
      <c r="S55" s="164">
        <v>1.5467804345669212</v>
      </c>
      <c r="T55" s="164">
        <f t="shared" si="12"/>
        <v>-0.54229641734611711</v>
      </c>
      <c r="U55" s="164">
        <f t="shared" si="13"/>
        <v>-0.50189640530172852</v>
      </c>
      <c r="V55" s="174">
        <f t="shared" si="14"/>
        <v>-0.18641079023101881</v>
      </c>
      <c r="W55" s="1"/>
    </row>
    <row r="56" spans="1:23" ht="15" customHeight="1" x14ac:dyDescent="0.2">
      <c r="A56" s="34" t="s">
        <v>15</v>
      </c>
      <c r="B56" s="164">
        <v>3.1000000000000014</v>
      </c>
      <c r="C56" s="164">
        <v>2.9131238447319774</v>
      </c>
      <c r="D56" s="164">
        <v>2.6199021207177751</v>
      </c>
      <c r="E56" s="164">
        <v>2.9198184568835135</v>
      </c>
      <c r="F56" s="164">
        <v>2.4866220735785927</v>
      </c>
      <c r="G56" s="164">
        <v>3.2371541501976289</v>
      </c>
      <c r="H56" s="164">
        <v>2.9575671852899585</v>
      </c>
      <c r="I56" s="164">
        <v>2.6060961313012871</v>
      </c>
      <c r="J56" s="164">
        <v>2.9509594882729218</v>
      </c>
      <c r="K56" s="164">
        <v>2.6858407079646085</v>
      </c>
      <c r="L56" s="164">
        <v>2.8692614770459102</v>
      </c>
      <c r="M56" s="164">
        <v>2.7931428571428576</v>
      </c>
      <c r="N56" s="164">
        <v>2.638164754953074</v>
      </c>
      <c r="O56" s="164">
        <v>2.2613122171945683</v>
      </c>
      <c r="P56" s="164">
        <v>2.9699530516431967</v>
      </c>
      <c r="Q56" s="164">
        <v>2.7670083876980449</v>
      </c>
      <c r="R56" s="164">
        <v>2.6314878892733606</v>
      </c>
      <c r="S56" s="164">
        <v>2.5709342560553647</v>
      </c>
      <c r="T56" s="164">
        <f t="shared" si="12"/>
        <v>-0.38002523221755702</v>
      </c>
      <c r="U56" s="164">
        <f t="shared" si="13"/>
        <v>0.30962203886079642</v>
      </c>
      <c r="V56" s="174">
        <f t="shared" si="14"/>
        <v>-6.0553633217995895E-2</v>
      </c>
      <c r="W56" s="1"/>
    </row>
    <row r="57" spans="1:23" ht="15" customHeight="1" x14ac:dyDescent="0.2">
      <c r="A57" s="34" t="s">
        <v>16</v>
      </c>
      <c r="B57" s="164">
        <v>2.1196991852935021</v>
      </c>
      <c r="C57" s="164">
        <v>1.8624091381100705</v>
      </c>
      <c r="D57" s="164">
        <v>1.9705656906331424</v>
      </c>
      <c r="E57" s="164">
        <v>2.044579677328052</v>
      </c>
      <c r="F57" s="164">
        <v>2.2519598236158735</v>
      </c>
      <c r="G57" s="164">
        <v>2.248751991502921</v>
      </c>
      <c r="H57" s="164">
        <v>2.419792364367046</v>
      </c>
      <c r="I57" s="164">
        <v>2.3946640175973872</v>
      </c>
      <c r="J57" s="164">
        <v>2.3972820682797487</v>
      </c>
      <c r="K57" s="164">
        <v>2.470677237789749</v>
      </c>
      <c r="L57" s="164">
        <v>2.5985811577752536</v>
      </c>
      <c r="M57" s="164">
        <v>2.6727958266618455</v>
      </c>
      <c r="N57" s="164">
        <v>2.8009322300199013</v>
      </c>
      <c r="O57" s="164">
        <v>3.7216508795669831</v>
      </c>
      <c r="P57" s="164">
        <v>3.2125933991664475</v>
      </c>
      <c r="Q57" s="164">
        <v>2.8057130553362519</v>
      </c>
      <c r="R57" s="164">
        <v>2.4773931066247012</v>
      </c>
      <c r="S57" s="164">
        <v>2.2088520649094185</v>
      </c>
      <c r="T57" s="164">
        <f t="shared" si="12"/>
        <v>-0.18843000337033011</v>
      </c>
      <c r="U57" s="164">
        <f t="shared" si="13"/>
        <v>-1.5127988146575646</v>
      </c>
      <c r="V57" s="174">
        <f t="shared" si="14"/>
        <v>-0.2685410417152827</v>
      </c>
      <c r="W57" s="1"/>
    </row>
    <row r="58" spans="1:23" ht="15" customHeight="1" x14ac:dyDescent="0.2">
      <c r="A58" s="34" t="s">
        <v>17</v>
      </c>
      <c r="B58" s="164">
        <v>4.5469983775013514</v>
      </c>
      <c r="C58" s="164">
        <v>4.4081280221045382</v>
      </c>
      <c r="D58" s="164">
        <v>4.2037919497110412</v>
      </c>
      <c r="E58" s="164">
        <v>4.2283224858282598</v>
      </c>
      <c r="F58" s="164">
        <v>3.7990714215153609</v>
      </c>
      <c r="G58" s="164">
        <v>3.7648835202760988</v>
      </c>
      <c r="H58" s="164">
        <v>3.6173802204393777</v>
      </c>
      <c r="I58" s="164">
        <v>3.6009140888918321</v>
      </c>
      <c r="J58" s="164">
        <v>3.5945929187077574</v>
      </c>
      <c r="K58" s="164">
        <v>3.5161363895541111</v>
      </c>
      <c r="L58" s="164">
        <v>3.2664290376022898</v>
      </c>
      <c r="M58" s="164">
        <v>3.4112397791889766</v>
      </c>
      <c r="N58" s="164">
        <v>3.4761651893305014</v>
      </c>
      <c r="O58" s="164">
        <v>3.3286137804130043</v>
      </c>
      <c r="P58" s="164">
        <v>3.6250551227399654</v>
      </c>
      <c r="Q58" s="164">
        <v>3.5712561752837821</v>
      </c>
      <c r="R58" s="164">
        <v>3.3817608173076934</v>
      </c>
      <c r="S58" s="164">
        <v>3.2308978496714236</v>
      </c>
      <c r="T58" s="164">
        <f t="shared" si="12"/>
        <v>-0.36369506903633386</v>
      </c>
      <c r="U58" s="164">
        <f t="shared" si="13"/>
        <v>-9.7715930741580692E-2</v>
      </c>
      <c r="V58" s="174">
        <f t="shared" si="14"/>
        <v>-0.15086296763626983</v>
      </c>
      <c r="W58" s="1"/>
    </row>
    <row r="59" spans="1:23" ht="15" customHeight="1" x14ac:dyDescent="0.2">
      <c r="A59" s="42" t="s">
        <v>6</v>
      </c>
      <c r="B59" s="165">
        <v>1.7329336685360666</v>
      </c>
      <c r="C59" s="165">
        <v>1.3562736361253602</v>
      </c>
      <c r="D59" s="165">
        <v>1.4554975706316355</v>
      </c>
      <c r="E59" s="165">
        <v>1.6055702505056795</v>
      </c>
      <c r="F59" s="165">
        <v>1.6503822937625756</v>
      </c>
      <c r="G59" s="165">
        <v>1.5847533431727712</v>
      </c>
      <c r="H59" s="165">
        <v>1.7321239873194783</v>
      </c>
      <c r="I59" s="165">
        <v>1.5859943375264312</v>
      </c>
      <c r="J59" s="165">
        <v>1.4462346434491629</v>
      </c>
      <c r="K59" s="165">
        <v>1.4204932939304387</v>
      </c>
      <c r="L59" s="165">
        <v>1.4183594573697897</v>
      </c>
      <c r="M59" s="165">
        <v>1.633370789522969</v>
      </c>
      <c r="N59" s="165">
        <v>1.4443883247381573</v>
      </c>
      <c r="O59" s="165">
        <v>1.5204925690021227</v>
      </c>
      <c r="P59" s="165">
        <v>1.765881205920711</v>
      </c>
      <c r="Q59" s="165">
        <v>1.7394118050318781</v>
      </c>
      <c r="R59" s="165">
        <v>1.6436591721062666</v>
      </c>
      <c r="S59" s="165">
        <v>1.4174391886538311</v>
      </c>
      <c r="T59" s="165">
        <f t="shared" si="12"/>
        <v>-2.8795454795331743E-2</v>
      </c>
      <c r="U59" s="165">
        <f t="shared" si="13"/>
        <v>-0.10305338034829159</v>
      </c>
      <c r="V59" s="175">
        <f t="shared" si="14"/>
        <v>-0.22621998345243544</v>
      </c>
      <c r="W59" s="1"/>
    </row>
    <row r="60" spans="1:23" ht="15" customHeight="1" x14ac:dyDescent="0.2">
      <c r="A60" s="34" t="s">
        <v>8</v>
      </c>
      <c r="B60" s="164">
        <v>1.7175342980642743</v>
      </c>
      <c r="C60" s="164">
        <v>1.5389098388755569</v>
      </c>
      <c r="D60" s="164">
        <v>1.4634539329134322</v>
      </c>
      <c r="E60" s="164">
        <v>1.3947406031156211</v>
      </c>
      <c r="F60" s="164">
        <v>1.5943470003351576</v>
      </c>
      <c r="G60" s="164">
        <v>1.5594880248230387</v>
      </c>
      <c r="H60" s="164">
        <v>1.6428747635885212</v>
      </c>
      <c r="I60" s="164">
        <v>1.416905333230126</v>
      </c>
      <c r="J60" s="164">
        <v>1.2570511030438425</v>
      </c>
      <c r="K60" s="164">
        <v>1.205398566005905</v>
      </c>
      <c r="L60" s="164">
        <v>1.1998893499308432</v>
      </c>
      <c r="M60" s="164">
        <v>1.5180149224425685</v>
      </c>
      <c r="N60" s="164">
        <v>1.33001666503284</v>
      </c>
      <c r="O60" s="164">
        <v>1.4500697512206466</v>
      </c>
      <c r="P60" s="164">
        <v>1.7572838235981854</v>
      </c>
      <c r="Q60" s="164">
        <v>1.7736322150343513</v>
      </c>
      <c r="R60" s="164">
        <v>1.7188562596599688</v>
      </c>
      <c r="S60" s="164">
        <v>1.5544958433212628</v>
      </c>
      <c r="T60" s="164">
        <f t="shared" si="12"/>
        <v>0.29744474027742029</v>
      </c>
      <c r="U60" s="164">
        <f t="shared" si="13"/>
        <v>0.10442609210061615</v>
      </c>
      <c r="V60" s="174">
        <f t="shared" si="14"/>
        <v>-0.16436041633870602</v>
      </c>
      <c r="W60" s="1"/>
    </row>
    <row r="61" spans="1:23" ht="15" customHeight="1" x14ac:dyDescent="0.2">
      <c r="A61" s="34" t="s">
        <v>9</v>
      </c>
      <c r="B61" s="164">
        <v>2.2701149425287364</v>
      </c>
      <c r="C61" s="164">
        <v>1.6789808917197453</v>
      </c>
      <c r="D61" s="164">
        <v>1.7811094452773615</v>
      </c>
      <c r="E61" s="164">
        <v>2.2437923250564342</v>
      </c>
      <c r="F61" s="164">
        <v>2.0852272727272725</v>
      </c>
      <c r="G61" s="164">
        <v>2.2159904534606198</v>
      </c>
      <c r="H61" s="164">
        <v>2.1309385863267662</v>
      </c>
      <c r="I61" s="164">
        <v>2.0019379844961245</v>
      </c>
      <c r="J61" s="164">
        <v>2.0108877721943044</v>
      </c>
      <c r="K61" s="164">
        <v>1.6719872306464492</v>
      </c>
      <c r="L61" s="164">
        <v>1.5329670329670328</v>
      </c>
      <c r="M61" s="164">
        <v>1.6607482561826252</v>
      </c>
      <c r="N61" s="164">
        <v>1.6778644271145771</v>
      </c>
      <c r="O61" s="164">
        <v>1.829563812600969</v>
      </c>
      <c r="P61" s="164">
        <v>1.9237819585142306</v>
      </c>
      <c r="Q61" s="164">
        <v>1.8212290502793298</v>
      </c>
      <c r="R61" s="164">
        <v>1.7029664324746294</v>
      </c>
      <c r="S61" s="164">
        <v>1.6764946764946762</v>
      </c>
      <c r="T61" s="164">
        <f t="shared" si="12"/>
        <v>-0.33439309569962816</v>
      </c>
      <c r="U61" s="164">
        <f t="shared" si="13"/>
        <v>-0.1530691361062928</v>
      </c>
      <c r="V61" s="174">
        <f t="shared" si="14"/>
        <v>-2.6471755979953215E-2</v>
      </c>
      <c r="W61" s="1"/>
    </row>
    <row r="62" spans="1:23" ht="15" customHeight="1" x14ac:dyDescent="0.2">
      <c r="A62" s="34" t="s">
        <v>10</v>
      </c>
      <c r="B62" s="164">
        <v>1.7007042253521121</v>
      </c>
      <c r="C62" s="164">
        <v>1.5963912630579307</v>
      </c>
      <c r="D62" s="164">
        <v>1.6255585344057195</v>
      </c>
      <c r="E62" s="164">
        <v>1.8333333333333348</v>
      </c>
      <c r="F62" s="164">
        <v>1.8362369337979105</v>
      </c>
      <c r="G62" s="164">
        <v>1.9315614617940193</v>
      </c>
      <c r="H62" s="164">
        <v>1.9085640695428205</v>
      </c>
      <c r="I62" s="164">
        <v>1.8811400848999389</v>
      </c>
      <c r="J62" s="164">
        <v>1.4991939817302518</v>
      </c>
      <c r="K62" s="164">
        <v>1.4728506787330318</v>
      </c>
      <c r="L62" s="164">
        <v>1.5542713567839197</v>
      </c>
      <c r="M62" s="164">
        <v>1.7360806663743968</v>
      </c>
      <c r="N62" s="164">
        <v>1.3755294117647061</v>
      </c>
      <c r="O62" s="164">
        <v>1.3301767676767673</v>
      </c>
      <c r="P62" s="164">
        <v>1.5980735551663754</v>
      </c>
      <c r="Q62" s="164">
        <v>1.5219417475728152</v>
      </c>
      <c r="R62" s="164">
        <v>1.4481558803061931</v>
      </c>
      <c r="S62" s="164">
        <v>1.1739915713425644</v>
      </c>
      <c r="T62" s="164">
        <f t="shared" si="12"/>
        <v>-0.32520241038768738</v>
      </c>
      <c r="U62" s="164">
        <f t="shared" si="13"/>
        <v>-0.15618519633420291</v>
      </c>
      <c r="V62" s="174">
        <f t="shared" si="14"/>
        <v>-0.27416430896362876</v>
      </c>
      <c r="W62" s="1"/>
    </row>
    <row r="63" spans="1:23" ht="15" customHeight="1" x14ac:dyDescent="0.2">
      <c r="A63" s="34" t="s">
        <v>11</v>
      </c>
      <c r="B63" s="164">
        <v>3.278688524590164</v>
      </c>
      <c r="C63" s="164">
        <v>3.052941176470588</v>
      </c>
      <c r="D63" s="164">
        <v>2.8491620111731812</v>
      </c>
      <c r="E63" s="164">
        <v>2.7165775401069512</v>
      </c>
      <c r="F63" s="164">
        <v>2.649805447470821</v>
      </c>
      <c r="G63" s="164">
        <v>2.3782894736842124</v>
      </c>
      <c r="H63" s="164">
        <v>2.7086330935251812</v>
      </c>
      <c r="I63" s="164">
        <v>2.8968253968253972</v>
      </c>
      <c r="J63" s="164">
        <v>2.0364372469635637</v>
      </c>
      <c r="K63" s="164">
        <v>2.0337477797513328</v>
      </c>
      <c r="L63" s="164">
        <v>2.2007042253521112</v>
      </c>
      <c r="M63" s="164">
        <v>2.6805845511482262</v>
      </c>
      <c r="N63" s="164">
        <v>2.4724061810154518</v>
      </c>
      <c r="O63" s="164">
        <v>2.5016949152542374</v>
      </c>
      <c r="P63" s="164">
        <v>3.0049140049140055</v>
      </c>
      <c r="Q63" s="164">
        <v>2.9273182957393482</v>
      </c>
      <c r="R63" s="164">
        <v>3.2285714285714251</v>
      </c>
      <c r="S63" s="164">
        <v>2.3004484304932742</v>
      </c>
      <c r="T63" s="164">
        <f t="shared" si="12"/>
        <v>0.26401118352971054</v>
      </c>
      <c r="U63" s="164">
        <f t="shared" si="13"/>
        <v>-0.20124648476096318</v>
      </c>
      <c r="V63" s="174">
        <f t="shared" si="14"/>
        <v>-0.92812299807815091</v>
      </c>
      <c r="W63" s="1"/>
    </row>
    <row r="64" spans="1:23" ht="15" customHeight="1" x14ac:dyDescent="0.2">
      <c r="A64" s="34" t="s">
        <v>12</v>
      </c>
      <c r="B64" s="164">
        <v>1.3231939163498101</v>
      </c>
      <c r="C64" s="164">
        <v>1.2834928229665072</v>
      </c>
      <c r="D64" s="164">
        <v>1.0782953419226962</v>
      </c>
      <c r="E64" s="164">
        <v>1.4122055674518199</v>
      </c>
      <c r="F64" s="164">
        <v>1.114860014357502</v>
      </c>
      <c r="G64" s="164">
        <v>1.2697862507221256</v>
      </c>
      <c r="H64" s="164">
        <v>1.3282442748091601</v>
      </c>
      <c r="I64" s="164">
        <v>1.1157239231966782</v>
      </c>
      <c r="J64" s="164">
        <v>0.99547511312217196</v>
      </c>
      <c r="K64" s="164">
        <v>0.98875140607424061</v>
      </c>
      <c r="L64" s="164">
        <v>0.84286151024151579</v>
      </c>
      <c r="M64" s="164">
        <v>1.0400343151272518</v>
      </c>
      <c r="N64" s="164">
        <v>0.93028977583378936</v>
      </c>
      <c r="O64" s="164">
        <v>1.1104242764821581</v>
      </c>
      <c r="P64" s="164">
        <v>1.0740124740124743</v>
      </c>
      <c r="Q64" s="164">
        <v>1.0572618427902132</v>
      </c>
      <c r="R64" s="164">
        <v>1.1319808525188053</v>
      </c>
      <c r="S64" s="164">
        <v>1.1224949899799599</v>
      </c>
      <c r="T64" s="164">
        <f t="shared" si="12"/>
        <v>0.12701987685778793</v>
      </c>
      <c r="U64" s="164">
        <f t="shared" si="13"/>
        <v>1.2070713497801755E-2</v>
      </c>
      <c r="V64" s="174">
        <f t="shared" si="14"/>
        <v>-9.4858625388454243E-3</v>
      </c>
      <c r="W64" s="1"/>
    </row>
    <row r="65" spans="1:23" ht="15" customHeight="1" x14ac:dyDescent="0.2">
      <c r="A65" s="34" t="s">
        <v>13</v>
      </c>
      <c r="B65" s="164">
        <v>1.4049008168028001</v>
      </c>
      <c r="C65" s="164">
        <v>1.1707074061773497</v>
      </c>
      <c r="D65" s="164">
        <v>1.5382297551789064</v>
      </c>
      <c r="E65" s="164">
        <v>2.1449970041941304</v>
      </c>
      <c r="F65" s="164">
        <v>2.0252774352651048</v>
      </c>
      <c r="G65" s="164">
        <v>1.9020381328073634</v>
      </c>
      <c r="H65" s="164">
        <v>2.0076400679117148</v>
      </c>
      <c r="I65" s="164">
        <v>1.8427518427518432</v>
      </c>
      <c r="J65" s="164">
        <v>1.7106824925816024</v>
      </c>
      <c r="K65" s="164">
        <v>1.6537890044576526</v>
      </c>
      <c r="L65" s="164">
        <v>1.2897033158813267</v>
      </c>
      <c r="M65" s="164">
        <v>1.4529307282415624</v>
      </c>
      <c r="N65" s="164">
        <v>1.0816326530612246</v>
      </c>
      <c r="O65" s="164">
        <v>1.2380952380952381</v>
      </c>
      <c r="P65" s="164">
        <v>1.4108983799705461</v>
      </c>
      <c r="Q65" s="164">
        <v>1.0613333333333337</v>
      </c>
      <c r="R65" s="164">
        <v>1.0367170626349891</v>
      </c>
      <c r="S65" s="164">
        <v>1.133168927250308</v>
      </c>
      <c r="T65" s="164">
        <f t="shared" si="12"/>
        <v>-0.57751356533129439</v>
      </c>
      <c r="U65" s="164">
        <f t="shared" si="13"/>
        <v>-0.10492631084493009</v>
      </c>
      <c r="V65" s="174">
        <f t="shared" si="14"/>
        <v>9.6451864615318961E-2</v>
      </c>
      <c r="W65" s="1"/>
    </row>
    <row r="66" spans="1:23" ht="15" customHeight="1" x14ac:dyDescent="0.2">
      <c r="A66" s="34" t="s">
        <v>14</v>
      </c>
      <c r="B66" s="164">
        <v>1.148305084745763</v>
      </c>
      <c r="C66" s="164">
        <v>0.88635097493036241</v>
      </c>
      <c r="D66" s="164">
        <v>1.1278615298715806</v>
      </c>
      <c r="E66" s="164">
        <v>1.3486238532110093</v>
      </c>
      <c r="F66" s="164">
        <v>1.3322465915826909</v>
      </c>
      <c r="G66" s="164">
        <v>1.2593952483801294</v>
      </c>
      <c r="H66" s="164">
        <v>1.4432010851135981</v>
      </c>
      <c r="I66" s="164">
        <v>1.3564649136455573</v>
      </c>
      <c r="J66" s="164">
        <v>1.2229729729729728</v>
      </c>
      <c r="K66" s="164">
        <v>1.1812107990182712</v>
      </c>
      <c r="L66" s="164">
        <v>1.0538652776133537</v>
      </c>
      <c r="M66" s="164">
        <v>1.0523488519064674</v>
      </c>
      <c r="N66" s="164">
        <v>0.81873191265456402</v>
      </c>
      <c r="O66" s="164">
        <v>1.0507325824778233</v>
      </c>
      <c r="P66" s="164">
        <v>1.1892713319656556</v>
      </c>
      <c r="Q66" s="164">
        <v>1.245497544114972</v>
      </c>
      <c r="R66" s="164">
        <v>1.3459437588509005</v>
      </c>
      <c r="S66" s="164">
        <v>1.1262167778628456</v>
      </c>
      <c r="T66" s="164">
        <f t="shared" si="12"/>
        <v>-9.675619511012723E-2</v>
      </c>
      <c r="U66" s="164">
        <f t="shared" si="13"/>
        <v>7.5484195385022268E-2</v>
      </c>
      <c r="V66" s="174">
        <f t="shared" si="14"/>
        <v>-0.21972698098805488</v>
      </c>
      <c r="W66" s="1"/>
    </row>
    <row r="67" spans="1:23" ht="15" customHeight="1" x14ac:dyDescent="0.2">
      <c r="A67" s="34" t="s">
        <v>15</v>
      </c>
      <c r="B67" s="164">
        <v>1.0891089108910901</v>
      </c>
      <c r="C67" s="164">
        <v>1.4552529182879379</v>
      </c>
      <c r="D67" s="164">
        <v>1.4961538461538479</v>
      </c>
      <c r="E67" s="164">
        <v>1.8820512820512896</v>
      </c>
      <c r="F67" s="164">
        <v>1.9151291512915147</v>
      </c>
      <c r="G67" s="164">
        <v>1.4222222222222234</v>
      </c>
      <c r="H67" s="164">
        <v>1.6742081447963804</v>
      </c>
      <c r="I67" s="164">
        <v>1.9804878048780488</v>
      </c>
      <c r="J67" s="164">
        <v>1.6309963099631002</v>
      </c>
      <c r="K67" s="164">
        <v>1.6080402010050259</v>
      </c>
      <c r="L67" s="164">
        <v>1.5252918287937751</v>
      </c>
      <c r="M67" s="164">
        <v>1.2959999999999985</v>
      </c>
      <c r="N67" s="164">
        <v>1.3372093023255829</v>
      </c>
      <c r="O67" s="164">
        <v>1.2157676348547719</v>
      </c>
      <c r="P67" s="164">
        <v>1.7699530516431921</v>
      </c>
      <c r="Q67" s="164">
        <v>1.6828193832599112</v>
      </c>
      <c r="R67" s="164">
        <v>1.5269709543568446</v>
      </c>
      <c r="S67" s="164">
        <v>1.528169014084507</v>
      </c>
      <c r="T67" s="164">
        <f t="shared" si="12"/>
        <v>-0.10282729587859318</v>
      </c>
      <c r="U67" s="164">
        <f t="shared" si="13"/>
        <v>0.3124013792297351</v>
      </c>
      <c r="V67" s="174">
        <f t="shared" si="14"/>
        <v>1.1980597276624039E-3</v>
      </c>
      <c r="W67" s="1"/>
    </row>
    <row r="68" spans="1:23" ht="15" customHeight="1" x14ac:dyDescent="0.2">
      <c r="A68" s="34" t="s">
        <v>16</v>
      </c>
      <c r="B68" s="164">
        <v>1.2362014943359849</v>
      </c>
      <c r="C68" s="164">
        <v>0.66548140043763659</v>
      </c>
      <c r="D68" s="164">
        <v>0.72469520839240165</v>
      </c>
      <c r="E68" s="164">
        <v>1.1005605011539732</v>
      </c>
      <c r="F68" s="164">
        <v>1.3057458143074578</v>
      </c>
      <c r="G68" s="164">
        <v>1.2380952380952381</v>
      </c>
      <c r="H68" s="164">
        <v>1.4823157894736845</v>
      </c>
      <c r="I68" s="164">
        <v>1.3898771564744585</v>
      </c>
      <c r="J68" s="164">
        <v>1.3278200253485419</v>
      </c>
      <c r="K68" s="164">
        <v>1.2433001175960881</v>
      </c>
      <c r="L68" s="164">
        <v>1.1191210232863238</v>
      </c>
      <c r="M68" s="164">
        <v>1.2462392665762794</v>
      </c>
      <c r="N68" s="164">
        <v>1.0407625228148456</v>
      </c>
      <c r="O68" s="164">
        <v>1.25</v>
      </c>
      <c r="P68" s="164">
        <v>1.5908782742681042</v>
      </c>
      <c r="Q68" s="164">
        <v>1.3430994602929838</v>
      </c>
      <c r="R68" s="164">
        <v>1.0838403041825098</v>
      </c>
      <c r="S68" s="164">
        <v>0.90174620260734351</v>
      </c>
      <c r="T68" s="164">
        <f t="shared" si="12"/>
        <v>-0.42607382274119843</v>
      </c>
      <c r="U68" s="164">
        <f t="shared" si="13"/>
        <v>-0.34825379739265649</v>
      </c>
      <c r="V68" s="174">
        <f t="shared" si="14"/>
        <v>-0.18209410157516626</v>
      </c>
      <c r="W68" s="1"/>
    </row>
    <row r="69" spans="1:23" ht="15" customHeight="1" x14ac:dyDescent="0.2">
      <c r="A69" s="34" t="s">
        <v>17</v>
      </c>
      <c r="B69" s="164">
        <v>2.3809433604849408</v>
      </c>
      <c r="C69" s="164">
        <v>2.174920410328971</v>
      </c>
      <c r="D69" s="164">
        <v>2.2879177377892033</v>
      </c>
      <c r="E69" s="164">
        <v>2.1340158924205381</v>
      </c>
      <c r="F69" s="164">
        <v>2.1568067610781174</v>
      </c>
      <c r="G69" s="164">
        <v>2.069877690338485</v>
      </c>
      <c r="H69" s="164">
        <v>2.1898025804445824</v>
      </c>
      <c r="I69" s="164">
        <v>1.9654424891609281</v>
      </c>
      <c r="J69" s="164">
        <v>1.7269665624248258</v>
      </c>
      <c r="K69" s="164">
        <v>1.7826349631036118</v>
      </c>
      <c r="L69" s="164">
        <v>2.0088640074644273</v>
      </c>
      <c r="M69" s="164">
        <v>2.3727833461834997</v>
      </c>
      <c r="N69" s="164">
        <v>2.2886949543585118</v>
      </c>
      <c r="O69" s="164">
        <v>2.2656445787572785</v>
      </c>
      <c r="P69" s="164">
        <v>2.5398489460038327</v>
      </c>
      <c r="Q69" s="164">
        <v>2.4888987813699854</v>
      </c>
      <c r="R69" s="164">
        <v>2.3681245858184221</v>
      </c>
      <c r="S69" s="164">
        <v>1.9334437428837594</v>
      </c>
      <c r="T69" s="164">
        <f t="shared" si="12"/>
        <v>0.2064771804589336</v>
      </c>
      <c r="U69" s="164">
        <f t="shared" si="13"/>
        <v>-0.33220083587351912</v>
      </c>
      <c r="V69" s="174">
        <f t="shared" si="14"/>
        <v>-0.43468084293466269</v>
      </c>
      <c r="W69" s="1"/>
    </row>
    <row r="70" spans="1:23" ht="15" customHeight="1" x14ac:dyDescent="0.2">
      <c r="A70" s="42" t="s">
        <v>0</v>
      </c>
      <c r="B70" s="165">
        <v>2.7506151722482297</v>
      </c>
      <c r="C70" s="165">
        <v>2.477092457255976</v>
      </c>
      <c r="D70" s="165">
        <v>2.4866123686188502</v>
      </c>
      <c r="E70" s="165">
        <v>2.631561847876343</v>
      </c>
      <c r="F70" s="165">
        <v>2.4397308398518343</v>
      </c>
      <c r="G70" s="165">
        <v>2.3856777017274284</v>
      </c>
      <c r="H70" s="165">
        <v>2.4247639790713098</v>
      </c>
      <c r="I70" s="165">
        <v>2.3600326445821134</v>
      </c>
      <c r="J70" s="165">
        <v>2.2520255365352497</v>
      </c>
      <c r="K70" s="165">
        <v>2.2000878484871969</v>
      </c>
      <c r="L70" s="165">
        <v>2.2040651109902605</v>
      </c>
      <c r="M70" s="165">
        <v>2.3520688180988367</v>
      </c>
      <c r="N70" s="165">
        <v>2.2692229813772391</v>
      </c>
      <c r="O70" s="165">
        <v>2.2928749120989638</v>
      </c>
      <c r="P70" s="165">
        <v>2.5098492503342644</v>
      </c>
      <c r="Q70" s="165">
        <v>2.4094446765383966</v>
      </c>
      <c r="R70" s="165">
        <v>2.2760462080600972</v>
      </c>
      <c r="S70" s="165">
        <v>2.0887406933243788</v>
      </c>
      <c r="T70" s="165">
        <f t="shared" si="12"/>
        <v>-0.16328484321087089</v>
      </c>
      <c r="U70" s="165">
        <f t="shared" si="13"/>
        <v>-0.20413421877458493</v>
      </c>
      <c r="V70" s="175">
        <f t="shared" si="14"/>
        <v>-0.18730551473571833</v>
      </c>
      <c r="W70" s="1"/>
    </row>
    <row r="71" spans="1:23" ht="15" customHeight="1" x14ac:dyDescent="0.2">
      <c r="A71" s="44"/>
      <c r="B71" s="44"/>
      <c r="C71" s="44"/>
      <c r="D71" s="44"/>
      <c r="E71" s="44"/>
      <c r="F71" s="44"/>
      <c r="G71" s="44"/>
      <c r="H71" s="44"/>
      <c r="I71" s="44"/>
      <c r="J71" s="44"/>
      <c r="K71" s="44"/>
      <c r="L71" s="44"/>
      <c r="M71" s="44"/>
      <c r="N71" s="44"/>
      <c r="O71" s="44"/>
      <c r="P71" s="44"/>
      <c r="Q71" s="44"/>
      <c r="R71" s="44"/>
      <c r="S71" s="44"/>
      <c r="T71" s="51"/>
      <c r="U71" s="51"/>
      <c r="V71" s="44"/>
      <c r="W71" s="1"/>
    </row>
    <row r="72" spans="1:23" ht="15" customHeight="1" x14ac:dyDescent="0.2">
      <c r="A72" s="35" t="s">
        <v>574</v>
      </c>
      <c r="B72" s="35"/>
      <c r="C72" s="35"/>
      <c r="D72" s="35"/>
      <c r="E72" s="35"/>
      <c r="F72" s="35"/>
      <c r="G72" s="35"/>
      <c r="H72" s="35"/>
      <c r="I72" s="35"/>
      <c r="J72" s="35"/>
      <c r="K72" s="35"/>
      <c r="L72" s="35"/>
      <c r="M72" s="35"/>
      <c r="N72" s="35"/>
      <c r="O72" s="35"/>
      <c r="P72" s="35"/>
      <c r="Q72" s="35"/>
      <c r="R72" s="35"/>
      <c r="S72" s="35"/>
      <c r="T72" s="75"/>
      <c r="U72" s="75"/>
      <c r="V72" s="35"/>
      <c r="W72" s="1"/>
    </row>
    <row r="73" spans="1:23" ht="38.25" x14ac:dyDescent="0.2">
      <c r="A73" s="36" t="s">
        <v>582</v>
      </c>
      <c r="B73" s="15">
        <v>2007</v>
      </c>
      <c r="C73" s="15">
        <v>2008</v>
      </c>
      <c r="D73" s="15">
        <v>2009</v>
      </c>
      <c r="E73" s="15">
        <v>2010</v>
      </c>
      <c r="F73" s="15">
        <v>2011</v>
      </c>
      <c r="G73" s="15">
        <v>2012</v>
      </c>
      <c r="H73" s="15">
        <v>2013</v>
      </c>
      <c r="I73" s="15">
        <v>2014</v>
      </c>
      <c r="J73" s="15">
        <v>2015</v>
      </c>
      <c r="K73" s="15">
        <v>2016</v>
      </c>
      <c r="L73" s="15">
        <v>2017</v>
      </c>
      <c r="M73" s="15">
        <v>2018</v>
      </c>
      <c r="N73" s="15">
        <v>2019</v>
      </c>
      <c r="O73" s="15">
        <v>2020</v>
      </c>
      <c r="P73" s="15">
        <v>2021</v>
      </c>
      <c r="Q73" s="15">
        <v>2022</v>
      </c>
      <c r="R73" s="15">
        <v>2023</v>
      </c>
      <c r="S73" s="15">
        <v>2024</v>
      </c>
      <c r="T73" s="27" t="s">
        <v>469</v>
      </c>
      <c r="U73" s="27" t="s">
        <v>470</v>
      </c>
      <c r="V73" s="27" t="s">
        <v>471</v>
      </c>
      <c r="W73" s="1"/>
    </row>
    <row r="74" spans="1:23" ht="15" customHeight="1" x14ac:dyDescent="0.2">
      <c r="A74" s="42" t="s">
        <v>5</v>
      </c>
      <c r="B74" s="165">
        <v>3.208576277086415</v>
      </c>
      <c r="C74" s="165">
        <v>3.1133571398206019</v>
      </c>
      <c r="D74" s="165">
        <v>3.023401783706813</v>
      </c>
      <c r="E74" s="165">
        <v>3.1171413317623653</v>
      </c>
      <c r="F74" s="165">
        <v>2.9564308794605214</v>
      </c>
      <c r="G74" s="165">
        <v>2.9572023553066202</v>
      </c>
      <c r="H74" s="165">
        <v>2.9230996663240738</v>
      </c>
      <c r="I74" s="165">
        <v>2.9069626103141335</v>
      </c>
      <c r="J74" s="165">
        <v>2.8944150775615061</v>
      </c>
      <c r="K74" s="165">
        <v>2.850002368882361</v>
      </c>
      <c r="L74" s="165">
        <v>2.820414419779226</v>
      </c>
      <c r="M74" s="165">
        <v>2.8983933292658133</v>
      </c>
      <c r="N74" s="165">
        <v>2.904944835428255</v>
      </c>
      <c r="O74" s="165">
        <v>2.9126144788486705</v>
      </c>
      <c r="P74" s="165">
        <v>3.012139138463116</v>
      </c>
      <c r="Q74" s="165">
        <v>2.8134797274952046</v>
      </c>
      <c r="R74" s="165">
        <v>2.6704980521928547</v>
      </c>
      <c r="S74" s="165">
        <v>2.5313112142291256</v>
      </c>
      <c r="T74" s="165">
        <f t="shared" ref="T74:T96" si="15">IFERROR((S74-J74),"n/a")</f>
        <v>-0.36310386333238043</v>
      </c>
      <c r="U74" s="165">
        <f t="shared" ref="U74:U96" si="16">IFERROR((S74-O74),"n/a")</f>
        <v>-0.38130326461954489</v>
      </c>
      <c r="V74" s="175">
        <f t="shared" ref="V74:V96" si="17">IFERROR((S74-R74),"n/a")</f>
        <v>-0.1391868379637291</v>
      </c>
      <c r="W74" s="1"/>
    </row>
    <row r="75" spans="1:23" ht="15" customHeight="1" x14ac:dyDescent="0.2">
      <c r="A75" s="34" t="s">
        <v>480</v>
      </c>
      <c r="B75" s="164">
        <v>3.6032177924997022</v>
      </c>
      <c r="C75" s="164">
        <v>3.7533168428153818</v>
      </c>
      <c r="D75" s="164">
        <v>3.6832258064516115</v>
      </c>
      <c r="E75" s="164">
        <v>3.7502082465639326</v>
      </c>
      <c r="F75" s="164">
        <v>3.4510739856801909</v>
      </c>
      <c r="G75" s="164">
        <v>3.3387945158230572</v>
      </c>
      <c r="H75" s="164">
        <v>3.2613733571817427</v>
      </c>
      <c r="I75" s="164">
        <v>3.18900572341275</v>
      </c>
      <c r="J75" s="164">
        <v>3.0968464146357064</v>
      </c>
      <c r="K75" s="164">
        <v>3.0546558704453446</v>
      </c>
      <c r="L75" s="164">
        <v>3.085052244058252</v>
      </c>
      <c r="M75" s="164">
        <v>3.0549697414267403</v>
      </c>
      <c r="N75" s="164">
        <v>2.9180676066522047</v>
      </c>
      <c r="O75" s="164">
        <v>2.8848069405023278</v>
      </c>
      <c r="P75" s="164">
        <v>2.9013397351506267</v>
      </c>
      <c r="Q75" s="164">
        <v>2.7478356205814496</v>
      </c>
      <c r="R75" s="164">
        <v>2.7669422735681639</v>
      </c>
      <c r="S75" s="164">
        <v>2.7133234387487128</v>
      </c>
      <c r="T75" s="164">
        <f t="shared" si="15"/>
        <v>-0.38352297588699358</v>
      </c>
      <c r="U75" s="164">
        <f t="shared" si="16"/>
        <v>-0.17148350175361493</v>
      </c>
      <c r="V75" s="174">
        <f t="shared" si="17"/>
        <v>-5.3618834819451067E-2</v>
      </c>
      <c r="W75" s="1"/>
    </row>
    <row r="76" spans="1:23" ht="15" customHeight="1" x14ac:dyDescent="0.2">
      <c r="A76" s="34" t="s">
        <v>481</v>
      </c>
      <c r="B76" s="164">
        <v>6.3829899630216609</v>
      </c>
      <c r="C76" s="164">
        <v>5.7012081784386588</v>
      </c>
      <c r="D76" s="164">
        <v>5.6194895591647285</v>
      </c>
      <c r="E76" s="164">
        <v>5.8717328170377474</v>
      </c>
      <c r="F76" s="164">
        <v>5.8232217573221696</v>
      </c>
      <c r="G76" s="164">
        <v>5.6170009551098392</v>
      </c>
      <c r="H76" s="164">
        <v>5.6447841726618631</v>
      </c>
      <c r="I76" s="164">
        <v>5.4905405405405467</v>
      </c>
      <c r="J76" s="164">
        <v>5.6339031339031358</v>
      </c>
      <c r="K76" s="164">
        <v>5.5329045027214203</v>
      </c>
      <c r="L76" s="164">
        <v>5.1824254881808844</v>
      </c>
      <c r="M76" s="164">
        <v>4.7542372881355881</v>
      </c>
      <c r="N76" s="164">
        <v>4.7402190923317704</v>
      </c>
      <c r="O76" s="164">
        <v>4.3659961064244008</v>
      </c>
      <c r="P76" s="164">
        <v>4.4228395061728403</v>
      </c>
      <c r="Q76" s="164">
        <v>4.0570581696924801</v>
      </c>
      <c r="R76" s="164">
        <v>3.9847581179589096</v>
      </c>
      <c r="S76" s="164">
        <v>3.7894736842105292</v>
      </c>
      <c r="T76" s="164">
        <f t="shared" si="15"/>
        <v>-1.8444294496926066</v>
      </c>
      <c r="U76" s="164">
        <f t="shared" si="16"/>
        <v>-0.57652242221387162</v>
      </c>
      <c r="V76" s="174">
        <f t="shared" si="17"/>
        <v>-0.19528443374838034</v>
      </c>
      <c r="W76" s="1"/>
    </row>
    <row r="77" spans="1:23" ht="15" customHeight="1" x14ac:dyDescent="0.2">
      <c r="A77" s="34" t="s">
        <v>482</v>
      </c>
      <c r="B77" s="164">
        <v>2.7135338345864675</v>
      </c>
      <c r="C77" s="164">
        <v>2.6530541012216418</v>
      </c>
      <c r="D77" s="164">
        <v>2.7609609609609613</v>
      </c>
      <c r="E77" s="164">
        <v>2.7232198142414852</v>
      </c>
      <c r="F77" s="164">
        <v>2.8158464034613324</v>
      </c>
      <c r="G77" s="164">
        <v>2.9435110786462158</v>
      </c>
      <c r="H77" s="164">
        <v>3.0806625080662471</v>
      </c>
      <c r="I77" s="164">
        <v>2.9926597582037999</v>
      </c>
      <c r="J77" s="164">
        <v>3.0562136549644627</v>
      </c>
      <c r="K77" s="164">
        <v>2.912280701754387</v>
      </c>
      <c r="L77" s="164">
        <v>3.0127781449658517</v>
      </c>
      <c r="M77" s="164">
        <v>3.033813114005028</v>
      </c>
      <c r="N77" s="164">
        <v>2.8213610586011342</v>
      </c>
      <c r="O77" s="164">
        <v>2.4633521271142964</v>
      </c>
      <c r="P77" s="164">
        <v>2.7795202952029516</v>
      </c>
      <c r="Q77" s="164">
        <v>2.5924627519719543</v>
      </c>
      <c r="R77" s="164">
        <v>2.294566098945662</v>
      </c>
      <c r="S77" s="164">
        <v>2.1946025036579417</v>
      </c>
      <c r="T77" s="164">
        <f t="shared" si="15"/>
        <v>-0.86161115130652099</v>
      </c>
      <c r="U77" s="164">
        <f t="shared" si="16"/>
        <v>-0.26874962345635467</v>
      </c>
      <c r="V77" s="174">
        <f t="shared" si="17"/>
        <v>-9.9963595287720253E-2</v>
      </c>
      <c r="W77" s="1"/>
    </row>
    <row r="78" spans="1:23" ht="15" customHeight="1" x14ac:dyDescent="0.2">
      <c r="A78" s="34" t="s">
        <v>483</v>
      </c>
      <c r="B78" s="164">
        <v>5.367647058823529</v>
      </c>
      <c r="C78" s="164">
        <v>4.9719101123595557</v>
      </c>
      <c r="D78" s="164">
        <v>5.2754318618042166</v>
      </c>
      <c r="E78" s="164">
        <v>5.3183673469387767</v>
      </c>
      <c r="F78" s="164">
        <v>5.0211693548387064</v>
      </c>
      <c r="G78" s="164">
        <v>4.7974999999999994</v>
      </c>
      <c r="H78" s="164">
        <v>4.9333333333333282</v>
      </c>
      <c r="I78" s="164">
        <v>4.9992076069730587</v>
      </c>
      <c r="J78" s="164">
        <v>5.1204819277108431</v>
      </c>
      <c r="K78" s="164">
        <v>5.0485106382978717</v>
      </c>
      <c r="L78" s="164">
        <v>5.1636045494313212</v>
      </c>
      <c r="M78" s="164">
        <v>5.0990990990990959</v>
      </c>
      <c r="N78" s="164">
        <v>5.1062079281974597</v>
      </c>
      <c r="O78" s="164">
        <v>4.7134740259740227</v>
      </c>
      <c r="P78" s="164">
        <v>4.9014675052410954</v>
      </c>
      <c r="Q78" s="164">
        <v>4.7867274569402216</v>
      </c>
      <c r="R78" s="164">
        <v>4.4063195371606625</v>
      </c>
      <c r="S78" s="164">
        <v>4.2038917089678502</v>
      </c>
      <c r="T78" s="164">
        <f t="shared" si="15"/>
        <v>-0.91659021874299285</v>
      </c>
      <c r="U78" s="164">
        <f t="shared" si="16"/>
        <v>-0.5095823170061724</v>
      </c>
      <c r="V78" s="174">
        <f t="shared" si="17"/>
        <v>-0.20242782819281224</v>
      </c>
      <c r="W78" s="1"/>
    </row>
    <row r="79" spans="1:23" ht="15" customHeight="1" x14ac:dyDescent="0.2">
      <c r="A79" s="34" t="s">
        <v>484</v>
      </c>
      <c r="B79" s="164">
        <v>3.2169379450661193</v>
      </c>
      <c r="C79" s="164">
        <v>2.992204899777283</v>
      </c>
      <c r="D79" s="164">
        <v>2.8386694386694362</v>
      </c>
      <c r="E79" s="164">
        <v>3.2552687662799009</v>
      </c>
      <c r="F79" s="164">
        <v>2.8924485125858119</v>
      </c>
      <c r="G79" s="164">
        <v>2.9685074295852747</v>
      </c>
      <c r="H79" s="164">
        <v>2.8652269546090796</v>
      </c>
      <c r="I79" s="164">
        <v>2.8330431418069288</v>
      </c>
      <c r="J79" s="164">
        <v>2.6282479584261296</v>
      </c>
      <c r="K79" s="164">
        <v>2.4674804501239738</v>
      </c>
      <c r="L79" s="164">
        <v>2.4277173913043502</v>
      </c>
      <c r="M79" s="164">
        <v>2.3203406485424178</v>
      </c>
      <c r="N79" s="164">
        <v>2.2269242563630804</v>
      </c>
      <c r="O79" s="164">
        <v>2.1182795698924739</v>
      </c>
      <c r="P79" s="164">
        <v>2.2160523763336535</v>
      </c>
      <c r="Q79" s="164">
        <v>2.0610312571298177</v>
      </c>
      <c r="R79" s="164">
        <v>1.901122860569064</v>
      </c>
      <c r="S79" s="164">
        <v>1.8113613217155109</v>
      </c>
      <c r="T79" s="164">
        <f t="shared" si="15"/>
        <v>-0.81688663671061867</v>
      </c>
      <c r="U79" s="164">
        <f t="shared" si="16"/>
        <v>-0.306918248176963</v>
      </c>
      <c r="V79" s="174">
        <f t="shared" si="17"/>
        <v>-8.9761538853553091E-2</v>
      </c>
      <c r="W79" s="1"/>
    </row>
    <row r="80" spans="1:23" ht="15" customHeight="1" x14ac:dyDescent="0.2">
      <c r="A80" s="34" t="s">
        <v>14</v>
      </c>
      <c r="B80" s="164">
        <v>1.6703067135124865</v>
      </c>
      <c r="C80" s="164">
        <v>1.584120982986768</v>
      </c>
      <c r="D80" s="164">
        <v>1.6772067477442132</v>
      </c>
      <c r="E80" s="164">
        <v>1.9828041384231181</v>
      </c>
      <c r="F80" s="164">
        <v>1.8647862099843273</v>
      </c>
      <c r="G80" s="164">
        <v>1.9607204861111107</v>
      </c>
      <c r="H80" s="164">
        <v>1.907829205126502</v>
      </c>
      <c r="I80" s="164">
        <v>2.0246611445783138</v>
      </c>
      <c r="J80" s="164">
        <v>2.0868783702816049</v>
      </c>
      <c r="K80" s="164">
        <v>2.0005295207836902</v>
      </c>
      <c r="L80" s="164">
        <v>1.9772879989248757</v>
      </c>
      <c r="M80" s="164">
        <v>2.0942395758013976</v>
      </c>
      <c r="N80" s="164">
        <v>2.0101179028346845</v>
      </c>
      <c r="O80" s="164">
        <v>2.0563201561737419</v>
      </c>
      <c r="P80" s="164">
        <v>2.1166467270552047</v>
      </c>
      <c r="Q80" s="164">
        <v>1.836981465136807</v>
      </c>
      <c r="R80" s="164">
        <v>1.7383118064398762</v>
      </c>
      <c r="S80" s="164">
        <v>1.5487593178801191</v>
      </c>
      <c r="T80" s="164">
        <f t="shared" si="15"/>
        <v>-0.53811905240148583</v>
      </c>
      <c r="U80" s="164">
        <f t="shared" si="16"/>
        <v>-0.50756083829362275</v>
      </c>
      <c r="V80" s="174">
        <f t="shared" si="17"/>
        <v>-0.18955248855975704</v>
      </c>
      <c r="W80" s="1"/>
    </row>
    <row r="81" spans="1:23" ht="15" customHeight="1" x14ac:dyDescent="0.2">
      <c r="A81" s="34" t="s">
        <v>485</v>
      </c>
      <c r="B81" s="164">
        <v>4.8602631242815182</v>
      </c>
      <c r="C81" s="164">
        <v>4.8100655869361546</v>
      </c>
      <c r="D81" s="164">
        <v>4.517938529858597</v>
      </c>
      <c r="E81" s="164">
        <v>4.6043093785029239</v>
      </c>
      <c r="F81" s="164">
        <v>4.2708513530211292</v>
      </c>
      <c r="G81" s="164">
        <v>4.2342181574838289</v>
      </c>
      <c r="H81" s="164">
        <v>4.0474730491543873</v>
      </c>
      <c r="I81" s="164">
        <v>4.0472361809045232</v>
      </c>
      <c r="J81" s="164">
        <v>3.9997370957847682</v>
      </c>
      <c r="K81" s="164">
        <v>3.9599291378437655</v>
      </c>
      <c r="L81" s="164">
        <v>3.6269392489488173</v>
      </c>
      <c r="M81" s="164">
        <v>3.7076876329383168</v>
      </c>
      <c r="N81" s="164">
        <v>3.6322457674627202</v>
      </c>
      <c r="O81" s="164">
        <v>3.4454985736084378</v>
      </c>
      <c r="P81" s="164">
        <v>3.6839206045707016</v>
      </c>
      <c r="Q81" s="164">
        <v>3.6686333699231604</v>
      </c>
      <c r="R81" s="164">
        <v>3.4799332611832607</v>
      </c>
      <c r="S81" s="164">
        <v>3.3496308678088873</v>
      </c>
      <c r="T81" s="164">
        <f t="shared" si="15"/>
        <v>-0.65010622797588091</v>
      </c>
      <c r="U81" s="164">
        <f t="shared" si="16"/>
        <v>-9.5867705799550507E-2</v>
      </c>
      <c r="V81" s="174">
        <f t="shared" si="17"/>
        <v>-0.13030239337437344</v>
      </c>
      <c r="W81" s="1"/>
    </row>
    <row r="82" spans="1:23" ht="15" customHeight="1" x14ac:dyDescent="0.2">
      <c r="A82" s="34" t="s">
        <v>486</v>
      </c>
      <c r="B82" s="164">
        <v>2.0448009686695912</v>
      </c>
      <c r="C82" s="164">
        <v>1.8408749145591266</v>
      </c>
      <c r="D82" s="164">
        <v>1.9373013933023682</v>
      </c>
      <c r="E82" s="164">
        <v>2.0327182157817312</v>
      </c>
      <c r="F82" s="164">
        <v>2.1899610136452221</v>
      </c>
      <c r="G82" s="164">
        <v>2.1167657152423196</v>
      </c>
      <c r="H82" s="164">
        <v>2.2816017463674196</v>
      </c>
      <c r="I82" s="164">
        <v>2.2745600546728149</v>
      </c>
      <c r="J82" s="164">
        <v>2.2730973166943382</v>
      </c>
      <c r="K82" s="164">
        <v>2.3338259927086416</v>
      </c>
      <c r="L82" s="164">
        <v>2.4269868915574264</v>
      </c>
      <c r="M82" s="164">
        <v>2.5432041496225679</v>
      </c>
      <c r="N82" s="164">
        <v>2.7044036697247709</v>
      </c>
      <c r="O82" s="164">
        <v>3.2252198833876875</v>
      </c>
      <c r="P82" s="164">
        <v>3.005376519274007</v>
      </c>
      <c r="Q82" s="164">
        <v>2.655649075382442</v>
      </c>
      <c r="R82" s="164">
        <v>2.3873808262711851</v>
      </c>
      <c r="S82" s="164">
        <v>2.1205269014033963</v>
      </c>
      <c r="T82" s="164">
        <f t="shared" si="15"/>
        <v>-0.15257041529094195</v>
      </c>
      <c r="U82" s="164">
        <f t="shared" si="16"/>
        <v>-1.1046929819842912</v>
      </c>
      <c r="V82" s="174">
        <f t="shared" si="17"/>
        <v>-0.26685392486778881</v>
      </c>
      <c r="W82" s="1"/>
    </row>
    <row r="83" spans="1:23" ht="15" customHeight="1" x14ac:dyDescent="0.2">
      <c r="A83" s="34" t="s">
        <v>487</v>
      </c>
      <c r="B83" s="164">
        <v>2.5871626549963551</v>
      </c>
      <c r="C83" s="164">
        <v>2.7879282218597048</v>
      </c>
      <c r="D83" s="164">
        <v>2.5201298701298658</v>
      </c>
      <c r="E83" s="164">
        <v>2.3944444444444475</v>
      </c>
      <c r="F83" s="164">
        <v>2.3198103266596455</v>
      </c>
      <c r="G83" s="164">
        <v>2.2649122807017559</v>
      </c>
      <c r="H83" s="164">
        <v>2.3196861139542797</v>
      </c>
      <c r="I83" s="164">
        <v>2.4226804123711325</v>
      </c>
      <c r="J83" s="164">
        <v>2.4164660568127125</v>
      </c>
      <c r="K83" s="164">
        <v>2.3788340442819393</v>
      </c>
      <c r="L83" s="164">
        <v>2.2669322709163318</v>
      </c>
      <c r="M83" s="164">
        <v>2.3578333807222052</v>
      </c>
      <c r="N83" s="164">
        <v>2.4928691918417449</v>
      </c>
      <c r="O83" s="164">
        <v>2.7790096082779012</v>
      </c>
      <c r="P83" s="164">
        <v>2.9681329423264931</v>
      </c>
      <c r="Q83" s="164">
        <v>2.7236969579538854</v>
      </c>
      <c r="R83" s="164">
        <v>2.5253164556962027</v>
      </c>
      <c r="S83" s="164">
        <v>2.2866619284529701</v>
      </c>
      <c r="T83" s="164">
        <f t="shared" si="15"/>
        <v>-0.12980412835974242</v>
      </c>
      <c r="U83" s="164">
        <f t="shared" si="16"/>
        <v>-0.49234767982493111</v>
      </c>
      <c r="V83" s="174">
        <f t="shared" si="17"/>
        <v>-0.23865452724323255</v>
      </c>
      <c r="W83" s="1"/>
    </row>
    <row r="84" spans="1:23" ht="15" customHeight="1" x14ac:dyDescent="0.2">
      <c r="A84" s="34" t="s">
        <v>488</v>
      </c>
      <c r="B84" s="164">
        <v>4.1837557603686619</v>
      </c>
      <c r="C84" s="164">
        <v>3.7859973579920752</v>
      </c>
      <c r="D84" s="164">
        <v>4.0257159555815374</v>
      </c>
      <c r="E84" s="164">
        <v>3.9709133216986618</v>
      </c>
      <c r="F84" s="164">
        <v>3.5810298102981015</v>
      </c>
      <c r="G84" s="164">
        <v>3.7722818478768083</v>
      </c>
      <c r="H84" s="164">
        <v>3.7246192893400991</v>
      </c>
      <c r="I84" s="164">
        <v>3.5065255731922367</v>
      </c>
      <c r="J84" s="164">
        <v>3.7096077725800676</v>
      </c>
      <c r="K84" s="164">
        <v>3.8248508248508255</v>
      </c>
      <c r="L84" s="164">
        <v>3.6550983899821095</v>
      </c>
      <c r="M84" s="164">
        <v>3.6229074889867849</v>
      </c>
      <c r="N84" s="164">
        <v>3.7407077014570334</v>
      </c>
      <c r="O84" s="164">
        <v>3.0664568030779993</v>
      </c>
      <c r="P84" s="164">
        <v>3.2302875695732833</v>
      </c>
      <c r="Q84" s="164">
        <v>2.8830935251798575</v>
      </c>
      <c r="R84" s="164">
        <v>2.7620384366227562</v>
      </c>
      <c r="S84" s="164">
        <v>2.5700150570015108</v>
      </c>
      <c r="T84" s="164">
        <f t="shared" si="15"/>
        <v>-1.1395927155785568</v>
      </c>
      <c r="U84" s="164">
        <f t="shared" si="16"/>
        <v>-0.4964417460764885</v>
      </c>
      <c r="V84" s="174">
        <f t="shared" si="17"/>
        <v>-0.19202337962124538</v>
      </c>
      <c r="W84" s="1"/>
    </row>
    <row r="85" spans="1:23" ht="15" customHeight="1" x14ac:dyDescent="0.2">
      <c r="A85" s="42" t="s">
        <v>6</v>
      </c>
      <c r="B85" s="165">
        <v>1.7329336685360666</v>
      </c>
      <c r="C85" s="165">
        <v>1.3562736361253602</v>
      </c>
      <c r="D85" s="165">
        <v>1.4554975706316355</v>
      </c>
      <c r="E85" s="165">
        <v>1.6055702505056795</v>
      </c>
      <c r="F85" s="165">
        <v>1.6503822937625756</v>
      </c>
      <c r="G85" s="165">
        <v>1.5847533431727712</v>
      </c>
      <c r="H85" s="165">
        <v>1.7321239873194783</v>
      </c>
      <c r="I85" s="165">
        <v>1.5859943375264312</v>
      </c>
      <c r="J85" s="165">
        <v>1.4462346434491629</v>
      </c>
      <c r="K85" s="165">
        <v>1.4204932939304387</v>
      </c>
      <c r="L85" s="165">
        <v>1.4183594573697897</v>
      </c>
      <c r="M85" s="165">
        <v>1.633370789522969</v>
      </c>
      <c r="N85" s="165">
        <v>1.4443883247381573</v>
      </c>
      <c r="O85" s="165">
        <v>1.5204925690021227</v>
      </c>
      <c r="P85" s="165">
        <v>1.765881205920711</v>
      </c>
      <c r="Q85" s="165">
        <v>1.7394118050318781</v>
      </c>
      <c r="R85" s="165">
        <v>1.6436591721062666</v>
      </c>
      <c r="S85" s="165">
        <v>1.4174391886538311</v>
      </c>
      <c r="T85" s="165">
        <f t="shared" si="15"/>
        <v>-2.8795454795331743E-2</v>
      </c>
      <c r="U85" s="165">
        <f t="shared" si="16"/>
        <v>-0.10305338034829159</v>
      </c>
      <c r="V85" s="175">
        <f t="shared" si="17"/>
        <v>-0.22621998345243544</v>
      </c>
      <c r="W85" s="1"/>
    </row>
    <row r="86" spans="1:23" ht="15" customHeight="1" x14ac:dyDescent="0.2">
      <c r="A86" s="34" t="s">
        <v>480</v>
      </c>
      <c r="B86" s="164">
        <v>1.4271859372632214</v>
      </c>
      <c r="C86" s="164">
        <v>1.2555408970976254</v>
      </c>
      <c r="D86" s="164">
        <v>1.3746152899175179</v>
      </c>
      <c r="E86" s="164">
        <v>1.4328969985455506</v>
      </c>
      <c r="F86" s="164">
        <v>1.508750951190347</v>
      </c>
      <c r="G86" s="164">
        <v>1.4582336523125994</v>
      </c>
      <c r="H86" s="164">
        <v>1.5347375873971147</v>
      </c>
      <c r="I86" s="164">
        <v>1.2863478260869563</v>
      </c>
      <c r="J86" s="164">
        <v>1.1365597301749153</v>
      </c>
      <c r="K86" s="164">
        <v>1.0801845193677497</v>
      </c>
      <c r="L86" s="164">
        <v>1.1143359146222425</v>
      </c>
      <c r="M86" s="164">
        <v>1.4166525063721318</v>
      </c>
      <c r="N86" s="164">
        <v>1.2438604544411298</v>
      </c>
      <c r="O86" s="164">
        <v>1.3777890466531444</v>
      </c>
      <c r="P86" s="164">
        <v>1.598753796209027</v>
      </c>
      <c r="Q86" s="164">
        <v>1.5819450048999828</v>
      </c>
      <c r="R86" s="164">
        <v>1.4926792276731025</v>
      </c>
      <c r="S86" s="164">
        <v>1.3702926431153086</v>
      </c>
      <c r="T86" s="164">
        <f t="shared" si="15"/>
        <v>0.23373291294039333</v>
      </c>
      <c r="U86" s="164">
        <f t="shared" si="16"/>
        <v>-7.4964035378357607E-3</v>
      </c>
      <c r="V86" s="174">
        <f t="shared" si="17"/>
        <v>-0.12238658455779383</v>
      </c>
      <c r="W86" s="1"/>
    </row>
    <row r="87" spans="1:23" ht="15" customHeight="1" x14ac:dyDescent="0.2">
      <c r="A87" s="34" t="s">
        <v>481</v>
      </c>
      <c r="B87" s="164">
        <v>2.3280632411067188</v>
      </c>
      <c r="C87" s="164">
        <v>1.6821705426356592</v>
      </c>
      <c r="D87" s="164">
        <v>1.7665130568356373</v>
      </c>
      <c r="E87" s="164">
        <v>2.2437357630979511</v>
      </c>
      <c r="F87" s="164">
        <v>2.1306240928882438</v>
      </c>
      <c r="G87" s="164">
        <v>2.2422434367541761</v>
      </c>
      <c r="H87" s="164">
        <v>2.1458576429404905</v>
      </c>
      <c r="I87" s="164">
        <v>1.9941176470588236</v>
      </c>
      <c r="J87" s="164">
        <v>1.9931153184165229</v>
      </c>
      <c r="K87" s="164">
        <v>1.6561232765612335</v>
      </c>
      <c r="L87" s="164">
        <v>1.5206677265500792</v>
      </c>
      <c r="M87" s="164">
        <v>1.6442738323736403</v>
      </c>
      <c r="N87" s="164">
        <v>1.6674786845310594</v>
      </c>
      <c r="O87" s="164">
        <v>1.8326497128794097</v>
      </c>
      <c r="P87" s="164">
        <v>1.9246108949416341</v>
      </c>
      <c r="Q87" s="164">
        <v>1.8258629572385372</v>
      </c>
      <c r="R87" s="164">
        <v>1.7005917159763317</v>
      </c>
      <c r="S87" s="164">
        <v>1.6743515850144082</v>
      </c>
      <c r="T87" s="164">
        <f t="shared" si="15"/>
        <v>-0.31876373340211472</v>
      </c>
      <c r="U87" s="164">
        <f t="shared" si="16"/>
        <v>-0.15829812786500153</v>
      </c>
      <c r="V87" s="174">
        <f t="shared" si="17"/>
        <v>-2.6240130961923569E-2</v>
      </c>
      <c r="W87" s="1"/>
    </row>
    <row r="88" spans="1:23" ht="15" customHeight="1" x14ac:dyDescent="0.2">
      <c r="A88" s="34" t="s">
        <v>482</v>
      </c>
      <c r="B88" s="164">
        <v>1.7957124842370744</v>
      </c>
      <c r="C88" s="164">
        <v>1.5715481171548111</v>
      </c>
      <c r="D88" s="164">
        <v>1.6630434782608692</v>
      </c>
      <c r="E88" s="164">
        <v>1.9784644194756575</v>
      </c>
      <c r="F88" s="164">
        <v>1.9932203389830505</v>
      </c>
      <c r="G88" s="164">
        <v>1.9719813208805865</v>
      </c>
      <c r="H88" s="164">
        <v>1.9236588720770289</v>
      </c>
      <c r="I88" s="164">
        <v>2.0860778443113768</v>
      </c>
      <c r="J88" s="164">
        <v>1.8550724637681162</v>
      </c>
      <c r="K88" s="164">
        <v>1.7434944237918222</v>
      </c>
      <c r="L88" s="164">
        <v>1.8235694822888284</v>
      </c>
      <c r="M88" s="164">
        <v>2.2633872976338729</v>
      </c>
      <c r="N88" s="164">
        <v>1.7822164948453612</v>
      </c>
      <c r="O88" s="164">
        <v>1.8274111675126905</v>
      </c>
      <c r="P88" s="164">
        <v>2.236682400539447</v>
      </c>
      <c r="Q88" s="164">
        <v>2.3946608946608947</v>
      </c>
      <c r="R88" s="164">
        <v>2.3760504201680677</v>
      </c>
      <c r="S88" s="164">
        <v>1.7850404312668458</v>
      </c>
      <c r="T88" s="164">
        <f t="shared" si="15"/>
        <v>-7.0032032501270436E-2</v>
      </c>
      <c r="U88" s="164">
        <f t="shared" si="16"/>
        <v>-4.2370736245844753E-2</v>
      </c>
      <c r="V88" s="174">
        <f t="shared" si="17"/>
        <v>-0.59100998890122192</v>
      </c>
      <c r="W88" s="1"/>
    </row>
    <row r="89" spans="1:23" ht="15" customHeight="1" x14ac:dyDescent="0.2">
      <c r="A89" s="34" t="s">
        <v>483</v>
      </c>
      <c r="B89" s="164">
        <v>3.2989690721649501</v>
      </c>
      <c r="C89" s="164">
        <v>3.0220994475138125</v>
      </c>
      <c r="D89" s="164">
        <v>2.8061224489795897</v>
      </c>
      <c r="E89" s="164">
        <v>2.5707317073170719</v>
      </c>
      <c r="F89" s="164">
        <v>2.5283687943262443</v>
      </c>
      <c r="G89" s="164">
        <v>2.4134615384615392</v>
      </c>
      <c r="H89" s="164">
        <v>2.6542372881355947</v>
      </c>
      <c r="I89" s="164">
        <v>2.8532818532818531</v>
      </c>
      <c r="J89" s="164">
        <v>2.0477137176938385</v>
      </c>
      <c r="K89" s="164">
        <v>2.0188679245283039</v>
      </c>
      <c r="L89" s="164">
        <v>2.1680814940577235</v>
      </c>
      <c r="M89" s="164">
        <v>2.615830115830116</v>
      </c>
      <c r="N89" s="164">
        <v>2.4051383399209483</v>
      </c>
      <c r="O89" s="164">
        <v>2.3137254901960782</v>
      </c>
      <c r="P89" s="164">
        <v>2.7367387033398822</v>
      </c>
      <c r="Q89" s="164">
        <v>2.4972577696526503</v>
      </c>
      <c r="R89" s="164">
        <v>2.5345211581291736</v>
      </c>
      <c r="S89" s="164">
        <v>2.0227848101265824</v>
      </c>
      <c r="T89" s="164">
        <f t="shared" si="15"/>
        <v>-2.4928907567256076E-2</v>
      </c>
      <c r="U89" s="164">
        <f t="shared" si="16"/>
        <v>-0.29094068006949581</v>
      </c>
      <c r="V89" s="174">
        <f t="shared" si="17"/>
        <v>-0.51173634800259116</v>
      </c>
      <c r="W89" s="1"/>
    </row>
    <row r="90" spans="1:23" ht="15" customHeight="1" x14ac:dyDescent="0.2">
      <c r="A90" s="34" t="s">
        <v>484</v>
      </c>
      <c r="B90" s="164">
        <v>1.3333333333333339</v>
      </c>
      <c r="C90" s="164">
        <v>1.1290322580645187</v>
      </c>
      <c r="D90" s="164">
        <v>1.7564102564102564</v>
      </c>
      <c r="E90" s="164">
        <v>1.1750000000000007</v>
      </c>
      <c r="F90" s="164">
        <v>0.70796460176990994</v>
      </c>
      <c r="G90" s="164">
        <v>0.90598290598290721</v>
      </c>
      <c r="H90" s="164">
        <v>0.92771084337349308</v>
      </c>
      <c r="I90" s="164">
        <v>1.3582089552238799</v>
      </c>
      <c r="J90" s="164">
        <v>1.3500000000000023</v>
      </c>
      <c r="K90" s="164">
        <v>1.1969696969696972</v>
      </c>
      <c r="L90" s="164">
        <v>1.8965517241379306</v>
      </c>
      <c r="M90" s="164">
        <v>1.0781249999999982</v>
      </c>
      <c r="N90" s="164">
        <v>1.2653061224489823</v>
      </c>
      <c r="O90" s="164">
        <v>1.4642857142857144</v>
      </c>
      <c r="P90" s="164">
        <v>0.73333333333333428</v>
      </c>
      <c r="Q90" s="164">
        <v>1.3603603603603638</v>
      </c>
      <c r="R90" s="164">
        <v>1.3232323232323209</v>
      </c>
      <c r="S90" s="164">
        <v>1.1428571428571423</v>
      </c>
      <c r="T90" s="164">
        <f t="shared" si="15"/>
        <v>-0.20714285714285996</v>
      </c>
      <c r="U90" s="164">
        <f t="shared" si="16"/>
        <v>-0.32142857142857206</v>
      </c>
      <c r="V90" s="174">
        <f t="shared" si="17"/>
        <v>-0.18037518037517852</v>
      </c>
      <c r="W90" s="1"/>
    </row>
    <row r="91" spans="1:23" ht="15" customHeight="1" x14ac:dyDescent="0.2">
      <c r="A91" s="34" t="s">
        <v>14</v>
      </c>
      <c r="B91" s="164">
        <v>1.3875181422351242</v>
      </c>
      <c r="C91" s="164">
        <v>0.7827181208053684</v>
      </c>
      <c r="D91" s="164">
        <v>0.72227674190382718</v>
      </c>
      <c r="E91" s="164">
        <v>1.0374493927125519</v>
      </c>
      <c r="F91" s="164">
        <v>1.0927561837455828</v>
      </c>
      <c r="G91" s="164">
        <v>1.020596372579158</v>
      </c>
      <c r="H91" s="164">
        <v>1.2258722247394651</v>
      </c>
      <c r="I91" s="164">
        <v>1.1870503597122299</v>
      </c>
      <c r="J91" s="164">
        <v>1.0731279251170047</v>
      </c>
      <c r="K91" s="164">
        <v>1.0525925925925925</v>
      </c>
      <c r="L91" s="164">
        <v>0.90088984351027968</v>
      </c>
      <c r="M91" s="164">
        <v>0.88744186046511597</v>
      </c>
      <c r="N91" s="164">
        <v>0.70320035072336662</v>
      </c>
      <c r="O91" s="164">
        <v>0.95917441596733966</v>
      </c>
      <c r="P91" s="164">
        <v>1.0654346096029714</v>
      </c>
      <c r="Q91" s="164">
        <v>1.0473890039107436</v>
      </c>
      <c r="R91" s="164">
        <v>1.1737266767523948</v>
      </c>
      <c r="S91" s="164">
        <v>1.0599230346344148</v>
      </c>
      <c r="T91" s="164">
        <f t="shared" si="15"/>
        <v>-1.3204890482589882E-2</v>
      </c>
      <c r="U91" s="164">
        <f t="shared" si="16"/>
        <v>0.10074861866707518</v>
      </c>
      <c r="V91" s="174">
        <f t="shared" si="17"/>
        <v>-0.11380364211798</v>
      </c>
      <c r="W91" s="1"/>
    </row>
    <row r="92" spans="1:23" ht="15" customHeight="1" x14ac:dyDescent="0.2">
      <c r="A92" s="34" t="s">
        <v>485</v>
      </c>
      <c r="B92" s="164">
        <v>2.5360230547550433</v>
      </c>
      <c r="C92" s="164">
        <v>2.3860969003912116</v>
      </c>
      <c r="D92" s="164">
        <v>2.4660633484162897</v>
      </c>
      <c r="E92" s="164">
        <v>2.2452237001209188</v>
      </c>
      <c r="F92" s="164">
        <v>2.3218718209562565</v>
      </c>
      <c r="G92" s="164">
        <v>2.3279956818999636</v>
      </c>
      <c r="H92" s="164">
        <v>2.4883233532934126</v>
      </c>
      <c r="I92" s="164">
        <v>2.309479668767767</v>
      </c>
      <c r="J92" s="164">
        <v>1.9623410657090163</v>
      </c>
      <c r="K92" s="164">
        <v>1.8660177271288383</v>
      </c>
      <c r="L92" s="164">
        <v>1.9785072008187727</v>
      </c>
      <c r="M92" s="164">
        <v>2.2654399323181051</v>
      </c>
      <c r="N92" s="164">
        <v>2.1859618946811326</v>
      </c>
      <c r="O92" s="164">
        <v>2.2029544599171995</v>
      </c>
      <c r="P92" s="164">
        <v>2.5026203619593321</v>
      </c>
      <c r="Q92" s="164">
        <v>2.5554929180466486</v>
      </c>
      <c r="R92" s="164">
        <v>2.4432127020454866</v>
      </c>
      <c r="S92" s="164">
        <v>1.9895918367346939</v>
      </c>
      <c r="T92" s="164">
        <f t="shared" si="15"/>
        <v>2.7250771025677523E-2</v>
      </c>
      <c r="U92" s="164">
        <f t="shared" si="16"/>
        <v>-0.21336262318250565</v>
      </c>
      <c r="V92" s="174">
        <f t="shared" si="17"/>
        <v>-0.45362086531079271</v>
      </c>
      <c r="W92" s="1"/>
    </row>
    <row r="93" spans="1:23" ht="15" customHeight="1" x14ac:dyDescent="0.2">
      <c r="A93" s="34" t="s">
        <v>486</v>
      </c>
      <c r="B93" s="164">
        <v>1.2416197975253107</v>
      </c>
      <c r="C93" s="164">
        <v>0.7037655828299707</v>
      </c>
      <c r="D93" s="164">
        <v>0.73080444735120942</v>
      </c>
      <c r="E93" s="164">
        <v>1.1268099375095266</v>
      </c>
      <c r="F93" s="164">
        <v>1.2855885201162076</v>
      </c>
      <c r="G93" s="164">
        <v>1.236520036366179</v>
      </c>
      <c r="H93" s="164">
        <v>1.4717661451290969</v>
      </c>
      <c r="I93" s="164">
        <v>1.3603746047190466</v>
      </c>
      <c r="J93" s="164">
        <v>1.2906440407721655</v>
      </c>
      <c r="K93" s="164">
        <v>1.2106011706142992</v>
      </c>
      <c r="L93" s="164">
        <v>1.0734607690597908</v>
      </c>
      <c r="M93" s="164">
        <v>1.2067822400956469</v>
      </c>
      <c r="N93" s="164">
        <v>1.0166462532012028</v>
      </c>
      <c r="O93" s="164">
        <v>1.2159737417943113</v>
      </c>
      <c r="P93" s="164">
        <v>1.4863880273716337</v>
      </c>
      <c r="Q93" s="164">
        <v>1.2875952875952885</v>
      </c>
      <c r="R93" s="164">
        <v>1.0893406307010682</v>
      </c>
      <c r="S93" s="164">
        <v>0.9350748548732053</v>
      </c>
      <c r="T93" s="164">
        <f t="shared" si="15"/>
        <v>-0.35556918589896025</v>
      </c>
      <c r="U93" s="164">
        <f t="shared" si="16"/>
        <v>-0.28089888692110598</v>
      </c>
      <c r="V93" s="174">
        <f t="shared" si="17"/>
        <v>-0.15426577582786294</v>
      </c>
      <c r="W93" s="1"/>
    </row>
    <row r="94" spans="1:23" ht="15" customHeight="1" x14ac:dyDescent="0.2">
      <c r="A94" s="34" t="s">
        <v>487</v>
      </c>
      <c r="B94" s="164">
        <v>1.9209885137486946</v>
      </c>
      <c r="C94" s="164">
        <v>1.8001822046765872</v>
      </c>
      <c r="D94" s="164">
        <v>1.7830773376448397</v>
      </c>
      <c r="E94" s="164">
        <v>1.8103644646924826</v>
      </c>
      <c r="F94" s="164">
        <v>1.8723364485981309</v>
      </c>
      <c r="G94" s="164">
        <v>1.7751462405478673</v>
      </c>
      <c r="H94" s="164">
        <v>1.9450023353573096</v>
      </c>
      <c r="I94" s="164">
        <v>1.6497369679579146</v>
      </c>
      <c r="J94" s="164">
        <v>1.4889052709178037</v>
      </c>
      <c r="K94" s="164">
        <v>1.6315789473684212</v>
      </c>
      <c r="L94" s="164">
        <v>1.7658639765701265</v>
      </c>
      <c r="M94" s="164">
        <v>2.1064970467969113</v>
      </c>
      <c r="N94" s="164">
        <v>1.8588259826921067</v>
      </c>
      <c r="O94" s="164">
        <v>1.940333273606881</v>
      </c>
      <c r="P94" s="164">
        <v>2.1870924817032602</v>
      </c>
      <c r="Q94" s="164">
        <v>2.0406504065040654</v>
      </c>
      <c r="R94" s="164">
        <v>1.9831233383423879</v>
      </c>
      <c r="S94" s="164">
        <v>1.5841466059423119</v>
      </c>
      <c r="T94" s="164">
        <f t="shared" si="15"/>
        <v>9.5241335024508267E-2</v>
      </c>
      <c r="U94" s="164">
        <f t="shared" si="16"/>
        <v>-0.35618666766456908</v>
      </c>
      <c r="V94" s="174">
        <f t="shared" si="17"/>
        <v>-0.39897673240007592</v>
      </c>
      <c r="W94" s="1"/>
    </row>
    <row r="95" spans="1:23" ht="15" customHeight="1" x14ac:dyDescent="0.2">
      <c r="A95" s="34" t="s">
        <v>488</v>
      </c>
      <c r="B95" s="164">
        <v>2.2403846153846159</v>
      </c>
      <c r="C95" s="164">
        <v>2.0131274131274139</v>
      </c>
      <c r="D95" s="164">
        <v>2.364109232769831</v>
      </c>
      <c r="E95" s="164">
        <v>2.2614870509607323</v>
      </c>
      <c r="F95" s="164">
        <v>2.4137507673419272</v>
      </c>
      <c r="G95" s="164">
        <v>2.31093836757357</v>
      </c>
      <c r="H95" s="164">
        <v>2.1454545454545455</v>
      </c>
      <c r="I95" s="164">
        <v>2.252685132843415</v>
      </c>
      <c r="J95" s="164">
        <v>2.0261212419911274</v>
      </c>
      <c r="K95" s="164">
        <v>2.0009808729769487</v>
      </c>
      <c r="L95" s="164">
        <v>2.0090377458798514</v>
      </c>
      <c r="M95" s="164">
        <v>2.3941908713692941</v>
      </c>
      <c r="N95" s="164">
        <v>2.0744248985115021</v>
      </c>
      <c r="O95" s="164">
        <v>1.9885386819484241</v>
      </c>
      <c r="P95" s="164">
        <v>2.4766031195840554</v>
      </c>
      <c r="Q95" s="164">
        <v>2.0791547277936964</v>
      </c>
      <c r="R95" s="164">
        <v>2.0619672131147544</v>
      </c>
      <c r="S95" s="164">
        <v>1.8776057176891001</v>
      </c>
      <c r="T95" s="164">
        <f t="shared" si="15"/>
        <v>-0.1485155243020273</v>
      </c>
      <c r="U95" s="164">
        <f t="shared" si="16"/>
        <v>-0.11093296425932397</v>
      </c>
      <c r="V95" s="174">
        <f t="shared" si="17"/>
        <v>-0.18436149542565428</v>
      </c>
      <c r="W95" s="1"/>
    </row>
    <row r="96" spans="1:23" ht="15" customHeight="1" x14ac:dyDescent="0.2">
      <c r="A96" s="42" t="s">
        <v>0</v>
      </c>
      <c r="B96" s="165">
        <v>2.7506151722482297</v>
      </c>
      <c r="C96" s="165">
        <v>2.477092457255976</v>
      </c>
      <c r="D96" s="165">
        <v>2.4866123686188502</v>
      </c>
      <c r="E96" s="165">
        <v>2.631561847876343</v>
      </c>
      <c r="F96" s="165">
        <v>2.4397308398518343</v>
      </c>
      <c r="G96" s="165">
        <v>2.3856777017274284</v>
      </c>
      <c r="H96" s="165">
        <v>2.4247639790713098</v>
      </c>
      <c r="I96" s="165">
        <v>2.3600326445821134</v>
      </c>
      <c r="J96" s="165">
        <v>2.2520255365352497</v>
      </c>
      <c r="K96" s="165">
        <v>2.2000878484871969</v>
      </c>
      <c r="L96" s="165">
        <v>2.2040651109902605</v>
      </c>
      <c r="M96" s="165">
        <v>2.3520688180988367</v>
      </c>
      <c r="N96" s="165">
        <v>2.2692229813772391</v>
      </c>
      <c r="O96" s="165">
        <v>2.2928749120989638</v>
      </c>
      <c r="P96" s="165">
        <v>2.5098492503342626</v>
      </c>
      <c r="Q96" s="165">
        <v>2.4094446765383966</v>
      </c>
      <c r="R96" s="165">
        <v>2.2760462080600972</v>
      </c>
      <c r="S96" s="165">
        <v>2.0887406933243788</v>
      </c>
      <c r="T96" s="165">
        <f t="shared" si="15"/>
        <v>-0.16328484321087089</v>
      </c>
      <c r="U96" s="165">
        <f t="shared" si="16"/>
        <v>-0.20413421877458493</v>
      </c>
      <c r="V96" s="175">
        <f t="shared" si="17"/>
        <v>-0.18730551473571833</v>
      </c>
      <c r="W96" s="1"/>
    </row>
    <row r="97" spans="1:23" ht="15" customHeight="1" x14ac:dyDescent="0.2">
      <c r="A97" s="44"/>
      <c r="B97" s="44"/>
      <c r="C97" s="44"/>
      <c r="D97" s="44"/>
      <c r="E97" s="44"/>
      <c r="F97" s="44"/>
      <c r="G97" s="44"/>
      <c r="H97" s="44"/>
      <c r="I97" s="44"/>
      <c r="J97" s="44"/>
      <c r="K97" s="44"/>
      <c r="L97" s="44"/>
      <c r="M97" s="44"/>
      <c r="N97" s="44"/>
      <c r="O97" s="44"/>
      <c r="P97" s="44"/>
      <c r="Q97" s="44"/>
      <c r="R97" s="44"/>
      <c r="S97" s="44"/>
      <c r="T97" s="51"/>
      <c r="U97" s="51"/>
      <c r="V97" s="44"/>
      <c r="W97" s="1"/>
    </row>
    <row r="98" spans="1:23" ht="15" customHeight="1" x14ac:dyDescent="0.2">
      <c r="A98" s="35" t="s">
        <v>392</v>
      </c>
      <c r="B98" s="35"/>
      <c r="C98" s="35"/>
      <c r="D98" s="35"/>
      <c r="E98" s="35"/>
      <c r="F98" s="35"/>
      <c r="G98" s="35"/>
      <c r="H98" s="35"/>
      <c r="I98" s="35"/>
      <c r="J98" s="35"/>
      <c r="K98" s="35"/>
      <c r="L98" s="35"/>
      <c r="M98" s="35"/>
      <c r="N98" s="35"/>
      <c r="O98" s="35"/>
      <c r="P98" s="35"/>
      <c r="Q98" s="35"/>
      <c r="R98" s="35"/>
      <c r="S98" s="35"/>
      <c r="T98" s="75"/>
      <c r="U98" s="75"/>
      <c r="V98" s="35"/>
      <c r="W98" s="1"/>
    </row>
    <row r="99" spans="1:23" ht="48" customHeight="1" x14ac:dyDescent="0.2">
      <c r="A99" s="36" t="s">
        <v>73</v>
      </c>
      <c r="B99" s="15">
        <v>2007</v>
      </c>
      <c r="C99" s="15">
        <v>2008</v>
      </c>
      <c r="D99" s="15">
        <v>2009</v>
      </c>
      <c r="E99" s="15">
        <v>2010</v>
      </c>
      <c r="F99" s="15">
        <v>2011</v>
      </c>
      <c r="G99" s="15">
        <v>2012</v>
      </c>
      <c r="H99" s="15">
        <v>2013</v>
      </c>
      <c r="I99" s="15">
        <v>2014</v>
      </c>
      <c r="J99" s="15">
        <v>2015</v>
      </c>
      <c r="K99" s="15">
        <v>2016</v>
      </c>
      <c r="L99" s="15">
        <v>2017</v>
      </c>
      <c r="M99" s="15">
        <v>2018</v>
      </c>
      <c r="N99" s="15">
        <v>2019</v>
      </c>
      <c r="O99" s="15">
        <v>2020</v>
      </c>
      <c r="P99" s="15">
        <v>2021</v>
      </c>
      <c r="Q99" s="15">
        <v>2022</v>
      </c>
      <c r="R99" s="15">
        <v>2023</v>
      </c>
      <c r="S99" s="15">
        <v>2024</v>
      </c>
      <c r="T99" s="27" t="s">
        <v>469</v>
      </c>
      <c r="U99" s="27" t="s">
        <v>470</v>
      </c>
      <c r="V99" s="27" t="s">
        <v>471</v>
      </c>
      <c r="W99" s="1"/>
    </row>
    <row r="100" spans="1:23" ht="15" customHeight="1" x14ac:dyDescent="0.2">
      <c r="A100" s="42" t="s">
        <v>5</v>
      </c>
      <c r="B100" s="166">
        <v>3.208576277086415</v>
      </c>
      <c r="C100" s="166">
        <v>3.1133571398206019</v>
      </c>
      <c r="D100" s="166">
        <v>3.023401783706813</v>
      </c>
      <c r="E100" s="166">
        <v>3.1171413317623653</v>
      </c>
      <c r="F100" s="166">
        <v>2.9564308794605214</v>
      </c>
      <c r="G100" s="166">
        <v>2.9572023553066202</v>
      </c>
      <c r="H100" s="166">
        <v>2.9230996663240738</v>
      </c>
      <c r="I100" s="166">
        <v>2.9069626103141335</v>
      </c>
      <c r="J100" s="166">
        <v>2.8944150775615061</v>
      </c>
      <c r="K100" s="166">
        <v>2.850002368882361</v>
      </c>
      <c r="L100" s="166">
        <v>2.820414419779226</v>
      </c>
      <c r="M100" s="166">
        <v>2.8983933292658133</v>
      </c>
      <c r="N100" s="166">
        <v>2.904944835428255</v>
      </c>
      <c r="O100" s="166">
        <v>2.9126144788486705</v>
      </c>
      <c r="P100" s="166">
        <v>3.012139138463116</v>
      </c>
      <c r="Q100" s="166">
        <v>2.8134797274952046</v>
      </c>
      <c r="R100" s="166">
        <v>2.6704980521928547</v>
      </c>
      <c r="S100" s="166">
        <v>2.5313112142291256</v>
      </c>
      <c r="T100" s="165">
        <f t="shared" ref="T100:T117" si="18">IFERROR((S100-J100),"n/a")</f>
        <v>-0.36310386333238043</v>
      </c>
      <c r="U100" s="165">
        <f t="shared" ref="U100:U117" si="19">IFERROR((S100-O100),"n/a")</f>
        <v>-0.38130326461954489</v>
      </c>
      <c r="V100" s="175">
        <f t="shared" ref="V100:V117" si="20">IFERROR((S100-R100),"n/a")</f>
        <v>-0.1391868379637291</v>
      </c>
      <c r="W100" s="1"/>
    </row>
    <row r="101" spans="1:23" ht="15" customHeight="1" x14ac:dyDescent="0.2">
      <c r="A101" s="34" t="s">
        <v>18</v>
      </c>
      <c r="B101" s="167">
        <v>3.2577855101279987</v>
      </c>
      <c r="C101" s="167">
        <v>3.1405711296573688</v>
      </c>
      <c r="D101" s="167">
        <v>3.0717139133964224</v>
      </c>
      <c r="E101" s="167">
        <v>3.1618386047886506</v>
      </c>
      <c r="F101" s="167">
        <v>3.013840056904785</v>
      </c>
      <c r="G101" s="167">
        <v>3.030480591497227</v>
      </c>
      <c r="H101" s="167">
        <v>3.0150772772114429</v>
      </c>
      <c r="I101" s="167">
        <v>2.9958906394528935</v>
      </c>
      <c r="J101" s="167">
        <v>2.9761969368065593</v>
      </c>
      <c r="K101" s="167">
        <v>2.9314017895185334</v>
      </c>
      <c r="L101" s="167">
        <v>2.9393218405198205</v>
      </c>
      <c r="M101" s="167">
        <v>2.973266902389371</v>
      </c>
      <c r="N101" s="167">
        <v>2.9295486816088765</v>
      </c>
      <c r="O101" s="167">
        <v>2.9653315140307726</v>
      </c>
      <c r="P101" s="167">
        <v>3.0171509281678759</v>
      </c>
      <c r="Q101" s="167">
        <v>2.8174305341946067</v>
      </c>
      <c r="R101" s="167">
        <v>2.637473594841266</v>
      </c>
      <c r="S101" s="167">
        <v>2.5199898329856065</v>
      </c>
      <c r="T101" s="164">
        <f t="shared" si="18"/>
        <v>-0.45620710382095275</v>
      </c>
      <c r="U101" s="164">
        <f t="shared" si="19"/>
        <v>-0.44534168104516603</v>
      </c>
      <c r="V101" s="174">
        <f t="shared" si="20"/>
        <v>-0.11748376185565945</v>
      </c>
      <c r="W101" s="1"/>
    </row>
    <row r="102" spans="1:23" ht="15" customHeight="1" x14ac:dyDescent="0.2">
      <c r="A102" s="34" t="s">
        <v>20</v>
      </c>
      <c r="B102" s="167">
        <v>2.8245904656727401</v>
      </c>
      <c r="C102" s="167">
        <v>2.9063655030800835</v>
      </c>
      <c r="D102" s="167">
        <v>2.7904381142761956</v>
      </c>
      <c r="E102" s="167">
        <v>2.8755225267069182</v>
      </c>
      <c r="F102" s="167">
        <v>2.5930025966926333</v>
      </c>
      <c r="G102" s="167">
        <v>2.4716125954198471</v>
      </c>
      <c r="H102" s="167">
        <v>2.3801404212637927</v>
      </c>
      <c r="I102" s="167">
        <v>2.4845904298459054</v>
      </c>
      <c r="J102" s="167">
        <v>2.5521037550897301</v>
      </c>
      <c r="K102" s="167">
        <v>2.5564650296133635</v>
      </c>
      <c r="L102" s="167">
        <v>2.5773882237967261</v>
      </c>
      <c r="M102" s="167">
        <v>2.7910369236655832</v>
      </c>
      <c r="N102" s="167">
        <v>2.9820981023988544</v>
      </c>
      <c r="O102" s="167">
        <v>2.9426535459789633</v>
      </c>
      <c r="P102" s="167">
        <v>3.2774207033495326</v>
      </c>
      <c r="Q102" s="167">
        <v>3.0534542044388875</v>
      </c>
      <c r="R102" s="167">
        <v>3.0916196265740332</v>
      </c>
      <c r="S102" s="167">
        <v>2.8713751772135581</v>
      </c>
      <c r="T102" s="164">
        <f t="shared" si="18"/>
        <v>0.31927142212382797</v>
      </c>
      <c r="U102" s="164">
        <f t="shared" si="19"/>
        <v>-7.1278368765405276E-2</v>
      </c>
      <c r="V102" s="174">
        <f t="shared" si="20"/>
        <v>-0.22024444936047516</v>
      </c>
      <c r="W102" s="1"/>
    </row>
    <row r="103" spans="1:23" ht="15" customHeight="1" x14ac:dyDescent="0.2">
      <c r="A103" s="34" t="s">
        <v>292</v>
      </c>
      <c r="B103" s="167" t="s">
        <v>100</v>
      </c>
      <c r="C103" s="167" t="s">
        <v>100</v>
      </c>
      <c r="D103" s="167">
        <v>0.5</v>
      </c>
      <c r="E103" s="167">
        <v>1.6551724137930997</v>
      </c>
      <c r="F103" s="167">
        <v>0.25641025641029991</v>
      </c>
      <c r="G103" s="167" t="s">
        <v>100</v>
      </c>
      <c r="H103" s="167">
        <v>-1</v>
      </c>
      <c r="I103" s="167">
        <v>0.32203389830508478</v>
      </c>
      <c r="J103" s="167">
        <v>0.57142857142857117</v>
      </c>
      <c r="K103" s="167">
        <v>0.97560975609756007</v>
      </c>
      <c r="L103" s="167">
        <v>1.7492063492063483</v>
      </c>
      <c r="M103" s="167">
        <v>2.2716049382716097</v>
      </c>
      <c r="N103" s="167">
        <v>2.4818181818181788</v>
      </c>
      <c r="O103" s="167">
        <v>2.401785714285726</v>
      </c>
      <c r="P103" s="167">
        <v>2.804597701149417</v>
      </c>
      <c r="Q103" s="167">
        <v>2.48608534322819</v>
      </c>
      <c r="R103" s="167">
        <v>2.5806451612903132</v>
      </c>
      <c r="S103" s="167">
        <v>2.0835443037974883</v>
      </c>
      <c r="T103" s="167">
        <f t="shared" si="18"/>
        <v>1.5121157323689172</v>
      </c>
      <c r="U103" s="164">
        <f t="shared" si="19"/>
        <v>-0.31824141048823762</v>
      </c>
      <c r="V103" s="174">
        <f t="shared" si="20"/>
        <v>-0.49710085749282484</v>
      </c>
      <c r="W103" s="1"/>
    </row>
    <row r="104" spans="1:23" ht="15" customHeight="1" x14ac:dyDescent="0.2">
      <c r="A104" s="34" t="s">
        <v>293</v>
      </c>
      <c r="B104" s="167">
        <v>-0.23529411764705976</v>
      </c>
      <c r="C104" s="167">
        <v>1.2432432432432403</v>
      </c>
      <c r="D104" s="167">
        <v>1.4184782608695663</v>
      </c>
      <c r="E104" s="167">
        <v>2.2395209580838378</v>
      </c>
      <c r="F104" s="167">
        <v>1.9819277108433706</v>
      </c>
      <c r="G104" s="167">
        <v>2.0232558139534884</v>
      </c>
      <c r="H104" s="167">
        <v>1.7677419354838726</v>
      </c>
      <c r="I104" s="167">
        <v>1.265734265734265</v>
      </c>
      <c r="J104" s="167">
        <v>0.86644951140065096</v>
      </c>
      <c r="K104" s="167">
        <v>1.0274841437632141</v>
      </c>
      <c r="L104" s="167">
        <v>0.14685314685314843</v>
      </c>
      <c r="M104" s="167">
        <v>0.77359654534238054</v>
      </c>
      <c r="N104" s="167">
        <v>1.0647857889237216</v>
      </c>
      <c r="O104" s="167">
        <v>1.4638748274275155</v>
      </c>
      <c r="P104" s="167">
        <v>1.0559245019224033</v>
      </c>
      <c r="Q104" s="167">
        <v>1.4161648177496016</v>
      </c>
      <c r="R104" s="167">
        <v>1.7101449275362324</v>
      </c>
      <c r="S104" s="167">
        <v>1.6193275335057589</v>
      </c>
      <c r="T104" s="164">
        <f t="shared" si="18"/>
        <v>0.7528780221051079</v>
      </c>
      <c r="U104" s="164">
        <f t="shared" si="19"/>
        <v>0.15545270607824335</v>
      </c>
      <c r="V104" s="174">
        <f t="shared" si="20"/>
        <v>-9.0817394030473508E-2</v>
      </c>
      <c r="W104" s="1"/>
    </row>
    <row r="105" spans="1:23" ht="15" customHeight="1" x14ac:dyDescent="0.2">
      <c r="A105" s="34" t="s">
        <v>19</v>
      </c>
      <c r="B105" s="167">
        <v>3.7992831541219001</v>
      </c>
      <c r="C105" s="167">
        <v>3.155555555555555</v>
      </c>
      <c r="D105" s="167">
        <v>1.5502793296089319</v>
      </c>
      <c r="E105" s="167">
        <v>1.9006622516556284</v>
      </c>
      <c r="F105" s="167">
        <v>3.4239631336405409</v>
      </c>
      <c r="G105" s="167">
        <v>4.886597938144325</v>
      </c>
      <c r="H105" s="167">
        <v>2.9506172839506171</v>
      </c>
      <c r="I105" s="167">
        <v>2.8095238095238138</v>
      </c>
      <c r="J105" s="167">
        <v>3.1164936562860479</v>
      </c>
      <c r="K105" s="167">
        <v>3.0272727272727327</v>
      </c>
      <c r="L105" s="167">
        <v>2.2337662337662323</v>
      </c>
      <c r="M105" s="167">
        <v>3.373315363881396</v>
      </c>
      <c r="N105" s="167">
        <v>3.5483870967741957</v>
      </c>
      <c r="O105" s="167">
        <v>2.6990825688073432</v>
      </c>
      <c r="P105" s="167">
        <v>3.1967509025270715</v>
      </c>
      <c r="Q105" s="167">
        <v>2.0524344569288449</v>
      </c>
      <c r="R105" s="167">
        <v>2.5445859872611436</v>
      </c>
      <c r="S105" s="167">
        <v>1.9744525547445235</v>
      </c>
      <c r="T105" s="164">
        <f t="shared" si="18"/>
        <v>-1.1420411015415244</v>
      </c>
      <c r="U105" s="164">
        <f t="shared" si="19"/>
        <v>-0.72463001406281968</v>
      </c>
      <c r="V105" s="174">
        <f t="shared" si="20"/>
        <v>-0.57013343251662008</v>
      </c>
      <c r="W105" s="1"/>
    </row>
    <row r="106" spans="1:23" ht="15" customHeight="1" x14ac:dyDescent="0.2">
      <c r="A106" s="42" t="s">
        <v>6</v>
      </c>
      <c r="B106" s="166">
        <v>1.7329336685360666</v>
      </c>
      <c r="C106" s="166">
        <v>1.3562736361253602</v>
      </c>
      <c r="D106" s="166">
        <v>1.4554975706316355</v>
      </c>
      <c r="E106" s="166">
        <v>1.6055702505056795</v>
      </c>
      <c r="F106" s="166">
        <v>1.6503822937625756</v>
      </c>
      <c r="G106" s="166">
        <v>1.5847533431727712</v>
      </c>
      <c r="H106" s="166">
        <v>1.7321239873194783</v>
      </c>
      <c r="I106" s="166">
        <v>1.5859943375264312</v>
      </c>
      <c r="J106" s="166">
        <v>1.4462346434491629</v>
      </c>
      <c r="K106" s="166">
        <v>1.4204932939304387</v>
      </c>
      <c r="L106" s="166">
        <v>1.4183594573697897</v>
      </c>
      <c r="M106" s="166">
        <v>1.633370789522969</v>
      </c>
      <c r="N106" s="166">
        <v>1.4443883247381573</v>
      </c>
      <c r="O106" s="166">
        <v>1.5204925690021227</v>
      </c>
      <c r="P106" s="166">
        <v>1.765881205920711</v>
      </c>
      <c r="Q106" s="166">
        <v>1.7394118050318781</v>
      </c>
      <c r="R106" s="166">
        <v>1.6436591721062666</v>
      </c>
      <c r="S106" s="166">
        <v>1.4174391886538311</v>
      </c>
      <c r="T106" s="165">
        <f t="shared" si="18"/>
        <v>-2.8795454795331743E-2</v>
      </c>
      <c r="U106" s="165">
        <f t="shared" si="19"/>
        <v>-0.10305338034829159</v>
      </c>
      <c r="V106" s="175">
        <f t="shared" si="20"/>
        <v>-0.22621998345243544</v>
      </c>
      <c r="W106" s="1"/>
    </row>
    <row r="107" spans="1:23" ht="15" customHeight="1" x14ac:dyDescent="0.2">
      <c r="A107" s="34" t="s">
        <v>18</v>
      </c>
      <c r="B107" s="167">
        <v>1.7725195341294411</v>
      </c>
      <c r="C107" s="167">
        <v>1.2732811140121845</v>
      </c>
      <c r="D107" s="167">
        <v>1.3907631456491396</v>
      </c>
      <c r="E107" s="167">
        <v>1.6253961692159296</v>
      </c>
      <c r="F107" s="167">
        <v>1.627697597611184</v>
      </c>
      <c r="G107" s="167">
        <v>1.5819135495233354</v>
      </c>
      <c r="H107" s="167">
        <v>1.7697992538639182</v>
      </c>
      <c r="I107" s="167">
        <v>1.5934751103771365</v>
      </c>
      <c r="J107" s="167">
        <v>1.4214744055050668</v>
      </c>
      <c r="K107" s="167">
        <v>1.4065038526838185</v>
      </c>
      <c r="L107" s="167">
        <v>1.407809558197715</v>
      </c>
      <c r="M107" s="167">
        <v>1.6449735054854839</v>
      </c>
      <c r="N107" s="167">
        <v>1.4331638548648025</v>
      </c>
      <c r="O107" s="167">
        <v>1.5335861669987789</v>
      </c>
      <c r="P107" s="167">
        <v>1.8209828130952115</v>
      </c>
      <c r="Q107" s="167">
        <v>1.8288382754584473</v>
      </c>
      <c r="R107" s="167">
        <v>1.7322664988137317</v>
      </c>
      <c r="S107" s="167">
        <v>1.4799893016922772</v>
      </c>
      <c r="T107" s="164">
        <f t="shared" si="18"/>
        <v>5.8514896187210397E-2</v>
      </c>
      <c r="U107" s="164">
        <f t="shared" si="19"/>
        <v>-5.3596865306501762E-2</v>
      </c>
      <c r="V107" s="174">
        <f t="shared" si="20"/>
        <v>-0.25227719712145458</v>
      </c>
      <c r="W107" s="1"/>
    </row>
    <row r="108" spans="1:23" ht="15" customHeight="1" x14ac:dyDescent="0.2">
      <c r="A108" s="34" t="s">
        <v>20</v>
      </c>
      <c r="B108" s="167">
        <v>1.6575091575091578</v>
      </c>
      <c r="C108" s="167">
        <v>1.5486077186126037</v>
      </c>
      <c r="D108" s="167">
        <v>1.5620192307692315</v>
      </c>
      <c r="E108" s="167">
        <v>1.5885516361316201</v>
      </c>
      <c r="F108" s="167">
        <v>1.6852490033110339</v>
      </c>
      <c r="G108" s="167">
        <v>1.5746738890117173</v>
      </c>
      <c r="H108" s="167">
        <v>1.6773164374943832</v>
      </c>
      <c r="I108" s="167">
        <v>1.563314080860386</v>
      </c>
      <c r="J108" s="167">
        <v>1.4577149504706179</v>
      </c>
      <c r="K108" s="167">
        <v>1.430279798178363</v>
      </c>
      <c r="L108" s="167">
        <v>1.4283084609821843</v>
      </c>
      <c r="M108" s="167">
        <v>1.6226426974781978</v>
      </c>
      <c r="N108" s="167">
        <v>1.4513077160388033</v>
      </c>
      <c r="O108" s="167">
        <v>1.5219812426729193</v>
      </c>
      <c r="P108" s="167">
        <v>1.693779411259575</v>
      </c>
      <c r="Q108" s="167">
        <v>1.6820337919949822</v>
      </c>
      <c r="R108" s="167">
        <v>1.557099799062291</v>
      </c>
      <c r="S108" s="167">
        <v>1.3453493733495403</v>
      </c>
      <c r="T108" s="164">
        <f t="shared" si="18"/>
        <v>-0.11236557712107764</v>
      </c>
      <c r="U108" s="164">
        <f t="shared" si="19"/>
        <v>-0.17663186932337904</v>
      </c>
      <c r="V108" s="174">
        <f t="shared" si="20"/>
        <v>-0.21175042571275071</v>
      </c>
      <c r="W108" s="1"/>
    </row>
    <row r="109" spans="1:23" ht="15" customHeight="1" x14ac:dyDescent="0.2">
      <c r="A109" s="34" t="s">
        <v>292</v>
      </c>
      <c r="B109" s="167" t="s">
        <v>100</v>
      </c>
      <c r="C109" s="167" t="s">
        <v>100</v>
      </c>
      <c r="D109" s="167">
        <v>0.66666666666666696</v>
      </c>
      <c r="E109" s="167">
        <v>0.8125</v>
      </c>
      <c r="F109" s="167">
        <v>1.0120481927710809</v>
      </c>
      <c r="G109" s="167">
        <v>1.2881355932203418</v>
      </c>
      <c r="H109" s="167">
        <v>1.2380952380952381</v>
      </c>
      <c r="I109" s="167">
        <v>1.5604395604395602</v>
      </c>
      <c r="J109" s="167">
        <v>1.1466083150984687</v>
      </c>
      <c r="K109" s="167">
        <v>1.2085020242914979</v>
      </c>
      <c r="L109" s="167">
        <v>1.2418207681365576</v>
      </c>
      <c r="M109" s="167">
        <v>1.0314523589269191</v>
      </c>
      <c r="N109" s="167">
        <v>0.85691056910569063</v>
      </c>
      <c r="O109" s="167">
        <v>0.91920731707317049</v>
      </c>
      <c r="P109" s="167">
        <v>1.0538793103448274</v>
      </c>
      <c r="Q109" s="167">
        <v>0.89419795221842957</v>
      </c>
      <c r="R109" s="167">
        <v>1.4276018099547505</v>
      </c>
      <c r="S109" s="167">
        <v>2.0354838709677416</v>
      </c>
      <c r="T109" s="164">
        <f t="shared" si="18"/>
        <v>0.88887555586927292</v>
      </c>
      <c r="U109" s="164">
        <f t="shared" si="19"/>
        <v>1.1162765538945711</v>
      </c>
      <c r="V109" s="174">
        <f t="shared" si="20"/>
        <v>0.60788206101299114</v>
      </c>
      <c r="W109" s="1"/>
    </row>
    <row r="110" spans="1:23" ht="15" customHeight="1" x14ac:dyDescent="0.2">
      <c r="A110" s="34" t="s">
        <v>293</v>
      </c>
      <c r="B110" s="167">
        <v>0.90000000000000036</v>
      </c>
      <c r="C110" s="167">
        <v>1.1071428571428568</v>
      </c>
      <c r="D110" s="167">
        <v>1.3559322033898304</v>
      </c>
      <c r="E110" s="167">
        <v>1.1578947368421053</v>
      </c>
      <c r="F110" s="167">
        <v>1.1779661016949152</v>
      </c>
      <c r="G110" s="167">
        <v>1.1812080536912744</v>
      </c>
      <c r="H110" s="167">
        <v>1.5362318840579725</v>
      </c>
      <c r="I110" s="167">
        <v>1.3214285714285694</v>
      </c>
      <c r="J110" s="167">
        <v>1.0514851485148542</v>
      </c>
      <c r="K110" s="167">
        <v>1.1721991701244834</v>
      </c>
      <c r="L110" s="167">
        <v>1.2129742962056307</v>
      </c>
      <c r="M110" s="167">
        <v>1.9114754098360658</v>
      </c>
      <c r="N110" s="167">
        <v>1.746039603960396</v>
      </c>
      <c r="O110" s="167">
        <v>1.5285145888594167</v>
      </c>
      <c r="P110" s="167">
        <v>1.7753075760846109</v>
      </c>
      <c r="Q110" s="167">
        <v>1.4442882249560629</v>
      </c>
      <c r="R110" s="167">
        <v>1.4785241032670777</v>
      </c>
      <c r="S110" s="167">
        <v>1.314063101192767</v>
      </c>
      <c r="T110" s="164">
        <f t="shared" si="18"/>
        <v>0.26257795267791284</v>
      </c>
      <c r="U110" s="164">
        <f t="shared" si="19"/>
        <v>-0.21445148766664968</v>
      </c>
      <c r="V110" s="174">
        <f t="shared" si="20"/>
        <v>-0.16446100207431069</v>
      </c>
      <c r="W110" s="1"/>
    </row>
    <row r="111" spans="1:23" ht="15" customHeight="1" x14ac:dyDescent="0.2">
      <c r="A111" s="34" t="s">
        <v>19</v>
      </c>
      <c r="B111" s="167">
        <v>2.4000000000000004</v>
      </c>
      <c r="C111" s="167">
        <v>0.96261682242990432</v>
      </c>
      <c r="D111" s="167">
        <v>1.5781250000000018</v>
      </c>
      <c r="E111" s="167">
        <v>1.1964285714285721</v>
      </c>
      <c r="F111" s="167">
        <v>2.1976744186046471</v>
      </c>
      <c r="G111" s="167">
        <v>2.702341137123744</v>
      </c>
      <c r="H111" s="167">
        <v>2.4405405405405398</v>
      </c>
      <c r="I111" s="167">
        <v>2.2451923076923075</v>
      </c>
      <c r="J111" s="167">
        <v>2.5545571245186149</v>
      </c>
      <c r="K111" s="167">
        <v>2.1880199667221296</v>
      </c>
      <c r="L111" s="167">
        <v>2.3666666666666663</v>
      </c>
      <c r="M111" s="167">
        <v>2.1702127659574444</v>
      </c>
      <c r="N111" s="167">
        <v>1.6708860759493653</v>
      </c>
      <c r="O111" s="167">
        <v>1.1658536585365864</v>
      </c>
      <c r="P111" s="167">
        <v>1.2428571428571393</v>
      </c>
      <c r="Q111" s="167">
        <v>1.5352112676056322</v>
      </c>
      <c r="R111" s="167">
        <v>0.84374999999999822</v>
      </c>
      <c r="S111" s="167">
        <v>2.2857142857142883</v>
      </c>
      <c r="T111" s="164">
        <f t="shared" si="18"/>
        <v>-0.26884283880432669</v>
      </c>
      <c r="U111" s="164">
        <f t="shared" si="19"/>
        <v>1.1198606271777019</v>
      </c>
      <c r="V111" s="174">
        <f t="shared" si="20"/>
        <v>1.44196428571429</v>
      </c>
      <c r="W111" s="1"/>
    </row>
    <row r="112" spans="1:23" ht="15" customHeight="1" x14ac:dyDescent="0.2">
      <c r="A112" s="42" t="s">
        <v>0</v>
      </c>
      <c r="B112" s="166">
        <v>2.7506151722482297</v>
      </c>
      <c r="C112" s="165">
        <v>2.477092457255976</v>
      </c>
      <c r="D112" s="165">
        <v>2.4866123686188502</v>
      </c>
      <c r="E112" s="165">
        <v>2.631561847876343</v>
      </c>
      <c r="F112" s="165">
        <v>2.4397308398518343</v>
      </c>
      <c r="G112" s="165">
        <v>2.3856777017274284</v>
      </c>
      <c r="H112" s="165">
        <v>2.4247639790713098</v>
      </c>
      <c r="I112" s="165">
        <v>2.3600326445821134</v>
      </c>
      <c r="J112" s="165">
        <v>2.2520255365352497</v>
      </c>
      <c r="K112" s="165">
        <v>2.2000878484871969</v>
      </c>
      <c r="L112" s="165">
        <v>2.2040651109902605</v>
      </c>
      <c r="M112" s="165">
        <v>2.3520688180988367</v>
      </c>
      <c r="N112" s="165">
        <v>2.2692229813772391</v>
      </c>
      <c r="O112" s="165">
        <v>2.2928749120989638</v>
      </c>
      <c r="P112" s="165">
        <v>2.5098492503342626</v>
      </c>
      <c r="Q112" s="165">
        <v>2.4094446765383966</v>
      </c>
      <c r="R112" s="165">
        <v>2.2760462080600972</v>
      </c>
      <c r="S112" s="165">
        <v>2.0887406933243788</v>
      </c>
      <c r="T112" s="165">
        <f t="shared" si="18"/>
        <v>-0.16328484321087089</v>
      </c>
      <c r="U112" s="165">
        <f t="shared" si="19"/>
        <v>-0.20413421877458493</v>
      </c>
      <c r="V112" s="175">
        <f t="shared" si="20"/>
        <v>-0.18730551473571833</v>
      </c>
      <c r="W112" s="1"/>
    </row>
    <row r="113" spans="1:23" ht="15" customHeight="1" x14ac:dyDescent="0.2">
      <c r="A113" s="34" t="s">
        <v>18</v>
      </c>
      <c r="B113" s="167">
        <v>2.8832735451013924</v>
      </c>
      <c r="C113" s="167">
        <v>2.5726079978822316</v>
      </c>
      <c r="D113" s="167">
        <v>2.6201896786088152</v>
      </c>
      <c r="E113" s="167">
        <v>2.8014415928631458</v>
      </c>
      <c r="F113" s="167">
        <v>2.5841841027654695</v>
      </c>
      <c r="G113" s="167">
        <v>2.5588326954960792</v>
      </c>
      <c r="H113" s="167">
        <v>2.6211206654302259</v>
      </c>
      <c r="I113" s="167">
        <v>2.5607103265075626</v>
      </c>
      <c r="J113" s="167">
        <v>2.4448634112942429</v>
      </c>
      <c r="K113" s="167">
        <v>2.3824425471094894</v>
      </c>
      <c r="L113" s="167">
        <v>2.4026336719569059</v>
      </c>
      <c r="M113" s="167">
        <v>2.5084145184179132</v>
      </c>
      <c r="N113" s="167">
        <v>2.3837322026182903</v>
      </c>
      <c r="O113" s="167">
        <v>2.4521903401564282</v>
      </c>
      <c r="P113" s="167">
        <v>2.6325338098291677</v>
      </c>
      <c r="Q113" s="167">
        <v>2.524801859417634</v>
      </c>
      <c r="R113" s="167">
        <v>2.370865271489178</v>
      </c>
      <c r="S113" s="167">
        <v>2.2044396573983231</v>
      </c>
      <c r="T113" s="164">
        <f t="shared" si="18"/>
        <v>-0.24042375389591975</v>
      </c>
      <c r="U113" s="164">
        <f t="shared" si="19"/>
        <v>-0.24775068275810508</v>
      </c>
      <c r="V113" s="174">
        <f t="shared" si="20"/>
        <v>-0.16642561409085488</v>
      </c>
      <c r="W113" s="1"/>
    </row>
    <row r="114" spans="1:23" ht="15" customHeight="1" x14ac:dyDescent="0.2">
      <c r="A114" s="34" t="s">
        <v>20</v>
      </c>
      <c r="B114" s="167">
        <v>2.1635144840794824</v>
      </c>
      <c r="C114" s="167">
        <v>2.0549854495328539</v>
      </c>
      <c r="D114" s="167">
        <v>2.0115832469670183</v>
      </c>
      <c r="E114" s="167">
        <v>2.0654618473895576</v>
      </c>
      <c r="F114" s="167">
        <v>1.9855760535359019</v>
      </c>
      <c r="G114" s="167">
        <v>1.8587022208792865</v>
      </c>
      <c r="H114" s="167">
        <v>1.8947678748758685</v>
      </c>
      <c r="I114" s="167">
        <v>1.8667557098971548</v>
      </c>
      <c r="J114" s="167">
        <v>1.8063609502990703</v>
      </c>
      <c r="K114" s="167">
        <v>1.8018178225647103</v>
      </c>
      <c r="L114" s="167">
        <v>1.8303414967730909</v>
      </c>
      <c r="M114" s="167">
        <v>2.0864422547511916</v>
      </c>
      <c r="N114" s="167">
        <v>2.0655529102700934</v>
      </c>
      <c r="O114" s="167">
        <v>2.0640358372821677</v>
      </c>
      <c r="P114" s="167">
        <v>2.3218860103626948</v>
      </c>
      <c r="Q114" s="167">
        <v>2.2708766749435165</v>
      </c>
      <c r="R114" s="167">
        <v>2.1754105326301589</v>
      </c>
      <c r="S114" s="167">
        <v>1.9467682539682549</v>
      </c>
      <c r="T114" s="164">
        <f t="shared" si="18"/>
        <v>0.14040730366918464</v>
      </c>
      <c r="U114" s="164">
        <f t="shared" si="19"/>
        <v>-0.11726758331391274</v>
      </c>
      <c r="V114" s="174">
        <f t="shared" si="20"/>
        <v>-0.22864227866190401</v>
      </c>
      <c r="W114" s="1"/>
    </row>
    <row r="115" spans="1:23" ht="15" customHeight="1" x14ac:dyDescent="0.2">
      <c r="A115" s="34" t="s">
        <v>292</v>
      </c>
      <c r="B115" s="167" t="s">
        <v>100</v>
      </c>
      <c r="C115" s="167" t="s">
        <v>100</v>
      </c>
      <c r="D115" s="167">
        <v>0.54545454545454586</v>
      </c>
      <c r="E115" s="167">
        <v>1.3555555555555534</v>
      </c>
      <c r="F115" s="167">
        <v>0.77049180327870026</v>
      </c>
      <c r="G115" s="167">
        <v>1.2881355932203418</v>
      </c>
      <c r="H115" s="167">
        <v>1.2204724409448824</v>
      </c>
      <c r="I115" s="167">
        <v>1.2572614107883817</v>
      </c>
      <c r="J115" s="167">
        <v>0.97396630934150075</v>
      </c>
      <c r="K115" s="167">
        <v>1.1402002861230329</v>
      </c>
      <c r="L115" s="167">
        <v>1.3988212180746551</v>
      </c>
      <c r="M115" s="167">
        <v>1.3694481830417233</v>
      </c>
      <c r="N115" s="167">
        <v>1.4243386243386231</v>
      </c>
      <c r="O115" s="167">
        <v>1.2965909090909129</v>
      </c>
      <c r="P115" s="167">
        <v>1.6841379310344795</v>
      </c>
      <c r="Q115" s="167">
        <v>1.6568888888888846</v>
      </c>
      <c r="R115" s="167">
        <v>1.9775147928994024</v>
      </c>
      <c r="S115" s="167">
        <v>2.0624113475177426</v>
      </c>
      <c r="T115" s="164">
        <f t="shared" si="18"/>
        <v>1.0884450381762418</v>
      </c>
      <c r="U115" s="164">
        <f t="shared" si="19"/>
        <v>0.76582043842682967</v>
      </c>
      <c r="V115" s="174">
        <f t="shared" si="20"/>
        <v>8.4896554618340225E-2</v>
      </c>
      <c r="W115" s="1"/>
    </row>
    <row r="116" spans="1:23" ht="15" customHeight="1" x14ac:dyDescent="0.2">
      <c r="A116" s="34" t="s">
        <v>293</v>
      </c>
      <c r="B116" s="167">
        <v>0.18518518518518334</v>
      </c>
      <c r="C116" s="167">
        <v>1.205882352941174</v>
      </c>
      <c r="D116" s="167">
        <v>1.4032921810699595</v>
      </c>
      <c r="E116" s="167">
        <v>1.847328244274812</v>
      </c>
      <c r="F116" s="167">
        <v>1.6478873239436602</v>
      </c>
      <c r="G116" s="167">
        <v>1.4893617021276588</v>
      </c>
      <c r="H116" s="167">
        <v>1.6353591160221024</v>
      </c>
      <c r="I116" s="167">
        <v>1.2901960784313706</v>
      </c>
      <c r="J116" s="167">
        <v>0.98152709359606138</v>
      </c>
      <c r="K116" s="167">
        <v>1.1005235602094245</v>
      </c>
      <c r="L116" s="167">
        <v>0.53449043168669341</v>
      </c>
      <c r="M116" s="167">
        <v>1.325174825174825</v>
      </c>
      <c r="N116" s="167">
        <v>1.414590747330962</v>
      </c>
      <c r="O116" s="167">
        <v>1.5014453651956057</v>
      </c>
      <c r="P116" s="167">
        <v>1.5006672004270074</v>
      </c>
      <c r="Q116" s="167">
        <v>1.4342566421707179</v>
      </c>
      <c r="R116" s="167">
        <v>1.5458596661805215</v>
      </c>
      <c r="S116" s="167">
        <v>1.4026896033858955</v>
      </c>
      <c r="T116" s="164">
        <f t="shared" si="18"/>
        <v>0.42116250978983416</v>
      </c>
      <c r="U116" s="164">
        <f t="shared" si="19"/>
        <v>-9.875576180971013E-2</v>
      </c>
      <c r="V116" s="174">
        <f t="shared" si="20"/>
        <v>-0.14317006279462596</v>
      </c>
      <c r="W116" s="1"/>
    </row>
    <row r="117" spans="1:23" ht="15" customHeight="1" x14ac:dyDescent="0.2">
      <c r="A117" s="34" t="s">
        <v>19</v>
      </c>
      <c r="B117" s="167">
        <v>3.7508650519031494</v>
      </c>
      <c r="C117" s="167">
        <v>1.6118421052631566</v>
      </c>
      <c r="D117" s="167">
        <v>1.5576131687242736</v>
      </c>
      <c r="E117" s="167">
        <v>1.7101449275362324</v>
      </c>
      <c r="F117" s="167">
        <v>2.8817480719794268</v>
      </c>
      <c r="G117" s="167">
        <v>3.2373737373737352</v>
      </c>
      <c r="H117" s="167">
        <v>2.5321507760532151</v>
      </c>
      <c r="I117" s="167">
        <v>2.4505606523955148</v>
      </c>
      <c r="J117" s="167">
        <v>2.8505467800729072</v>
      </c>
      <c r="K117" s="167">
        <v>2.6272799365582902</v>
      </c>
      <c r="L117" s="167">
        <v>2.2839173405211142</v>
      </c>
      <c r="M117" s="167">
        <v>3.1301075268817176</v>
      </c>
      <c r="N117" s="167">
        <v>3.0722311396468704</v>
      </c>
      <c r="O117" s="167">
        <v>2.280000000000002</v>
      </c>
      <c r="P117" s="167">
        <v>2.8025936599423584</v>
      </c>
      <c r="Q117" s="167">
        <v>1.9437869822485272</v>
      </c>
      <c r="R117" s="167">
        <v>2.2566137566137527</v>
      </c>
      <c r="S117" s="167">
        <v>2.0097087378640754</v>
      </c>
      <c r="T117" s="164">
        <f t="shared" si="18"/>
        <v>-0.84083804220883174</v>
      </c>
      <c r="U117" s="164">
        <f t="shared" si="19"/>
        <v>-0.27029126213592658</v>
      </c>
      <c r="V117" s="174">
        <f t="shared" si="20"/>
        <v>-0.2469050187496773</v>
      </c>
      <c r="W117" s="1"/>
    </row>
    <row r="118" spans="1:23" ht="15" customHeight="1" x14ac:dyDescent="0.2">
      <c r="A118" s="44" t="s">
        <v>319</v>
      </c>
      <c r="B118" s="44"/>
      <c r="C118" s="44"/>
      <c r="D118" s="44"/>
      <c r="E118" s="44"/>
      <c r="F118" s="44"/>
      <c r="G118" s="44"/>
      <c r="H118" s="44"/>
      <c r="I118" s="44"/>
      <c r="J118" s="44"/>
      <c r="K118" s="44"/>
      <c r="L118" s="44"/>
      <c r="M118" s="44"/>
      <c r="N118" s="44"/>
      <c r="O118" s="44"/>
      <c r="P118" s="44"/>
      <c r="Q118" s="44"/>
      <c r="R118" s="44"/>
      <c r="S118" s="44"/>
      <c r="T118" s="51"/>
      <c r="U118" s="51"/>
      <c r="V118" s="44"/>
      <c r="W118" s="1"/>
    </row>
    <row r="119" spans="1:23" ht="15" customHeight="1" x14ac:dyDescent="0.2">
      <c r="A119" s="44"/>
      <c r="B119" s="44"/>
      <c r="C119" s="44"/>
      <c r="D119" s="44"/>
      <c r="E119" s="44"/>
      <c r="F119" s="44"/>
      <c r="G119" s="44"/>
      <c r="H119" s="44"/>
      <c r="I119" s="44"/>
      <c r="J119" s="44"/>
      <c r="K119" s="44"/>
      <c r="L119" s="44"/>
      <c r="M119" s="44"/>
      <c r="N119" s="44"/>
      <c r="O119" s="44"/>
      <c r="P119" s="44"/>
      <c r="Q119" s="44"/>
      <c r="R119" s="44"/>
      <c r="S119" s="44"/>
      <c r="T119" s="51"/>
      <c r="U119" s="51"/>
      <c r="V119" s="44"/>
      <c r="W119" s="1"/>
    </row>
    <row r="120" spans="1:23" ht="15" customHeight="1" x14ac:dyDescent="0.25">
      <c r="A120" s="48" t="s">
        <v>393</v>
      </c>
      <c r="B120" s="48"/>
      <c r="C120" s="48"/>
      <c r="D120" s="48"/>
      <c r="E120" s="48"/>
      <c r="F120" s="48"/>
      <c r="G120" s="48"/>
      <c r="H120" s="48"/>
      <c r="I120" s="48"/>
      <c r="J120" s="48"/>
      <c r="K120" s="48"/>
      <c r="L120" s="48"/>
      <c r="M120" s="48"/>
      <c r="N120" s="48"/>
      <c r="O120" s="48"/>
      <c r="P120" s="48"/>
      <c r="Q120" s="48"/>
      <c r="R120" s="48"/>
      <c r="S120" s="48"/>
      <c r="T120" s="129"/>
      <c r="U120" s="129"/>
      <c r="V120" s="48"/>
      <c r="W120" s="1"/>
    </row>
    <row r="121" spans="1:23" ht="46.5" customHeight="1" x14ac:dyDescent="0.2">
      <c r="A121" s="36" t="s">
        <v>118</v>
      </c>
      <c r="B121" s="15">
        <v>2007</v>
      </c>
      <c r="C121" s="15">
        <v>2008</v>
      </c>
      <c r="D121" s="15">
        <v>2009</v>
      </c>
      <c r="E121" s="15">
        <v>2010</v>
      </c>
      <c r="F121" s="15">
        <v>2011</v>
      </c>
      <c r="G121" s="15">
        <v>2012</v>
      </c>
      <c r="H121" s="15">
        <v>2013</v>
      </c>
      <c r="I121" s="15">
        <v>2014</v>
      </c>
      <c r="J121" s="15">
        <v>2015</v>
      </c>
      <c r="K121" s="15">
        <v>2016</v>
      </c>
      <c r="L121" s="15">
        <v>2017</v>
      </c>
      <c r="M121" s="15">
        <v>2018</v>
      </c>
      <c r="N121" s="15">
        <v>2019</v>
      </c>
      <c r="O121" s="15">
        <v>2020</v>
      </c>
      <c r="P121" s="15">
        <v>2021</v>
      </c>
      <c r="Q121" s="15">
        <v>2022</v>
      </c>
      <c r="R121" s="15">
        <v>2023</v>
      </c>
      <c r="S121" s="15">
        <v>2024</v>
      </c>
      <c r="T121" s="27" t="s">
        <v>469</v>
      </c>
      <c r="U121" s="27" t="s">
        <v>470</v>
      </c>
      <c r="V121" s="27" t="s">
        <v>471</v>
      </c>
      <c r="W121" s="1"/>
    </row>
    <row r="122" spans="1:23" ht="15" customHeight="1" x14ac:dyDescent="0.2">
      <c r="A122" s="42" t="s">
        <v>5</v>
      </c>
      <c r="B122" s="166">
        <v>3.208576277086415</v>
      </c>
      <c r="C122" s="166">
        <v>3.1133571398206019</v>
      </c>
      <c r="D122" s="166">
        <v>3.023401783706813</v>
      </c>
      <c r="E122" s="166">
        <v>3.1171413317623653</v>
      </c>
      <c r="F122" s="166">
        <v>2.9564308794605214</v>
      </c>
      <c r="G122" s="166">
        <v>2.9572023553066202</v>
      </c>
      <c r="H122" s="166">
        <v>2.9230996663240738</v>
      </c>
      <c r="I122" s="166">
        <v>2.9069626103141335</v>
      </c>
      <c r="J122" s="166">
        <v>2.8944150775615061</v>
      </c>
      <c r="K122" s="166">
        <v>2.850002368882361</v>
      </c>
      <c r="L122" s="166">
        <v>2.820414419779226</v>
      </c>
      <c r="M122" s="166">
        <v>2.8983933292658133</v>
      </c>
      <c r="N122" s="166">
        <v>2.904944835428255</v>
      </c>
      <c r="O122" s="166">
        <v>2.9126144788486705</v>
      </c>
      <c r="P122" s="166">
        <v>3.012139138463116</v>
      </c>
      <c r="Q122" s="166">
        <v>2.8134797274952046</v>
      </c>
      <c r="R122" s="166">
        <v>2.6704980521928547</v>
      </c>
      <c r="S122" s="166">
        <v>2.5313112142291256</v>
      </c>
      <c r="T122" s="165">
        <f t="shared" ref="T122:T156" si="21">IFERROR((S122-J122),"n/a")</f>
        <v>-0.36310386333238043</v>
      </c>
      <c r="U122" s="165">
        <f t="shared" ref="U122:U156" si="22">IFERROR((S122-O122),"n/a")</f>
        <v>-0.38130326461954489</v>
      </c>
      <c r="V122" s="175">
        <f t="shared" ref="V122:V156" si="23">IFERROR((S122-R122),"n/a")</f>
        <v>-0.1391868379637291</v>
      </c>
      <c r="W122" s="1"/>
    </row>
    <row r="123" spans="1:23" ht="15" customHeight="1" x14ac:dyDescent="0.2">
      <c r="A123" s="34" t="s">
        <v>176</v>
      </c>
      <c r="B123" s="167">
        <v>4.1024447031431919</v>
      </c>
      <c r="C123" s="173">
        <v>4.3350649350649331</v>
      </c>
      <c r="D123" s="167">
        <v>4.2135338345864657</v>
      </c>
      <c r="E123" s="167">
        <v>3.8452380952380931</v>
      </c>
      <c r="F123" s="167">
        <v>4.0061274509803919</v>
      </c>
      <c r="G123" s="167">
        <v>4.0738714090287367</v>
      </c>
      <c r="H123" s="167">
        <v>4.3518123667377466</v>
      </c>
      <c r="I123" s="167">
        <v>4.1488326848249031</v>
      </c>
      <c r="J123" s="167">
        <v>3.5987878787878742</v>
      </c>
      <c r="K123" s="167">
        <v>3.858123569794051</v>
      </c>
      <c r="L123" s="167">
        <v>3.9954233409611035</v>
      </c>
      <c r="M123" s="167">
        <v>3.8377880184331836</v>
      </c>
      <c r="N123" s="167">
        <v>3.9608938547486066</v>
      </c>
      <c r="O123" s="167">
        <v>4.6066350710900572</v>
      </c>
      <c r="P123" s="167">
        <v>3.9696765498652287</v>
      </c>
      <c r="Q123" s="167">
        <v>3.4224446032880653</v>
      </c>
      <c r="R123" s="167">
        <v>3.1414538310412539</v>
      </c>
      <c r="S123" s="167">
        <v>3.6501396648044633</v>
      </c>
      <c r="T123" s="164">
        <f t="shared" si="21"/>
        <v>5.1351786016589074E-2</v>
      </c>
      <c r="U123" s="164">
        <f t="shared" si="22"/>
        <v>-0.95649540628559393</v>
      </c>
      <c r="V123" s="174">
        <f t="shared" si="23"/>
        <v>0.50868583376320942</v>
      </c>
      <c r="W123" s="1"/>
    </row>
    <row r="124" spans="1:23" ht="15" customHeight="1" x14ac:dyDescent="0.2">
      <c r="A124" s="34" t="s">
        <v>177</v>
      </c>
      <c r="B124" s="167">
        <v>4.2609756097561107</v>
      </c>
      <c r="C124" s="173">
        <v>3.0383211678832147</v>
      </c>
      <c r="D124" s="167">
        <v>2.8677839851024167</v>
      </c>
      <c r="E124" s="167">
        <v>3.7539184952978033</v>
      </c>
      <c r="F124" s="167">
        <v>3.469448584202679</v>
      </c>
      <c r="G124" s="167">
        <v>3.8224299065420624</v>
      </c>
      <c r="H124" s="167">
        <v>3.7720329024676875</v>
      </c>
      <c r="I124" s="167">
        <v>3.9950859950859936</v>
      </c>
      <c r="J124" s="167">
        <v>3.8210116731517534</v>
      </c>
      <c r="K124" s="167">
        <v>3.5864833906071016</v>
      </c>
      <c r="L124" s="167">
        <v>4.131747483989022</v>
      </c>
      <c r="M124" s="167">
        <v>4.408108108108113</v>
      </c>
      <c r="N124" s="167">
        <v>4.0070571630204643</v>
      </c>
      <c r="O124" s="167">
        <v>4.0369774919614194</v>
      </c>
      <c r="P124" s="167">
        <v>3.5081081081081074</v>
      </c>
      <c r="Q124" s="167">
        <v>3.2689655172413854</v>
      </c>
      <c r="R124" s="167">
        <v>3.4172374429223709</v>
      </c>
      <c r="S124" s="167">
        <v>3.1493775933609971</v>
      </c>
      <c r="T124" s="164">
        <f t="shared" si="21"/>
        <v>-0.67163407979075629</v>
      </c>
      <c r="U124" s="164">
        <f t="shared" si="22"/>
        <v>-0.88759989860042232</v>
      </c>
      <c r="V124" s="174">
        <f t="shared" si="23"/>
        <v>-0.26785984956137376</v>
      </c>
      <c r="W124" s="1"/>
    </row>
    <row r="125" spans="1:23" ht="15" customHeight="1" x14ac:dyDescent="0.2">
      <c r="A125" s="34" t="s">
        <v>178</v>
      </c>
      <c r="B125" s="167">
        <v>5</v>
      </c>
      <c r="C125" s="173">
        <v>4.395061728395067</v>
      </c>
      <c r="D125" s="167">
        <v>4.153248195446972</v>
      </c>
      <c r="E125" s="167">
        <v>4.257225433526008</v>
      </c>
      <c r="F125" s="167">
        <v>3.6941105769230749</v>
      </c>
      <c r="G125" s="167">
        <v>3.6794231835829176</v>
      </c>
      <c r="H125" s="167">
        <v>3.5696937697993629</v>
      </c>
      <c r="I125" s="167">
        <v>3.838801711840226</v>
      </c>
      <c r="J125" s="167">
        <v>3.6591928251121093</v>
      </c>
      <c r="K125" s="167">
        <v>3.645942672587811</v>
      </c>
      <c r="L125" s="167">
        <v>3.4306762372497133</v>
      </c>
      <c r="M125" s="167">
        <v>3.6980949305779749</v>
      </c>
      <c r="N125" s="167">
        <v>3.6182864450127887</v>
      </c>
      <c r="O125" s="167">
        <v>4.0014781966001465</v>
      </c>
      <c r="P125" s="167">
        <v>4.0840748695919</v>
      </c>
      <c r="Q125" s="167">
        <v>4.030938647089668</v>
      </c>
      <c r="R125" s="167">
        <v>3.599736495388667</v>
      </c>
      <c r="S125" s="167">
        <v>3.2982561635598344</v>
      </c>
      <c r="T125" s="164">
        <f t="shared" si="21"/>
        <v>-0.36093666155227488</v>
      </c>
      <c r="U125" s="164">
        <f t="shared" si="22"/>
        <v>-0.70322203304031206</v>
      </c>
      <c r="V125" s="174">
        <f t="shared" si="23"/>
        <v>-0.3014803318288326</v>
      </c>
      <c r="W125" s="1"/>
    </row>
    <row r="126" spans="1:23" ht="15" customHeight="1" x14ac:dyDescent="0.2">
      <c r="A126" s="34" t="s">
        <v>179</v>
      </c>
      <c r="B126" s="167">
        <v>4.7066115702479436</v>
      </c>
      <c r="C126" s="173">
        <v>2.662500000000005</v>
      </c>
      <c r="D126" s="167">
        <v>2.9582172701949858</v>
      </c>
      <c r="E126" s="167">
        <v>3.3857142857142861</v>
      </c>
      <c r="F126" s="167">
        <v>2.8540925266903994</v>
      </c>
      <c r="G126" s="167">
        <v>2.7119113573407265</v>
      </c>
      <c r="H126" s="167">
        <v>3.4753521126760489</v>
      </c>
      <c r="I126" s="167">
        <v>3.1731160896130337</v>
      </c>
      <c r="J126" s="167">
        <v>3.2876404494382072</v>
      </c>
      <c r="K126" s="167">
        <v>3.1020408163265216</v>
      </c>
      <c r="L126" s="167">
        <v>3.3205298013245059</v>
      </c>
      <c r="M126" s="167">
        <v>3.3085271317829399</v>
      </c>
      <c r="N126" s="167">
        <v>3.9102091020910237</v>
      </c>
      <c r="O126" s="167">
        <v>4.3914893617021225</v>
      </c>
      <c r="P126" s="167">
        <v>3.6519823788546155</v>
      </c>
      <c r="Q126" s="167">
        <v>3.7597173144876308</v>
      </c>
      <c r="R126" s="167">
        <v>3.4826839826839873</v>
      </c>
      <c r="S126" s="167">
        <v>4.0980392156862706</v>
      </c>
      <c r="T126" s="164">
        <f t="shared" si="21"/>
        <v>0.8103987662480634</v>
      </c>
      <c r="U126" s="164">
        <f t="shared" si="22"/>
        <v>-0.29345014601585184</v>
      </c>
      <c r="V126" s="174">
        <f t="shared" si="23"/>
        <v>0.61535523300228334</v>
      </c>
      <c r="W126" s="1"/>
    </row>
    <row r="127" spans="1:23" ht="15" customHeight="1" x14ac:dyDescent="0.2">
      <c r="A127" s="34" t="s">
        <v>180</v>
      </c>
      <c r="B127" s="167">
        <v>4.3967193195625693</v>
      </c>
      <c r="C127" s="173">
        <v>4.1905520169851389</v>
      </c>
      <c r="D127" s="167">
        <v>3.4027072758037225</v>
      </c>
      <c r="E127" s="167">
        <v>3.7225877192982448</v>
      </c>
      <c r="F127" s="167">
        <v>3.3730639730639798</v>
      </c>
      <c r="G127" s="167">
        <v>3.9038865546218489</v>
      </c>
      <c r="H127" s="167">
        <v>3.3612268080272631</v>
      </c>
      <c r="I127" s="167">
        <v>3.1961703790543226</v>
      </c>
      <c r="J127" s="167">
        <v>3.2537616917446091</v>
      </c>
      <c r="K127" s="167">
        <v>3.3631123919308354</v>
      </c>
      <c r="L127" s="167">
        <v>3.1810858143607739</v>
      </c>
      <c r="M127" s="167">
        <v>3.2946650124069432</v>
      </c>
      <c r="N127" s="167">
        <v>3.489414694894144</v>
      </c>
      <c r="O127" s="167">
        <v>3.5837166513339476</v>
      </c>
      <c r="P127" s="167">
        <v>3.6992864424057075</v>
      </c>
      <c r="Q127" s="167">
        <v>3.5572658492042812</v>
      </c>
      <c r="R127" s="167">
        <v>3.2369077306733196</v>
      </c>
      <c r="S127" s="167">
        <v>3.0860796851942922</v>
      </c>
      <c r="T127" s="164">
        <f t="shared" si="21"/>
        <v>-0.16768200655031684</v>
      </c>
      <c r="U127" s="164">
        <f t="shared" si="22"/>
        <v>-0.49763696613965536</v>
      </c>
      <c r="V127" s="174">
        <f t="shared" si="23"/>
        <v>-0.1508280454790274</v>
      </c>
      <c r="W127" s="1"/>
    </row>
    <row r="128" spans="1:23" ht="15" customHeight="1" x14ac:dyDescent="0.2">
      <c r="A128" s="34" t="s">
        <v>181</v>
      </c>
      <c r="B128" s="167">
        <v>3.3368983957219278</v>
      </c>
      <c r="C128" s="173">
        <v>3.0765699596033773</v>
      </c>
      <c r="D128" s="167">
        <v>3.3975812547241091</v>
      </c>
      <c r="E128" s="167">
        <v>3.6520347508001851</v>
      </c>
      <c r="F128" s="167">
        <v>3.5759088781401154</v>
      </c>
      <c r="G128" s="167">
        <v>3.7441021013278313</v>
      </c>
      <c r="H128" s="167">
        <v>3.7308729769494846</v>
      </c>
      <c r="I128" s="167">
        <v>3.5600617147895104</v>
      </c>
      <c r="J128" s="167">
        <v>3.5107212475633531</v>
      </c>
      <c r="K128" s="167">
        <v>3.3917147351861541</v>
      </c>
      <c r="L128" s="167">
        <v>3.2903490385491629</v>
      </c>
      <c r="M128" s="167">
        <v>3.2898325249382268</v>
      </c>
      <c r="N128" s="167">
        <v>3.2760527043213834</v>
      </c>
      <c r="O128" s="167">
        <v>3.1313028764805413</v>
      </c>
      <c r="P128" s="167">
        <v>3.3657133975753801</v>
      </c>
      <c r="Q128" s="167">
        <v>3.2264341308734501</v>
      </c>
      <c r="R128" s="167">
        <v>2.9411593146190302</v>
      </c>
      <c r="S128" s="167">
        <v>2.7634205769079632</v>
      </c>
      <c r="T128" s="164">
        <f t="shared" si="21"/>
        <v>-0.74730067065538996</v>
      </c>
      <c r="U128" s="164">
        <f t="shared" si="22"/>
        <v>-0.36788229957257812</v>
      </c>
      <c r="V128" s="174">
        <f t="shared" si="23"/>
        <v>-0.17773873771106707</v>
      </c>
      <c r="W128" s="1"/>
    </row>
    <row r="129" spans="1:23" ht="15" customHeight="1" x14ac:dyDescent="0.2">
      <c r="A129" s="34" t="s">
        <v>163</v>
      </c>
      <c r="B129" s="167">
        <v>3.034029560138066</v>
      </c>
      <c r="C129" s="173">
        <v>2.9768177485050735</v>
      </c>
      <c r="D129" s="167">
        <v>2.9446442234123946</v>
      </c>
      <c r="E129" s="167">
        <v>2.9885774011721242</v>
      </c>
      <c r="F129" s="167">
        <v>2.8715589960773436</v>
      </c>
      <c r="G129" s="167">
        <v>2.8589784980951745</v>
      </c>
      <c r="H129" s="167">
        <v>2.7943516308671441</v>
      </c>
      <c r="I129" s="167">
        <v>2.8075667271313804</v>
      </c>
      <c r="J129" s="167">
        <v>2.8004719586283091</v>
      </c>
      <c r="K129" s="167">
        <v>2.7953160089829971</v>
      </c>
      <c r="L129" s="167">
        <v>2.6959665574511362</v>
      </c>
      <c r="M129" s="167">
        <v>2.7839320103826513</v>
      </c>
      <c r="N129" s="167">
        <v>2.7509359770764039</v>
      </c>
      <c r="O129" s="167">
        <v>2.6770120401150912</v>
      </c>
      <c r="P129" s="167">
        <v>2.7973528854925043</v>
      </c>
      <c r="Q129" s="167">
        <v>2.5650789867901409</v>
      </c>
      <c r="R129" s="167">
        <v>2.487586123949761</v>
      </c>
      <c r="S129" s="167">
        <v>2.319409058740268</v>
      </c>
      <c r="T129" s="164">
        <f t="shared" si="21"/>
        <v>-0.48106289988804107</v>
      </c>
      <c r="U129" s="164">
        <f t="shared" si="22"/>
        <v>-0.35760298137482316</v>
      </c>
      <c r="V129" s="174">
        <f t="shared" si="23"/>
        <v>-0.16817706520949294</v>
      </c>
      <c r="W129" s="1"/>
    </row>
    <row r="130" spans="1:23" ht="15" customHeight="1" x14ac:dyDescent="0.2">
      <c r="A130" s="34" t="s">
        <v>288</v>
      </c>
      <c r="B130" s="167">
        <v>1.8042704626334523</v>
      </c>
      <c r="C130" s="173">
        <v>1.195286195286192</v>
      </c>
      <c r="D130" s="167">
        <v>1.3857758620689697</v>
      </c>
      <c r="E130" s="167">
        <v>2.007312614259595</v>
      </c>
      <c r="F130" s="167">
        <v>1.3416927899686506</v>
      </c>
      <c r="G130" s="167">
        <v>1.4090909090909101</v>
      </c>
      <c r="H130" s="167">
        <v>1.1585365853658534</v>
      </c>
      <c r="I130" s="167">
        <v>1.2483870967741968</v>
      </c>
      <c r="J130" s="167">
        <v>1.8250175685172199</v>
      </c>
      <c r="K130" s="167">
        <v>2.0470647773279342</v>
      </c>
      <c r="L130" s="167">
        <v>2.1412012644889273</v>
      </c>
      <c r="M130" s="167">
        <v>2.1250000000000018</v>
      </c>
      <c r="N130" s="167">
        <v>2.1333668847508829</v>
      </c>
      <c r="O130" s="167">
        <v>2.3157543391188238</v>
      </c>
      <c r="P130" s="167">
        <v>2.5766871165644165</v>
      </c>
      <c r="Q130" s="167">
        <v>2.4502123643227929</v>
      </c>
      <c r="R130" s="167">
        <v>2.2202030999465538</v>
      </c>
      <c r="S130" s="167">
        <v>2.1391976800386612</v>
      </c>
      <c r="T130" s="164">
        <f t="shared" si="21"/>
        <v>0.31418011152144132</v>
      </c>
      <c r="U130" s="164">
        <f t="shared" si="22"/>
        <v>-0.1765566590801626</v>
      </c>
      <c r="V130" s="174">
        <f t="shared" si="23"/>
        <v>-8.1005419907892673E-2</v>
      </c>
      <c r="W130" s="1"/>
    </row>
    <row r="131" spans="1:23" ht="15" customHeight="1" x14ac:dyDescent="0.2">
      <c r="A131" s="34" t="s">
        <v>182</v>
      </c>
      <c r="B131" s="167">
        <v>3.0072639225181632</v>
      </c>
      <c r="C131" s="173">
        <v>2.6637396694214832</v>
      </c>
      <c r="D131" s="167">
        <v>2.2261854804867873</v>
      </c>
      <c r="E131" s="167">
        <v>2.494406196213431</v>
      </c>
      <c r="F131" s="167">
        <v>2.6026380873866497</v>
      </c>
      <c r="G131" s="167">
        <v>2.1187835420393561</v>
      </c>
      <c r="H131" s="167">
        <v>2.3565666343981899</v>
      </c>
      <c r="I131" s="167">
        <v>2.784747167725893</v>
      </c>
      <c r="J131" s="167">
        <v>2.6449536560247147</v>
      </c>
      <c r="K131" s="167">
        <v>2.5498986828774104</v>
      </c>
      <c r="L131" s="167">
        <v>2.8417822838847382</v>
      </c>
      <c r="M131" s="167">
        <v>2.5159305647110521</v>
      </c>
      <c r="N131" s="167">
        <v>2.6852060346768756</v>
      </c>
      <c r="O131" s="167">
        <v>2.6602698650674679</v>
      </c>
      <c r="P131" s="167">
        <v>2.8843612334801705</v>
      </c>
      <c r="Q131" s="167">
        <v>2.6005816771691759</v>
      </c>
      <c r="R131" s="167">
        <v>2.3568953568953628</v>
      </c>
      <c r="S131" s="167">
        <v>2.3389113644722315</v>
      </c>
      <c r="T131" s="164">
        <f t="shared" si="21"/>
        <v>-0.30604229155248319</v>
      </c>
      <c r="U131" s="164">
        <f t="shared" si="22"/>
        <v>-0.32135850059523641</v>
      </c>
      <c r="V131" s="174">
        <f t="shared" si="23"/>
        <v>-1.7983992423131312E-2</v>
      </c>
      <c r="W131" s="1"/>
    </row>
    <row r="132" spans="1:23" ht="15" customHeight="1" x14ac:dyDescent="0.2">
      <c r="A132" s="34" t="s">
        <v>183</v>
      </c>
      <c r="B132" s="167">
        <v>1.6847290640394128</v>
      </c>
      <c r="C132" s="173">
        <v>3.2649098474341152</v>
      </c>
      <c r="D132" s="167">
        <v>2.5739957716701909</v>
      </c>
      <c r="E132" s="167">
        <v>2.7055103884372169</v>
      </c>
      <c r="F132" s="167">
        <v>2.2911392405063307</v>
      </c>
      <c r="G132" s="167">
        <v>2.5292887029288647</v>
      </c>
      <c r="H132" s="167">
        <v>2.2221574344023356</v>
      </c>
      <c r="I132" s="167">
        <v>2.0037533512064378</v>
      </c>
      <c r="J132" s="167">
        <v>2.2154915590863968</v>
      </c>
      <c r="K132" s="167">
        <v>2.0529610014443911</v>
      </c>
      <c r="L132" s="167">
        <v>2.1763855421686706</v>
      </c>
      <c r="M132" s="167">
        <v>2.3596145422689432</v>
      </c>
      <c r="N132" s="167">
        <v>2.5793650793650773</v>
      </c>
      <c r="O132" s="167">
        <v>2.7126213592233057</v>
      </c>
      <c r="P132" s="167">
        <v>2.8999555357936835</v>
      </c>
      <c r="Q132" s="167">
        <v>2.6465059256232095</v>
      </c>
      <c r="R132" s="167">
        <v>2.4029363784665598</v>
      </c>
      <c r="S132" s="167">
        <v>2.3071553228621351</v>
      </c>
      <c r="T132" s="164">
        <f t="shared" si="21"/>
        <v>9.1663763775738261E-2</v>
      </c>
      <c r="U132" s="164">
        <f t="shared" si="22"/>
        <v>-0.40546603636117062</v>
      </c>
      <c r="V132" s="174">
        <f t="shared" si="23"/>
        <v>-9.5781055604424736E-2</v>
      </c>
      <c r="W132" s="1"/>
    </row>
    <row r="133" spans="1:23" ht="15" customHeight="1" x14ac:dyDescent="0.2">
      <c r="A133" s="34" t="s">
        <v>184</v>
      </c>
      <c r="B133" s="167">
        <v>2.8285464098073554</v>
      </c>
      <c r="C133" s="173">
        <v>2.731367292225201</v>
      </c>
      <c r="D133" s="167">
        <v>2.7339257710402478</v>
      </c>
      <c r="E133" s="167">
        <v>2.7506121021336156</v>
      </c>
      <c r="F133" s="167">
        <v>2.6728029454137978</v>
      </c>
      <c r="G133" s="167">
        <v>2.672230652503794</v>
      </c>
      <c r="H133" s="167">
        <v>2.6027577937649866</v>
      </c>
      <c r="I133" s="167">
        <v>2.6367603235419317</v>
      </c>
      <c r="J133" s="167">
        <v>2.7332856997039876</v>
      </c>
      <c r="K133" s="167">
        <v>2.6629345904537427</v>
      </c>
      <c r="L133" s="167">
        <v>2.6500794596742185</v>
      </c>
      <c r="M133" s="167">
        <v>2.893762538756155</v>
      </c>
      <c r="N133" s="167">
        <v>2.8876676602086437</v>
      </c>
      <c r="O133" s="167">
        <v>3.0617300482056766</v>
      </c>
      <c r="P133" s="167">
        <v>3.1293616337031676</v>
      </c>
      <c r="Q133" s="167">
        <v>2.8870777226553272</v>
      </c>
      <c r="R133" s="167">
        <v>2.7605622680249553</v>
      </c>
      <c r="S133" s="167">
        <v>2.5980976946638688</v>
      </c>
      <c r="T133" s="164">
        <f t="shared" si="21"/>
        <v>-0.13518800504011885</v>
      </c>
      <c r="U133" s="164">
        <f t="shared" si="22"/>
        <v>-0.46363235354180787</v>
      </c>
      <c r="V133" s="174">
        <f t="shared" si="23"/>
        <v>-0.16246457336108655</v>
      </c>
      <c r="W133" s="1"/>
    </row>
    <row r="134" spans="1:23" ht="15" customHeight="1" x14ac:dyDescent="0.2">
      <c r="A134" s="34" t="s">
        <v>185</v>
      </c>
      <c r="B134" s="167">
        <v>2.9897996357012744</v>
      </c>
      <c r="C134" s="173">
        <v>3.1375346809353939</v>
      </c>
      <c r="D134" s="167">
        <v>2.9953364423717552</v>
      </c>
      <c r="E134" s="167">
        <v>2.9586885245901655</v>
      </c>
      <c r="F134" s="167">
        <v>2.4992877492877508</v>
      </c>
      <c r="G134" s="167">
        <v>2.4094945355191264</v>
      </c>
      <c r="H134" s="167">
        <v>2.3166153846153854</v>
      </c>
      <c r="I134" s="167">
        <v>2.3629447852760723</v>
      </c>
      <c r="J134" s="167">
        <v>2.429985443959243</v>
      </c>
      <c r="K134" s="167">
        <v>2.3051535922823074</v>
      </c>
      <c r="L134" s="167">
        <v>2.4618844696969706</v>
      </c>
      <c r="M134" s="167">
        <v>2.5938647656081208</v>
      </c>
      <c r="N134" s="167">
        <v>2.5257094090036265</v>
      </c>
      <c r="O134" s="167">
        <v>2.5940658624062607</v>
      </c>
      <c r="P134" s="167">
        <v>2.755071499833722</v>
      </c>
      <c r="Q134" s="167">
        <v>2.4434210526315798</v>
      </c>
      <c r="R134" s="167">
        <v>2.4575802286979016</v>
      </c>
      <c r="S134" s="167">
        <v>2.600926283288306</v>
      </c>
      <c r="T134" s="164">
        <f t="shared" si="21"/>
        <v>0.17094083932906301</v>
      </c>
      <c r="U134" s="164">
        <f t="shared" si="22"/>
        <v>6.8604208820453039E-3</v>
      </c>
      <c r="V134" s="174">
        <f t="shared" si="23"/>
        <v>0.14334605459040439</v>
      </c>
      <c r="W134" s="1"/>
    </row>
    <row r="135" spans="1:23" ht="15" customHeight="1" x14ac:dyDescent="0.2">
      <c r="A135" s="34" t="s">
        <v>186</v>
      </c>
      <c r="B135" s="167">
        <v>5.777114427860699</v>
      </c>
      <c r="C135" s="173">
        <v>5.7056603773584946</v>
      </c>
      <c r="D135" s="167">
        <v>4.7354330708661347</v>
      </c>
      <c r="E135" s="167">
        <v>4.4365384615384666</v>
      </c>
      <c r="F135" s="167">
        <v>4.4610778443113723</v>
      </c>
      <c r="G135" s="167">
        <v>3.946882217090069</v>
      </c>
      <c r="H135" s="167">
        <v>4.4933252427184396</v>
      </c>
      <c r="I135" s="167">
        <v>3.9827105409927555</v>
      </c>
      <c r="J135" s="167">
        <v>3.5026246719160081</v>
      </c>
      <c r="K135" s="167">
        <v>3.4144960362400898</v>
      </c>
      <c r="L135" s="167">
        <v>3.1976549413735391</v>
      </c>
      <c r="M135" s="167">
        <v>3.1495033978044962</v>
      </c>
      <c r="N135" s="167">
        <v>3.3217726396917175</v>
      </c>
      <c r="O135" s="167">
        <v>3.192282958199355</v>
      </c>
      <c r="P135" s="167">
        <v>3.5451047456177847</v>
      </c>
      <c r="Q135" s="167">
        <v>3.5774865073245934</v>
      </c>
      <c r="R135" s="167">
        <v>3.6007326007326004</v>
      </c>
      <c r="S135" s="167">
        <v>3.2560283687943272</v>
      </c>
      <c r="T135" s="164">
        <f t="shared" si="21"/>
        <v>-0.2465963031216809</v>
      </c>
      <c r="U135" s="164">
        <f t="shared" si="22"/>
        <v>6.3745410594972185E-2</v>
      </c>
      <c r="V135" s="174">
        <f t="shared" si="23"/>
        <v>-0.34470423193827315</v>
      </c>
      <c r="W135" s="1"/>
    </row>
    <row r="136" spans="1:23" ht="15" customHeight="1" x14ac:dyDescent="0.2">
      <c r="A136" s="34" t="s">
        <v>187</v>
      </c>
      <c r="B136" s="167">
        <v>2.4303135888501686</v>
      </c>
      <c r="C136" s="173">
        <v>2.5492063492063455</v>
      </c>
      <c r="D136" s="167">
        <v>2.2602739726027412</v>
      </c>
      <c r="E136" s="167">
        <v>2.8499613302397471</v>
      </c>
      <c r="F136" s="167">
        <v>2.4552075746540432</v>
      </c>
      <c r="G136" s="167">
        <v>2.4124490983129725</v>
      </c>
      <c r="H136" s="167">
        <v>2.8417305585980284</v>
      </c>
      <c r="I136" s="167">
        <v>2.7280534351145054</v>
      </c>
      <c r="J136" s="167">
        <v>2.8532555879494677</v>
      </c>
      <c r="K136" s="167">
        <v>2.733117670845127</v>
      </c>
      <c r="L136" s="167">
        <v>2.8313630041724611</v>
      </c>
      <c r="M136" s="167">
        <v>2.8108974358974343</v>
      </c>
      <c r="N136" s="167">
        <v>2.8837612768910486</v>
      </c>
      <c r="O136" s="167">
        <v>2.8799812470698534</v>
      </c>
      <c r="P136" s="167">
        <v>2.9193886724602951</v>
      </c>
      <c r="Q136" s="167">
        <v>3.0251299826689806</v>
      </c>
      <c r="R136" s="167">
        <v>2.5206251601332319</v>
      </c>
      <c r="S136" s="167">
        <v>2.3119239631336441</v>
      </c>
      <c r="T136" s="164">
        <f t="shared" si="21"/>
        <v>-0.54133162481582353</v>
      </c>
      <c r="U136" s="164">
        <f t="shared" si="22"/>
        <v>-0.56805728393620925</v>
      </c>
      <c r="V136" s="174">
        <f t="shared" si="23"/>
        <v>-0.20870119699958778</v>
      </c>
      <c r="W136" s="1"/>
    </row>
    <row r="137" spans="1:23" ht="15" customHeight="1" x14ac:dyDescent="0.2">
      <c r="A137" s="34" t="s">
        <v>188</v>
      </c>
      <c r="B137" s="167">
        <v>2.696428571428573</v>
      </c>
      <c r="C137" s="173">
        <v>3</v>
      </c>
      <c r="D137" s="167">
        <v>2.7777777777777786</v>
      </c>
      <c r="E137" s="167">
        <v>2.8367346938775526</v>
      </c>
      <c r="F137" s="167">
        <v>2.6874999999999876</v>
      </c>
      <c r="G137" s="167">
        <v>1.0769230769230766</v>
      </c>
      <c r="H137" s="167">
        <v>1.5172413793103434</v>
      </c>
      <c r="I137" s="167">
        <v>1.6048387096774182</v>
      </c>
      <c r="J137" s="167">
        <v>1.4999999999999964</v>
      </c>
      <c r="K137" s="167">
        <v>2.3666666666666689</v>
      </c>
      <c r="L137" s="167">
        <v>1.8256880733944918</v>
      </c>
      <c r="M137" s="167">
        <v>1.8170731707317085</v>
      </c>
      <c r="N137" s="167">
        <v>3.2985074626865689</v>
      </c>
      <c r="O137" s="167">
        <v>2.8225806451612936</v>
      </c>
      <c r="P137" s="167">
        <v>2.3245033112582778</v>
      </c>
      <c r="Q137" s="167">
        <v>2.570175438596479</v>
      </c>
      <c r="R137" s="167">
        <v>2.1648351648351678</v>
      </c>
      <c r="S137" s="167">
        <v>2.3194444444444411</v>
      </c>
      <c r="T137" s="164">
        <f t="shared" si="21"/>
        <v>0.81944444444444464</v>
      </c>
      <c r="U137" s="164">
        <f t="shared" si="22"/>
        <v>-0.5031362007168525</v>
      </c>
      <c r="V137" s="174">
        <f t="shared" si="23"/>
        <v>0.15460927960927329</v>
      </c>
      <c r="W137" s="1"/>
    </row>
    <row r="138" spans="1:23" ht="15" customHeight="1" x14ac:dyDescent="0.2">
      <c r="A138" s="34" t="s">
        <v>189</v>
      </c>
      <c r="B138" s="167">
        <v>2.8815789473684177</v>
      </c>
      <c r="C138" s="173">
        <v>2.5514511873351058</v>
      </c>
      <c r="D138" s="167">
        <v>2.6040462427745581</v>
      </c>
      <c r="E138" s="167">
        <v>2.6118251928020566</v>
      </c>
      <c r="F138" s="167">
        <v>3.1309012875536446</v>
      </c>
      <c r="G138" s="167">
        <v>2.7127659574468126</v>
      </c>
      <c r="H138" s="167">
        <v>2.5592417061611421</v>
      </c>
      <c r="I138" s="167">
        <v>2.7867298578199033</v>
      </c>
      <c r="J138" s="167">
        <v>2.8855140186915929</v>
      </c>
      <c r="K138" s="167">
        <v>2.2372372372372347</v>
      </c>
      <c r="L138" s="167">
        <v>2.9204545454545396</v>
      </c>
      <c r="M138" s="167">
        <v>2.5221402214022159</v>
      </c>
      <c r="N138" s="167">
        <v>3.0859106529209601</v>
      </c>
      <c r="O138" s="167">
        <v>2.2962962962962887</v>
      </c>
      <c r="P138" s="167">
        <v>2.5472103004291835</v>
      </c>
      <c r="Q138" s="167">
        <v>2.4985915492957691</v>
      </c>
      <c r="R138" s="167">
        <v>2.2458100558659204</v>
      </c>
      <c r="S138" s="167">
        <v>2.4736842105263186</v>
      </c>
      <c r="T138" s="164">
        <f t="shared" si="21"/>
        <v>-0.41182980816527426</v>
      </c>
      <c r="U138" s="164">
        <f t="shared" si="22"/>
        <v>0.17738791423002986</v>
      </c>
      <c r="V138" s="174">
        <f t="shared" si="23"/>
        <v>0.22787415466039818</v>
      </c>
      <c r="W138" s="1"/>
    </row>
    <row r="139" spans="1:23" ht="15" customHeight="1" x14ac:dyDescent="0.2">
      <c r="A139" s="42" t="s">
        <v>6</v>
      </c>
      <c r="B139" s="166">
        <v>1.7329336685360666</v>
      </c>
      <c r="C139" s="166">
        <v>1.3562736361253602</v>
      </c>
      <c r="D139" s="166">
        <v>1.4554975706316355</v>
      </c>
      <c r="E139" s="166">
        <v>1.6055702505056795</v>
      </c>
      <c r="F139" s="166">
        <v>1.6503822937625756</v>
      </c>
      <c r="G139" s="166">
        <v>1.5847533431727712</v>
      </c>
      <c r="H139" s="166">
        <v>1.7321239873194783</v>
      </c>
      <c r="I139" s="166">
        <v>1.5859943375264312</v>
      </c>
      <c r="J139" s="166">
        <v>1.4462346434491629</v>
      </c>
      <c r="K139" s="166">
        <v>1.4204932939304387</v>
      </c>
      <c r="L139" s="166">
        <v>1.4183594573697897</v>
      </c>
      <c r="M139" s="166">
        <v>1.633370789522969</v>
      </c>
      <c r="N139" s="166">
        <v>1.4443883247381573</v>
      </c>
      <c r="O139" s="166">
        <v>1.5204925690021227</v>
      </c>
      <c r="P139" s="166">
        <v>1.765881205920711</v>
      </c>
      <c r="Q139" s="166">
        <v>1.7394118050318781</v>
      </c>
      <c r="R139" s="166">
        <v>1.6436591721062666</v>
      </c>
      <c r="S139" s="166">
        <v>1.4174391886538311</v>
      </c>
      <c r="T139" s="165">
        <f t="shared" si="21"/>
        <v>-2.8795454795331743E-2</v>
      </c>
      <c r="U139" s="165">
        <f t="shared" si="22"/>
        <v>-0.10305338034829159</v>
      </c>
      <c r="V139" s="175">
        <f t="shared" si="23"/>
        <v>-0.22621998345243544</v>
      </c>
      <c r="W139" s="1"/>
    </row>
    <row r="140" spans="1:23" ht="15" customHeight="1" x14ac:dyDescent="0.2">
      <c r="A140" s="34" t="s">
        <v>176</v>
      </c>
      <c r="B140" s="167">
        <v>2.1016393442622947</v>
      </c>
      <c r="C140" s="167">
        <v>2.048433048433048</v>
      </c>
      <c r="D140" s="167">
        <v>1.7840236686390538</v>
      </c>
      <c r="E140" s="167">
        <v>2.1307420494699638</v>
      </c>
      <c r="F140" s="167">
        <v>1.6810551558752991</v>
      </c>
      <c r="G140" s="167">
        <v>1.882562277580071</v>
      </c>
      <c r="H140" s="167">
        <v>1.7796101949025482</v>
      </c>
      <c r="I140" s="167">
        <v>1.8710888610763456</v>
      </c>
      <c r="J140" s="167">
        <v>1.5945945945945947</v>
      </c>
      <c r="K140" s="167">
        <v>1.8222013170272815</v>
      </c>
      <c r="L140" s="167">
        <v>1.5749158249158262</v>
      </c>
      <c r="M140" s="167">
        <v>1.6546707503828486</v>
      </c>
      <c r="N140" s="167">
        <v>1.563273727647867</v>
      </c>
      <c r="O140" s="167">
        <v>1.7474576271186439</v>
      </c>
      <c r="P140" s="167">
        <v>2.3128654970760234</v>
      </c>
      <c r="Q140" s="167">
        <v>2.4758220502901347</v>
      </c>
      <c r="R140" s="167">
        <v>1.7929104477611943</v>
      </c>
      <c r="S140" s="167">
        <v>1.6131756756756754</v>
      </c>
      <c r="T140" s="164">
        <f t="shared" si="21"/>
        <v>1.8581081081080697E-2</v>
      </c>
      <c r="U140" s="164">
        <f t="shared" si="22"/>
        <v>-0.13428195144296851</v>
      </c>
      <c r="V140" s="174">
        <f t="shared" si="23"/>
        <v>-0.17973477208551891</v>
      </c>
      <c r="W140" s="1"/>
    </row>
    <row r="141" spans="1:23" ht="15" customHeight="1" x14ac:dyDescent="0.2">
      <c r="A141" s="34" t="s">
        <v>177</v>
      </c>
      <c r="B141" s="167">
        <v>2.1115241635687729</v>
      </c>
      <c r="C141" s="167">
        <v>1.4822485207100584</v>
      </c>
      <c r="D141" s="167">
        <v>1.5631768953068592</v>
      </c>
      <c r="E141" s="167">
        <v>2.2920792079207946</v>
      </c>
      <c r="F141" s="167">
        <v>1.5629370629370634</v>
      </c>
      <c r="G141" s="167">
        <v>1.7139423076923075</v>
      </c>
      <c r="H141" s="167">
        <v>1.9281183932346719</v>
      </c>
      <c r="I141" s="167">
        <v>1.8977035490605427</v>
      </c>
      <c r="J141" s="167">
        <v>1.891583452211127</v>
      </c>
      <c r="K141" s="167">
        <v>1.6699346405228761</v>
      </c>
      <c r="L141" s="167">
        <v>1.6424815983175609</v>
      </c>
      <c r="M141" s="167">
        <v>1.9056420233463038</v>
      </c>
      <c r="N141" s="167">
        <v>1.9203539823008855</v>
      </c>
      <c r="O141" s="167">
        <v>1.7068493150684931</v>
      </c>
      <c r="P141" s="167">
        <v>1.8260211800302573</v>
      </c>
      <c r="Q141" s="167">
        <v>1.8804347826086953</v>
      </c>
      <c r="R141" s="167">
        <v>2.270545454545454</v>
      </c>
      <c r="S141" s="167">
        <v>1.8821502412129565</v>
      </c>
      <c r="T141" s="164">
        <f t="shared" si="21"/>
        <v>-9.4332109981705159E-3</v>
      </c>
      <c r="U141" s="164">
        <f t="shared" si="22"/>
        <v>0.17530092614446335</v>
      </c>
      <c r="V141" s="174">
        <f t="shared" si="23"/>
        <v>-0.38839521333249749</v>
      </c>
      <c r="W141" s="1"/>
    </row>
    <row r="142" spans="1:23" ht="15" customHeight="1" x14ac:dyDescent="0.2">
      <c r="A142" s="34" t="s">
        <v>178</v>
      </c>
      <c r="B142" s="167">
        <v>2.1901140684410647</v>
      </c>
      <c r="C142" s="167">
        <v>2.0740740740740744</v>
      </c>
      <c r="D142" s="167">
        <v>1.8681564245810049</v>
      </c>
      <c r="E142" s="167">
        <v>2.0452436194895585</v>
      </c>
      <c r="F142" s="167">
        <v>1.9463364293085661</v>
      </c>
      <c r="G142" s="167">
        <v>1.8624787775891347</v>
      </c>
      <c r="H142" s="167">
        <v>2.095620437956204</v>
      </c>
      <c r="I142" s="167">
        <v>1.8181818181818183</v>
      </c>
      <c r="J142" s="167">
        <v>1.5421920465567407</v>
      </c>
      <c r="K142" s="167">
        <v>1.6863117870722428</v>
      </c>
      <c r="L142" s="167">
        <v>1.7495429616087756</v>
      </c>
      <c r="M142" s="167">
        <v>1.8076923076923075</v>
      </c>
      <c r="N142" s="167">
        <v>1.8593304843304841</v>
      </c>
      <c r="O142" s="167">
        <v>1.8645330995177556</v>
      </c>
      <c r="P142" s="167">
        <v>1.927364864864864</v>
      </c>
      <c r="Q142" s="167">
        <v>1.9562937062937067</v>
      </c>
      <c r="R142" s="167">
        <v>2.0155367231638417</v>
      </c>
      <c r="S142" s="167">
        <v>1.6549062844542446</v>
      </c>
      <c r="T142" s="164">
        <f t="shared" si="21"/>
        <v>0.1127142378975039</v>
      </c>
      <c r="U142" s="164">
        <f t="shared" si="22"/>
        <v>-0.209626815063511</v>
      </c>
      <c r="V142" s="174">
        <f t="shared" si="23"/>
        <v>-0.3606304387095971</v>
      </c>
      <c r="W142" s="1"/>
    </row>
    <row r="143" spans="1:23" ht="15" customHeight="1" x14ac:dyDescent="0.2">
      <c r="A143" s="34" t="s">
        <v>179</v>
      </c>
      <c r="B143" s="167">
        <v>3.0121212121212135</v>
      </c>
      <c r="C143" s="167">
        <v>3.5369458128078826</v>
      </c>
      <c r="D143" s="167">
        <v>2.5524079320113318</v>
      </c>
      <c r="E143" s="167">
        <v>3.191326530612244</v>
      </c>
      <c r="F143" s="167">
        <v>2.477900552486191</v>
      </c>
      <c r="G143" s="167">
        <v>1.8153241650294696</v>
      </c>
      <c r="H143" s="167">
        <v>2.5168711656441722</v>
      </c>
      <c r="I143" s="167">
        <v>1.986348122866894</v>
      </c>
      <c r="J143" s="167">
        <v>1.8023872679045096</v>
      </c>
      <c r="K143" s="167">
        <v>2.1022128556375126</v>
      </c>
      <c r="L143" s="167">
        <v>1.9217289719626169</v>
      </c>
      <c r="M143" s="167">
        <v>1.9533333333333323</v>
      </c>
      <c r="N143" s="167">
        <v>2.2095238095238088</v>
      </c>
      <c r="O143" s="167">
        <v>1.7627952755905518</v>
      </c>
      <c r="P143" s="167">
        <v>2.1127450980392162</v>
      </c>
      <c r="Q143" s="167">
        <v>2.1448066717210006</v>
      </c>
      <c r="R143" s="167">
        <v>2.064516129032258</v>
      </c>
      <c r="S143" s="167">
        <v>1.7069726390114743</v>
      </c>
      <c r="T143" s="164">
        <f t="shared" si="21"/>
        <v>-9.5414628893035314E-2</v>
      </c>
      <c r="U143" s="164">
        <f t="shared" si="22"/>
        <v>-5.5822636579077489E-2</v>
      </c>
      <c r="V143" s="174">
        <f t="shared" si="23"/>
        <v>-0.35754349002078367</v>
      </c>
      <c r="W143" s="1"/>
    </row>
    <row r="144" spans="1:23" ht="15" customHeight="1" x14ac:dyDescent="0.2">
      <c r="A144" s="34" t="s">
        <v>180</v>
      </c>
      <c r="B144" s="167">
        <v>2.3828828828828836</v>
      </c>
      <c r="C144" s="167">
        <v>1.7029780564263319</v>
      </c>
      <c r="D144" s="167">
        <v>1.5792452830188681</v>
      </c>
      <c r="E144" s="167">
        <v>2.356814701378255</v>
      </c>
      <c r="F144" s="167">
        <v>1.8539659006671609</v>
      </c>
      <c r="G144" s="167">
        <v>1.8276515151515156</v>
      </c>
      <c r="H144" s="167">
        <v>2.1972602739726028</v>
      </c>
      <c r="I144" s="167">
        <v>1.6978383458646613</v>
      </c>
      <c r="J144" s="167">
        <v>1.842486164325245</v>
      </c>
      <c r="K144" s="167">
        <v>1.9008172362555724</v>
      </c>
      <c r="L144" s="167">
        <v>1.9786489324466219</v>
      </c>
      <c r="M144" s="167">
        <v>1.9207184886961901</v>
      </c>
      <c r="N144" s="167">
        <v>1.7132733714908692</v>
      </c>
      <c r="O144" s="167">
        <v>1.8744512730465317</v>
      </c>
      <c r="P144" s="167">
        <v>1.9985765124555162</v>
      </c>
      <c r="Q144" s="167">
        <v>1.8043032786885247</v>
      </c>
      <c r="R144" s="167">
        <v>1.6252364225884897</v>
      </c>
      <c r="S144" s="167">
        <v>1.4077643171806171</v>
      </c>
      <c r="T144" s="164">
        <f t="shared" si="21"/>
        <v>-0.43472184714462792</v>
      </c>
      <c r="U144" s="164">
        <f t="shared" si="22"/>
        <v>-0.46668695586591458</v>
      </c>
      <c r="V144" s="174">
        <f t="shared" si="23"/>
        <v>-0.21747210540787254</v>
      </c>
      <c r="W144" s="1"/>
    </row>
    <row r="145" spans="1:23" ht="15" customHeight="1" x14ac:dyDescent="0.2">
      <c r="A145" s="34" t="s">
        <v>181</v>
      </c>
      <c r="B145" s="167">
        <v>2.0155180282975813</v>
      </c>
      <c r="C145" s="167">
        <v>1.5946878233873738</v>
      </c>
      <c r="D145" s="167">
        <v>1.9479576399394851</v>
      </c>
      <c r="E145" s="167">
        <v>1.9844302901627726</v>
      </c>
      <c r="F145" s="167">
        <v>2.1521154316458793</v>
      </c>
      <c r="G145" s="167">
        <v>1.8713601179506076</v>
      </c>
      <c r="H145" s="167">
        <v>2.0437636761487967</v>
      </c>
      <c r="I145" s="167">
        <v>1.9108779190067988</v>
      </c>
      <c r="J145" s="167">
        <v>1.6429164360819035</v>
      </c>
      <c r="K145" s="167">
        <v>1.5028838231255151</v>
      </c>
      <c r="L145" s="167">
        <v>1.5543114543114536</v>
      </c>
      <c r="M145" s="167">
        <v>1.9186210431885167</v>
      </c>
      <c r="N145" s="167">
        <v>1.5876757650951205</v>
      </c>
      <c r="O145" s="167">
        <v>1.5331203765971759</v>
      </c>
      <c r="P145" s="167">
        <v>1.7616166816836136</v>
      </c>
      <c r="Q145" s="167">
        <v>1.8642102550888948</v>
      </c>
      <c r="R145" s="167">
        <v>1.5291613452532991</v>
      </c>
      <c r="S145" s="167">
        <v>1.3175082327113063</v>
      </c>
      <c r="T145" s="164">
        <f t="shared" si="21"/>
        <v>-0.32540820337059717</v>
      </c>
      <c r="U145" s="164">
        <f t="shared" si="22"/>
        <v>-0.21561214388586958</v>
      </c>
      <c r="V145" s="174">
        <f t="shared" si="23"/>
        <v>-0.21165311254199271</v>
      </c>
      <c r="W145" s="1"/>
    </row>
    <row r="146" spans="1:23" ht="15" customHeight="1" x14ac:dyDescent="0.2">
      <c r="A146" s="34" t="s">
        <v>163</v>
      </c>
      <c r="B146" s="167">
        <v>1.4980971052935068</v>
      </c>
      <c r="C146" s="167">
        <v>1.2548946831214627</v>
      </c>
      <c r="D146" s="167">
        <v>1.38485459741133</v>
      </c>
      <c r="E146" s="167">
        <v>1.3941104294478528</v>
      </c>
      <c r="F146" s="167">
        <v>1.5582701152858256</v>
      </c>
      <c r="G146" s="167">
        <v>1.5322498471571224</v>
      </c>
      <c r="H146" s="167">
        <v>1.5437741862053267</v>
      </c>
      <c r="I146" s="167">
        <v>1.4581313065129082</v>
      </c>
      <c r="J146" s="167">
        <v>1.3527305619417325</v>
      </c>
      <c r="K146" s="167">
        <v>1.2741415557112825</v>
      </c>
      <c r="L146" s="167">
        <v>1.2700906762649682</v>
      </c>
      <c r="M146" s="167">
        <v>1.6703698819806156</v>
      </c>
      <c r="N146" s="167">
        <v>1.3467692517192074</v>
      </c>
      <c r="O146" s="167">
        <v>1.4758513425016373</v>
      </c>
      <c r="P146" s="167">
        <v>1.7526628334433028</v>
      </c>
      <c r="Q146" s="167">
        <v>1.6877287810885706</v>
      </c>
      <c r="R146" s="167">
        <v>1.5505107125062283</v>
      </c>
      <c r="S146" s="167">
        <v>1.3911555270315699</v>
      </c>
      <c r="T146" s="164">
        <f t="shared" si="21"/>
        <v>3.8424965089837393E-2</v>
      </c>
      <c r="U146" s="164">
        <f t="shared" si="22"/>
        <v>-8.4695815470067437E-2</v>
      </c>
      <c r="V146" s="174">
        <f t="shared" si="23"/>
        <v>-0.15935518547465843</v>
      </c>
      <c r="W146" s="1"/>
    </row>
    <row r="147" spans="1:23" ht="15" customHeight="1" x14ac:dyDescent="0.2">
      <c r="A147" s="34" t="s">
        <v>289</v>
      </c>
      <c r="B147" s="167">
        <v>1.3927601809954746</v>
      </c>
      <c r="C147" s="167">
        <v>0.98048452220726823</v>
      </c>
      <c r="D147" s="167">
        <v>0.86641791044776095</v>
      </c>
      <c r="E147" s="167">
        <v>1.322239031770045</v>
      </c>
      <c r="F147" s="167">
        <v>1.294986807387863</v>
      </c>
      <c r="G147" s="167">
        <v>1.2105263157894735</v>
      </c>
      <c r="H147" s="167">
        <v>1.719483568075117</v>
      </c>
      <c r="I147" s="167">
        <v>1.1739543726235739</v>
      </c>
      <c r="J147" s="167">
        <v>1.1651143099068584</v>
      </c>
      <c r="K147" s="167">
        <v>1.1454589024682482</v>
      </c>
      <c r="L147" s="167">
        <v>1.4035836177474401</v>
      </c>
      <c r="M147" s="167">
        <v>1.2990600968385078</v>
      </c>
      <c r="N147" s="167">
        <v>1.3538619450859635</v>
      </c>
      <c r="O147" s="167">
        <v>1.5089192025183626</v>
      </c>
      <c r="P147" s="167">
        <v>1.6451803666469544</v>
      </c>
      <c r="Q147" s="167">
        <v>1.7120189061444968</v>
      </c>
      <c r="R147" s="167">
        <v>1.6743038420867107</v>
      </c>
      <c r="S147" s="167">
        <v>1.4084740152267461</v>
      </c>
      <c r="T147" s="164">
        <f t="shared" si="21"/>
        <v>0.24335970531988771</v>
      </c>
      <c r="U147" s="164">
        <f t="shared" si="22"/>
        <v>-0.10044518729161656</v>
      </c>
      <c r="V147" s="174">
        <f t="shared" si="23"/>
        <v>-0.26582982685996459</v>
      </c>
      <c r="W147" s="1"/>
    </row>
    <row r="148" spans="1:23" ht="15" customHeight="1" x14ac:dyDescent="0.2">
      <c r="A148" s="34" t="s">
        <v>182</v>
      </c>
      <c r="B148" s="167">
        <v>1.5101387406616871</v>
      </c>
      <c r="C148" s="167">
        <v>0.81090651558073645</v>
      </c>
      <c r="D148" s="167">
        <v>1.098765432098765</v>
      </c>
      <c r="E148" s="167">
        <v>1.5310344827586198</v>
      </c>
      <c r="F148" s="167">
        <v>1.4354550862581803</v>
      </c>
      <c r="G148" s="167">
        <v>1.3849129593810448</v>
      </c>
      <c r="H148" s="167">
        <v>1.5315420560747661</v>
      </c>
      <c r="I148" s="167">
        <v>1.4895693135935399</v>
      </c>
      <c r="J148" s="167">
        <v>1.3728070175438596</v>
      </c>
      <c r="K148" s="167">
        <v>1.2666666666666666</v>
      </c>
      <c r="L148" s="167">
        <v>1.2355742296918768</v>
      </c>
      <c r="M148" s="167">
        <v>1.3025442477876101</v>
      </c>
      <c r="N148" s="167">
        <v>1.4190124596215972</v>
      </c>
      <c r="O148" s="167">
        <v>1.3474001507159006</v>
      </c>
      <c r="P148" s="167">
        <v>1.4695332757130508</v>
      </c>
      <c r="Q148" s="167">
        <v>1.3631578947368421</v>
      </c>
      <c r="R148" s="167">
        <v>1.3294062205466544</v>
      </c>
      <c r="S148" s="167">
        <v>1.3191441441441443</v>
      </c>
      <c r="T148" s="164">
        <f t="shared" si="21"/>
        <v>-5.3662873399715316E-2</v>
      </c>
      <c r="U148" s="164">
        <f t="shared" si="22"/>
        <v>-2.8256006571756309E-2</v>
      </c>
      <c r="V148" s="174">
        <f t="shared" si="23"/>
        <v>-1.026207640251009E-2</v>
      </c>
      <c r="W148" s="1"/>
    </row>
    <row r="149" spans="1:23" ht="15" customHeight="1" x14ac:dyDescent="0.2">
      <c r="A149" s="34" t="s">
        <v>183</v>
      </c>
      <c r="B149" s="167">
        <v>2.1730013106159891</v>
      </c>
      <c r="C149" s="167">
        <v>0.97839506172839563</v>
      </c>
      <c r="D149" s="167">
        <v>0.91237830319888769</v>
      </c>
      <c r="E149" s="167">
        <v>1.4779270633397319</v>
      </c>
      <c r="F149" s="167">
        <v>1.353211009174311</v>
      </c>
      <c r="G149" s="167">
        <v>1.3874345549738205</v>
      </c>
      <c r="H149" s="167">
        <v>1.5631621841890793</v>
      </c>
      <c r="I149" s="167">
        <v>1.7358953393295184</v>
      </c>
      <c r="J149" s="167">
        <v>1.5267737617135202</v>
      </c>
      <c r="K149" s="167">
        <v>1.5073250135648406</v>
      </c>
      <c r="L149" s="167">
        <v>1.4352051835853139</v>
      </c>
      <c r="M149" s="167">
        <v>1.4301412872841439</v>
      </c>
      <c r="N149" s="167">
        <v>1.4127999999999998</v>
      </c>
      <c r="O149" s="167">
        <v>1.5762711864406782</v>
      </c>
      <c r="P149" s="167">
        <v>2.0407854984894263</v>
      </c>
      <c r="Q149" s="167">
        <v>2.0294294294294293</v>
      </c>
      <c r="R149" s="167">
        <v>1.9127596439169139</v>
      </c>
      <c r="S149" s="167">
        <v>1.7540983606557372</v>
      </c>
      <c r="T149" s="164">
        <f t="shared" si="21"/>
        <v>0.22732459894221702</v>
      </c>
      <c r="U149" s="164">
        <f t="shared" si="22"/>
        <v>0.177827174215059</v>
      </c>
      <c r="V149" s="174">
        <f t="shared" si="23"/>
        <v>-0.15866128326117668</v>
      </c>
      <c r="W149" s="1"/>
    </row>
    <row r="150" spans="1:23" ht="15" customHeight="1" x14ac:dyDescent="0.2">
      <c r="A150" s="34" t="s">
        <v>184</v>
      </c>
      <c r="B150" s="167">
        <v>1.6962025316455698</v>
      </c>
      <c r="C150" s="167">
        <v>1.4326409495548962</v>
      </c>
      <c r="D150" s="167">
        <v>1.5231768526719813</v>
      </c>
      <c r="E150" s="167">
        <v>1.5656887755102042</v>
      </c>
      <c r="F150" s="167">
        <v>1.5917964465891643</v>
      </c>
      <c r="G150" s="167">
        <v>1.5071386661451207</v>
      </c>
      <c r="H150" s="167">
        <v>1.8332530893917509</v>
      </c>
      <c r="I150" s="167">
        <v>1.6427172766982983</v>
      </c>
      <c r="J150" s="167">
        <v>1.4444874774076943</v>
      </c>
      <c r="K150" s="167">
        <v>1.4976433621366851</v>
      </c>
      <c r="L150" s="167">
        <v>1.3891447777916097</v>
      </c>
      <c r="M150" s="167">
        <v>1.4844706154023788</v>
      </c>
      <c r="N150" s="167">
        <v>1.3578996939015777</v>
      </c>
      <c r="O150" s="167">
        <v>1.4654286188028518</v>
      </c>
      <c r="P150" s="167">
        <v>1.6500299222022736</v>
      </c>
      <c r="Q150" s="167">
        <v>1.7432820245238716</v>
      </c>
      <c r="R150" s="167">
        <v>1.6432645301466593</v>
      </c>
      <c r="S150" s="167">
        <v>1.3352633808784073</v>
      </c>
      <c r="T150" s="164">
        <f t="shared" si="21"/>
        <v>-0.109224096529287</v>
      </c>
      <c r="U150" s="164">
        <f t="shared" si="22"/>
        <v>-0.13016523792444445</v>
      </c>
      <c r="V150" s="174">
        <f t="shared" si="23"/>
        <v>-0.30800114926825195</v>
      </c>
      <c r="W150" s="1"/>
    </row>
    <row r="151" spans="1:23" ht="15" customHeight="1" x14ac:dyDescent="0.2">
      <c r="A151" s="34" t="s">
        <v>185</v>
      </c>
      <c r="B151" s="167">
        <v>1.8803716608594661</v>
      </c>
      <c r="C151" s="167">
        <v>1.3317460317460323</v>
      </c>
      <c r="D151" s="167">
        <v>1.2418244406196219</v>
      </c>
      <c r="E151" s="167">
        <v>1.7610256410256406</v>
      </c>
      <c r="F151" s="167">
        <v>1.5570353213665316</v>
      </c>
      <c r="G151" s="167">
        <v>1.5182242990654204</v>
      </c>
      <c r="H151" s="167">
        <v>1.58436873747495</v>
      </c>
      <c r="I151" s="167">
        <v>1.3879101899827289</v>
      </c>
      <c r="J151" s="167">
        <v>1.2929020664869721</v>
      </c>
      <c r="K151" s="167">
        <v>1.4272611464968152</v>
      </c>
      <c r="L151" s="167">
        <v>1.3551455750936867</v>
      </c>
      <c r="M151" s="167">
        <v>1.4275439531166763</v>
      </c>
      <c r="N151" s="167">
        <v>1.2798941798941801</v>
      </c>
      <c r="O151" s="167">
        <v>1.3182718985334914</v>
      </c>
      <c r="P151" s="167">
        <v>1.6925510497555365</v>
      </c>
      <c r="Q151" s="167">
        <v>1.6888554216867471</v>
      </c>
      <c r="R151" s="167">
        <v>1.855438401775805</v>
      </c>
      <c r="S151" s="167">
        <v>1.3982683982683977</v>
      </c>
      <c r="T151" s="164">
        <f t="shared" si="21"/>
        <v>0.10536633178142552</v>
      </c>
      <c r="U151" s="164">
        <f t="shared" si="22"/>
        <v>7.9996499734906301E-2</v>
      </c>
      <c r="V151" s="174">
        <f t="shared" si="23"/>
        <v>-0.45717000350740733</v>
      </c>
      <c r="W151" s="1"/>
    </row>
    <row r="152" spans="1:23" ht="15" customHeight="1" x14ac:dyDescent="0.2">
      <c r="A152" s="34" t="s">
        <v>186</v>
      </c>
      <c r="B152" s="167">
        <v>1.891472868217055</v>
      </c>
      <c r="C152" s="167">
        <v>1.0414364640883953</v>
      </c>
      <c r="D152" s="167">
        <v>1.5063291139240524</v>
      </c>
      <c r="E152" s="167">
        <v>2.7388888888888889</v>
      </c>
      <c r="F152" s="167">
        <v>1.6773162939297128</v>
      </c>
      <c r="G152" s="167">
        <v>1.9142857142857146</v>
      </c>
      <c r="H152" s="167">
        <v>1.7999999999999989</v>
      </c>
      <c r="I152" s="167">
        <v>2.0338983050847457</v>
      </c>
      <c r="J152" s="167">
        <v>1.7395061728395067</v>
      </c>
      <c r="K152" s="167">
        <v>1.6574440052700918</v>
      </c>
      <c r="L152" s="167">
        <v>1.7616468039003248</v>
      </c>
      <c r="M152" s="167">
        <v>1.471143756558237</v>
      </c>
      <c r="N152" s="167">
        <v>1.5994940978077574</v>
      </c>
      <c r="O152" s="167">
        <v>1.6447368421052628</v>
      </c>
      <c r="P152" s="167">
        <v>2.0973684210526313</v>
      </c>
      <c r="Q152" s="167">
        <v>2.043413173652695</v>
      </c>
      <c r="R152" s="167">
        <v>2.2482325216025139</v>
      </c>
      <c r="S152" s="167">
        <v>1.8554469273743015</v>
      </c>
      <c r="T152" s="164">
        <f t="shared" si="21"/>
        <v>0.1159407545347948</v>
      </c>
      <c r="U152" s="164">
        <f t="shared" si="22"/>
        <v>0.21071008526903867</v>
      </c>
      <c r="V152" s="174">
        <f t="shared" si="23"/>
        <v>-0.39278559422821235</v>
      </c>
      <c r="W152" s="1"/>
    </row>
    <row r="153" spans="1:23" ht="15" customHeight="1" x14ac:dyDescent="0.2">
      <c r="A153" s="34" t="s">
        <v>187</v>
      </c>
      <c r="B153" s="167">
        <v>1.8093959731543627</v>
      </c>
      <c r="C153" s="167">
        <v>1.2419798350137485</v>
      </c>
      <c r="D153" s="167">
        <v>1.2751744765702897</v>
      </c>
      <c r="E153" s="167">
        <v>1.4685890834191557</v>
      </c>
      <c r="F153" s="167">
        <v>1.6995994659546056</v>
      </c>
      <c r="G153" s="167">
        <v>1.6392311483489408</v>
      </c>
      <c r="H153" s="167">
        <v>1.9252685660906117</v>
      </c>
      <c r="I153" s="167">
        <v>1.822547822547822</v>
      </c>
      <c r="J153" s="167">
        <v>1.5662379421221866</v>
      </c>
      <c r="K153" s="167">
        <v>1.6345229055935206</v>
      </c>
      <c r="L153" s="167">
        <v>1.6111251580278134</v>
      </c>
      <c r="M153" s="167">
        <v>1.6060111835973903</v>
      </c>
      <c r="N153" s="167">
        <v>1.3606344253770146</v>
      </c>
      <c r="O153" s="167">
        <v>1.5539293668469618</v>
      </c>
      <c r="P153" s="167">
        <v>1.664793050587634</v>
      </c>
      <c r="Q153" s="167">
        <v>1.5867890995260661</v>
      </c>
      <c r="R153" s="167">
        <v>1.6845988318475253</v>
      </c>
      <c r="S153" s="167">
        <v>1.2625376815565907</v>
      </c>
      <c r="T153" s="164">
        <f t="shared" si="21"/>
        <v>-0.30370026056559585</v>
      </c>
      <c r="U153" s="164">
        <f t="shared" si="22"/>
        <v>-0.29139168529037107</v>
      </c>
      <c r="V153" s="174">
        <f t="shared" si="23"/>
        <v>-0.42206115029093461</v>
      </c>
      <c r="W153" s="1"/>
    </row>
    <row r="154" spans="1:23" ht="15" customHeight="1" x14ac:dyDescent="0.2">
      <c r="A154" s="34" t="s">
        <v>188</v>
      </c>
      <c r="B154" s="167">
        <v>2.1538461538461542</v>
      </c>
      <c r="C154" s="167">
        <v>2.6216216216216228</v>
      </c>
      <c r="D154" s="167">
        <v>2.6146788990825671</v>
      </c>
      <c r="E154" s="167">
        <v>2.427083333333333</v>
      </c>
      <c r="F154" s="167">
        <v>2.3560606060606082</v>
      </c>
      <c r="G154" s="167">
        <v>2.1634615384615392</v>
      </c>
      <c r="H154" s="167">
        <v>2.4566929133858268</v>
      </c>
      <c r="I154" s="167">
        <v>2.4148936170212769</v>
      </c>
      <c r="J154" s="167">
        <v>1.6261682242990663</v>
      </c>
      <c r="K154" s="167">
        <v>1.679577464788732</v>
      </c>
      <c r="L154" s="167">
        <v>1.2704918032786887</v>
      </c>
      <c r="M154" s="167">
        <v>1.065491183879093</v>
      </c>
      <c r="N154" s="167">
        <v>1.3130841121495331</v>
      </c>
      <c r="O154" s="167">
        <v>1.3297872340425529</v>
      </c>
      <c r="P154" s="167">
        <v>1.7774869109947646</v>
      </c>
      <c r="Q154" s="167">
        <v>1.7961432506887052</v>
      </c>
      <c r="R154" s="167">
        <v>2.4233870967741931</v>
      </c>
      <c r="S154" s="167">
        <v>2.3306122448979583</v>
      </c>
      <c r="T154" s="164">
        <f t="shared" si="21"/>
        <v>0.704444020598892</v>
      </c>
      <c r="U154" s="164">
        <f t="shared" si="22"/>
        <v>1.0008250108554053</v>
      </c>
      <c r="V154" s="174">
        <f t="shared" si="23"/>
        <v>-9.2774851876234798E-2</v>
      </c>
      <c r="W154" s="1"/>
    </row>
    <row r="155" spans="1:23" ht="15" customHeight="1" x14ac:dyDescent="0.2">
      <c r="A155" s="34" t="s">
        <v>189</v>
      </c>
      <c r="B155" s="167">
        <v>2.192028985507247</v>
      </c>
      <c r="C155" s="167">
        <v>1.7337461300309611</v>
      </c>
      <c r="D155" s="167">
        <v>1.1004901960784315</v>
      </c>
      <c r="E155" s="167">
        <v>1.9432989690721651</v>
      </c>
      <c r="F155" s="167">
        <v>2.1402597402597401</v>
      </c>
      <c r="G155" s="167">
        <v>1.8429561200923787</v>
      </c>
      <c r="H155" s="167">
        <v>2.1956087824351291</v>
      </c>
      <c r="I155" s="167">
        <v>1.8780952380952378</v>
      </c>
      <c r="J155" s="167">
        <v>1.7952218430034126</v>
      </c>
      <c r="K155" s="167">
        <v>1.833333333333333</v>
      </c>
      <c r="L155" s="167">
        <v>1.6519410977242304</v>
      </c>
      <c r="M155" s="167">
        <v>1.6912751677852365</v>
      </c>
      <c r="N155" s="167">
        <v>1.8194805194805195</v>
      </c>
      <c r="O155" s="167">
        <v>1.9203747072599535</v>
      </c>
      <c r="P155" s="167">
        <v>2.0241730279898222</v>
      </c>
      <c r="Q155" s="167">
        <v>1.8781512605042012</v>
      </c>
      <c r="R155" s="167">
        <v>2.0127186009538942</v>
      </c>
      <c r="S155" s="167">
        <v>1.4932249322493227</v>
      </c>
      <c r="T155" s="164">
        <f t="shared" si="21"/>
        <v>-0.30199691075408985</v>
      </c>
      <c r="U155" s="164">
        <f t="shared" si="22"/>
        <v>-0.42714977501063078</v>
      </c>
      <c r="V155" s="174">
        <f t="shared" si="23"/>
        <v>-0.51949366870457148</v>
      </c>
      <c r="W155" s="1"/>
    </row>
    <row r="156" spans="1:23" ht="15" customHeight="1" x14ac:dyDescent="0.2">
      <c r="A156" s="42" t="s">
        <v>0</v>
      </c>
      <c r="B156" s="166">
        <v>2.7506151722482297</v>
      </c>
      <c r="C156" s="166">
        <v>2.477092457255976</v>
      </c>
      <c r="D156" s="166">
        <v>2.4866123686188502</v>
      </c>
      <c r="E156" s="166">
        <v>2.631561847876343</v>
      </c>
      <c r="F156" s="166">
        <v>2.4397308398518343</v>
      </c>
      <c r="G156" s="166">
        <v>2.3856777017274284</v>
      </c>
      <c r="H156" s="166">
        <v>2.4247639790713098</v>
      </c>
      <c r="I156" s="166">
        <v>2.3600326445821134</v>
      </c>
      <c r="J156" s="166">
        <v>2.2520255365352497</v>
      </c>
      <c r="K156" s="166">
        <v>2.2000878484871969</v>
      </c>
      <c r="L156" s="166">
        <v>2.2040651109902605</v>
      </c>
      <c r="M156" s="166">
        <v>2.3520688180988367</v>
      </c>
      <c r="N156" s="166">
        <v>2.2692229813772391</v>
      </c>
      <c r="O156" s="166">
        <v>2.2928749120989638</v>
      </c>
      <c r="P156" s="166">
        <v>2.5098492503342626</v>
      </c>
      <c r="Q156" s="166">
        <v>2.4094446765383966</v>
      </c>
      <c r="R156" s="166">
        <v>2.2760462080600972</v>
      </c>
      <c r="S156" s="166">
        <v>2.0887406933243788</v>
      </c>
      <c r="T156" s="165">
        <f t="shared" si="21"/>
        <v>-0.16328484321087089</v>
      </c>
      <c r="U156" s="165">
        <f t="shared" si="22"/>
        <v>-0.20413421877458493</v>
      </c>
      <c r="V156" s="175">
        <f t="shared" si="23"/>
        <v>-0.18730551473571833</v>
      </c>
      <c r="W156" s="1"/>
    </row>
    <row r="157" spans="1:23" ht="15" customHeight="1" x14ac:dyDescent="0.2"/>
    <row r="158" spans="1:23" ht="15" customHeight="1" x14ac:dyDescent="0.2">
      <c r="A158" s="35" t="s">
        <v>416</v>
      </c>
    </row>
    <row r="159" spans="1:23" ht="38.25" x14ac:dyDescent="0.2">
      <c r="A159" s="36" t="s">
        <v>417</v>
      </c>
      <c r="B159" s="15">
        <v>2007</v>
      </c>
      <c r="C159" s="15">
        <v>2008</v>
      </c>
      <c r="D159" s="15">
        <v>2009</v>
      </c>
      <c r="E159" s="15">
        <v>2010</v>
      </c>
      <c r="F159" s="15">
        <v>2011</v>
      </c>
      <c r="G159" s="15">
        <v>2012</v>
      </c>
      <c r="H159" s="15">
        <v>2013</v>
      </c>
      <c r="I159" s="15">
        <v>2014</v>
      </c>
      <c r="J159" s="15">
        <v>2015</v>
      </c>
      <c r="K159" s="15">
        <v>2016</v>
      </c>
      <c r="L159" s="15">
        <v>2017</v>
      </c>
      <c r="M159" s="15">
        <v>2018</v>
      </c>
      <c r="N159" s="15">
        <v>2019</v>
      </c>
      <c r="O159" s="15">
        <v>2020</v>
      </c>
      <c r="P159" s="15">
        <v>2021</v>
      </c>
      <c r="Q159" s="15">
        <v>2022</v>
      </c>
      <c r="R159" s="15">
        <v>2023</v>
      </c>
      <c r="S159" s="15">
        <v>2024</v>
      </c>
      <c r="T159" s="27" t="s">
        <v>469</v>
      </c>
      <c r="U159" s="27" t="s">
        <v>470</v>
      </c>
      <c r="V159" s="27" t="s">
        <v>471</v>
      </c>
    </row>
    <row r="160" spans="1:23" ht="15" customHeight="1" x14ac:dyDescent="0.2">
      <c r="A160" s="42" t="s">
        <v>83</v>
      </c>
      <c r="B160" s="166">
        <v>2.7506151722482297</v>
      </c>
      <c r="C160" s="166">
        <v>2.477092457255976</v>
      </c>
      <c r="D160" s="166">
        <v>2.4866123686188502</v>
      </c>
      <c r="E160" s="166">
        <v>2.631561847876343</v>
      </c>
      <c r="F160" s="166">
        <v>2.4397308398518343</v>
      </c>
      <c r="G160" s="166">
        <v>2.3856777017274284</v>
      </c>
      <c r="H160" s="166">
        <v>2.4247639790713098</v>
      </c>
      <c r="I160" s="166">
        <v>2.3600326445821134</v>
      </c>
      <c r="J160" s="166">
        <v>2.2520255365352497</v>
      </c>
      <c r="K160" s="166">
        <v>2.2000878484871969</v>
      </c>
      <c r="L160" s="166">
        <v>2.2040651109902605</v>
      </c>
      <c r="M160" s="166">
        <v>2.3520688180988367</v>
      </c>
      <c r="N160" s="166">
        <v>2.2692229813772391</v>
      </c>
      <c r="O160" s="166">
        <v>2.2928749120989638</v>
      </c>
      <c r="P160" s="166">
        <v>2.5098492503342626</v>
      </c>
      <c r="Q160" s="166">
        <v>2.4094446765383966</v>
      </c>
      <c r="R160" s="166">
        <v>2.2760462080600972</v>
      </c>
      <c r="S160" s="166">
        <v>2.0887406933243788</v>
      </c>
      <c r="T160" s="165">
        <f t="shared" ref="T160:T172" si="24">IFERROR((S160-J160),"n/a")</f>
        <v>-0.16328484321087089</v>
      </c>
      <c r="U160" s="165">
        <f t="shared" ref="U160:U172" si="25">IFERROR((S160-O160),"n/a")</f>
        <v>-0.20413421877458493</v>
      </c>
      <c r="V160" s="175">
        <f t="shared" ref="V160:V172" si="26">IFERROR((S160-R160),"n/a")</f>
        <v>-0.18730551473571833</v>
      </c>
    </row>
    <row r="161" spans="1:22" ht="15" customHeight="1" x14ac:dyDescent="0.2">
      <c r="A161" s="34" t="s">
        <v>113</v>
      </c>
      <c r="B161" s="167">
        <v>3.2868572091135704</v>
      </c>
      <c r="C161" s="167">
        <v>3.1222579859890178</v>
      </c>
      <c r="D161" s="167">
        <v>3.1086249941118265</v>
      </c>
      <c r="E161" s="167">
        <v>3.2754387977515229</v>
      </c>
      <c r="F161" s="167">
        <v>3.1396906394514446</v>
      </c>
      <c r="G161" s="167">
        <v>3.1515426688910946</v>
      </c>
      <c r="H161" s="167">
        <v>3.1439782220970613</v>
      </c>
      <c r="I161" s="167">
        <v>3.1354009336811757</v>
      </c>
      <c r="J161" s="167">
        <v>3.0917698221103631</v>
      </c>
      <c r="K161" s="167">
        <v>3.0781805501216244</v>
      </c>
      <c r="L161" s="167">
        <v>3.1111780019524886</v>
      </c>
      <c r="M161" s="167">
        <v>3.0949469041772879</v>
      </c>
      <c r="N161" s="167">
        <v>3.1116007025026651</v>
      </c>
      <c r="O161" s="167">
        <v>3.2162647083368103</v>
      </c>
      <c r="P161" s="167">
        <v>3.1795730589856053</v>
      </c>
      <c r="Q161" s="167">
        <v>2.9676196068357239</v>
      </c>
      <c r="R161" s="167">
        <v>2.8067118464209919</v>
      </c>
      <c r="S161" s="167">
        <v>2.6713362481039109</v>
      </c>
      <c r="T161" s="164">
        <f t="shared" si="24"/>
        <v>-0.4204335740064522</v>
      </c>
      <c r="U161" s="164">
        <f t="shared" si="25"/>
        <v>-0.54492846023289943</v>
      </c>
      <c r="V161" s="174">
        <f t="shared" si="26"/>
        <v>-0.13537559831708101</v>
      </c>
    </row>
    <row r="162" spans="1:22" ht="15" customHeight="1" x14ac:dyDescent="0.2">
      <c r="A162" s="34" t="s">
        <v>114</v>
      </c>
      <c r="B162" s="167">
        <v>3.297500000000003</v>
      </c>
      <c r="C162" s="167">
        <v>3.0313837375178316</v>
      </c>
      <c r="D162" s="167">
        <v>2.9278846153846079</v>
      </c>
      <c r="E162" s="167">
        <v>3.2049092849519738</v>
      </c>
      <c r="F162" s="167">
        <v>3.1760339342523825</v>
      </c>
      <c r="G162" s="167">
        <v>3.2150423728813529</v>
      </c>
      <c r="H162" s="167">
        <v>3.473023839397742</v>
      </c>
      <c r="I162" s="167">
        <v>3.6204188481675299</v>
      </c>
      <c r="J162" s="167">
        <v>3.79834254143646</v>
      </c>
      <c r="K162" s="167">
        <v>3.0539215686274463</v>
      </c>
      <c r="L162" s="167">
        <v>3.1160896130346281</v>
      </c>
      <c r="M162" s="167">
        <v>3.2875000000000014</v>
      </c>
      <c r="N162" s="167">
        <v>2.9658590308370041</v>
      </c>
      <c r="O162" s="167">
        <v>2.3593611357586433</v>
      </c>
      <c r="P162" s="167">
        <v>2.7941176470588225</v>
      </c>
      <c r="Q162" s="167">
        <v>2.4064327485380126</v>
      </c>
      <c r="R162" s="167">
        <v>2.1500672947510093</v>
      </c>
      <c r="S162" s="167">
        <v>2.273684210526314</v>
      </c>
      <c r="T162" s="164">
        <f t="shared" si="24"/>
        <v>-1.524658330910146</v>
      </c>
      <c r="U162" s="164">
        <f t="shared" si="25"/>
        <v>-8.5676925232329282E-2</v>
      </c>
      <c r="V162" s="174">
        <f t="shared" si="26"/>
        <v>0.12361691577530465</v>
      </c>
    </row>
    <row r="163" spans="1:22" ht="15" customHeight="1" x14ac:dyDescent="0.2">
      <c r="A163" s="34" t="s">
        <v>115</v>
      </c>
      <c r="B163" s="167">
        <v>2.9487155447215443</v>
      </c>
      <c r="C163" s="167">
        <v>3.0843823341156398</v>
      </c>
      <c r="D163" s="167">
        <v>2.6723864312636376</v>
      </c>
      <c r="E163" s="167">
        <v>2.4045115851791365</v>
      </c>
      <c r="F163" s="167">
        <v>2.2747025776602765</v>
      </c>
      <c r="G163" s="167">
        <v>2.2998608211551854</v>
      </c>
      <c r="H163" s="167">
        <v>2.2037724727379899</v>
      </c>
      <c r="I163" s="167">
        <v>2.2125206756553553</v>
      </c>
      <c r="J163" s="167">
        <v>2.3365846956999583</v>
      </c>
      <c r="K163" s="167">
        <v>2.3029607250755291</v>
      </c>
      <c r="L163" s="167">
        <v>2.1773079783278444</v>
      </c>
      <c r="M163" s="167">
        <v>2.5150748534182554</v>
      </c>
      <c r="N163" s="167">
        <v>2.5031423626924116</v>
      </c>
      <c r="O163" s="167">
        <v>2.3397211827116831</v>
      </c>
      <c r="P163" s="167">
        <v>2.6576588884638497</v>
      </c>
      <c r="Q163" s="167">
        <v>2.4951766789121752</v>
      </c>
      <c r="R163" s="167">
        <v>2.3694314898000055</v>
      </c>
      <c r="S163" s="167">
        <v>2.2278274787778294</v>
      </c>
      <c r="T163" s="167">
        <f t="shared" si="24"/>
        <v>-0.10875721692212892</v>
      </c>
      <c r="U163" s="164">
        <f t="shared" si="25"/>
        <v>-0.11189370393385367</v>
      </c>
      <c r="V163" s="174">
        <f t="shared" si="26"/>
        <v>-0.14160401102217612</v>
      </c>
    </row>
    <row r="164" spans="1:22" ht="15" customHeight="1" x14ac:dyDescent="0.2">
      <c r="A164" s="34" t="s">
        <v>4</v>
      </c>
      <c r="B164" s="167">
        <v>1.7329336685360666</v>
      </c>
      <c r="C164" s="167">
        <v>1.3562736361253602</v>
      </c>
      <c r="D164" s="167">
        <v>1.4554975706316355</v>
      </c>
      <c r="E164" s="167">
        <v>1.6055702505056795</v>
      </c>
      <c r="F164" s="167">
        <v>1.6503822937625756</v>
      </c>
      <c r="G164" s="167">
        <v>1.5847533431727712</v>
      </c>
      <c r="H164" s="167">
        <v>1.7321239873194783</v>
      </c>
      <c r="I164" s="167">
        <v>1.5859943375264312</v>
      </c>
      <c r="J164" s="167">
        <v>1.4462346434491629</v>
      </c>
      <c r="K164" s="167">
        <v>1.4204932939304387</v>
      </c>
      <c r="L164" s="167">
        <v>1.4183594573697897</v>
      </c>
      <c r="M164" s="167">
        <v>1.633370789522969</v>
      </c>
      <c r="N164" s="167">
        <v>1.4443883247381573</v>
      </c>
      <c r="O164" s="167">
        <v>1.5204925690021227</v>
      </c>
      <c r="P164" s="167">
        <v>1.765881205920711</v>
      </c>
      <c r="Q164" s="167">
        <v>1.7394118050318781</v>
      </c>
      <c r="R164" s="167">
        <v>1.6436591721062666</v>
      </c>
      <c r="S164" s="167">
        <v>1.4174391886538311</v>
      </c>
      <c r="T164" s="164">
        <f t="shared" si="24"/>
        <v>-2.8795454795331743E-2</v>
      </c>
      <c r="U164" s="164">
        <f t="shared" si="25"/>
        <v>-0.10305338034829159</v>
      </c>
      <c r="V164" s="174">
        <f t="shared" si="26"/>
        <v>-0.22621998345243544</v>
      </c>
    </row>
    <row r="165" spans="1:22" ht="15" customHeight="1" x14ac:dyDescent="0.2">
      <c r="A165" s="42" t="s">
        <v>93</v>
      </c>
      <c r="B165" s="166">
        <v>2.0818573480134042</v>
      </c>
      <c r="C165" s="166">
        <v>2.0664617748751439</v>
      </c>
      <c r="D165" s="166">
        <v>1.8263630089717049</v>
      </c>
      <c r="E165" s="166">
        <v>1.9454976303317535</v>
      </c>
      <c r="F165" s="166">
        <v>2.0226233453670277</v>
      </c>
      <c r="G165" s="166">
        <v>1.974207984925215</v>
      </c>
      <c r="H165" s="166">
        <v>1.9025515488183791</v>
      </c>
      <c r="I165" s="166">
        <v>2.1045202952029523</v>
      </c>
      <c r="J165" s="166">
        <v>2.0543976476692904</v>
      </c>
      <c r="K165" s="166">
        <v>2.0735879414006271</v>
      </c>
      <c r="L165" s="166">
        <v>2.0883354964308891</v>
      </c>
      <c r="M165" s="166">
        <v>2.1767292784734646</v>
      </c>
      <c r="N165" s="166">
        <v>2.0589072922131457</v>
      </c>
      <c r="O165" s="166">
        <v>2.1397266729500473</v>
      </c>
      <c r="P165" s="166">
        <v>2.286095284276882</v>
      </c>
      <c r="Q165" s="166">
        <v>2.0045828437132784</v>
      </c>
      <c r="R165" s="166">
        <v>2.0123175182481754</v>
      </c>
      <c r="S165" s="166">
        <v>1.9410410195994432</v>
      </c>
      <c r="T165" s="165">
        <f t="shared" si="24"/>
        <v>-0.11335662806984725</v>
      </c>
      <c r="U165" s="165">
        <f t="shared" si="25"/>
        <v>-0.19868565335060406</v>
      </c>
      <c r="V165" s="175">
        <f t="shared" si="26"/>
        <v>-7.1276498648732201E-2</v>
      </c>
    </row>
    <row r="166" spans="1:22" ht="15" customHeight="1" x14ac:dyDescent="0.2">
      <c r="A166" s="34" t="s">
        <v>75</v>
      </c>
      <c r="B166" s="167">
        <v>4.2684824902723761</v>
      </c>
      <c r="C166" s="167">
        <v>4.4385964912280684</v>
      </c>
      <c r="D166" s="167">
        <v>4.1715116279069751</v>
      </c>
      <c r="E166" s="167">
        <v>3.4237288135593182</v>
      </c>
      <c r="F166" s="167">
        <v>4.0112107623318369</v>
      </c>
      <c r="G166" s="167">
        <v>4.2401574803149611</v>
      </c>
      <c r="H166" s="167">
        <v>3.8994413407821229</v>
      </c>
      <c r="I166" s="167">
        <v>4.0584795321637444</v>
      </c>
      <c r="J166" s="167">
        <v>4.1886792452830175</v>
      </c>
      <c r="K166" s="167">
        <v>4.3636363636363615</v>
      </c>
      <c r="L166" s="167">
        <v>4.1074918566775196</v>
      </c>
      <c r="M166" s="167">
        <v>4.1706666666666692</v>
      </c>
      <c r="N166" s="167">
        <v>3.9804177545691903</v>
      </c>
      <c r="O166" s="167">
        <v>4.0493827160493829</v>
      </c>
      <c r="P166" s="167">
        <v>4.5380774032459428</v>
      </c>
      <c r="Q166" s="167">
        <v>4.3172839506172824</v>
      </c>
      <c r="R166" s="167">
        <v>4.4070138150903286</v>
      </c>
      <c r="S166" s="167">
        <v>4.1648780487804924</v>
      </c>
      <c r="T166" s="164">
        <f t="shared" si="24"/>
        <v>-2.3801196502525102E-2</v>
      </c>
      <c r="U166" s="164">
        <f t="shared" si="25"/>
        <v>0.11549533273110946</v>
      </c>
      <c r="V166" s="174">
        <f t="shared" si="26"/>
        <v>-0.24213576630983624</v>
      </c>
    </row>
    <row r="167" spans="1:22" ht="15" customHeight="1" x14ac:dyDescent="0.2">
      <c r="A167" s="34" t="s">
        <v>164</v>
      </c>
      <c r="B167" s="167">
        <v>1.9385360877327211</v>
      </c>
      <c r="C167" s="167">
        <v>1.9290794553952453</v>
      </c>
      <c r="D167" s="167">
        <v>1.7094623967540934</v>
      </c>
      <c r="E167" s="167">
        <v>1.8637074085651761</v>
      </c>
      <c r="F167" s="167">
        <v>1.9098423194303153</v>
      </c>
      <c r="G167" s="167">
        <v>1.8300137792809719</v>
      </c>
      <c r="H167" s="167">
        <v>1.796211820706068</v>
      </c>
      <c r="I167" s="167">
        <v>2.0074561828217292</v>
      </c>
      <c r="J167" s="167">
        <v>1.9410746812386153</v>
      </c>
      <c r="K167" s="167">
        <v>1.9451797531747452</v>
      </c>
      <c r="L167" s="167">
        <v>1.9824995731603212</v>
      </c>
      <c r="M167" s="167">
        <v>2.0586609821569555</v>
      </c>
      <c r="N167" s="167">
        <v>1.9418780313270254</v>
      </c>
      <c r="O167" s="167">
        <v>2.0237440639840036</v>
      </c>
      <c r="P167" s="167">
        <v>2.1711792062177486</v>
      </c>
      <c r="Q167" s="167">
        <v>1.8890191239975325</v>
      </c>
      <c r="R167" s="167">
        <v>1.8923723851599514</v>
      </c>
      <c r="S167" s="167">
        <v>1.8118873590571698</v>
      </c>
      <c r="T167" s="164">
        <f t="shared" si="24"/>
        <v>-0.12918732218144546</v>
      </c>
      <c r="U167" s="164">
        <f t="shared" si="25"/>
        <v>-0.21185670492683384</v>
      </c>
      <c r="V167" s="174">
        <f t="shared" si="26"/>
        <v>-8.0485026102781632E-2</v>
      </c>
    </row>
    <row r="168" spans="1:22" ht="15" customHeight="1" x14ac:dyDescent="0.2">
      <c r="A168" s="42" t="s">
        <v>82</v>
      </c>
      <c r="B168" s="166">
        <v>1.0677055346587858</v>
      </c>
      <c r="C168" s="166">
        <v>0.99884811584663469</v>
      </c>
      <c r="D168" s="166">
        <v>1.0386847195357833</v>
      </c>
      <c r="E168" s="166">
        <v>0.8879379513238832</v>
      </c>
      <c r="F168" s="166">
        <v>0.8988857938718664</v>
      </c>
      <c r="G168" s="166">
        <v>0.99050512723129502</v>
      </c>
      <c r="H168" s="166">
        <v>0.89695718517188805</v>
      </c>
      <c r="I168" s="166">
        <v>0.88839608979000761</v>
      </c>
      <c r="J168" s="166">
        <v>0.94103406536399792</v>
      </c>
      <c r="K168" s="166">
        <v>0.85547529615717988</v>
      </c>
      <c r="L168" s="166">
        <v>0.83646456020495297</v>
      </c>
      <c r="M168" s="166">
        <v>0.84291168983747822</v>
      </c>
      <c r="N168" s="166">
        <v>0.80006826521034236</v>
      </c>
      <c r="O168" s="166">
        <v>0.73154727075148362</v>
      </c>
      <c r="P168" s="166">
        <v>0.83093236597021192</v>
      </c>
      <c r="Q168" s="166">
        <v>0.84966017681026118</v>
      </c>
      <c r="R168" s="166">
        <v>0.79276355917730013</v>
      </c>
      <c r="S168" s="166">
        <v>0.63184429816217058</v>
      </c>
      <c r="T168" s="165">
        <f t="shared" si="24"/>
        <v>-0.30918976720182734</v>
      </c>
      <c r="U168" s="165">
        <f t="shared" si="25"/>
        <v>-9.9702972589313044E-2</v>
      </c>
      <c r="V168" s="175">
        <f t="shared" si="26"/>
        <v>-0.16091926101512954</v>
      </c>
    </row>
    <row r="169" spans="1:22" ht="15" customHeight="1" x14ac:dyDescent="0.2">
      <c r="A169" s="34" t="s">
        <v>116</v>
      </c>
      <c r="B169" s="167">
        <v>1.9605263157894735</v>
      </c>
      <c r="C169" s="167">
        <v>1.7415881561238216</v>
      </c>
      <c r="D169" s="167">
        <v>1.57235142118863</v>
      </c>
      <c r="E169" s="167">
        <v>2.0413043478260864</v>
      </c>
      <c r="F169" s="167">
        <v>2.095705521472393</v>
      </c>
      <c r="G169" s="167">
        <v>1.8873239436619729</v>
      </c>
      <c r="H169" s="167">
        <v>2.0152542372881355</v>
      </c>
      <c r="I169" s="167">
        <v>1.8870326173428786</v>
      </c>
      <c r="J169" s="167">
        <v>1.8066104078762315</v>
      </c>
      <c r="K169" s="167">
        <v>1.7753113156469951</v>
      </c>
      <c r="L169" s="167">
        <v>1.7857142857142847</v>
      </c>
      <c r="M169" s="167">
        <v>1.7847385774846911</v>
      </c>
      <c r="N169" s="167">
        <v>1.5974090682610864</v>
      </c>
      <c r="O169" s="167">
        <v>1.652717051842596</v>
      </c>
      <c r="P169" s="167">
        <v>1.7659217877094973</v>
      </c>
      <c r="Q169" s="167">
        <v>1.7716020551144318</v>
      </c>
      <c r="R169" s="167">
        <v>1.7691342534504395</v>
      </c>
      <c r="S169" s="167">
        <v>1.6736234458259318</v>
      </c>
      <c r="T169" s="164">
        <f t="shared" si="24"/>
        <v>-0.1329869620502997</v>
      </c>
      <c r="U169" s="164">
        <f t="shared" si="25"/>
        <v>2.0906393983335825E-2</v>
      </c>
      <c r="V169" s="174">
        <f t="shared" si="26"/>
        <v>-9.5510807624507699E-2</v>
      </c>
    </row>
    <row r="170" spans="1:22" ht="15" customHeight="1" x14ac:dyDescent="0.2">
      <c r="A170" s="34" t="s">
        <v>82</v>
      </c>
      <c r="B170" s="167">
        <v>1.0973936899862822</v>
      </c>
      <c r="C170" s="167">
        <v>1.0558947862846408</v>
      </c>
      <c r="D170" s="167">
        <v>1.2209737827715355</v>
      </c>
      <c r="E170" s="167">
        <v>1.0152019002375297</v>
      </c>
      <c r="F170" s="167">
        <v>0.87927350427350426</v>
      </c>
      <c r="G170" s="167">
        <v>1.2212480660134091</v>
      </c>
      <c r="H170" s="167">
        <v>0.87590816623074685</v>
      </c>
      <c r="I170" s="167">
        <v>0.93041871921182295</v>
      </c>
      <c r="J170" s="167">
        <v>1.3180000000000001</v>
      </c>
      <c r="K170" s="167">
        <v>1.117797150754837</v>
      </c>
      <c r="L170" s="167">
        <v>0.89698646986469877</v>
      </c>
      <c r="M170" s="167">
        <v>1.168044077134986</v>
      </c>
      <c r="N170" s="167">
        <v>1.1763033175355453</v>
      </c>
      <c r="O170" s="167">
        <v>0.82564102564102537</v>
      </c>
      <c r="P170" s="167">
        <v>0.65305495855081341</v>
      </c>
      <c r="Q170" s="167">
        <v>1.0392832529290148</v>
      </c>
      <c r="R170" s="167">
        <v>1.0564821834723279</v>
      </c>
      <c r="S170" s="167">
        <v>1.0681916271040142</v>
      </c>
      <c r="T170" s="164">
        <f t="shared" si="24"/>
        <v>-0.2498083728959859</v>
      </c>
      <c r="U170" s="164">
        <f t="shared" si="25"/>
        <v>0.24255060146298879</v>
      </c>
      <c r="V170" s="174">
        <f t="shared" si="26"/>
        <v>1.1709443631686245E-2</v>
      </c>
    </row>
    <row r="171" spans="1:22" ht="15" customHeight="1" x14ac:dyDescent="0.2">
      <c r="A171" s="34" t="s">
        <v>84</v>
      </c>
      <c r="B171" s="167">
        <v>0.71376811594202949</v>
      </c>
      <c r="C171" s="167">
        <v>0.78876755070202798</v>
      </c>
      <c r="D171" s="167">
        <v>0.82910613149470525</v>
      </c>
      <c r="E171" s="167">
        <v>0.58949023130473854</v>
      </c>
      <c r="F171" s="167">
        <v>0.64014619061006472</v>
      </c>
      <c r="G171" s="167">
        <v>0.72090213451469976</v>
      </c>
      <c r="H171" s="167">
        <v>0.70567484662576674</v>
      </c>
      <c r="I171" s="167">
        <v>0.67568393703194252</v>
      </c>
      <c r="J171" s="167">
        <v>0.65672422815279941</v>
      </c>
      <c r="K171" s="167">
        <v>0.58279869827986985</v>
      </c>
      <c r="L171" s="167">
        <v>0.64352864013992117</v>
      </c>
      <c r="M171" s="167">
        <v>0.66366404465871587</v>
      </c>
      <c r="N171" s="167">
        <v>0.64726814847257197</v>
      </c>
      <c r="O171" s="167">
        <v>0.64846382556987114</v>
      </c>
      <c r="P171" s="167">
        <v>0.78460756921513841</v>
      </c>
      <c r="Q171" s="167">
        <v>0.77562692476902795</v>
      </c>
      <c r="R171" s="167">
        <v>0.70849324211580167</v>
      </c>
      <c r="S171" s="167">
        <v>0.56189444293959534</v>
      </c>
      <c r="T171" s="164">
        <f t="shared" si="24"/>
        <v>-9.4829785213204065E-2</v>
      </c>
      <c r="U171" s="164">
        <f t="shared" si="25"/>
        <v>-8.6569382630275804E-2</v>
      </c>
      <c r="V171" s="174">
        <f t="shared" si="26"/>
        <v>-0.14659879917620633</v>
      </c>
    </row>
    <row r="172" spans="1:22" ht="15" customHeight="1" x14ac:dyDescent="0.2">
      <c r="A172" s="42" t="s">
        <v>0</v>
      </c>
      <c r="B172" s="166">
        <v>2.6291114449750506</v>
      </c>
      <c r="C172" s="165">
        <v>2.3463121501481732</v>
      </c>
      <c r="D172" s="165">
        <v>2.3270179841070684</v>
      </c>
      <c r="E172" s="165">
        <v>2.4440837285294483</v>
      </c>
      <c r="F172" s="165">
        <v>2.3072947524815648</v>
      </c>
      <c r="G172" s="165">
        <v>2.2684144617249045</v>
      </c>
      <c r="H172" s="165">
        <v>2.2679250265826223</v>
      </c>
      <c r="I172" s="165">
        <v>2.2385797169901638</v>
      </c>
      <c r="J172" s="165">
        <v>2.1485656345243882</v>
      </c>
      <c r="K172" s="165">
        <v>2.0654556723899828</v>
      </c>
      <c r="L172" s="165">
        <v>2.0943696996748082</v>
      </c>
      <c r="M172" s="165">
        <v>2.1917240912737146</v>
      </c>
      <c r="N172" s="165">
        <v>2.0915786561340246</v>
      </c>
      <c r="O172" s="165">
        <v>2.0601684930939141</v>
      </c>
      <c r="P172" s="165">
        <v>2.2949183190182527</v>
      </c>
      <c r="Q172" s="165">
        <v>2.1377432062228801</v>
      </c>
      <c r="R172" s="165">
        <v>2.0167561111678598</v>
      </c>
      <c r="S172" s="165">
        <v>1.7857309271459938</v>
      </c>
      <c r="T172" s="165">
        <f t="shared" si="24"/>
        <v>-0.36283470737839441</v>
      </c>
      <c r="U172" s="165">
        <f t="shared" si="25"/>
        <v>-0.27443756594792035</v>
      </c>
      <c r="V172" s="175">
        <f t="shared" si="26"/>
        <v>-0.231025184021866</v>
      </c>
    </row>
    <row r="173" spans="1:22" ht="15" customHeight="1" x14ac:dyDescent="0.2"/>
    <row r="174" spans="1:22" ht="15" customHeight="1" x14ac:dyDescent="0.2">
      <c r="A174" s="35" t="s">
        <v>523</v>
      </c>
      <c r="B174" s="35"/>
      <c r="C174" s="35"/>
      <c r="D174" s="35"/>
      <c r="E174" s="35"/>
      <c r="F174" s="35"/>
      <c r="G174" s="35"/>
      <c r="H174" s="35"/>
      <c r="I174" s="35"/>
      <c r="J174" s="35"/>
      <c r="K174" s="35"/>
      <c r="L174" s="35"/>
      <c r="M174" s="35"/>
      <c r="N174" s="35"/>
      <c r="O174" s="35"/>
      <c r="P174" s="35"/>
      <c r="Q174" s="35"/>
      <c r="R174" s="35"/>
      <c r="S174" s="35"/>
      <c r="T174" s="75"/>
      <c r="U174" s="75"/>
      <c r="V174" s="35"/>
    </row>
    <row r="175" spans="1:22" ht="38.25" x14ac:dyDescent="0.2">
      <c r="A175" s="36" t="s">
        <v>148</v>
      </c>
      <c r="B175" s="15">
        <v>2007</v>
      </c>
      <c r="C175" s="15">
        <v>2008</v>
      </c>
      <c r="D175" s="15">
        <v>2009</v>
      </c>
      <c r="E175" s="15">
        <v>2010</v>
      </c>
      <c r="F175" s="15">
        <v>2011</v>
      </c>
      <c r="G175" s="15">
        <v>2012</v>
      </c>
      <c r="H175" s="15">
        <v>2013</v>
      </c>
      <c r="I175" s="15">
        <v>2014</v>
      </c>
      <c r="J175" s="15">
        <v>2015</v>
      </c>
      <c r="K175" s="15">
        <v>2016</v>
      </c>
      <c r="L175" s="15">
        <v>2017</v>
      </c>
      <c r="M175" s="15">
        <v>2018</v>
      </c>
      <c r="N175" s="15">
        <v>2019</v>
      </c>
      <c r="O175" s="15">
        <v>2020</v>
      </c>
      <c r="P175" s="15">
        <v>2021</v>
      </c>
      <c r="Q175" s="15">
        <v>2022</v>
      </c>
      <c r="R175" s="15">
        <v>2023</v>
      </c>
      <c r="S175" s="15">
        <v>2024</v>
      </c>
      <c r="T175" s="27" t="s">
        <v>469</v>
      </c>
      <c r="U175" s="27" t="s">
        <v>470</v>
      </c>
      <c r="V175" s="27" t="s">
        <v>471</v>
      </c>
    </row>
    <row r="176" spans="1:22" ht="15" customHeight="1" x14ac:dyDescent="0.2">
      <c r="A176" s="29" t="s">
        <v>55</v>
      </c>
      <c r="B176" s="164">
        <v>1.1664739884393089</v>
      </c>
      <c r="C176" s="164">
        <v>1.0164473684210531</v>
      </c>
      <c r="D176" s="164">
        <v>1.0777903043968511</v>
      </c>
      <c r="E176" s="164">
        <v>1.1319095477386902</v>
      </c>
      <c r="F176" s="164">
        <v>1.2083805209513052</v>
      </c>
      <c r="G176" s="164">
        <v>1.4637546468401563</v>
      </c>
      <c r="H176" s="164">
        <v>1.4993781094527332</v>
      </c>
      <c r="I176" s="164">
        <v>1.6596534653465334</v>
      </c>
      <c r="J176" s="164">
        <v>1.751570531125072</v>
      </c>
      <c r="K176" s="164">
        <v>1.2646775745909515</v>
      </c>
      <c r="L176" s="164">
        <v>1.2577433628318566</v>
      </c>
      <c r="M176" s="164">
        <v>1.4475847893114082</v>
      </c>
      <c r="N176" s="164">
        <v>1.3774633653360304</v>
      </c>
      <c r="O176" s="164">
        <v>1.7434170238824258</v>
      </c>
      <c r="P176" s="164">
        <v>1.7781690140845097</v>
      </c>
      <c r="Q176" s="164">
        <v>1.334056399132324</v>
      </c>
      <c r="R176" s="164">
        <v>1.076394849785407</v>
      </c>
      <c r="S176" s="164">
        <v>0.97178683385580023</v>
      </c>
      <c r="T176" s="164">
        <f t="shared" ref="T176:T185" si="27">IFERROR((S176-J176),"n/a")</f>
        <v>-0.77978369726927177</v>
      </c>
      <c r="U176" s="164">
        <f t="shared" ref="U176:U185" si="28">IFERROR((S176-O176),"n/a")</f>
        <v>-0.77163019002662558</v>
      </c>
      <c r="V176" s="174">
        <f t="shared" ref="V176:V185" si="29">IFERROR((S176-R176),"n/a")</f>
        <v>-0.10460801592960678</v>
      </c>
    </row>
    <row r="177" spans="1:22" ht="15" customHeight="1" x14ac:dyDescent="0.2">
      <c r="A177" s="29" t="s">
        <v>54</v>
      </c>
      <c r="B177" s="164">
        <v>1.1878157503714739</v>
      </c>
      <c r="C177" s="164">
        <v>0.93074691805656329</v>
      </c>
      <c r="D177" s="164">
        <v>1.0974226804123717</v>
      </c>
      <c r="E177" s="164">
        <v>1.8661052631578947</v>
      </c>
      <c r="F177" s="164">
        <v>1.4759663032705621</v>
      </c>
      <c r="G177" s="164">
        <v>1.4178683385579909</v>
      </c>
      <c r="H177" s="164">
        <v>1.3674923651170658</v>
      </c>
      <c r="I177" s="164">
        <v>1.677030703458998</v>
      </c>
      <c r="J177" s="164">
        <v>1.8616535105941043</v>
      </c>
      <c r="K177" s="164">
        <v>1.8890569843671265</v>
      </c>
      <c r="L177" s="164">
        <v>1.7882787750791973</v>
      </c>
      <c r="M177" s="164">
        <v>1.9162264150943411</v>
      </c>
      <c r="N177" s="164">
        <v>1.6679506933744204</v>
      </c>
      <c r="O177" s="164">
        <v>1.7972602739726078</v>
      </c>
      <c r="P177" s="164">
        <v>1.7669902912621307</v>
      </c>
      <c r="Q177" s="164">
        <v>1.4297789336801081</v>
      </c>
      <c r="R177" s="164">
        <v>1.3126308443824115</v>
      </c>
      <c r="S177" s="164">
        <v>1.0686482661004817</v>
      </c>
      <c r="T177" s="164">
        <f t="shared" si="27"/>
        <v>-0.79300524449362264</v>
      </c>
      <c r="U177" s="164">
        <f t="shared" si="28"/>
        <v>-0.7286120078721261</v>
      </c>
      <c r="V177" s="174">
        <f t="shared" si="29"/>
        <v>-0.24398257828192982</v>
      </c>
    </row>
    <row r="178" spans="1:22" ht="15" customHeight="1" x14ac:dyDescent="0.2">
      <c r="A178" s="29" t="s">
        <v>43</v>
      </c>
      <c r="B178" s="164">
        <v>1.3448787728847069</v>
      </c>
      <c r="C178" s="164">
        <v>1.77114427860697</v>
      </c>
      <c r="D178" s="164">
        <v>1.6823770491803263</v>
      </c>
      <c r="E178" s="164">
        <v>1.6806526806526847</v>
      </c>
      <c r="F178" s="164">
        <v>1.8006329113924089</v>
      </c>
      <c r="G178" s="164">
        <v>1.5162418790604697</v>
      </c>
      <c r="H178" s="164">
        <v>1.4690815953165028</v>
      </c>
      <c r="I178" s="164">
        <v>1.4442005122575932</v>
      </c>
      <c r="J178" s="164">
        <v>1.5702018033490788</v>
      </c>
      <c r="K178" s="164">
        <v>1.377383592017738</v>
      </c>
      <c r="L178" s="164">
        <v>1.4464579901153218</v>
      </c>
      <c r="M178" s="164">
        <v>1.8315994798439519</v>
      </c>
      <c r="N178" s="164">
        <v>1.4411955815464612</v>
      </c>
      <c r="O178" s="164">
        <v>1.7426127527216178</v>
      </c>
      <c r="P178" s="164">
        <v>1.8793333333333315</v>
      </c>
      <c r="Q178" s="164">
        <v>1.6496519721577698</v>
      </c>
      <c r="R178" s="164">
        <v>1.2055800293685781</v>
      </c>
      <c r="S178" s="164">
        <v>1.3203371970495255</v>
      </c>
      <c r="T178" s="164">
        <f t="shared" si="27"/>
        <v>-0.24986460629955332</v>
      </c>
      <c r="U178" s="164">
        <f t="shared" si="28"/>
        <v>-0.4222755556720923</v>
      </c>
      <c r="V178" s="174">
        <f t="shared" si="29"/>
        <v>0.11475716768094735</v>
      </c>
    </row>
    <row r="179" spans="1:22" ht="15" customHeight="1" x14ac:dyDescent="0.2">
      <c r="A179" s="29" t="s">
        <v>441</v>
      </c>
      <c r="B179" s="164">
        <v>2.5348837209302406</v>
      </c>
      <c r="C179" s="164">
        <v>2.2690582959641219</v>
      </c>
      <c r="D179" s="164">
        <v>1.8973880597014823</v>
      </c>
      <c r="E179" s="164">
        <v>2.090717299578067</v>
      </c>
      <c r="F179" s="164">
        <v>1.9260042283298144</v>
      </c>
      <c r="G179" s="164">
        <v>2.2965517241379292</v>
      </c>
      <c r="H179" s="164">
        <v>2.5425038639876387</v>
      </c>
      <c r="I179" s="164">
        <v>2.1413043478260789</v>
      </c>
      <c r="J179" s="164">
        <v>2.2404844290657504</v>
      </c>
      <c r="K179" s="164">
        <v>2.2571860816944014</v>
      </c>
      <c r="L179" s="164">
        <v>2.1811846689895518</v>
      </c>
      <c r="M179" s="164">
        <v>2.2155555555555555</v>
      </c>
      <c r="N179" s="164">
        <v>2.6355140186915911</v>
      </c>
      <c r="O179" s="164">
        <v>2.1956043956043967</v>
      </c>
      <c r="P179" s="164">
        <v>2.1157894736842184</v>
      </c>
      <c r="Q179" s="164">
        <v>1.8555399719495043</v>
      </c>
      <c r="R179" s="164">
        <v>1.7942332896461402</v>
      </c>
      <c r="S179" s="164">
        <v>1.5490196078431406</v>
      </c>
      <c r="T179" s="164">
        <f t="shared" si="27"/>
        <v>-0.69146482122260977</v>
      </c>
      <c r="U179" s="164">
        <f t="shared" si="28"/>
        <v>-0.64658478776125605</v>
      </c>
      <c r="V179" s="174">
        <f t="shared" si="29"/>
        <v>-0.24521368180299952</v>
      </c>
    </row>
    <row r="180" spans="1:22" ht="15" customHeight="1" x14ac:dyDescent="0.2">
      <c r="A180" s="29" t="s">
        <v>56</v>
      </c>
      <c r="B180" s="164">
        <v>1.8078927773641027</v>
      </c>
      <c r="C180" s="164">
        <v>1.55706521739131</v>
      </c>
      <c r="D180" s="164">
        <v>1.7008264462809848</v>
      </c>
      <c r="E180" s="164">
        <v>1.8963868225292142</v>
      </c>
      <c r="F180" s="164">
        <v>1.7943969610636294</v>
      </c>
      <c r="G180" s="164">
        <v>1.8525226390685692</v>
      </c>
      <c r="H180" s="164">
        <v>1.8413764162820012</v>
      </c>
      <c r="I180" s="164">
        <v>2.1158357771261045</v>
      </c>
      <c r="J180" s="164">
        <v>2.0662900188323903</v>
      </c>
      <c r="K180" s="164">
        <v>2.1242312423124243</v>
      </c>
      <c r="L180" s="164">
        <v>2.033649289099527</v>
      </c>
      <c r="M180" s="164">
        <v>2.3561422413793096</v>
      </c>
      <c r="N180" s="164">
        <v>2.1055276381909582</v>
      </c>
      <c r="O180" s="164">
        <v>2.119090365050873</v>
      </c>
      <c r="P180" s="164">
        <v>2.2981888745148797</v>
      </c>
      <c r="Q180" s="164">
        <v>1.9920844327176841</v>
      </c>
      <c r="R180" s="164">
        <v>1.9103299856528011</v>
      </c>
      <c r="S180" s="164">
        <v>1.6149957877000762</v>
      </c>
      <c r="T180" s="164">
        <f t="shared" si="27"/>
        <v>-0.45129423113231404</v>
      </c>
      <c r="U180" s="164">
        <f t="shared" si="28"/>
        <v>-0.50409457735079677</v>
      </c>
      <c r="V180" s="174">
        <f t="shared" si="29"/>
        <v>-0.29533419795272486</v>
      </c>
    </row>
    <row r="181" spans="1:22" ht="15" customHeight="1" x14ac:dyDescent="0.2">
      <c r="A181" s="29" t="s">
        <v>57</v>
      </c>
      <c r="B181" s="164">
        <v>2.4689781021897819</v>
      </c>
      <c r="C181" s="164">
        <v>1.742857142857142</v>
      </c>
      <c r="D181" s="164">
        <v>2.344827586206895</v>
      </c>
      <c r="E181" s="164">
        <v>2.3544078361531593</v>
      </c>
      <c r="F181" s="164">
        <v>2.4239036973344739</v>
      </c>
      <c r="G181" s="164">
        <v>2.4099783080260391</v>
      </c>
      <c r="H181" s="164">
        <v>2.4581209031318316</v>
      </c>
      <c r="I181" s="164">
        <v>2.5704314720812125</v>
      </c>
      <c r="J181" s="164">
        <v>2.3056524773203044</v>
      </c>
      <c r="K181" s="164">
        <v>2.4925373134328392</v>
      </c>
      <c r="L181" s="164">
        <v>2.675324675324676</v>
      </c>
      <c r="M181" s="164">
        <v>2.5406360424028254</v>
      </c>
      <c r="N181" s="164">
        <v>2.6867671691792268</v>
      </c>
      <c r="O181" s="164">
        <v>2.5177033492822947</v>
      </c>
      <c r="P181" s="164">
        <v>2.5464926590538237</v>
      </c>
      <c r="Q181" s="164">
        <v>2.2766761095373003</v>
      </c>
      <c r="R181" s="164">
        <v>2.1032504780114696</v>
      </c>
      <c r="S181" s="164">
        <v>1.8861538461538458</v>
      </c>
      <c r="T181" s="164">
        <f t="shared" si="27"/>
        <v>-0.41949863116645858</v>
      </c>
      <c r="U181" s="164">
        <f t="shared" si="28"/>
        <v>-0.63154950312844882</v>
      </c>
      <c r="V181" s="174">
        <f t="shared" si="29"/>
        <v>-0.21709663185762373</v>
      </c>
    </row>
    <row r="182" spans="1:22" ht="15" customHeight="1" x14ac:dyDescent="0.2">
      <c r="A182" s="29" t="s">
        <v>440</v>
      </c>
      <c r="B182" s="164">
        <v>2.2278106508875801</v>
      </c>
      <c r="C182" s="164">
        <v>1.9022082018927495</v>
      </c>
      <c r="D182" s="164">
        <v>2.010596026490056</v>
      </c>
      <c r="E182" s="164">
        <v>2.2821522309711249</v>
      </c>
      <c r="F182" s="164">
        <v>2.4214202561117659</v>
      </c>
      <c r="G182" s="164">
        <v>2.5147507629704968</v>
      </c>
      <c r="H182" s="164">
        <v>2.5647840531561545</v>
      </c>
      <c r="I182" s="164">
        <v>2.8533487297921543</v>
      </c>
      <c r="J182" s="164">
        <v>2.8085676037483207</v>
      </c>
      <c r="K182" s="164">
        <v>2.9270976616231028</v>
      </c>
      <c r="L182" s="164">
        <v>3.4407345575959969</v>
      </c>
      <c r="M182" s="164">
        <v>3.0021598272138252</v>
      </c>
      <c r="N182" s="164">
        <v>2.8877118644067874</v>
      </c>
      <c r="O182" s="164">
        <v>2.939473684210526</v>
      </c>
      <c r="P182" s="164">
        <v>2.9710743801652928</v>
      </c>
      <c r="Q182" s="164">
        <v>2.6375000000000011</v>
      </c>
      <c r="R182" s="164">
        <v>2.1177474402730336</v>
      </c>
      <c r="S182" s="164">
        <v>1.9349593495934805</v>
      </c>
      <c r="T182" s="164">
        <f t="shared" si="27"/>
        <v>-0.87360825415484022</v>
      </c>
      <c r="U182" s="164">
        <f t="shared" si="28"/>
        <v>-1.0045143346170455</v>
      </c>
      <c r="V182" s="174">
        <f t="shared" si="29"/>
        <v>-0.18278809067955315</v>
      </c>
    </row>
    <row r="183" spans="1:22" ht="15" customHeight="1" x14ac:dyDescent="0.2">
      <c r="A183" s="29" t="s">
        <v>442</v>
      </c>
      <c r="B183" s="164">
        <v>2.0180180180180169</v>
      </c>
      <c r="C183" s="164">
        <v>2.4578754578754722</v>
      </c>
      <c r="D183" s="164">
        <v>2.8586118251928063</v>
      </c>
      <c r="E183" s="164">
        <v>2.8140703517587884</v>
      </c>
      <c r="F183" s="164">
        <v>2.9188544152744633</v>
      </c>
      <c r="G183" s="164">
        <v>3.6265356265356186</v>
      </c>
      <c r="H183" s="164">
        <v>3.0555555555555518</v>
      </c>
      <c r="I183" s="164">
        <v>3.162705667276045</v>
      </c>
      <c r="J183" s="164">
        <v>3.2100656455142271</v>
      </c>
      <c r="K183" s="164">
        <v>3.3285714285714256</v>
      </c>
      <c r="L183" s="164">
        <v>3.5170212765957345</v>
      </c>
      <c r="M183" s="164">
        <v>3.5257985257985212</v>
      </c>
      <c r="N183" s="164">
        <v>3.3989637305699461</v>
      </c>
      <c r="O183" s="164">
        <v>3.2042042042042098</v>
      </c>
      <c r="P183" s="164">
        <v>3.0949612403100737</v>
      </c>
      <c r="Q183" s="164">
        <v>1.9905660377358476</v>
      </c>
      <c r="R183" s="164">
        <v>2.3963815789473735</v>
      </c>
      <c r="S183" s="164">
        <v>2.1030405405405439</v>
      </c>
      <c r="T183" s="164">
        <f t="shared" si="27"/>
        <v>-1.1070251049736832</v>
      </c>
      <c r="U183" s="164">
        <f t="shared" si="28"/>
        <v>-1.1011636636636659</v>
      </c>
      <c r="V183" s="174">
        <f t="shared" si="29"/>
        <v>-0.29334103840682957</v>
      </c>
    </row>
    <row r="184" spans="1:22" ht="15" customHeight="1" x14ac:dyDescent="0.2">
      <c r="A184" s="29" t="s">
        <v>438</v>
      </c>
      <c r="B184" s="164">
        <v>2.9130434782608567</v>
      </c>
      <c r="C184" s="164">
        <v>2.6614420062695885</v>
      </c>
      <c r="D184" s="164">
        <v>2.3826714801444044</v>
      </c>
      <c r="E184" s="164">
        <v>2.5198776758409771</v>
      </c>
      <c r="F184" s="164">
        <v>2.0456140350877199</v>
      </c>
      <c r="G184" s="164">
        <v>2.698162729658792</v>
      </c>
      <c r="H184" s="164">
        <v>2.7258064516129075</v>
      </c>
      <c r="I184" s="164">
        <v>3.0660377358490631</v>
      </c>
      <c r="J184" s="164">
        <v>3.1372549019607803</v>
      </c>
      <c r="K184" s="164">
        <v>2.7437325905292553</v>
      </c>
      <c r="L184" s="164">
        <v>3.3469387755102105</v>
      </c>
      <c r="M184" s="164">
        <v>2.7452054794520464</v>
      </c>
      <c r="N184" s="164">
        <v>2.5662337662337684</v>
      </c>
      <c r="O184" s="164">
        <v>3.0252365930599368</v>
      </c>
      <c r="P184" s="164">
        <v>2.7548543689320404</v>
      </c>
      <c r="Q184" s="164">
        <v>2.8316062176165744</v>
      </c>
      <c r="R184" s="164">
        <v>2.4457364341085306</v>
      </c>
      <c r="S184" s="164">
        <v>2.1126373626373667</v>
      </c>
      <c r="T184" s="164">
        <f t="shared" si="27"/>
        <v>-1.0246175393234136</v>
      </c>
      <c r="U184" s="164">
        <f t="shared" si="28"/>
        <v>-0.91259923042257007</v>
      </c>
      <c r="V184" s="174">
        <f t="shared" si="29"/>
        <v>-0.33309907147116391</v>
      </c>
    </row>
    <row r="185" spans="1:22" ht="15" customHeight="1" x14ac:dyDescent="0.2">
      <c r="A185" s="29" t="s">
        <v>439</v>
      </c>
      <c r="B185" s="164">
        <v>3.539855072463757</v>
      </c>
      <c r="C185" s="164">
        <v>3.4436363636363598</v>
      </c>
      <c r="D185" s="164">
        <v>2.9347258485639731</v>
      </c>
      <c r="E185" s="164">
        <v>2.8685968819598973</v>
      </c>
      <c r="F185" s="164">
        <v>2.9816513761467807</v>
      </c>
      <c r="G185" s="164">
        <v>3.3309222423146405</v>
      </c>
      <c r="H185" s="164">
        <v>3.7105751391465649</v>
      </c>
      <c r="I185" s="164">
        <v>3.8400735294117592</v>
      </c>
      <c r="J185" s="164">
        <v>3.7659574468085122</v>
      </c>
      <c r="K185" s="164">
        <v>4.188505747126424</v>
      </c>
      <c r="L185" s="164">
        <v>3.6564705882353081</v>
      </c>
      <c r="M185" s="164">
        <v>4.6073825503355632</v>
      </c>
      <c r="N185" s="164">
        <v>4.5133079847908899</v>
      </c>
      <c r="O185" s="164">
        <v>4.2132701421800824</v>
      </c>
      <c r="P185" s="164">
        <v>3.4386422976501354</v>
      </c>
      <c r="Q185" s="164">
        <v>3.110854503464207</v>
      </c>
      <c r="R185" s="164">
        <v>2.7100000000000026</v>
      </c>
      <c r="S185" s="164">
        <v>2.3045186640471478</v>
      </c>
      <c r="T185" s="164">
        <f t="shared" si="27"/>
        <v>-1.4614387827613644</v>
      </c>
      <c r="U185" s="164">
        <f t="shared" si="28"/>
        <v>-1.9087514781329347</v>
      </c>
      <c r="V185" s="174">
        <f t="shared" si="29"/>
        <v>-0.40548133595285485</v>
      </c>
    </row>
    <row r="186" spans="1:22" ht="15" customHeight="1" x14ac:dyDescent="0.2">
      <c r="A186" s="42" t="s">
        <v>598</v>
      </c>
      <c r="B186" s="165">
        <v>1.6598130841121499</v>
      </c>
      <c r="C186" s="165">
        <v>1.5721054800164804</v>
      </c>
      <c r="D186" s="165">
        <v>1.6708479270180003</v>
      </c>
      <c r="E186" s="165">
        <v>1.9867144349902972</v>
      </c>
      <c r="F186" s="165">
        <v>1.8726104669382639</v>
      </c>
      <c r="G186" s="165">
        <v>1.9820726172465957</v>
      </c>
      <c r="H186" s="165">
        <v>1.9323260268142164</v>
      </c>
      <c r="I186" s="165">
        <v>2.1089239757946725</v>
      </c>
      <c r="J186" s="165">
        <v>2.1380762578025116</v>
      </c>
      <c r="K186" s="165">
        <v>2.0726351351351351</v>
      </c>
      <c r="L186" s="165">
        <v>2.0991020677156307</v>
      </c>
      <c r="M186" s="165">
        <v>2.2414838774891308</v>
      </c>
      <c r="N186" s="165">
        <v>2.0850538377951189</v>
      </c>
      <c r="O186" s="165">
        <v>2.1899447903206859</v>
      </c>
      <c r="P186" s="165">
        <v>2.2610560719027681</v>
      </c>
      <c r="Q186" s="165">
        <v>1.9144243959058755</v>
      </c>
      <c r="R186" s="165">
        <v>1.7641101382002322</v>
      </c>
      <c r="S186" s="165">
        <v>1.5501053617419789</v>
      </c>
      <c r="T186" s="165">
        <f>IFERROR((S186-J186),"n/a")</f>
        <v>-0.58797089606053277</v>
      </c>
      <c r="U186" s="165">
        <f>IFERROR((S186-O186),"n/a")</f>
        <v>-0.63983942857870701</v>
      </c>
      <c r="V186" s="175">
        <f>IFERROR((S186-R186),"n/a")</f>
        <v>-0.21400477645825333</v>
      </c>
    </row>
    <row r="187" spans="1:22" ht="15" customHeight="1" x14ac:dyDescent="0.2">
      <c r="A187" s="52" t="s">
        <v>599</v>
      </c>
      <c r="B187" s="181"/>
      <c r="C187" s="181"/>
      <c r="D187" s="181"/>
      <c r="E187" s="181"/>
      <c r="F187" s="181"/>
      <c r="G187" s="181"/>
      <c r="H187" s="181"/>
      <c r="I187" s="181"/>
      <c r="J187" s="181"/>
      <c r="K187" s="181"/>
      <c r="L187" s="181"/>
      <c r="M187" s="181"/>
      <c r="N187" s="181"/>
      <c r="O187" s="181"/>
      <c r="P187" s="181"/>
      <c r="Q187" s="181"/>
      <c r="R187" s="181"/>
      <c r="S187" s="181"/>
      <c r="T187" s="181"/>
      <c r="U187" s="181"/>
      <c r="V187" s="187"/>
    </row>
    <row r="188" spans="1:22" ht="15" customHeight="1" x14ac:dyDescent="0.2">
      <c r="A188" s="179"/>
      <c r="B188" s="181"/>
      <c r="C188" s="181"/>
      <c r="D188" s="181"/>
      <c r="E188" s="181"/>
      <c r="F188" s="181"/>
      <c r="G188" s="181"/>
      <c r="H188" s="181"/>
      <c r="I188" s="181"/>
      <c r="J188" s="181"/>
      <c r="K188" s="181"/>
      <c r="L188" s="181"/>
      <c r="M188" s="181"/>
      <c r="N188" s="181"/>
      <c r="O188" s="181"/>
      <c r="P188" s="181"/>
      <c r="Q188" s="181"/>
      <c r="R188" s="181"/>
      <c r="S188" s="181"/>
      <c r="T188" s="181"/>
      <c r="U188" s="181"/>
      <c r="V188" s="187"/>
    </row>
    <row r="189" spans="1:22" ht="15" customHeight="1" x14ac:dyDescent="0.2"/>
    <row r="190" spans="1:22" ht="15" customHeight="1" x14ac:dyDescent="0.2">
      <c r="A190" s="122" t="s">
        <v>112</v>
      </c>
    </row>
    <row r="191" spans="1:22" ht="15" customHeight="1" x14ac:dyDescent="0.2">
      <c r="A191" s="8"/>
    </row>
    <row r="192" spans="1:22" ht="15" customHeight="1" x14ac:dyDescent="0.2">
      <c r="A192" s="12" t="s">
        <v>94</v>
      </c>
    </row>
    <row r="193" spans="1:1" ht="15" customHeight="1" x14ac:dyDescent="0.2">
      <c r="A193" s="8"/>
    </row>
    <row r="194" spans="1:1" ht="15" customHeight="1" x14ac:dyDescent="0.2"/>
    <row r="195" spans="1:1" ht="15" customHeight="1" x14ac:dyDescent="0.2"/>
    <row r="196" spans="1:1" ht="15" customHeight="1" x14ac:dyDescent="0.2"/>
    <row r="197" spans="1:1" ht="15" customHeight="1" x14ac:dyDescent="0.2"/>
    <row r="198" spans="1:1" ht="15" customHeight="1" x14ac:dyDescent="0.2"/>
    <row r="199" spans="1:1" ht="15" customHeight="1" x14ac:dyDescent="0.2"/>
    <row r="200" spans="1:1" ht="15" customHeight="1" x14ac:dyDescent="0.2"/>
    <row r="201" spans="1:1" ht="15" customHeight="1" x14ac:dyDescent="0.2"/>
    <row r="202" spans="1:1" ht="15" customHeight="1" x14ac:dyDescent="0.2"/>
    <row r="203" spans="1:1" ht="15" customHeight="1" x14ac:dyDescent="0.2"/>
    <row r="204" spans="1:1" ht="15" customHeight="1" x14ac:dyDescent="0.2"/>
    <row r="205" spans="1:1" ht="15" customHeight="1" x14ac:dyDescent="0.2"/>
    <row r="206" spans="1:1" ht="15" customHeight="1" x14ac:dyDescent="0.2"/>
    <row r="207" spans="1:1" ht="15" customHeight="1" x14ac:dyDescent="0.2"/>
    <row r="208" spans="1:1" ht="15" customHeight="1" x14ac:dyDescent="0.2"/>
    <row r="209" ht="15" customHeight="1" x14ac:dyDescent="0.2"/>
    <row r="210" ht="15" customHeight="1" x14ac:dyDescent="0.2"/>
    <row r="211" ht="15" customHeight="1" x14ac:dyDescent="0.2"/>
  </sheetData>
  <sortState xmlns:xlrd2="http://schemas.microsoft.com/office/spreadsheetml/2017/richdata2" ref="A176:V185">
    <sortCondition ref="S176:S185"/>
  </sortState>
  <mergeCells count="1">
    <mergeCell ref="A2:V2"/>
  </mergeCells>
  <hyperlinks>
    <hyperlink ref="A3" location="Índice!A1" display="Volver al índice" xr:uid="{00000000-0004-0000-0300-000000000000}"/>
    <hyperlink ref="A192" location="Índice!A1" display="Volver al índice" xr:uid="{00000000-0004-0000-0300-000001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V248"/>
  <sheetViews>
    <sheetView showGridLines="0" zoomScale="80" zoomScaleNormal="80" workbookViewId="0">
      <pane ySplit="3" topLeftCell="A4" activePane="bottomLeft" state="frozenSplit"/>
      <selection pane="bottomLeft"/>
    </sheetView>
  </sheetViews>
  <sheetFormatPr baseColWidth="10" defaultRowHeight="12.75" x14ac:dyDescent="0.2"/>
  <cols>
    <col min="1" max="1" width="33.5703125" style="8" customWidth="1"/>
    <col min="2" max="19" width="9.7109375" style="8" customWidth="1"/>
    <col min="20" max="20" width="12.7109375" style="21" customWidth="1"/>
    <col min="21" max="21" width="12.140625" style="21" customWidth="1"/>
    <col min="22" max="22" width="12" style="21" customWidth="1"/>
    <col min="23" max="16384" width="11.42578125" style="1"/>
  </cols>
  <sheetData>
    <row r="1" spans="1:22" ht="21" customHeight="1" x14ac:dyDescent="0.2">
      <c r="A1" s="26" t="s">
        <v>501</v>
      </c>
      <c r="B1" s="26"/>
      <c r="C1" s="26"/>
      <c r="D1" s="26"/>
      <c r="E1" s="26"/>
      <c r="F1" s="26"/>
      <c r="G1" s="26"/>
      <c r="H1" s="26"/>
      <c r="I1" s="26"/>
      <c r="J1" s="26"/>
      <c r="K1" s="26"/>
      <c r="L1" s="26"/>
      <c r="M1" s="26"/>
      <c r="N1" s="26"/>
      <c r="O1" s="26"/>
      <c r="P1" s="26"/>
      <c r="Q1" s="26"/>
      <c r="R1" s="26"/>
      <c r="S1" s="26"/>
      <c r="T1" s="78"/>
      <c r="U1" s="78"/>
      <c r="V1" s="78"/>
    </row>
    <row r="2" spans="1:22" ht="15" customHeight="1" x14ac:dyDescent="0.2">
      <c r="A2" s="24" t="s">
        <v>133</v>
      </c>
      <c r="B2" s="24"/>
      <c r="C2" s="24"/>
      <c r="D2" s="24"/>
      <c r="E2" s="24"/>
      <c r="F2" s="24"/>
      <c r="G2" s="24"/>
      <c r="H2" s="24"/>
      <c r="I2" s="24"/>
      <c r="J2" s="24"/>
      <c r="K2" s="24"/>
      <c r="L2" s="24"/>
      <c r="M2" s="24"/>
      <c r="N2" s="24"/>
      <c r="O2" s="24"/>
      <c r="P2" s="24"/>
      <c r="Q2" s="24"/>
      <c r="R2" s="24"/>
      <c r="S2" s="24"/>
      <c r="T2" s="99"/>
      <c r="U2" s="99"/>
      <c r="V2" s="99"/>
    </row>
    <row r="3" spans="1:22" ht="15" customHeight="1" x14ac:dyDescent="0.2">
      <c r="A3" s="12" t="s">
        <v>94</v>
      </c>
      <c r="B3" s="7"/>
      <c r="C3" s="7"/>
      <c r="D3" s="7"/>
      <c r="E3" s="7"/>
      <c r="F3" s="7"/>
      <c r="G3" s="7"/>
      <c r="H3" s="7"/>
      <c r="I3" s="7"/>
      <c r="J3" s="7"/>
      <c r="K3" s="7"/>
      <c r="L3" s="7"/>
      <c r="M3" s="7"/>
      <c r="N3" s="7"/>
      <c r="O3" s="7"/>
      <c r="P3" s="7"/>
      <c r="Q3" s="7"/>
      <c r="R3" s="7"/>
      <c r="S3" s="7"/>
      <c r="T3" s="100"/>
      <c r="U3" s="100"/>
      <c r="V3" s="100"/>
    </row>
    <row r="4" spans="1:22" ht="15" customHeight="1" x14ac:dyDescent="0.2"/>
    <row r="5" spans="1:22" ht="15" customHeight="1" x14ac:dyDescent="0.2">
      <c r="A5" s="35" t="s">
        <v>395</v>
      </c>
      <c r="B5" s="35"/>
      <c r="C5" s="35"/>
      <c r="D5" s="35"/>
      <c r="E5" s="35"/>
      <c r="F5" s="35"/>
      <c r="G5" s="35"/>
      <c r="H5" s="35"/>
      <c r="I5" s="35"/>
      <c r="J5" s="35"/>
      <c r="K5" s="35"/>
      <c r="L5" s="35"/>
      <c r="M5" s="35"/>
      <c r="N5" s="35"/>
      <c r="O5" s="35"/>
      <c r="P5" s="35"/>
      <c r="Q5" s="35"/>
      <c r="R5" s="35"/>
      <c r="S5" s="35"/>
      <c r="T5" s="75"/>
      <c r="U5" s="75"/>
      <c r="V5" s="75"/>
    </row>
    <row r="6" spans="1:22" ht="42" customHeight="1" x14ac:dyDescent="0.2">
      <c r="A6" s="36" t="s">
        <v>77</v>
      </c>
      <c r="B6" s="15">
        <v>2007</v>
      </c>
      <c r="C6" s="15">
        <v>2008</v>
      </c>
      <c r="D6" s="15">
        <v>2009</v>
      </c>
      <c r="E6" s="15">
        <v>2010</v>
      </c>
      <c r="F6" s="15">
        <v>2011</v>
      </c>
      <c r="G6" s="15">
        <v>2012</v>
      </c>
      <c r="H6" s="15">
        <v>2013</v>
      </c>
      <c r="I6" s="15">
        <v>2014</v>
      </c>
      <c r="J6" s="15">
        <v>2015</v>
      </c>
      <c r="K6" s="15">
        <v>2016</v>
      </c>
      <c r="L6" s="15">
        <v>2017</v>
      </c>
      <c r="M6" s="15">
        <v>2018</v>
      </c>
      <c r="N6" s="15">
        <v>2019</v>
      </c>
      <c r="O6" s="15">
        <v>2020</v>
      </c>
      <c r="P6" s="15">
        <v>2021</v>
      </c>
      <c r="Q6" s="15">
        <v>2022</v>
      </c>
      <c r="R6" s="15">
        <v>2023</v>
      </c>
      <c r="S6" s="15">
        <v>2024</v>
      </c>
      <c r="T6" s="27" t="s">
        <v>469</v>
      </c>
      <c r="U6" s="27" t="s">
        <v>470</v>
      </c>
      <c r="V6" s="27" t="s">
        <v>471</v>
      </c>
    </row>
    <row r="7" spans="1:22" ht="15" customHeight="1" x14ac:dyDescent="0.2">
      <c r="A7" s="29" t="s">
        <v>75</v>
      </c>
      <c r="B7" s="62">
        <v>11.8715953307393</v>
      </c>
      <c r="C7" s="62">
        <v>11.505263157894733</v>
      </c>
      <c r="D7" s="62">
        <v>11.563953488372093</v>
      </c>
      <c r="E7" s="62">
        <v>12.014124293785311</v>
      </c>
      <c r="F7" s="62">
        <v>12.168161434977579</v>
      </c>
      <c r="G7" s="62">
        <v>12.250000000000002</v>
      </c>
      <c r="H7" s="62">
        <v>11.852886405959033</v>
      </c>
      <c r="I7" s="62">
        <v>12.311890838206629</v>
      </c>
      <c r="J7" s="62">
        <v>12.420240137221269</v>
      </c>
      <c r="K7" s="62">
        <v>12.449760765550241</v>
      </c>
      <c r="L7" s="62">
        <v>12.325732899022798</v>
      </c>
      <c r="M7" s="62">
        <v>12.250666666666667</v>
      </c>
      <c r="N7" s="62">
        <v>12.114882506527415</v>
      </c>
      <c r="O7" s="62">
        <v>12.159122085048008</v>
      </c>
      <c r="P7" s="62">
        <v>12.528089887640451</v>
      </c>
      <c r="Q7" s="62">
        <v>12.334567901234568</v>
      </c>
      <c r="R7" s="62">
        <v>12.490967056323061</v>
      </c>
      <c r="S7" s="62">
        <v>12.280975609756101</v>
      </c>
      <c r="T7" s="214">
        <f>IFERROR((S7-J7),"n/a")</f>
        <v>-0.13926452746516738</v>
      </c>
      <c r="U7" s="214">
        <f>IFERROR((S7-O7),"n/a")</f>
        <v>0.12185352470809363</v>
      </c>
      <c r="V7" s="214">
        <f>IFERROR((S7-R7),"n/a")</f>
        <v>-0.20999144656695989</v>
      </c>
    </row>
    <row r="8" spans="1:22" ht="15" customHeight="1" x14ac:dyDescent="0.2">
      <c r="A8" s="29" t="s">
        <v>76</v>
      </c>
      <c r="B8" s="62">
        <v>5.8786023973476151</v>
      </c>
      <c r="C8" s="62">
        <v>5.7722007722007724</v>
      </c>
      <c r="D8" s="62">
        <v>5.5683234313867551</v>
      </c>
      <c r="E8" s="62">
        <v>5.9207564864020004</v>
      </c>
      <c r="F8" s="62">
        <v>5.7339776195320447</v>
      </c>
      <c r="G8" s="62">
        <v>5.6161843918326442</v>
      </c>
      <c r="H8" s="62">
        <v>5.6062078540261799</v>
      </c>
      <c r="I8" s="62">
        <v>5.7955843904328459</v>
      </c>
      <c r="J8" s="62">
        <v>5.7945355191256827</v>
      </c>
      <c r="K8" s="62">
        <v>5.7142729386514048</v>
      </c>
      <c r="L8" s="62">
        <v>5.7899095099880489</v>
      </c>
      <c r="M8" s="62">
        <v>5.8878888362545396</v>
      </c>
      <c r="N8" s="62">
        <v>5.752723224934404</v>
      </c>
      <c r="O8" s="62">
        <v>5.7671415479463466</v>
      </c>
      <c r="P8" s="62">
        <v>5.9178823979104287</v>
      </c>
      <c r="Q8" s="62">
        <v>5.5880320789636029</v>
      </c>
      <c r="R8" s="62">
        <v>5.5725767818172143</v>
      </c>
      <c r="S8" s="62">
        <v>5.4762309479290607</v>
      </c>
      <c r="T8" s="214">
        <f t="shared" ref="T8:T9" si="0">IFERROR((S8-J8),"n/a")</f>
        <v>-0.31830457119662192</v>
      </c>
      <c r="U8" s="214">
        <f t="shared" ref="U8:U9" si="1">IFERROR((S8-O8),"n/a")</f>
        <v>-0.29091060001728586</v>
      </c>
      <c r="V8" s="214">
        <f t="shared" ref="V8:V9" si="2">IFERROR((S8-R8),"n/a")</f>
        <v>-9.6345833888153543E-2</v>
      </c>
    </row>
    <row r="9" spans="1:22" ht="15" customHeight="1" x14ac:dyDescent="0.2">
      <c r="A9" s="42" t="s">
        <v>0</v>
      </c>
      <c r="B9" s="215">
        <v>6.247247486835807</v>
      </c>
      <c r="C9" s="215">
        <v>6.0860545524394931</v>
      </c>
      <c r="D9" s="215">
        <v>5.8530020703933747</v>
      </c>
      <c r="E9" s="215">
        <v>6.2402251184834121</v>
      </c>
      <c r="F9" s="215">
        <v>6.0793020457280385</v>
      </c>
      <c r="G9" s="215">
        <v>6.0130726651748914</v>
      </c>
      <c r="H9" s="215">
        <v>5.9220412390547033</v>
      </c>
      <c r="I9" s="215">
        <v>6.1039667896678971</v>
      </c>
      <c r="J9" s="215">
        <v>6.1285998443310561</v>
      </c>
      <c r="K9" s="215">
        <v>6.0718943178931326</v>
      </c>
      <c r="L9" s="215">
        <v>6.1154282933160289</v>
      </c>
      <c r="M9" s="215">
        <v>6.2435897435897436</v>
      </c>
      <c r="N9" s="215">
        <v>6.1179644757550777</v>
      </c>
      <c r="O9" s="215">
        <v>6.133129123468426</v>
      </c>
      <c r="P9" s="215">
        <v>6.2388168262819734</v>
      </c>
      <c r="Q9" s="215">
        <v>5.9091069330199764</v>
      </c>
      <c r="R9" s="215">
        <v>5.9025750202757505</v>
      </c>
      <c r="S9" s="215">
        <v>5.8497376030845025</v>
      </c>
      <c r="T9" s="216">
        <f t="shared" si="0"/>
        <v>-0.27886224124655357</v>
      </c>
      <c r="U9" s="216">
        <f t="shared" si="1"/>
        <v>-0.28339152038392346</v>
      </c>
      <c r="V9" s="216">
        <f t="shared" si="2"/>
        <v>-5.2837417191248015E-2</v>
      </c>
    </row>
    <row r="10" spans="1:22" ht="15" customHeight="1" x14ac:dyDescent="0.2">
      <c r="A10" s="51"/>
      <c r="B10" s="51"/>
      <c r="C10" s="51"/>
      <c r="D10" s="51"/>
      <c r="E10" s="51"/>
      <c r="F10" s="51"/>
      <c r="G10" s="51"/>
      <c r="H10" s="51"/>
      <c r="I10" s="51"/>
      <c r="J10" s="51"/>
      <c r="K10" s="51"/>
      <c r="L10" s="51"/>
      <c r="M10" s="51"/>
      <c r="N10" s="51"/>
      <c r="O10" s="51"/>
      <c r="P10" s="51"/>
      <c r="Q10" s="51"/>
      <c r="R10" s="51"/>
      <c r="S10" s="51"/>
      <c r="T10" s="51"/>
      <c r="U10" s="51"/>
      <c r="V10" s="51"/>
    </row>
    <row r="11" spans="1:22" ht="25.5" customHeight="1" x14ac:dyDescent="0.2">
      <c r="A11" s="35" t="s">
        <v>549</v>
      </c>
      <c r="B11" s="35"/>
      <c r="C11" s="35"/>
      <c r="D11" s="35"/>
      <c r="E11" s="35"/>
      <c r="F11" s="35"/>
      <c r="G11" s="35"/>
      <c r="H11" s="35"/>
      <c r="I11" s="35"/>
      <c r="J11" s="35"/>
      <c r="K11" s="35"/>
      <c r="L11" s="35"/>
      <c r="M11" s="35"/>
      <c r="N11" s="35"/>
      <c r="O11" s="35"/>
      <c r="P11" s="35"/>
      <c r="Q11" s="35"/>
      <c r="R11" s="35"/>
      <c r="S11" s="35"/>
      <c r="T11" s="75"/>
      <c r="U11" s="75"/>
      <c r="V11" s="75"/>
    </row>
    <row r="12" spans="1:22" ht="44.25" customHeight="1" x14ac:dyDescent="0.2">
      <c r="A12" s="36" t="s">
        <v>85</v>
      </c>
      <c r="B12" s="15">
        <v>2007</v>
      </c>
      <c r="C12" s="15">
        <v>2008</v>
      </c>
      <c r="D12" s="15">
        <v>2009</v>
      </c>
      <c r="E12" s="15">
        <v>2010</v>
      </c>
      <c r="F12" s="15">
        <v>2011</v>
      </c>
      <c r="G12" s="15">
        <v>2012</v>
      </c>
      <c r="H12" s="15">
        <v>2013</v>
      </c>
      <c r="I12" s="15">
        <v>2014</v>
      </c>
      <c r="J12" s="15">
        <v>2015</v>
      </c>
      <c r="K12" s="15">
        <v>2016</v>
      </c>
      <c r="L12" s="15">
        <v>2017</v>
      </c>
      <c r="M12" s="15">
        <v>2018</v>
      </c>
      <c r="N12" s="15">
        <v>2019</v>
      </c>
      <c r="O12" s="15">
        <v>2020</v>
      </c>
      <c r="P12" s="15">
        <v>2021</v>
      </c>
      <c r="Q12" s="15">
        <v>2022</v>
      </c>
      <c r="R12" s="15">
        <v>2023</v>
      </c>
      <c r="S12" s="15">
        <v>2024</v>
      </c>
      <c r="T12" s="27" t="s">
        <v>469</v>
      </c>
      <c r="U12" s="27" t="s">
        <v>470</v>
      </c>
      <c r="V12" s="27" t="s">
        <v>471</v>
      </c>
    </row>
    <row r="13" spans="1:22" ht="15" customHeight="1" x14ac:dyDescent="0.2">
      <c r="A13" s="33" t="s">
        <v>75</v>
      </c>
      <c r="B13" s="220">
        <v>11.871595330739298</v>
      </c>
      <c r="C13" s="220">
        <v>11.505263157894733</v>
      </c>
      <c r="D13" s="220">
        <v>11.563953488372094</v>
      </c>
      <c r="E13" s="220">
        <v>12.014124293785311</v>
      </c>
      <c r="F13" s="220">
        <v>12.168161434977577</v>
      </c>
      <c r="G13" s="220">
        <v>12.250000000000004</v>
      </c>
      <c r="H13" s="220">
        <v>11.852886405959032</v>
      </c>
      <c r="I13" s="220">
        <v>12.311890838206628</v>
      </c>
      <c r="J13" s="220">
        <v>12.420240137221269</v>
      </c>
      <c r="K13" s="220">
        <v>12.449760765550241</v>
      </c>
      <c r="L13" s="220">
        <v>12.325732899022798</v>
      </c>
      <c r="M13" s="220">
        <v>12.250666666666664</v>
      </c>
      <c r="N13" s="220">
        <v>12.114882506527415</v>
      </c>
      <c r="O13" s="220">
        <v>12.159122085048011</v>
      </c>
      <c r="P13" s="215">
        <v>12.52808988764045</v>
      </c>
      <c r="Q13" s="215">
        <v>12.334567901234566</v>
      </c>
      <c r="R13" s="215">
        <v>12.490967056323059</v>
      </c>
      <c r="S13" s="215">
        <v>12.280975609756101</v>
      </c>
      <c r="T13" s="216">
        <f t="shared" ref="T13:T21" si="3">IFERROR((S13-J13),"n/a")</f>
        <v>-0.13926452746516738</v>
      </c>
      <c r="U13" s="216">
        <f t="shared" ref="U13:U21" si="4">IFERROR((S13-O13),"n/a")</f>
        <v>0.12185352470809008</v>
      </c>
      <c r="V13" s="216">
        <f t="shared" ref="V13:V21" si="5">IFERROR((S13-R13),"n/a")</f>
        <v>-0.20999144656695812</v>
      </c>
    </row>
    <row r="14" spans="1:22" ht="15" customHeight="1" x14ac:dyDescent="0.2">
      <c r="A14" s="34" t="s">
        <v>286</v>
      </c>
      <c r="B14" s="219">
        <v>11.026548672566369</v>
      </c>
      <c r="C14" s="219">
        <v>11.623999999999993</v>
      </c>
      <c r="D14" s="219">
        <v>11.41721854304636</v>
      </c>
      <c r="E14" s="219">
        <v>12.24</v>
      </c>
      <c r="F14" s="219">
        <v>12.280788177339895</v>
      </c>
      <c r="G14" s="219">
        <v>12.341563786008233</v>
      </c>
      <c r="H14" s="219">
        <v>12.139830508474571</v>
      </c>
      <c r="I14" s="219">
        <v>12.408510638297875</v>
      </c>
      <c r="J14" s="219">
        <v>12.482649842271297</v>
      </c>
      <c r="K14" s="219">
        <v>12.541139240506331</v>
      </c>
      <c r="L14" s="219">
        <v>12.144329896907209</v>
      </c>
      <c r="M14" s="219">
        <v>12.63324538258575</v>
      </c>
      <c r="N14" s="219">
        <v>12.198938992042441</v>
      </c>
      <c r="O14" s="219">
        <v>12.521212121212121</v>
      </c>
      <c r="P14" s="219">
        <v>12.50140056022409</v>
      </c>
      <c r="Q14" s="219">
        <v>12.292397660818713</v>
      </c>
      <c r="R14" s="219">
        <v>12.514285714285711</v>
      </c>
      <c r="S14" s="219">
        <v>12.366589327146174</v>
      </c>
      <c r="T14" s="214">
        <f t="shared" si="3"/>
        <v>-0.11606051512512217</v>
      </c>
      <c r="U14" s="214">
        <f t="shared" si="4"/>
        <v>-0.15462279406594703</v>
      </c>
      <c r="V14" s="214">
        <f t="shared" si="5"/>
        <v>-0.14769638713953626</v>
      </c>
    </row>
    <row r="15" spans="1:22" ht="15" customHeight="1" x14ac:dyDescent="0.2">
      <c r="A15" s="34" t="s">
        <v>287</v>
      </c>
      <c r="B15" s="219">
        <v>12.647482014388491</v>
      </c>
      <c r="C15" s="219">
        <v>11.477124183006534</v>
      </c>
      <c r="D15" s="219">
        <v>11.73224043715847</v>
      </c>
      <c r="E15" s="219">
        <v>11.632530120481924</v>
      </c>
      <c r="F15" s="219">
        <v>12.091743119266058</v>
      </c>
      <c r="G15" s="219">
        <v>12.146666666666667</v>
      </c>
      <c r="H15" s="219">
        <v>12.121621621621626</v>
      </c>
      <c r="I15" s="219">
        <v>12.124444444444444</v>
      </c>
      <c r="J15" s="219">
        <v>12.427927927927925</v>
      </c>
      <c r="K15" s="219">
        <v>12.437500000000002</v>
      </c>
      <c r="L15" s="219">
        <v>12.586466165413531</v>
      </c>
      <c r="M15" s="219">
        <v>12.164948453608245</v>
      </c>
      <c r="N15" s="219">
        <v>12.167138810198297</v>
      </c>
      <c r="O15" s="219">
        <v>11.90149253731343</v>
      </c>
      <c r="P15" s="219">
        <v>12.888586956521742</v>
      </c>
      <c r="Q15" s="219">
        <v>12.556650246305416</v>
      </c>
      <c r="R15" s="219">
        <v>12.725352112676056</v>
      </c>
      <c r="S15" s="219">
        <v>12.446721311475413</v>
      </c>
      <c r="T15" s="214">
        <f t="shared" si="3"/>
        <v>1.8793383547487608E-2</v>
      </c>
      <c r="U15" s="214">
        <f t="shared" si="4"/>
        <v>0.54522877416198234</v>
      </c>
      <c r="V15" s="214">
        <f t="shared" si="5"/>
        <v>-0.27863080120064332</v>
      </c>
    </row>
    <row r="16" spans="1:22" ht="15" customHeight="1" x14ac:dyDescent="0.2">
      <c r="A16" s="34" t="s">
        <v>165</v>
      </c>
      <c r="B16" s="219">
        <v>9.4</v>
      </c>
      <c r="C16" s="219">
        <v>10</v>
      </c>
      <c r="D16" s="219">
        <v>10.7</v>
      </c>
      <c r="E16" s="219">
        <v>13.846153846153847</v>
      </c>
      <c r="F16" s="219">
        <v>11.920000000000009</v>
      </c>
      <c r="G16" s="219">
        <v>12.275000000000013</v>
      </c>
      <c r="H16" s="219">
        <v>10.240506329113929</v>
      </c>
      <c r="I16" s="219">
        <v>12.67924528301887</v>
      </c>
      <c r="J16" s="219">
        <v>11.931818181818175</v>
      </c>
      <c r="K16" s="219">
        <v>11.981818181818175</v>
      </c>
      <c r="L16" s="219">
        <v>12.035087719298243</v>
      </c>
      <c r="M16" s="219">
        <v>10.750000000000004</v>
      </c>
      <c r="N16" s="219">
        <v>10.722222222222216</v>
      </c>
      <c r="O16" s="219">
        <v>11.640625000000007</v>
      </c>
      <c r="P16" s="219">
        <v>10.907894736842108</v>
      </c>
      <c r="Q16" s="219">
        <v>11.112903225806452</v>
      </c>
      <c r="R16" s="219">
        <v>11.336842105263157</v>
      </c>
      <c r="S16" s="219">
        <v>11.169811320754722</v>
      </c>
      <c r="T16" s="214">
        <f t="shared" si="3"/>
        <v>-0.76200686106345294</v>
      </c>
      <c r="U16" s="214">
        <f t="shared" si="4"/>
        <v>-0.4708136792452855</v>
      </c>
      <c r="V16" s="214">
        <f t="shared" si="5"/>
        <v>-0.16703078450843556</v>
      </c>
    </row>
    <row r="17" spans="1:22" ht="15" customHeight="1" x14ac:dyDescent="0.2">
      <c r="A17" s="33" t="s">
        <v>164</v>
      </c>
      <c r="B17" s="220">
        <v>5.8786023973476151</v>
      </c>
      <c r="C17" s="220">
        <v>5.7722007722007724</v>
      </c>
      <c r="D17" s="220">
        <v>5.5683234313867551</v>
      </c>
      <c r="E17" s="220">
        <v>5.9207564864020021</v>
      </c>
      <c r="F17" s="220">
        <v>5.7339776195320438</v>
      </c>
      <c r="G17" s="220">
        <v>5.6161843918326442</v>
      </c>
      <c r="H17" s="220">
        <v>5.6062078540261799</v>
      </c>
      <c r="I17" s="220">
        <v>5.7955843904328459</v>
      </c>
      <c r="J17" s="220">
        <v>5.7945355191256827</v>
      </c>
      <c r="K17" s="220">
        <v>5.714272938651404</v>
      </c>
      <c r="L17" s="220">
        <v>5.7899095099880489</v>
      </c>
      <c r="M17" s="220">
        <v>5.8878888362545396</v>
      </c>
      <c r="N17" s="220">
        <v>5.752723224934404</v>
      </c>
      <c r="O17" s="220">
        <v>5.7671415479463466</v>
      </c>
      <c r="P17" s="215">
        <v>5.9178823979104287</v>
      </c>
      <c r="Q17" s="215">
        <v>5.5880320789636029</v>
      </c>
      <c r="R17" s="215">
        <v>5.5725767818172143</v>
      </c>
      <c r="S17" s="215">
        <v>5.4762309479290607</v>
      </c>
      <c r="T17" s="216">
        <f t="shared" si="3"/>
        <v>-0.31830457119662192</v>
      </c>
      <c r="U17" s="216">
        <f t="shared" si="4"/>
        <v>-0.29091060001728586</v>
      </c>
      <c r="V17" s="216">
        <f t="shared" si="5"/>
        <v>-9.6345833888153543E-2</v>
      </c>
    </row>
    <row r="18" spans="1:22" ht="15" customHeight="1" x14ac:dyDescent="0.2">
      <c r="A18" s="34" t="s">
        <v>286</v>
      </c>
      <c r="B18" s="219">
        <v>6.8509378084896353</v>
      </c>
      <c r="C18" s="219">
        <v>6.5990722332670639</v>
      </c>
      <c r="D18" s="219">
        <v>6.6020278833967048</v>
      </c>
      <c r="E18" s="219">
        <v>7.0789925586720104</v>
      </c>
      <c r="F18" s="219">
        <v>6.8279678068410457</v>
      </c>
      <c r="G18" s="219">
        <v>6.8435131520285335</v>
      </c>
      <c r="H18" s="219">
        <v>6.8629817049435582</v>
      </c>
      <c r="I18" s="219">
        <v>6.5703785373024619</v>
      </c>
      <c r="J18" s="219">
        <v>6.7553191489361701</v>
      </c>
      <c r="K18" s="219">
        <v>6.6478514202476333</v>
      </c>
      <c r="L18" s="219">
        <v>6.5204017576898936</v>
      </c>
      <c r="M18" s="219">
        <v>6.487276154571159</v>
      </c>
      <c r="N18" s="219">
        <v>6.5514529914529911</v>
      </c>
      <c r="O18" s="219">
        <v>6.7797316057380845</v>
      </c>
      <c r="P18" s="219">
        <v>6.8357183743560386</v>
      </c>
      <c r="Q18" s="219">
        <v>6.9825628548256287</v>
      </c>
      <c r="R18" s="219">
        <v>6.6073428749222156</v>
      </c>
      <c r="S18" s="219">
        <v>6.554010349288486</v>
      </c>
      <c r="T18" s="214">
        <f t="shared" si="3"/>
        <v>-0.20130879964768411</v>
      </c>
      <c r="U18" s="214">
        <f t="shared" si="4"/>
        <v>-0.22572125644959851</v>
      </c>
      <c r="V18" s="214">
        <f t="shared" si="5"/>
        <v>-5.3332525633729588E-2</v>
      </c>
    </row>
    <row r="19" spans="1:22" ht="15" customHeight="1" x14ac:dyDescent="0.2">
      <c r="A19" s="34" t="s">
        <v>287</v>
      </c>
      <c r="B19" s="219">
        <v>6.8731665228645387</v>
      </c>
      <c r="C19" s="219">
        <v>6.155665024630542</v>
      </c>
      <c r="D19" s="219">
        <v>6.006177606177606</v>
      </c>
      <c r="E19" s="219">
        <v>6.09375</v>
      </c>
      <c r="F19" s="219">
        <v>6.056413700470114</v>
      </c>
      <c r="G19" s="219">
        <v>6.0292072322670371</v>
      </c>
      <c r="H19" s="219">
        <v>6.0622469635627532</v>
      </c>
      <c r="I19" s="219">
        <v>5.801548886737657</v>
      </c>
      <c r="J19" s="219">
        <v>6.025075225677031</v>
      </c>
      <c r="K19" s="219">
        <v>5.7649812734082406</v>
      </c>
      <c r="L19" s="219">
        <v>5.6924061433447095</v>
      </c>
      <c r="M19" s="219">
        <v>5.7211774325429277</v>
      </c>
      <c r="N19" s="219">
        <v>5.9563462949376378</v>
      </c>
      <c r="O19" s="219">
        <v>5.6883166794773254</v>
      </c>
      <c r="P19" s="219">
        <v>5.9979128619879987</v>
      </c>
      <c r="Q19" s="219">
        <v>5.6878178735771376</v>
      </c>
      <c r="R19" s="219">
        <v>5.4468085106382977</v>
      </c>
      <c r="S19" s="219">
        <v>5.1685124864277956</v>
      </c>
      <c r="T19" s="214">
        <f t="shared" si="3"/>
        <v>-0.85656273924923543</v>
      </c>
      <c r="U19" s="214">
        <f t="shared" si="4"/>
        <v>-0.51980419304952985</v>
      </c>
      <c r="V19" s="214">
        <f t="shared" si="5"/>
        <v>-0.27829602421050215</v>
      </c>
    </row>
    <row r="20" spans="1:22" ht="15" customHeight="1" x14ac:dyDescent="0.2">
      <c r="A20" s="34" t="s">
        <v>165</v>
      </c>
      <c r="B20" s="219">
        <v>4.6563750714694105</v>
      </c>
      <c r="C20" s="219">
        <v>5.0892782644972883</v>
      </c>
      <c r="D20" s="219">
        <v>5.0225918570009931</v>
      </c>
      <c r="E20" s="219">
        <v>5.2385848200786214</v>
      </c>
      <c r="F20" s="219">
        <v>5.1287896056530657</v>
      </c>
      <c r="G20" s="219">
        <v>4.8382147838214786</v>
      </c>
      <c r="H20" s="219">
        <v>4.8606246614912436</v>
      </c>
      <c r="I20" s="219">
        <v>5.4128158844765339</v>
      </c>
      <c r="J20" s="219">
        <v>5.2805708725267593</v>
      </c>
      <c r="K20" s="219">
        <v>5.2901587301587298</v>
      </c>
      <c r="L20" s="219">
        <v>5.4505174644243217</v>
      </c>
      <c r="M20" s="219">
        <v>5.6747193406281085</v>
      </c>
      <c r="N20" s="219">
        <v>5.3352584464337278</v>
      </c>
      <c r="O20" s="219">
        <v>5.4932320441988951</v>
      </c>
      <c r="P20" s="219">
        <v>5.4980884109916373</v>
      </c>
      <c r="Q20" s="219">
        <v>5.1875195007800308</v>
      </c>
      <c r="R20" s="219">
        <v>5.3247634351008752</v>
      </c>
      <c r="S20" s="219">
        <v>5.2837620578778139</v>
      </c>
      <c r="T20" s="214">
        <f t="shared" si="3"/>
        <v>3.1911853510546706E-3</v>
      </c>
      <c r="U20" s="214">
        <f t="shared" si="4"/>
        <v>-0.20946998632108116</v>
      </c>
      <c r="V20" s="214">
        <f t="shared" si="5"/>
        <v>-4.1001377223061297E-2</v>
      </c>
    </row>
    <row r="21" spans="1:22" ht="15" customHeight="1" x14ac:dyDescent="0.2">
      <c r="A21" s="42" t="s">
        <v>0</v>
      </c>
      <c r="B21" s="215">
        <v>6.247247486835807</v>
      </c>
      <c r="C21" s="215">
        <v>6.0860545524394931</v>
      </c>
      <c r="D21" s="215">
        <v>5.8530020703933747</v>
      </c>
      <c r="E21" s="215">
        <v>6.2402251184834121</v>
      </c>
      <c r="F21" s="215">
        <v>6.0793020457280385</v>
      </c>
      <c r="G21" s="215">
        <v>6.0130726651748914</v>
      </c>
      <c r="H21" s="215">
        <v>5.9220412390547033</v>
      </c>
      <c r="I21" s="215">
        <v>6.1039667896678971</v>
      </c>
      <c r="J21" s="215">
        <v>6.1285998443310561</v>
      </c>
      <c r="K21" s="215">
        <v>6.0718943178931326</v>
      </c>
      <c r="L21" s="215">
        <v>6.1154282933160289</v>
      </c>
      <c r="M21" s="215">
        <v>6.2435897435897436</v>
      </c>
      <c r="N21" s="215">
        <v>6.1179644757550777</v>
      </c>
      <c r="O21" s="215">
        <v>6.133129123468426</v>
      </c>
      <c r="P21" s="215">
        <v>6.2388168262819734</v>
      </c>
      <c r="Q21" s="215">
        <v>5.9091069330199764</v>
      </c>
      <c r="R21" s="215">
        <v>5.9025750202757505</v>
      </c>
      <c r="S21" s="215">
        <v>5.8497376030845025</v>
      </c>
      <c r="T21" s="216">
        <f t="shared" si="3"/>
        <v>-0.27886224124655357</v>
      </c>
      <c r="U21" s="216">
        <f t="shared" si="4"/>
        <v>-0.28339152038392346</v>
      </c>
      <c r="V21" s="216">
        <f t="shared" si="5"/>
        <v>-5.2837417191248015E-2</v>
      </c>
    </row>
    <row r="22" spans="1:22" ht="15" customHeight="1" x14ac:dyDescent="0.2">
      <c r="A22" s="158" t="s">
        <v>415</v>
      </c>
      <c r="B22" s="44"/>
      <c r="C22" s="44"/>
      <c r="D22" s="44"/>
      <c r="E22" s="44"/>
      <c r="F22" s="44"/>
      <c r="G22" s="44"/>
      <c r="H22" s="44"/>
      <c r="I22" s="44"/>
      <c r="J22" s="44"/>
      <c r="K22" s="44"/>
      <c r="L22" s="44"/>
      <c r="M22" s="44"/>
      <c r="N22" s="44"/>
      <c r="O22" s="44"/>
      <c r="P22" s="44"/>
      <c r="Q22" s="44"/>
      <c r="R22" s="44"/>
      <c r="S22" s="44"/>
      <c r="T22" s="51"/>
      <c r="U22" s="51"/>
      <c r="V22" s="51"/>
    </row>
    <row r="23" spans="1:22" ht="15" customHeight="1" x14ac:dyDescent="0.2">
      <c r="A23" s="44"/>
      <c r="B23" s="44"/>
      <c r="C23" s="44"/>
      <c r="D23" s="44"/>
      <c r="E23" s="44"/>
      <c r="F23" s="44"/>
      <c r="G23" s="44"/>
      <c r="H23" s="44"/>
      <c r="I23" s="44"/>
      <c r="J23" s="44"/>
      <c r="K23" s="44"/>
      <c r="L23" s="44"/>
      <c r="M23" s="44"/>
      <c r="N23" s="44"/>
      <c r="O23" s="44"/>
      <c r="P23" s="44"/>
      <c r="Q23" s="44"/>
      <c r="R23" s="44"/>
      <c r="S23" s="44"/>
      <c r="T23" s="51"/>
      <c r="U23" s="51"/>
      <c r="V23" s="51"/>
    </row>
    <row r="24" spans="1:22" ht="15" customHeight="1" x14ac:dyDescent="0.2">
      <c r="A24" s="35" t="s">
        <v>167</v>
      </c>
      <c r="B24" s="35"/>
      <c r="C24" s="35"/>
      <c r="D24" s="35"/>
      <c r="E24" s="35"/>
      <c r="F24" s="35"/>
      <c r="G24" s="35"/>
      <c r="H24" s="35"/>
      <c r="I24" s="35"/>
      <c r="J24" s="35"/>
      <c r="K24" s="35"/>
      <c r="L24" s="35"/>
      <c r="M24" s="35"/>
      <c r="N24" s="35"/>
      <c r="O24" s="35"/>
      <c r="P24" s="35"/>
      <c r="Q24" s="35"/>
      <c r="R24" s="35"/>
      <c r="S24" s="35"/>
      <c r="T24" s="75"/>
      <c r="U24" s="75"/>
      <c r="V24" s="75"/>
    </row>
    <row r="25" spans="1:22" ht="48" customHeight="1" x14ac:dyDescent="0.2">
      <c r="A25" s="36" t="s">
        <v>577</v>
      </c>
      <c r="B25" s="15">
        <v>2007</v>
      </c>
      <c r="C25" s="15">
        <v>2008</v>
      </c>
      <c r="D25" s="15">
        <v>2009</v>
      </c>
      <c r="E25" s="15">
        <v>2010</v>
      </c>
      <c r="F25" s="15">
        <v>2011</v>
      </c>
      <c r="G25" s="15">
        <v>2012</v>
      </c>
      <c r="H25" s="15">
        <v>2013</v>
      </c>
      <c r="I25" s="15">
        <v>2014</v>
      </c>
      <c r="J25" s="15">
        <v>2015</v>
      </c>
      <c r="K25" s="15">
        <v>2016</v>
      </c>
      <c r="L25" s="15">
        <v>2017</v>
      </c>
      <c r="M25" s="15">
        <v>2018</v>
      </c>
      <c r="N25" s="15">
        <v>2019</v>
      </c>
      <c r="O25" s="15">
        <v>2020</v>
      </c>
      <c r="P25" s="15">
        <v>2021</v>
      </c>
      <c r="Q25" s="15">
        <v>2022</v>
      </c>
      <c r="R25" s="15">
        <v>2023</v>
      </c>
      <c r="S25" s="15">
        <v>2024</v>
      </c>
      <c r="T25" s="27" t="s">
        <v>469</v>
      </c>
      <c r="U25" s="27" t="s">
        <v>470</v>
      </c>
      <c r="V25" s="27" t="s">
        <v>471</v>
      </c>
    </row>
    <row r="26" spans="1:22" ht="15" customHeight="1" x14ac:dyDescent="0.2">
      <c r="A26" s="30" t="s">
        <v>8</v>
      </c>
      <c r="B26" s="219" t="s">
        <v>100</v>
      </c>
      <c r="C26" s="219" t="s">
        <v>100</v>
      </c>
      <c r="D26" s="219" t="s">
        <v>100</v>
      </c>
      <c r="E26" s="219" t="s">
        <v>100</v>
      </c>
      <c r="F26" s="219" t="s">
        <v>100</v>
      </c>
      <c r="G26" s="219" t="s">
        <v>100</v>
      </c>
      <c r="H26" s="219" t="s">
        <v>100</v>
      </c>
      <c r="I26" s="219" t="s">
        <v>100</v>
      </c>
      <c r="J26" s="219" t="s">
        <v>100</v>
      </c>
      <c r="K26" s="219" t="s">
        <v>100</v>
      </c>
      <c r="L26" s="219" t="s">
        <v>100</v>
      </c>
      <c r="M26" s="219" t="s">
        <v>100</v>
      </c>
      <c r="N26" s="219" t="s">
        <v>100</v>
      </c>
      <c r="O26" s="219" t="s">
        <v>100</v>
      </c>
      <c r="P26" s="219">
        <v>13</v>
      </c>
      <c r="Q26" s="219" t="s">
        <v>100</v>
      </c>
      <c r="R26" s="219">
        <v>14.307692307692308</v>
      </c>
      <c r="S26" s="219" t="s">
        <v>100</v>
      </c>
      <c r="T26" s="61" t="str">
        <f t="shared" ref="T26:T36" si="6">IFERROR((S26-J26),"n/a")</f>
        <v>n/a</v>
      </c>
      <c r="U26" s="61" t="str">
        <f t="shared" ref="U26:U36" si="7">IFERROR((S26-O26),"n/a")</f>
        <v>n/a</v>
      </c>
      <c r="V26" s="61" t="str">
        <f t="shared" ref="V26:V36" si="8">IFERROR((S26-R26),"n/a")</f>
        <v>n/a</v>
      </c>
    </row>
    <row r="27" spans="1:22" ht="15" customHeight="1" x14ac:dyDescent="0.2">
      <c r="A27" s="30" t="s">
        <v>9</v>
      </c>
      <c r="B27" s="219">
        <v>12.227272727272732</v>
      </c>
      <c r="C27" s="219">
        <v>10.333333333333325</v>
      </c>
      <c r="D27" s="219">
        <v>10.964285714285722</v>
      </c>
      <c r="E27" s="219">
        <v>11.280000000000005</v>
      </c>
      <c r="F27" s="219">
        <v>12</v>
      </c>
      <c r="G27" s="219">
        <v>12.414634146341454</v>
      </c>
      <c r="H27" s="219">
        <v>11.538461538461533</v>
      </c>
      <c r="I27" s="219">
        <v>11.342105263157901</v>
      </c>
      <c r="J27" s="219">
        <v>11.760869565217401</v>
      </c>
      <c r="K27" s="219">
        <v>12.58490566037735</v>
      </c>
      <c r="L27" s="219">
        <v>11.717391304347826</v>
      </c>
      <c r="M27" s="219">
        <v>11.703125000000002</v>
      </c>
      <c r="N27" s="219">
        <v>11.474576271186432</v>
      </c>
      <c r="O27" s="219">
        <v>13.355555555555544</v>
      </c>
      <c r="P27" s="219">
        <v>12.866666666666664</v>
      </c>
      <c r="Q27" s="219">
        <v>11.962962962962964</v>
      </c>
      <c r="R27" s="219">
        <v>12.473684210526303</v>
      </c>
      <c r="S27" s="219">
        <v>12.333333333333323</v>
      </c>
      <c r="T27" s="61">
        <f t="shared" si="6"/>
        <v>0.57246376811592192</v>
      </c>
      <c r="U27" s="61">
        <f t="shared" si="7"/>
        <v>-1.0222222222222204</v>
      </c>
      <c r="V27" s="61">
        <f t="shared" si="8"/>
        <v>-0.14035087719297934</v>
      </c>
    </row>
    <row r="28" spans="1:22" ht="15" customHeight="1" x14ac:dyDescent="0.2">
      <c r="A28" s="30" t="s">
        <v>10</v>
      </c>
      <c r="B28" s="219" t="s">
        <v>100</v>
      </c>
      <c r="C28" s="219" t="s">
        <v>100</v>
      </c>
      <c r="D28" s="219" t="s">
        <v>100</v>
      </c>
      <c r="E28" s="219">
        <v>10.7</v>
      </c>
      <c r="F28" s="219" t="s">
        <v>100</v>
      </c>
      <c r="G28" s="219" t="s">
        <v>100</v>
      </c>
      <c r="H28" s="219" t="s">
        <v>100</v>
      </c>
      <c r="I28" s="219" t="s">
        <v>100</v>
      </c>
      <c r="J28" s="219" t="s">
        <v>100</v>
      </c>
      <c r="K28" s="219">
        <v>11.583333333333316</v>
      </c>
      <c r="L28" s="219" t="s">
        <v>100</v>
      </c>
      <c r="M28" s="219">
        <v>11.916666666666677</v>
      </c>
      <c r="N28" s="219" t="s">
        <v>100</v>
      </c>
      <c r="O28" s="219">
        <v>11.1</v>
      </c>
      <c r="P28" s="219">
        <v>14.000000000000016</v>
      </c>
      <c r="Q28" s="219">
        <v>12.615384615384631</v>
      </c>
      <c r="R28" s="219">
        <v>12.30000000000001</v>
      </c>
      <c r="S28" s="219">
        <v>13.5</v>
      </c>
      <c r="T28" s="61" t="str">
        <f t="shared" si="6"/>
        <v>n/a</v>
      </c>
      <c r="U28" s="61">
        <f t="shared" si="7"/>
        <v>2.4000000000000004</v>
      </c>
      <c r="V28" s="61">
        <f t="shared" si="8"/>
        <v>1.1999999999999904</v>
      </c>
    </row>
    <row r="29" spans="1:22" ht="15" customHeight="1" x14ac:dyDescent="0.2">
      <c r="A29" s="30" t="s">
        <v>11</v>
      </c>
      <c r="B29" s="219">
        <v>11.649253731343283</v>
      </c>
      <c r="C29" s="219">
        <v>11.593495934959348</v>
      </c>
      <c r="D29" s="219">
        <v>11.443820224719099</v>
      </c>
      <c r="E29" s="219">
        <v>11.80337078651686</v>
      </c>
      <c r="F29" s="219">
        <v>12.117073170731706</v>
      </c>
      <c r="G29" s="219">
        <v>11.863636363636363</v>
      </c>
      <c r="H29" s="219">
        <v>11.770334928229662</v>
      </c>
      <c r="I29" s="219">
        <v>12.073684210526313</v>
      </c>
      <c r="J29" s="219">
        <v>11.857777777777784</v>
      </c>
      <c r="K29" s="219">
        <v>11.982142857142852</v>
      </c>
      <c r="L29" s="219">
        <v>11.862745098039213</v>
      </c>
      <c r="M29" s="219">
        <v>12.190283400809724</v>
      </c>
      <c r="N29" s="219">
        <v>12.104026845637581</v>
      </c>
      <c r="O29" s="219">
        <v>12.307984790874521</v>
      </c>
      <c r="P29" s="219">
        <v>12.737051792828684</v>
      </c>
      <c r="Q29" s="219">
        <v>12.476190476190474</v>
      </c>
      <c r="R29" s="219">
        <v>12.407142857142857</v>
      </c>
      <c r="S29" s="219">
        <v>12.346874999999999</v>
      </c>
      <c r="T29" s="61">
        <f t="shared" si="6"/>
        <v>0.48909722222221497</v>
      </c>
      <c r="U29" s="61">
        <f t="shared" si="7"/>
        <v>3.8890209125478137E-2</v>
      </c>
      <c r="V29" s="61">
        <f t="shared" si="8"/>
        <v>-6.026785714285765E-2</v>
      </c>
    </row>
    <row r="30" spans="1:22" ht="15" customHeight="1" x14ac:dyDescent="0.2">
      <c r="A30" s="30" t="s">
        <v>12</v>
      </c>
      <c r="B30" s="219">
        <v>11.133333333333326</v>
      </c>
      <c r="C30" s="219">
        <v>10.823529411764694</v>
      </c>
      <c r="D30" s="219">
        <v>11.193548387096774</v>
      </c>
      <c r="E30" s="219">
        <v>12.272727272727273</v>
      </c>
      <c r="F30" s="219">
        <v>12.342105263157908</v>
      </c>
      <c r="G30" s="219">
        <v>12.864864864864868</v>
      </c>
      <c r="H30" s="219">
        <v>13.411764705882346</v>
      </c>
      <c r="I30" s="219">
        <v>12.30952380952381</v>
      </c>
      <c r="J30" s="219">
        <v>13.181818181818182</v>
      </c>
      <c r="K30" s="219">
        <v>12.794117647058826</v>
      </c>
      <c r="L30" s="219">
        <v>12.958333333333329</v>
      </c>
      <c r="M30" s="219">
        <v>12.641509433962264</v>
      </c>
      <c r="N30" s="219">
        <v>12.279569892473122</v>
      </c>
      <c r="O30" s="219">
        <v>11.829268292682926</v>
      </c>
      <c r="P30" s="219">
        <v>12.718446601941743</v>
      </c>
      <c r="Q30" s="219">
        <v>12.08421052631579</v>
      </c>
      <c r="R30" s="219">
        <v>12.451127819548871</v>
      </c>
      <c r="S30" s="219">
        <v>12.143790849673206</v>
      </c>
      <c r="T30" s="61">
        <f t="shared" si="6"/>
        <v>-1.038027332144976</v>
      </c>
      <c r="U30" s="61">
        <f t="shared" si="7"/>
        <v>0.31452255699027987</v>
      </c>
      <c r="V30" s="61">
        <f t="shared" si="8"/>
        <v>-0.30733696987566539</v>
      </c>
    </row>
    <row r="31" spans="1:22" ht="15" customHeight="1" x14ac:dyDescent="0.2">
      <c r="A31" s="30" t="s">
        <v>13</v>
      </c>
      <c r="B31" s="219" t="s">
        <v>100</v>
      </c>
      <c r="C31" s="219" t="s">
        <v>100</v>
      </c>
      <c r="D31" s="219" t="s">
        <v>100</v>
      </c>
      <c r="E31" s="219" t="s">
        <v>100</v>
      </c>
      <c r="F31" s="219" t="s">
        <v>100</v>
      </c>
      <c r="G31" s="219">
        <v>14.363636363636381</v>
      </c>
      <c r="H31" s="219">
        <v>14.357142857142858</v>
      </c>
      <c r="I31" s="219" t="s">
        <v>100</v>
      </c>
      <c r="J31" s="219" t="s">
        <v>100</v>
      </c>
      <c r="K31" s="219">
        <v>15.875000000000007</v>
      </c>
      <c r="L31" s="219">
        <v>15.5</v>
      </c>
      <c r="M31" s="219">
        <v>13.8888888888889</v>
      </c>
      <c r="N31" s="219">
        <v>14.222222222222216</v>
      </c>
      <c r="O31" s="219">
        <v>13.470588235294118</v>
      </c>
      <c r="P31" s="219">
        <v>12.727272727272714</v>
      </c>
      <c r="Q31" s="219">
        <v>14.25</v>
      </c>
      <c r="R31" s="219">
        <v>15.346153846153856</v>
      </c>
      <c r="S31" s="219">
        <v>13.739130434782604</v>
      </c>
      <c r="T31" s="61" t="str">
        <f t="shared" si="6"/>
        <v>n/a</v>
      </c>
      <c r="U31" s="61">
        <f t="shared" si="7"/>
        <v>0.26854219948848623</v>
      </c>
      <c r="V31" s="61">
        <f t="shared" si="8"/>
        <v>-1.6070234113712516</v>
      </c>
    </row>
    <row r="32" spans="1:22" ht="15" customHeight="1" x14ac:dyDescent="0.2">
      <c r="A32" s="30" t="s">
        <v>14</v>
      </c>
      <c r="B32" s="219">
        <v>12.333333333333352</v>
      </c>
      <c r="C32" s="219">
        <v>12.210526315789469</v>
      </c>
      <c r="D32" s="219" t="s">
        <v>100</v>
      </c>
      <c r="E32" s="219">
        <v>12.937499999999975</v>
      </c>
      <c r="F32" s="219">
        <v>11.809523809523796</v>
      </c>
      <c r="G32" s="219">
        <v>10.999999999999988</v>
      </c>
      <c r="H32" s="219">
        <v>8.3846153846153868</v>
      </c>
      <c r="I32" s="219">
        <v>13.583333333333334</v>
      </c>
      <c r="J32" s="219">
        <v>14</v>
      </c>
      <c r="K32" s="219">
        <v>12.206896551724121</v>
      </c>
      <c r="L32" s="219">
        <v>11.999999999999993</v>
      </c>
      <c r="M32" s="219">
        <v>10.638888888888889</v>
      </c>
      <c r="N32" s="219">
        <v>11.470588235294125</v>
      </c>
      <c r="O32" s="219">
        <v>11.79069767441861</v>
      </c>
      <c r="P32" s="219">
        <v>10.68</v>
      </c>
      <c r="Q32" s="219">
        <v>12.066666666666656</v>
      </c>
      <c r="R32" s="219">
        <v>11.833333333333325</v>
      </c>
      <c r="S32" s="219">
        <v>11.584615384615395</v>
      </c>
      <c r="T32" s="61">
        <f t="shared" si="6"/>
        <v>-2.415384615384605</v>
      </c>
      <c r="U32" s="61">
        <f t="shared" si="7"/>
        <v>-0.20608228980321464</v>
      </c>
      <c r="V32" s="61">
        <f t="shared" si="8"/>
        <v>-0.24871794871793007</v>
      </c>
    </row>
    <row r="33" spans="1:22" ht="15" customHeight="1" x14ac:dyDescent="0.2">
      <c r="A33" s="30" t="s">
        <v>15</v>
      </c>
      <c r="B33" s="219">
        <v>10.733333333333333</v>
      </c>
      <c r="C33" s="219">
        <v>10.916666666666671</v>
      </c>
      <c r="D33" s="219">
        <v>13.580645161290326</v>
      </c>
      <c r="E33" s="219">
        <v>13.45454545454546</v>
      </c>
      <c r="F33" s="219">
        <v>12.819999999999995</v>
      </c>
      <c r="G33" s="219">
        <v>13.017543859649129</v>
      </c>
      <c r="H33" s="219">
        <v>13.15</v>
      </c>
      <c r="I33" s="219">
        <v>12.941176470588243</v>
      </c>
      <c r="J33" s="219">
        <v>12.92857142857142</v>
      </c>
      <c r="K33" s="219">
        <v>12.81428571428572</v>
      </c>
      <c r="L33" s="219">
        <v>12.987341772151884</v>
      </c>
      <c r="M33" s="219">
        <v>13.392405063291136</v>
      </c>
      <c r="N33" s="219">
        <v>13.086956521739136</v>
      </c>
      <c r="O33" s="219">
        <v>12.791666666666657</v>
      </c>
      <c r="P33" s="219">
        <v>13.045454545454547</v>
      </c>
      <c r="Q33" s="219">
        <v>12.488095238095241</v>
      </c>
      <c r="R33" s="219">
        <v>13.054347826086953</v>
      </c>
      <c r="S33" s="219">
        <v>12.695652173913038</v>
      </c>
      <c r="T33" s="61">
        <f t="shared" si="6"/>
        <v>-0.23291925465838226</v>
      </c>
      <c r="U33" s="61">
        <f t="shared" si="7"/>
        <v>-9.6014492753619507E-2</v>
      </c>
      <c r="V33" s="61">
        <f t="shared" si="8"/>
        <v>-0.35869565217391575</v>
      </c>
    </row>
    <row r="34" spans="1:22" ht="15" customHeight="1" x14ac:dyDescent="0.2">
      <c r="A34" s="30" t="s">
        <v>16</v>
      </c>
      <c r="B34" s="219">
        <v>11.388888888888879</v>
      </c>
      <c r="C34" s="219">
        <v>11.961538461538453</v>
      </c>
      <c r="D34" s="219">
        <v>11.695652173913066</v>
      </c>
      <c r="E34" s="219">
        <v>12.955555555555538</v>
      </c>
      <c r="F34" s="219">
        <v>12.066666666666666</v>
      </c>
      <c r="G34" s="219">
        <v>12.422222222222222</v>
      </c>
      <c r="H34" s="219">
        <v>11.588235294117647</v>
      </c>
      <c r="I34" s="219">
        <v>12.240740740740755</v>
      </c>
      <c r="J34" s="219">
        <v>13.05454545454546</v>
      </c>
      <c r="K34" s="219">
        <v>12.886792452830191</v>
      </c>
      <c r="L34" s="219">
        <v>12.886363636363626</v>
      </c>
      <c r="M34" s="219">
        <v>12.403225806451617</v>
      </c>
      <c r="N34" s="219">
        <v>12.044117647058833</v>
      </c>
      <c r="O34" s="219">
        <v>12.000000000000004</v>
      </c>
      <c r="P34" s="219">
        <v>12.367088607594942</v>
      </c>
      <c r="Q34" s="219">
        <v>12.613333333333328</v>
      </c>
      <c r="R34" s="219">
        <v>12.311475409836074</v>
      </c>
      <c r="S34" s="219">
        <v>12.233333333333338</v>
      </c>
      <c r="T34" s="61">
        <f t="shared" si="6"/>
        <v>-0.82121212121212217</v>
      </c>
      <c r="U34" s="61">
        <f t="shared" si="7"/>
        <v>0.23333333333333428</v>
      </c>
      <c r="V34" s="61">
        <f t="shared" si="8"/>
        <v>-7.8142076502736302E-2</v>
      </c>
    </row>
    <row r="35" spans="1:22" ht="15" customHeight="1" x14ac:dyDescent="0.2">
      <c r="A35" s="30" t="s">
        <v>17</v>
      </c>
      <c r="B35" s="219">
        <v>13.516129032258064</v>
      </c>
      <c r="C35" s="219">
        <v>11.957446808510632</v>
      </c>
      <c r="D35" s="219">
        <v>11.512195121951219</v>
      </c>
      <c r="E35" s="219">
        <v>10.95</v>
      </c>
      <c r="F35" s="219">
        <v>12.206896551724133</v>
      </c>
      <c r="G35" s="219">
        <v>12.366197183098604</v>
      </c>
      <c r="H35" s="219">
        <v>12.686046511627918</v>
      </c>
      <c r="I35" s="219">
        <v>12.558441558441562</v>
      </c>
      <c r="J35" s="219">
        <v>12.260416666666655</v>
      </c>
      <c r="K35" s="219">
        <v>12.343434343434353</v>
      </c>
      <c r="L35" s="219">
        <v>12.05882352941177</v>
      </c>
      <c r="M35" s="219">
        <v>11.598290598290589</v>
      </c>
      <c r="N35" s="219">
        <v>11.728070175438591</v>
      </c>
      <c r="O35" s="219">
        <v>11.322314049586785</v>
      </c>
      <c r="P35" s="219">
        <v>11.705035971223026</v>
      </c>
      <c r="Q35" s="219">
        <v>11.820312499999998</v>
      </c>
      <c r="R35" s="219">
        <v>12.274193548387096</v>
      </c>
      <c r="S35" s="219">
        <v>11.890710382513674</v>
      </c>
      <c r="T35" s="61">
        <f t="shared" si="6"/>
        <v>-0.36970628415298101</v>
      </c>
      <c r="U35" s="61">
        <f t="shared" si="7"/>
        <v>0.56839633292688951</v>
      </c>
      <c r="V35" s="61">
        <f t="shared" si="8"/>
        <v>-0.38348316587342168</v>
      </c>
    </row>
    <row r="36" spans="1:22" ht="15" customHeight="1" x14ac:dyDescent="0.2">
      <c r="A36" s="42" t="s">
        <v>0</v>
      </c>
      <c r="B36" s="215">
        <v>11.871595330739302</v>
      </c>
      <c r="C36" s="215">
        <v>11.505263157894735</v>
      </c>
      <c r="D36" s="215">
        <v>11.563953488372093</v>
      </c>
      <c r="E36" s="215">
        <v>12.014124293785308</v>
      </c>
      <c r="F36" s="215">
        <v>12.168161434977579</v>
      </c>
      <c r="G36" s="215">
        <v>12.25</v>
      </c>
      <c r="H36" s="215">
        <v>11.852886405959033</v>
      </c>
      <c r="I36" s="215">
        <v>12.311890838206629</v>
      </c>
      <c r="J36" s="215">
        <v>12.420240137221269</v>
      </c>
      <c r="K36" s="215">
        <v>12.449760765550238</v>
      </c>
      <c r="L36" s="215">
        <v>12.325732899022796</v>
      </c>
      <c r="M36" s="215">
        <v>12.250666666666667</v>
      </c>
      <c r="N36" s="215">
        <v>12.114882506527415</v>
      </c>
      <c r="O36" s="215">
        <v>12.159122085048011</v>
      </c>
      <c r="P36" s="215">
        <v>12.52808988764045</v>
      </c>
      <c r="Q36" s="215">
        <v>12.334567901234566</v>
      </c>
      <c r="R36" s="215">
        <v>12.490967056323059</v>
      </c>
      <c r="S36" s="215">
        <v>12.2809756097561</v>
      </c>
      <c r="T36" s="212">
        <f t="shared" si="6"/>
        <v>-0.13926452746516915</v>
      </c>
      <c r="U36" s="212">
        <f t="shared" si="7"/>
        <v>0.1218535247080883</v>
      </c>
      <c r="V36" s="212">
        <f t="shared" si="8"/>
        <v>-0.20999144656695989</v>
      </c>
    </row>
    <row r="37" spans="1:22" ht="15" customHeight="1" x14ac:dyDescent="0.2">
      <c r="A37" s="158" t="s">
        <v>415</v>
      </c>
      <c r="B37" s="101"/>
      <c r="C37" s="101"/>
      <c r="D37" s="101"/>
      <c r="E37" s="101"/>
      <c r="F37" s="101"/>
      <c r="G37" s="101"/>
      <c r="H37" s="101"/>
      <c r="I37" s="101"/>
      <c r="J37" s="101"/>
      <c r="K37" s="101"/>
      <c r="L37" s="101"/>
      <c r="M37" s="101"/>
      <c r="N37" s="101"/>
      <c r="O37" s="101"/>
      <c r="P37" s="101"/>
      <c r="Q37" s="101"/>
      <c r="R37" s="101"/>
      <c r="S37" s="101"/>
      <c r="T37" s="101"/>
      <c r="U37" s="101"/>
      <c r="V37" s="101"/>
    </row>
    <row r="38" spans="1:22" ht="15" customHeight="1" x14ac:dyDescent="0.2">
      <c r="A38" s="101"/>
      <c r="B38" s="101"/>
      <c r="C38" s="101"/>
      <c r="D38" s="101"/>
      <c r="E38" s="101"/>
      <c r="F38" s="101"/>
      <c r="G38" s="101"/>
      <c r="H38" s="101"/>
      <c r="I38" s="101"/>
      <c r="J38" s="101"/>
      <c r="K38" s="101"/>
      <c r="L38" s="101"/>
      <c r="M38" s="101"/>
      <c r="N38" s="101"/>
      <c r="O38" s="101"/>
      <c r="P38" s="101"/>
      <c r="Q38" s="101"/>
      <c r="R38" s="101"/>
      <c r="S38" s="101"/>
      <c r="T38" s="101"/>
      <c r="U38" s="101"/>
      <c r="V38" s="101"/>
    </row>
    <row r="39" spans="1:22" ht="15" customHeight="1" x14ac:dyDescent="0.2">
      <c r="A39" s="35" t="s">
        <v>168</v>
      </c>
      <c r="B39" s="35"/>
      <c r="C39" s="35"/>
      <c r="D39" s="35"/>
      <c r="E39" s="35"/>
      <c r="F39" s="35"/>
      <c r="G39" s="35"/>
      <c r="H39" s="35"/>
      <c r="I39" s="35"/>
      <c r="J39" s="35"/>
      <c r="K39" s="35"/>
      <c r="L39" s="35"/>
      <c r="M39" s="35"/>
      <c r="N39" s="35"/>
      <c r="O39" s="35"/>
      <c r="P39" s="35"/>
      <c r="Q39" s="35"/>
      <c r="R39" s="35"/>
      <c r="S39" s="35"/>
      <c r="T39" s="75"/>
      <c r="U39" s="75"/>
      <c r="V39" s="75"/>
    </row>
    <row r="40" spans="1:22" ht="45.75" customHeight="1" x14ac:dyDescent="0.2">
      <c r="A40" s="36" t="s">
        <v>577</v>
      </c>
      <c r="B40" s="15">
        <v>2007</v>
      </c>
      <c r="C40" s="15">
        <v>2008</v>
      </c>
      <c r="D40" s="15">
        <v>2009</v>
      </c>
      <c r="E40" s="15">
        <v>2010</v>
      </c>
      <c r="F40" s="15">
        <v>2011</v>
      </c>
      <c r="G40" s="15">
        <v>2012</v>
      </c>
      <c r="H40" s="15">
        <v>2013</v>
      </c>
      <c r="I40" s="15">
        <v>2014</v>
      </c>
      <c r="J40" s="15">
        <v>2015</v>
      </c>
      <c r="K40" s="15">
        <v>2016</v>
      </c>
      <c r="L40" s="15">
        <v>2017</v>
      </c>
      <c r="M40" s="15">
        <v>2018</v>
      </c>
      <c r="N40" s="15">
        <v>2019</v>
      </c>
      <c r="O40" s="15">
        <v>2020</v>
      </c>
      <c r="P40" s="15">
        <v>2021</v>
      </c>
      <c r="Q40" s="15">
        <v>2022</v>
      </c>
      <c r="R40" s="15">
        <v>2023</v>
      </c>
      <c r="S40" s="15">
        <v>2024</v>
      </c>
      <c r="T40" s="27" t="s">
        <v>469</v>
      </c>
      <c r="U40" s="27" t="s">
        <v>470</v>
      </c>
      <c r="V40" s="27" t="s">
        <v>471</v>
      </c>
    </row>
    <row r="41" spans="1:22" ht="15" customHeight="1" x14ac:dyDescent="0.2">
      <c r="A41" s="30" t="s">
        <v>8</v>
      </c>
      <c r="B41" s="217">
        <v>4.6404435058078137</v>
      </c>
      <c r="C41" s="217">
        <v>5.1605424321959754</v>
      </c>
      <c r="D41" s="217">
        <v>4.7325388944058258</v>
      </c>
      <c r="E41" s="217">
        <v>4.9222879684418146</v>
      </c>
      <c r="F41" s="217">
        <v>4.8920365124331129</v>
      </c>
      <c r="G41" s="217">
        <v>4.8016501650165013</v>
      </c>
      <c r="H41" s="217">
        <v>4.7195656713301313</v>
      </c>
      <c r="I41" s="217">
        <v>4.9634173544501454</v>
      </c>
      <c r="J41" s="217">
        <v>4.8552343407796759</v>
      </c>
      <c r="K41" s="217">
        <v>4.7993623804463335</v>
      </c>
      <c r="L41" s="217">
        <v>5.1098443323832496</v>
      </c>
      <c r="M41" s="217">
        <v>5.277074844520695</v>
      </c>
      <c r="N41" s="217">
        <v>5.1453101523932174</v>
      </c>
      <c r="O41" s="217">
        <v>5.1764452113891286</v>
      </c>
      <c r="P41" s="217">
        <v>5.4163322282324211</v>
      </c>
      <c r="Q41" s="217">
        <v>5.0920855213803451</v>
      </c>
      <c r="R41" s="217">
        <v>5.2060055865921795</v>
      </c>
      <c r="S41" s="217">
        <v>5.1595533119167811</v>
      </c>
      <c r="T41" s="214">
        <f t="shared" ref="T41:T51" si="9">IFERROR((S41-J41),"n/a")</f>
        <v>0.30431897113710527</v>
      </c>
      <c r="U41" s="214">
        <f t="shared" ref="U41:U51" si="10">IFERROR((S41-O41),"n/a")</f>
        <v>-1.6891899472347482E-2</v>
      </c>
      <c r="V41" s="214">
        <f t="shared" ref="V41:V51" si="11">IFERROR((S41-R41),"n/a")</f>
        <v>-4.6452274675398364E-2</v>
      </c>
    </row>
    <row r="42" spans="1:22" ht="15" customHeight="1" x14ac:dyDescent="0.2">
      <c r="A42" s="30" t="s">
        <v>9</v>
      </c>
      <c r="B42" s="217">
        <v>7.2264150943396217</v>
      </c>
      <c r="C42" s="217">
        <v>6.1698113207547163</v>
      </c>
      <c r="D42" s="217">
        <v>7.4249999999999998</v>
      </c>
      <c r="E42" s="217">
        <v>7.1098901098901095</v>
      </c>
      <c r="F42" s="217">
        <v>6.9304347826086969</v>
      </c>
      <c r="G42" s="217">
        <v>7.1804511278195493</v>
      </c>
      <c r="H42" s="217">
        <v>6.8223684210526319</v>
      </c>
      <c r="I42" s="217">
        <v>6.5403225806451601</v>
      </c>
      <c r="J42" s="217">
        <v>6.615384615384615</v>
      </c>
      <c r="K42" s="217">
        <v>6.6190476190476186</v>
      </c>
      <c r="L42" s="217">
        <v>6.1347517730496444</v>
      </c>
      <c r="M42" s="217">
        <v>6.2137931034482756</v>
      </c>
      <c r="N42" s="217">
        <v>6.4341085271317837</v>
      </c>
      <c r="O42" s="217">
        <v>6.2285714285714286</v>
      </c>
      <c r="P42" s="217">
        <v>6.4965986394557822</v>
      </c>
      <c r="Q42" s="217">
        <v>6.6456692913385824</v>
      </c>
      <c r="R42" s="217">
        <v>6.6230769230769226</v>
      </c>
      <c r="S42" s="217">
        <v>6.2080536912751665</v>
      </c>
      <c r="T42" s="214">
        <f t="shared" si="9"/>
        <v>-0.40733092410944849</v>
      </c>
      <c r="U42" s="214">
        <f t="shared" si="10"/>
        <v>-2.0517737296262162E-2</v>
      </c>
      <c r="V42" s="214">
        <f t="shared" si="11"/>
        <v>-0.41502323180175615</v>
      </c>
    </row>
    <row r="43" spans="1:22" ht="15" customHeight="1" x14ac:dyDescent="0.2">
      <c r="A43" s="30" t="s">
        <v>10</v>
      </c>
      <c r="B43" s="217">
        <v>6.6585365853658534</v>
      </c>
      <c r="C43" s="217">
        <v>5.604395604395604</v>
      </c>
      <c r="D43" s="217">
        <v>6.6075949367088604</v>
      </c>
      <c r="E43" s="217">
        <v>5.916666666666667</v>
      </c>
      <c r="F43" s="217">
        <v>6.9816513761467887</v>
      </c>
      <c r="G43" s="217">
        <v>6.407766990291262</v>
      </c>
      <c r="H43" s="217">
        <v>6.4651162790697674</v>
      </c>
      <c r="I43" s="217">
        <v>6.3850574712643668</v>
      </c>
      <c r="J43" s="217">
        <v>6.3823529411764719</v>
      </c>
      <c r="K43" s="217">
        <v>6.2752293577981648</v>
      </c>
      <c r="L43" s="217">
        <v>5.830721003134796</v>
      </c>
      <c r="M43" s="217">
        <v>5.3518987341772153</v>
      </c>
      <c r="N43" s="217">
        <v>5.4643734643734643</v>
      </c>
      <c r="O43" s="217">
        <v>5.2117962466487935</v>
      </c>
      <c r="P43" s="217">
        <v>5.9706546275395036</v>
      </c>
      <c r="Q43" s="217">
        <v>5.8352713178294575</v>
      </c>
      <c r="R43" s="217">
        <v>5.6709677419354847</v>
      </c>
      <c r="S43" s="217">
        <v>5.3250564334085775</v>
      </c>
      <c r="T43" s="214">
        <f t="shared" si="9"/>
        <v>-1.0572965077678944</v>
      </c>
      <c r="U43" s="214">
        <f t="shared" si="10"/>
        <v>0.113260186759784</v>
      </c>
      <c r="V43" s="214">
        <f t="shared" si="11"/>
        <v>-0.34591130852690721</v>
      </c>
    </row>
    <row r="44" spans="1:22" ht="15" customHeight="1" x14ac:dyDescent="0.2">
      <c r="A44" s="30" t="s">
        <v>11</v>
      </c>
      <c r="B44" s="217">
        <v>7.6833333333333336</v>
      </c>
      <c r="C44" s="217">
        <v>5.9615384615384626</v>
      </c>
      <c r="D44" s="217">
        <v>6.6195652173913047</v>
      </c>
      <c r="E44" s="217">
        <v>6.6455696202531653</v>
      </c>
      <c r="F44" s="217">
        <v>6.5263157894736841</v>
      </c>
      <c r="G44" s="217">
        <v>6.7892156862745097</v>
      </c>
      <c r="H44" s="217">
        <v>7.0220264317180625</v>
      </c>
      <c r="I44" s="217">
        <v>6.772413793103448</v>
      </c>
      <c r="J44" s="217">
        <v>6.837988826815641</v>
      </c>
      <c r="K44" s="217">
        <v>6.6141732283464565</v>
      </c>
      <c r="L44" s="217">
        <v>6.1597796143250685</v>
      </c>
      <c r="M44" s="217">
        <v>6.6843575418994412</v>
      </c>
      <c r="N44" s="217">
        <v>6.64975845410628</v>
      </c>
      <c r="O44" s="217">
        <v>6.3680203045685282</v>
      </c>
      <c r="P44" s="217">
        <v>6.2472118959107812</v>
      </c>
      <c r="Q44" s="217">
        <v>6.2544731610337969</v>
      </c>
      <c r="R44" s="217">
        <v>6.2122641509433958</v>
      </c>
      <c r="S44" s="217">
        <v>5.7730220492866406</v>
      </c>
      <c r="T44" s="214">
        <f t="shared" si="9"/>
        <v>-1.0649667775290004</v>
      </c>
      <c r="U44" s="214">
        <f t="shared" si="10"/>
        <v>-0.59499825528188754</v>
      </c>
      <c r="V44" s="214">
        <f t="shared" si="11"/>
        <v>-0.43924210165675515</v>
      </c>
    </row>
    <row r="45" spans="1:22" ht="15" customHeight="1" x14ac:dyDescent="0.2">
      <c r="A45" s="30" t="s">
        <v>12</v>
      </c>
      <c r="B45" s="217">
        <v>6.4699599465954609</v>
      </c>
      <c r="C45" s="217">
        <v>6.0886571056062584</v>
      </c>
      <c r="D45" s="217">
        <v>5.7099002302379125</v>
      </c>
      <c r="E45" s="217">
        <v>6.5709876543209873</v>
      </c>
      <c r="F45" s="217">
        <v>6.1871999999999998</v>
      </c>
      <c r="G45" s="217">
        <v>6.1602418745275882</v>
      </c>
      <c r="H45" s="217">
        <v>6.5270072992700721</v>
      </c>
      <c r="I45" s="217">
        <v>6.5671740569159498</v>
      </c>
      <c r="J45" s="217">
        <v>6.6441032798325192</v>
      </c>
      <c r="K45" s="217">
        <v>6.4513888888888893</v>
      </c>
      <c r="L45" s="217">
        <v>6.3224440411373264</v>
      </c>
      <c r="M45" s="217">
        <v>6.2899543378995437</v>
      </c>
      <c r="N45" s="217">
        <v>6.2169696969696968</v>
      </c>
      <c r="O45" s="217">
        <v>6.158374211632796</v>
      </c>
      <c r="P45" s="217">
        <v>6.1417322834645667</v>
      </c>
      <c r="Q45" s="217">
        <v>5.9956374212312165</v>
      </c>
      <c r="R45" s="217">
        <v>6.1257889990982868</v>
      </c>
      <c r="S45" s="217">
        <v>6.0288197621225983</v>
      </c>
      <c r="T45" s="214">
        <f t="shared" si="9"/>
        <v>-0.61528351770992096</v>
      </c>
      <c r="U45" s="214">
        <f t="shared" si="10"/>
        <v>-0.12955444951019768</v>
      </c>
      <c r="V45" s="214">
        <f t="shared" si="11"/>
        <v>-9.6969236975688489E-2</v>
      </c>
    </row>
    <row r="46" spans="1:22" ht="15" customHeight="1" x14ac:dyDescent="0.2">
      <c r="A46" s="30" t="s">
        <v>13</v>
      </c>
      <c r="B46" s="217">
        <v>6.0250000000000004</v>
      </c>
      <c r="C46" s="217">
        <v>5.7611940298507482</v>
      </c>
      <c r="D46" s="217">
        <v>6.3366834170854274</v>
      </c>
      <c r="E46" s="217">
        <v>6.4327485380116958</v>
      </c>
      <c r="F46" s="217">
        <v>5.4043126684636116</v>
      </c>
      <c r="G46" s="217">
        <v>5.6788990825688064</v>
      </c>
      <c r="H46" s="217">
        <v>5.9810298102981028</v>
      </c>
      <c r="I46" s="217">
        <v>5.5165975103734439</v>
      </c>
      <c r="J46" s="217">
        <v>6.0526315789473681</v>
      </c>
      <c r="K46" s="217">
        <v>5.65268456375839</v>
      </c>
      <c r="L46" s="217">
        <v>5.9934318555008206</v>
      </c>
      <c r="M46" s="217">
        <v>5.8141732283464576</v>
      </c>
      <c r="N46" s="217">
        <v>5.7748132337246529</v>
      </c>
      <c r="O46" s="217">
        <v>5.5635491606714629</v>
      </c>
      <c r="P46" s="217">
        <v>5.7394514767932492</v>
      </c>
      <c r="Q46" s="217">
        <v>5.3989266547406078</v>
      </c>
      <c r="R46" s="217">
        <v>5.5921532846715332</v>
      </c>
      <c r="S46" s="217">
        <v>5.3809523809523823</v>
      </c>
      <c r="T46" s="214">
        <f t="shared" si="9"/>
        <v>-0.67167919799498588</v>
      </c>
      <c r="U46" s="214">
        <f t="shared" si="10"/>
        <v>-0.18259677971908062</v>
      </c>
      <c r="V46" s="214">
        <f t="shared" si="11"/>
        <v>-0.2112009037191509</v>
      </c>
    </row>
    <row r="47" spans="1:22" ht="15" customHeight="1" x14ac:dyDescent="0.2">
      <c r="A47" s="30" t="s">
        <v>14</v>
      </c>
      <c r="B47" s="217">
        <v>8.264705882352942</v>
      </c>
      <c r="C47" s="217">
        <v>6.5738831615120272</v>
      </c>
      <c r="D47" s="217">
        <v>6.5661274976213129</v>
      </c>
      <c r="E47" s="217">
        <v>6.5479876160990713</v>
      </c>
      <c r="F47" s="217">
        <v>5.9731363331094691</v>
      </c>
      <c r="G47" s="217">
        <v>5.6311809191390356</v>
      </c>
      <c r="H47" s="217">
        <v>6.0579551667577913</v>
      </c>
      <c r="I47" s="217">
        <v>6.2601626016260159</v>
      </c>
      <c r="J47" s="217">
        <v>6.2879394748553628</v>
      </c>
      <c r="K47" s="217">
        <v>6.2349369453526391</v>
      </c>
      <c r="L47" s="217">
        <v>6.0975816716164619</v>
      </c>
      <c r="M47" s="217">
        <v>6.1494785631517956</v>
      </c>
      <c r="N47" s="217">
        <v>5.9520412207689253</v>
      </c>
      <c r="O47" s="217">
        <v>6.0507698709945901</v>
      </c>
      <c r="P47" s="217">
        <v>6.1380461165048557</v>
      </c>
      <c r="Q47" s="217">
        <v>5.5097666847531199</v>
      </c>
      <c r="R47" s="217">
        <v>5.217746325530757</v>
      </c>
      <c r="S47" s="217">
        <v>5.0880000000000001</v>
      </c>
      <c r="T47" s="214">
        <f t="shared" si="9"/>
        <v>-1.1999394748553627</v>
      </c>
      <c r="U47" s="214">
        <f t="shared" si="10"/>
        <v>-0.96276987099458999</v>
      </c>
      <c r="V47" s="214">
        <f t="shared" si="11"/>
        <v>-0.12974632553075693</v>
      </c>
    </row>
    <row r="48" spans="1:22" ht="15" customHeight="1" x14ac:dyDescent="0.2">
      <c r="A48" s="30" t="s">
        <v>15</v>
      </c>
      <c r="B48" s="217">
        <v>7.977443609022556</v>
      </c>
      <c r="C48" s="217">
        <v>8.0081967213114762</v>
      </c>
      <c r="D48" s="217">
        <v>7.3604651162790713</v>
      </c>
      <c r="E48" s="217">
        <v>7.5568862275449087</v>
      </c>
      <c r="F48" s="217">
        <v>7.2721893491124296</v>
      </c>
      <c r="G48" s="217">
        <v>7.8909090909090907</v>
      </c>
      <c r="H48" s="217">
        <v>7.598173515981733</v>
      </c>
      <c r="I48" s="217">
        <v>7.7701149425287355</v>
      </c>
      <c r="J48" s="217">
        <v>7.580508474576269</v>
      </c>
      <c r="K48" s="217">
        <v>7.33</v>
      </c>
      <c r="L48" s="217">
        <v>7.4840182648401825</v>
      </c>
      <c r="M48" s="217">
        <v>7.1576354679802954</v>
      </c>
      <c r="N48" s="217">
        <v>7.1472868217054275</v>
      </c>
      <c r="O48" s="217">
        <v>7.1032608695652177</v>
      </c>
      <c r="P48" s="217">
        <v>7.1358885017421603</v>
      </c>
      <c r="Q48" s="217">
        <v>6.9384615384615387</v>
      </c>
      <c r="R48" s="217">
        <v>6.7069486404833834</v>
      </c>
      <c r="S48" s="217">
        <v>6.348370927318296</v>
      </c>
      <c r="T48" s="214">
        <f t="shared" si="9"/>
        <v>-1.232137547257973</v>
      </c>
      <c r="U48" s="214">
        <f t="shared" si="10"/>
        <v>-0.75488994224692174</v>
      </c>
      <c r="V48" s="214">
        <f t="shared" si="11"/>
        <v>-0.35857771316508735</v>
      </c>
    </row>
    <row r="49" spans="1:22" ht="15" customHeight="1" x14ac:dyDescent="0.2">
      <c r="A49" s="30" t="s">
        <v>16</v>
      </c>
      <c r="B49" s="217">
        <v>7.0508474576271176</v>
      </c>
      <c r="C49" s="217">
        <v>6.689516129032258</v>
      </c>
      <c r="D49" s="217">
        <v>5.7431192660550456</v>
      </c>
      <c r="E49" s="217">
        <v>6.931034482758621</v>
      </c>
      <c r="F49" s="217">
        <v>7.2035398230088497</v>
      </c>
      <c r="G49" s="217">
        <v>6.507042253521127</v>
      </c>
      <c r="H49" s="217">
        <v>6.9813664596273304</v>
      </c>
      <c r="I49" s="217">
        <v>7.2358722358722352</v>
      </c>
      <c r="J49" s="217">
        <v>7.2349869451697142</v>
      </c>
      <c r="K49" s="217">
        <v>7.3265720081135894</v>
      </c>
      <c r="L49" s="217">
        <v>7.0586956521739133</v>
      </c>
      <c r="M49" s="217">
        <v>7.1323155216284988</v>
      </c>
      <c r="N49" s="217">
        <v>6.7025316455696204</v>
      </c>
      <c r="O49" s="217">
        <v>7.2658045977011509</v>
      </c>
      <c r="P49" s="217">
        <v>7.0144356955380589</v>
      </c>
      <c r="Q49" s="217">
        <v>6.3684676705048728</v>
      </c>
      <c r="R49" s="217">
        <v>6.4064516129032265</v>
      </c>
      <c r="S49" s="217">
        <v>6.3071371291098632</v>
      </c>
      <c r="T49" s="214">
        <f t="shared" si="9"/>
        <v>-0.92784981605985095</v>
      </c>
      <c r="U49" s="214">
        <f t="shared" si="10"/>
        <v>-0.95866746859128771</v>
      </c>
      <c r="V49" s="214">
        <f t="shared" si="11"/>
        <v>-9.9314483793363273E-2</v>
      </c>
    </row>
    <row r="50" spans="1:22" ht="15" customHeight="1" x14ac:dyDescent="0.2">
      <c r="A50" s="30" t="s">
        <v>17</v>
      </c>
      <c r="B50" s="217">
        <v>6.8300283286118981</v>
      </c>
      <c r="C50" s="217">
        <v>6.1360544217687076</v>
      </c>
      <c r="D50" s="217">
        <v>6.288659793814432</v>
      </c>
      <c r="E50" s="217">
        <v>6.1602434077079105</v>
      </c>
      <c r="F50" s="217">
        <v>6.7182539682539684</v>
      </c>
      <c r="G50" s="217">
        <v>6.5378640776699033</v>
      </c>
      <c r="H50" s="217">
        <v>6.3732283464566928</v>
      </c>
      <c r="I50" s="217">
        <v>6.3235294117647074</v>
      </c>
      <c r="J50" s="217">
        <v>6.0803474484256244</v>
      </c>
      <c r="K50" s="217">
        <v>6.2448979591836755</v>
      </c>
      <c r="L50" s="217">
        <v>6.0048449612403108</v>
      </c>
      <c r="M50" s="217">
        <v>6.0254385964912283</v>
      </c>
      <c r="N50" s="217">
        <v>5.998966942148761</v>
      </c>
      <c r="O50" s="217">
        <v>6.0841219768664567</v>
      </c>
      <c r="P50" s="217">
        <v>6.1842732327243848</v>
      </c>
      <c r="Q50" s="217">
        <v>5.9092140921409211</v>
      </c>
      <c r="R50" s="217">
        <v>5.9083076923076927</v>
      </c>
      <c r="S50" s="217">
        <v>5.7541642734060883</v>
      </c>
      <c r="T50" s="214">
        <f t="shared" si="9"/>
        <v>-0.32618317501953609</v>
      </c>
      <c r="U50" s="214">
        <f t="shared" si="10"/>
        <v>-0.32995770346036846</v>
      </c>
      <c r="V50" s="214">
        <f t="shared" si="11"/>
        <v>-0.15414341890160443</v>
      </c>
    </row>
    <row r="51" spans="1:22" ht="15" customHeight="1" x14ac:dyDescent="0.2">
      <c r="A51" s="42" t="s">
        <v>0</v>
      </c>
      <c r="B51" s="215">
        <v>5.8786023973476151</v>
      </c>
      <c r="C51" s="215">
        <v>5.7722007722007724</v>
      </c>
      <c r="D51" s="215">
        <v>5.5683234313867551</v>
      </c>
      <c r="E51" s="215">
        <v>5.9207564864020004</v>
      </c>
      <c r="F51" s="215">
        <v>5.7339776195320447</v>
      </c>
      <c r="G51" s="215">
        <v>5.6161843918326442</v>
      </c>
      <c r="H51" s="215">
        <v>5.6062078540261799</v>
      </c>
      <c r="I51" s="215">
        <v>5.7955843904328459</v>
      </c>
      <c r="J51" s="215">
        <v>5.7945355191256827</v>
      </c>
      <c r="K51" s="215">
        <v>5.714272938651404</v>
      </c>
      <c r="L51" s="215">
        <v>5.7899095099880489</v>
      </c>
      <c r="M51" s="215">
        <v>5.8878888362545396</v>
      </c>
      <c r="N51" s="215">
        <v>5.752723224934404</v>
      </c>
      <c r="O51" s="215">
        <v>5.7671415479463466</v>
      </c>
      <c r="P51" s="215">
        <v>5.9178823979104287</v>
      </c>
      <c r="Q51" s="215">
        <v>5.5880320789636029</v>
      </c>
      <c r="R51" s="215">
        <v>5.5725767818172152</v>
      </c>
      <c r="S51" s="215">
        <v>5.4762309479290607</v>
      </c>
      <c r="T51" s="216">
        <f t="shared" si="9"/>
        <v>-0.31830457119662192</v>
      </c>
      <c r="U51" s="216">
        <f t="shared" si="10"/>
        <v>-0.29091060001728586</v>
      </c>
      <c r="V51" s="216">
        <f t="shared" si="11"/>
        <v>-9.6345833888154431E-2</v>
      </c>
    </row>
    <row r="52" spans="1:22" ht="15" customHeight="1" x14ac:dyDescent="0.2">
      <c r="A52" s="179"/>
      <c r="B52" s="180"/>
      <c r="C52" s="180"/>
      <c r="D52" s="180"/>
      <c r="E52" s="180"/>
      <c r="F52" s="180"/>
      <c r="G52" s="180"/>
      <c r="H52" s="180"/>
      <c r="I52" s="180"/>
      <c r="J52" s="180"/>
      <c r="K52" s="180"/>
      <c r="L52" s="180"/>
      <c r="M52" s="180"/>
      <c r="N52" s="180"/>
      <c r="O52" s="180"/>
      <c r="P52" s="180"/>
      <c r="Q52" s="180"/>
      <c r="R52" s="180"/>
      <c r="S52" s="180"/>
      <c r="T52" s="187"/>
      <c r="U52" s="187"/>
      <c r="V52" s="187"/>
    </row>
    <row r="53" spans="1:22" ht="15" customHeight="1" x14ac:dyDescent="0.2">
      <c r="A53" s="35" t="s">
        <v>575</v>
      </c>
      <c r="B53" s="35"/>
      <c r="C53" s="35"/>
      <c r="D53" s="35"/>
      <c r="E53" s="35"/>
      <c r="F53" s="35"/>
      <c r="G53" s="35"/>
      <c r="H53" s="35"/>
      <c r="I53" s="35"/>
      <c r="J53" s="35"/>
      <c r="K53" s="35"/>
      <c r="L53" s="35"/>
      <c r="M53" s="35"/>
      <c r="N53" s="35"/>
      <c r="O53" s="35"/>
      <c r="P53" s="35"/>
      <c r="Q53" s="35"/>
      <c r="R53" s="35"/>
      <c r="S53" s="35"/>
      <c r="T53" s="75"/>
      <c r="U53" s="75"/>
      <c r="V53" s="75"/>
    </row>
    <row r="54" spans="1:22" ht="38.25" x14ac:dyDescent="0.2">
      <c r="A54" s="36" t="s">
        <v>578</v>
      </c>
      <c r="B54" s="15">
        <v>2007</v>
      </c>
      <c r="C54" s="15">
        <v>2008</v>
      </c>
      <c r="D54" s="15">
        <v>2009</v>
      </c>
      <c r="E54" s="15">
        <v>2010</v>
      </c>
      <c r="F54" s="15">
        <v>2011</v>
      </c>
      <c r="G54" s="15">
        <v>2012</v>
      </c>
      <c r="H54" s="15">
        <v>2013</v>
      </c>
      <c r="I54" s="15">
        <v>2014</v>
      </c>
      <c r="J54" s="15">
        <v>2015</v>
      </c>
      <c r="K54" s="15">
        <v>2016</v>
      </c>
      <c r="L54" s="15">
        <v>2017</v>
      </c>
      <c r="M54" s="15">
        <v>2018</v>
      </c>
      <c r="N54" s="15">
        <v>2019</v>
      </c>
      <c r="O54" s="15">
        <v>2020</v>
      </c>
      <c r="P54" s="15">
        <v>2021</v>
      </c>
      <c r="Q54" s="15">
        <v>2022</v>
      </c>
      <c r="R54" s="15">
        <v>2023</v>
      </c>
      <c r="S54" s="15">
        <v>2024</v>
      </c>
      <c r="T54" s="27" t="s">
        <v>469</v>
      </c>
      <c r="U54" s="27" t="s">
        <v>470</v>
      </c>
      <c r="V54" s="27" t="s">
        <v>471</v>
      </c>
    </row>
    <row r="55" spans="1:22" ht="15" customHeight="1" x14ac:dyDescent="0.2">
      <c r="A55" s="30" t="s">
        <v>480</v>
      </c>
      <c r="B55" s="219" t="s">
        <v>100</v>
      </c>
      <c r="C55" s="219" t="s">
        <v>100</v>
      </c>
      <c r="D55" s="219" t="s">
        <v>100</v>
      </c>
      <c r="E55" s="219" t="s">
        <v>100</v>
      </c>
      <c r="F55" s="219" t="s">
        <v>100</v>
      </c>
      <c r="G55" s="219">
        <v>13.461538461538478</v>
      </c>
      <c r="H55" s="219">
        <v>14.357142857142858</v>
      </c>
      <c r="I55" s="219">
        <v>13.083333333333323</v>
      </c>
      <c r="J55" s="219" t="s">
        <v>100</v>
      </c>
      <c r="K55" s="219">
        <v>15.263157894736848</v>
      </c>
      <c r="L55" s="219">
        <v>14.722222222222221</v>
      </c>
      <c r="M55" s="219">
        <v>14</v>
      </c>
      <c r="N55" s="219">
        <v>14.090909090909081</v>
      </c>
      <c r="O55" s="219">
        <v>13.291666666666666</v>
      </c>
      <c r="P55" s="219">
        <v>12.83783783783783</v>
      </c>
      <c r="Q55" s="219">
        <v>14.272727272727273</v>
      </c>
      <c r="R55" s="219">
        <v>15.000000000000005</v>
      </c>
      <c r="S55" s="219">
        <v>14.093749999999996</v>
      </c>
      <c r="T55" s="61" t="str">
        <f t="shared" ref="T55:T65" si="12">IFERROR((S55-J55),"n/a")</f>
        <v>n/a</v>
      </c>
      <c r="U55" s="61">
        <f t="shared" ref="U55:U65" si="13">IFERROR((S55-O55),"n/a")</f>
        <v>0.80208333333333037</v>
      </c>
      <c r="V55" s="61">
        <f t="shared" ref="V55:V65" si="14">IFERROR((S55-R55),"n/a")</f>
        <v>-0.90625000000000888</v>
      </c>
    </row>
    <row r="56" spans="1:22" ht="15" customHeight="1" x14ac:dyDescent="0.2">
      <c r="A56" s="30" t="s">
        <v>481</v>
      </c>
      <c r="B56" s="219">
        <v>12.227272727272732</v>
      </c>
      <c r="C56" s="219">
        <v>10.333333333333325</v>
      </c>
      <c r="D56" s="219">
        <v>10.964285714285722</v>
      </c>
      <c r="E56" s="219">
        <v>11.280000000000005</v>
      </c>
      <c r="F56" s="219">
        <v>12</v>
      </c>
      <c r="G56" s="219">
        <v>12.414634146341454</v>
      </c>
      <c r="H56" s="219">
        <v>11.538461538461533</v>
      </c>
      <c r="I56" s="219">
        <v>11.342105263157901</v>
      </c>
      <c r="J56" s="219">
        <v>11.760869565217401</v>
      </c>
      <c r="K56" s="219">
        <v>12.58490566037735</v>
      </c>
      <c r="L56" s="219">
        <v>11.717391304347826</v>
      </c>
      <c r="M56" s="219">
        <v>11.703125</v>
      </c>
      <c r="N56" s="219">
        <v>11.474576271186432</v>
      </c>
      <c r="O56" s="219">
        <v>13.355555555555544</v>
      </c>
      <c r="P56" s="219">
        <v>12.866666666666664</v>
      </c>
      <c r="Q56" s="219">
        <v>11.962962962962964</v>
      </c>
      <c r="R56" s="219">
        <v>12.473684210526304</v>
      </c>
      <c r="S56" s="219">
        <v>12.333333333333323</v>
      </c>
      <c r="T56" s="61">
        <f t="shared" si="12"/>
        <v>0.57246376811592192</v>
      </c>
      <c r="U56" s="61">
        <f t="shared" si="13"/>
        <v>-1.0222222222222204</v>
      </c>
      <c r="V56" s="61">
        <f t="shared" si="14"/>
        <v>-0.14035087719298112</v>
      </c>
    </row>
    <row r="57" spans="1:22" ht="15" customHeight="1" x14ac:dyDescent="0.2">
      <c r="A57" s="30" t="s">
        <v>482</v>
      </c>
      <c r="B57" s="219">
        <v>11.149999999999995</v>
      </c>
      <c r="C57" s="219">
        <v>10.935483870967746</v>
      </c>
      <c r="D57" s="219">
        <v>13.560975609756101</v>
      </c>
      <c r="E57" s="219">
        <v>13.280000000000005</v>
      </c>
      <c r="F57" s="219">
        <v>13.034482758620687</v>
      </c>
      <c r="G57" s="219">
        <v>12.818181818181825</v>
      </c>
      <c r="H57" s="219">
        <v>13.185714285714283</v>
      </c>
      <c r="I57" s="219">
        <v>12.88461538461539</v>
      </c>
      <c r="J57" s="219">
        <v>13.060240963855415</v>
      </c>
      <c r="K57" s="219">
        <v>12.811111111111115</v>
      </c>
      <c r="L57" s="219">
        <v>12.913978494623644</v>
      </c>
      <c r="M57" s="219">
        <v>13.05208333333333</v>
      </c>
      <c r="N57" s="219">
        <v>12.890109890109891</v>
      </c>
      <c r="O57" s="219">
        <v>12.670731707317065</v>
      </c>
      <c r="P57" s="219">
        <v>13.007575757575761</v>
      </c>
      <c r="Q57" s="219">
        <v>12.247524752475247</v>
      </c>
      <c r="R57" s="219">
        <v>12.983333333333331</v>
      </c>
      <c r="S57" s="219">
        <v>12.645833333333329</v>
      </c>
      <c r="T57" s="61">
        <f t="shared" si="12"/>
        <v>-0.41440763052208673</v>
      </c>
      <c r="U57" s="61">
        <f t="shared" si="13"/>
        <v>-2.4898373983736732E-2</v>
      </c>
      <c r="V57" s="61">
        <f t="shared" si="14"/>
        <v>-0.33750000000000213</v>
      </c>
    </row>
    <row r="58" spans="1:22" ht="15" customHeight="1" x14ac:dyDescent="0.2">
      <c r="A58" s="30" t="s">
        <v>483</v>
      </c>
      <c r="B58" s="219">
        <v>11.644444444444444</v>
      </c>
      <c r="C58" s="219">
        <v>11.736111111111107</v>
      </c>
      <c r="D58" s="219">
        <v>11.443243243243241</v>
      </c>
      <c r="E58" s="219">
        <v>11.801104972375693</v>
      </c>
      <c r="F58" s="219">
        <v>12.163636363636359</v>
      </c>
      <c r="G58" s="219">
        <v>11.948936170212768</v>
      </c>
      <c r="H58" s="219">
        <v>11.862831858407082</v>
      </c>
      <c r="I58" s="219">
        <v>12.142180094786728</v>
      </c>
      <c r="J58" s="219">
        <v>12.000000000000004</v>
      </c>
      <c r="K58" s="219">
        <v>11.97959183673469</v>
      </c>
      <c r="L58" s="219">
        <v>11.908695652173911</v>
      </c>
      <c r="M58" s="219">
        <v>12.161048689138584</v>
      </c>
      <c r="N58" s="219">
        <v>12.13183279742765</v>
      </c>
      <c r="O58" s="219">
        <v>12.228373702422145</v>
      </c>
      <c r="P58" s="219">
        <v>12.64419475655431</v>
      </c>
      <c r="Q58" s="219">
        <v>12.463576158940395</v>
      </c>
      <c r="R58" s="219">
        <v>12.403389830508475</v>
      </c>
      <c r="S58" s="219">
        <v>12.36283185840708</v>
      </c>
      <c r="T58" s="61">
        <f t="shared" si="12"/>
        <v>0.36283185840707688</v>
      </c>
      <c r="U58" s="61">
        <f t="shared" si="13"/>
        <v>0.1344581559849356</v>
      </c>
      <c r="V58" s="61">
        <f t="shared" si="14"/>
        <v>-4.0557972101394668E-2</v>
      </c>
    </row>
    <row r="59" spans="1:22" ht="15" customHeight="1" x14ac:dyDescent="0.2">
      <c r="A59" s="30" t="s">
        <v>484</v>
      </c>
      <c r="B59" s="219">
        <v>10.5</v>
      </c>
      <c r="C59" s="219">
        <v>10.69999999999998</v>
      </c>
      <c r="D59" s="219">
        <v>10.095238095238095</v>
      </c>
      <c r="E59" s="219" t="s">
        <v>100</v>
      </c>
      <c r="F59" s="219">
        <v>11.800000000000013</v>
      </c>
      <c r="G59" s="219">
        <v>13.28571428571429</v>
      </c>
      <c r="H59" s="219">
        <v>13.416666666666663</v>
      </c>
      <c r="I59" s="219">
        <v>12.25</v>
      </c>
      <c r="J59" s="219">
        <v>13</v>
      </c>
      <c r="K59" s="219">
        <v>12.791666666666666</v>
      </c>
      <c r="L59" s="219">
        <v>12.93333333333333</v>
      </c>
      <c r="M59" s="219">
        <v>12.75268817204301</v>
      </c>
      <c r="N59" s="219">
        <v>12.246575342465759</v>
      </c>
      <c r="O59" s="219">
        <v>11.80821917808219</v>
      </c>
      <c r="P59" s="219">
        <v>12.710843373493972</v>
      </c>
      <c r="Q59" s="219">
        <v>12.240963855421686</v>
      </c>
      <c r="R59" s="219">
        <v>12.333333333333334</v>
      </c>
      <c r="S59" s="219">
        <v>12.064000000000002</v>
      </c>
      <c r="T59" s="61">
        <f t="shared" si="12"/>
        <v>-0.93599999999999817</v>
      </c>
      <c r="U59" s="61">
        <f t="shared" si="13"/>
        <v>0.25578082191781171</v>
      </c>
      <c r="V59" s="61">
        <f t="shared" si="14"/>
        <v>-0.26933333333333209</v>
      </c>
    </row>
    <row r="60" spans="1:22" ht="15" customHeight="1" x14ac:dyDescent="0.2">
      <c r="A60" s="30" t="s">
        <v>14</v>
      </c>
      <c r="B60" s="219">
        <v>12.333333333333352</v>
      </c>
      <c r="C60" s="219">
        <v>12.210526315789467</v>
      </c>
      <c r="D60" s="219" t="s">
        <v>100</v>
      </c>
      <c r="E60" s="219">
        <v>12.937499999999975</v>
      </c>
      <c r="F60" s="219">
        <v>11.809523809523794</v>
      </c>
      <c r="G60" s="219">
        <v>10.999999999999988</v>
      </c>
      <c r="H60" s="219">
        <v>8.3846153846153868</v>
      </c>
      <c r="I60" s="219">
        <v>13.583333333333334</v>
      </c>
      <c r="J60" s="219">
        <v>14</v>
      </c>
      <c r="K60" s="219">
        <v>12.206896551724121</v>
      </c>
      <c r="L60" s="219">
        <v>11.999999999999991</v>
      </c>
      <c r="M60" s="219">
        <v>10.638888888888889</v>
      </c>
      <c r="N60" s="219">
        <v>11.470588235294123</v>
      </c>
      <c r="O60" s="219">
        <v>11.79069767441861</v>
      </c>
      <c r="P60" s="219">
        <v>10.68</v>
      </c>
      <c r="Q60" s="219">
        <v>12.066666666666654</v>
      </c>
      <c r="R60" s="219">
        <v>11.833333333333321</v>
      </c>
      <c r="S60" s="219">
        <v>11.584615384615395</v>
      </c>
      <c r="T60" s="61">
        <f t="shared" si="12"/>
        <v>-2.415384615384605</v>
      </c>
      <c r="U60" s="61">
        <f t="shared" si="13"/>
        <v>-0.20608228980321464</v>
      </c>
      <c r="V60" s="61">
        <f t="shared" si="14"/>
        <v>-0.24871794871792652</v>
      </c>
    </row>
    <row r="61" spans="1:22" ht="15" customHeight="1" x14ac:dyDescent="0.2">
      <c r="A61" s="30" t="s">
        <v>485</v>
      </c>
      <c r="B61" s="219">
        <v>13.851851851851857</v>
      </c>
      <c r="C61" s="219">
        <v>11.347826086956522</v>
      </c>
      <c r="D61" s="219">
        <v>11.399999999999997</v>
      </c>
      <c r="E61" s="219">
        <v>10.84782608695652</v>
      </c>
      <c r="F61" s="219">
        <v>11.395348837209298</v>
      </c>
      <c r="G61" s="219">
        <v>11.983606557377056</v>
      </c>
      <c r="H61" s="219">
        <v>12.108108108108109</v>
      </c>
      <c r="I61" s="219">
        <v>12.052631578947363</v>
      </c>
      <c r="J61" s="219">
        <v>11.714285714285708</v>
      </c>
      <c r="K61" s="219">
        <v>12.380952380952392</v>
      </c>
      <c r="L61" s="219">
        <v>11.986666666666666</v>
      </c>
      <c r="M61" s="219">
        <v>11.555555555555546</v>
      </c>
      <c r="N61" s="219">
        <v>11.519230769230758</v>
      </c>
      <c r="O61" s="219">
        <v>11.16666666666667</v>
      </c>
      <c r="P61" s="219">
        <v>11.968000000000004</v>
      </c>
      <c r="Q61" s="219">
        <v>11.877049180327869</v>
      </c>
      <c r="R61" s="219">
        <v>12.26543209876543</v>
      </c>
      <c r="S61" s="219">
        <v>12.032258064516146</v>
      </c>
      <c r="T61" s="61">
        <f t="shared" si="12"/>
        <v>0.31797235023043768</v>
      </c>
      <c r="U61" s="61">
        <f t="shared" si="13"/>
        <v>0.86559139784947625</v>
      </c>
      <c r="V61" s="61">
        <f t="shared" si="14"/>
        <v>-0.23317403424928429</v>
      </c>
    </row>
    <row r="62" spans="1:22" ht="15" customHeight="1" x14ac:dyDescent="0.2">
      <c r="A62" s="30" t="s">
        <v>486</v>
      </c>
      <c r="B62" s="219">
        <v>11.388888888888879</v>
      </c>
      <c r="C62" s="219">
        <v>11.961538461538453</v>
      </c>
      <c r="D62" s="219">
        <v>11.695652173913066</v>
      </c>
      <c r="E62" s="219">
        <v>12.955555555555538</v>
      </c>
      <c r="F62" s="219">
        <v>12.066666666666666</v>
      </c>
      <c r="G62" s="219">
        <v>12.422222222222222</v>
      </c>
      <c r="H62" s="219">
        <v>11.588235294117647</v>
      </c>
      <c r="I62" s="219">
        <v>12.240740740740755</v>
      </c>
      <c r="J62" s="219">
        <v>13.05454545454546</v>
      </c>
      <c r="K62" s="219">
        <v>12.886792452830189</v>
      </c>
      <c r="L62" s="219">
        <v>12.886363636363626</v>
      </c>
      <c r="M62" s="219">
        <v>12.403225806451617</v>
      </c>
      <c r="N62" s="219">
        <v>12.044117647058833</v>
      </c>
      <c r="O62" s="219">
        <v>12.000000000000004</v>
      </c>
      <c r="P62" s="219">
        <v>12.36708860759494</v>
      </c>
      <c r="Q62" s="219">
        <v>12.613333333333328</v>
      </c>
      <c r="R62" s="219">
        <v>12.437500000000007</v>
      </c>
      <c r="S62" s="219">
        <v>12.233333333333338</v>
      </c>
      <c r="T62" s="61">
        <f t="shared" si="12"/>
        <v>-0.82121212121212217</v>
      </c>
      <c r="U62" s="61">
        <f t="shared" si="13"/>
        <v>0.23333333333333428</v>
      </c>
      <c r="V62" s="61">
        <f t="shared" si="14"/>
        <v>-0.20416666666666927</v>
      </c>
    </row>
    <row r="63" spans="1:22" ht="15" customHeight="1" x14ac:dyDescent="0.2">
      <c r="A63" s="30" t="s">
        <v>487</v>
      </c>
      <c r="B63" s="219" t="s">
        <v>100</v>
      </c>
      <c r="C63" s="219" t="s">
        <v>100</v>
      </c>
      <c r="D63" s="219" t="s">
        <v>100</v>
      </c>
      <c r="E63" s="219" t="s">
        <v>100</v>
      </c>
      <c r="F63" s="219" t="s">
        <v>100</v>
      </c>
      <c r="G63" s="219" t="s">
        <v>100</v>
      </c>
      <c r="H63" s="219" t="s">
        <v>100</v>
      </c>
      <c r="I63" s="219" t="s">
        <v>100</v>
      </c>
      <c r="J63" s="219" t="s">
        <v>100</v>
      </c>
      <c r="K63" s="219" t="s">
        <v>100</v>
      </c>
      <c r="L63" s="219" t="s">
        <v>100</v>
      </c>
      <c r="M63" s="219" t="s">
        <v>100</v>
      </c>
      <c r="N63" s="219" t="s">
        <v>100</v>
      </c>
      <c r="O63" s="219" t="s">
        <v>100</v>
      </c>
      <c r="P63" s="219" t="s">
        <v>100</v>
      </c>
      <c r="Q63" s="219" t="s">
        <v>100</v>
      </c>
      <c r="R63" s="219" t="s">
        <v>100</v>
      </c>
      <c r="S63" s="219" t="s">
        <v>100</v>
      </c>
      <c r="T63" s="61" t="str">
        <f t="shared" si="12"/>
        <v>n/a</v>
      </c>
      <c r="U63" s="61" t="str">
        <f t="shared" si="13"/>
        <v>n/a</v>
      </c>
      <c r="V63" s="61" t="str">
        <f t="shared" si="14"/>
        <v>n/a</v>
      </c>
    </row>
    <row r="64" spans="1:22" ht="15" customHeight="1" x14ac:dyDescent="0.2">
      <c r="A64" s="30" t="s">
        <v>488</v>
      </c>
      <c r="B64" s="219" t="s">
        <v>100</v>
      </c>
      <c r="C64" s="219" t="s">
        <v>100</v>
      </c>
      <c r="D64" s="219" t="s">
        <v>100</v>
      </c>
      <c r="E64" s="219" t="s">
        <v>100</v>
      </c>
      <c r="F64" s="219" t="s">
        <v>100</v>
      </c>
      <c r="G64" s="219" t="s">
        <v>100</v>
      </c>
      <c r="H64" s="219" t="s">
        <v>100</v>
      </c>
      <c r="I64" s="219" t="s">
        <v>100</v>
      </c>
      <c r="J64" s="219" t="s">
        <v>100</v>
      </c>
      <c r="K64" s="219" t="s">
        <v>100</v>
      </c>
      <c r="L64" s="219" t="s">
        <v>100</v>
      </c>
      <c r="M64" s="219" t="s">
        <v>100</v>
      </c>
      <c r="N64" s="219" t="s">
        <v>100</v>
      </c>
      <c r="O64" s="219" t="s">
        <v>100</v>
      </c>
      <c r="P64" s="219" t="s">
        <v>100</v>
      </c>
      <c r="Q64" s="219" t="s">
        <v>100</v>
      </c>
      <c r="R64" s="219">
        <v>12.062499999999988</v>
      </c>
      <c r="S64" s="219">
        <v>10.833333333333334</v>
      </c>
      <c r="T64" s="61" t="str">
        <f t="shared" si="12"/>
        <v>n/a</v>
      </c>
      <c r="U64" s="61" t="str">
        <f t="shared" si="13"/>
        <v>n/a</v>
      </c>
      <c r="V64" s="61">
        <f t="shared" si="14"/>
        <v>-1.2291666666666536</v>
      </c>
    </row>
    <row r="65" spans="1:22" ht="15" customHeight="1" x14ac:dyDescent="0.2">
      <c r="A65" s="42" t="s">
        <v>0</v>
      </c>
      <c r="B65" s="215">
        <v>11.871595330739302</v>
      </c>
      <c r="C65" s="215">
        <v>11.505263157894733</v>
      </c>
      <c r="D65" s="215">
        <v>11.563953488372094</v>
      </c>
      <c r="E65" s="215">
        <v>12.014124293785311</v>
      </c>
      <c r="F65" s="215">
        <v>12.168161434977579</v>
      </c>
      <c r="G65" s="215">
        <v>12.250000000000002</v>
      </c>
      <c r="H65" s="215">
        <v>11.852886405959032</v>
      </c>
      <c r="I65" s="215">
        <v>12.311890838206629</v>
      </c>
      <c r="J65" s="215">
        <v>12.420240137221269</v>
      </c>
      <c r="K65" s="215">
        <v>12.449760765550238</v>
      </c>
      <c r="L65" s="215">
        <v>12.325732899022798</v>
      </c>
      <c r="M65" s="215">
        <v>12.250666666666664</v>
      </c>
      <c r="N65" s="215">
        <v>12.114882506527415</v>
      </c>
      <c r="O65" s="215">
        <v>12.159122085048011</v>
      </c>
      <c r="P65" s="215">
        <v>12.52808988764045</v>
      </c>
      <c r="Q65" s="215">
        <v>12.334567901234566</v>
      </c>
      <c r="R65" s="215">
        <v>12.490967056323056</v>
      </c>
      <c r="S65" s="215">
        <v>12.280975609756098</v>
      </c>
      <c r="T65" s="212">
        <f t="shared" si="12"/>
        <v>-0.13926452746517093</v>
      </c>
      <c r="U65" s="212">
        <f t="shared" si="13"/>
        <v>0.12185352470808652</v>
      </c>
      <c r="V65" s="212">
        <f t="shared" si="14"/>
        <v>-0.20999144656695812</v>
      </c>
    </row>
    <row r="66" spans="1:22" ht="15" customHeight="1" x14ac:dyDescent="0.2">
      <c r="A66" s="158" t="s">
        <v>415</v>
      </c>
      <c r="B66" s="101"/>
      <c r="C66" s="101"/>
      <c r="D66" s="101"/>
      <c r="E66" s="101"/>
      <c r="F66" s="101"/>
      <c r="G66" s="101"/>
      <c r="H66" s="101"/>
      <c r="I66" s="101"/>
      <c r="J66" s="101"/>
      <c r="K66" s="101"/>
      <c r="L66" s="101"/>
      <c r="M66" s="101"/>
      <c r="N66" s="101"/>
      <c r="O66" s="101"/>
      <c r="P66" s="101"/>
      <c r="Q66" s="101"/>
      <c r="R66" s="101"/>
      <c r="S66" s="101"/>
      <c r="T66" s="101"/>
      <c r="U66" s="101"/>
      <c r="V66" s="101"/>
    </row>
    <row r="67" spans="1:22" ht="15" customHeight="1" x14ac:dyDescent="0.2">
      <c r="A67" s="101"/>
      <c r="B67" s="101"/>
      <c r="C67" s="101"/>
      <c r="D67" s="101"/>
      <c r="E67" s="101"/>
      <c r="F67" s="101"/>
      <c r="G67" s="101"/>
      <c r="H67" s="101"/>
      <c r="I67" s="101"/>
      <c r="J67" s="101"/>
      <c r="K67" s="101"/>
      <c r="L67" s="101"/>
      <c r="M67" s="101"/>
      <c r="N67" s="101"/>
      <c r="O67" s="101"/>
      <c r="P67" s="101"/>
      <c r="Q67" s="101"/>
      <c r="R67" s="101"/>
      <c r="S67" s="101"/>
      <c r="T67" s="101"/>
      <c r="U67" s="101"/>
      <c r="V67" s="101"/>
    </row>
    <row r="68" spans="1:22" ht="15" customHeight="1" x14ac:dyDescent="0.2">
      <c r="A68" s="35" t="s">
        <v>576</v>
      </c>
      <c r="B68" s="35"/>
      <c r="C68" s="35"/>
      <c r="D68" s="35"/>
      <c r="E68" s="35"/>
      <c r="F68" s="35"/>
      <c r="G68" s="35"/>
      <c r="H68" s="35"/>
      <c r="I68" s="35"/>
      <c r="J68" s="35"/>
      <c r="K68" s="35"/>
      <c r="L68" s="35"/>
      <c r="M68" s="35"/>
      <c r="N68" s="35"/>
      <c r="O68" s="35"/>
      <c r="P68" s="35"/>
      <c r="Q68" s="35"/>
      <c r="R68" s="35"/>
      <c r="S68" s="35"/>
      <c r="T68" s="75"/>
      <c r="U68" s="75"/>
      <c r="V68" s="75"/>
    </row>
    <row r="69" spans="1:22" ht="38.25" x14ac:dyDescent="0.2">
      <c r="A69" s="36" t="s">
        <v>578</v>
      </c>
      <c r="B69" s="15">
        <v>2007</v>
      </c>
      <c r="C69" s="15">
        <v>2008</v>
      </c>
      <c r="D69" s="15">
        <v>2009</v>
      </c>
      <c r="E69" s="15">
        <v>2010</v>
      </c>
      <c r="F69" s="15">
        <v>2011</v>
      </c>
      <c r="G69" s="15">
        <v>2012</v>
      </c>
      <c r="H69" s="15">
        <v>2013</v>
      </c>
      <c r="I69" s="15">
        <v>2014</v>
      </c>
      <c r="J69" s="15">
        <v>2015</v>
      </c>
      <c r="K69" s="15">
        <v>2016</v>
      </c>
      <c r="L69" s="15">
        <v>2017</v>
      </c>
      <c r="M69" s="15">
        <v>2018</v>
      </c>
      <c r="N69" s="15">
        <v>2019</v>
      </c>
      <c r="O69" s="15">
        <v>2020</v>
      </c>
      <c r="P69" s="15">
        <v>2021</v>
      </c>
      <c r="Q69" s="15">
        <v>2022</v>
      </c>
      <c r="R69" s="15">
        <v>2023</v>
      </c>
      <c r="S69" s="15">
        <v>2024</v>
      </c>
      <c r="T69" s="27" t="s">
        <v>469</v>
      </c>
      <c r="U69" s="27" t="s">
        <v>470</v>
      </c>
      <c r="V69" s="27" t="s">
        <v>471</v>
      </c>
    </row>
    <row r="70" spans="1:22" ht="15" customHeight="1" x14ac:dyDescent="0.2">
      <c r="A70" s="30" t="s">
        <v>480</v>
      </c>
      <c r="B70" s="217">
        <v>4.7422528283325134</v>
      </c>
      <c r="C70" s="217">
        <v>5.219347133757962</v>
      </c>
      <c r="D70" s="217">
        <v>4.845292158643657</v>
      </c>
      <c r="E70" s="217">
        <v>5.0522759601706966</v>
      </c>
      <c r="F70" s="217">
        <v>4.9756229685807147</v>
      </c>
      <c r="G70" s="217">
        <v>4.9317406143344709</v>
      </c>
      <c r="H70" s="217">
        <v>4.8559354590856705</v>
      </c>
      <c r="I70" s="217">
        <v>5.0393056664006375</v>
      </c>
      <c r="J70" s="217">
        <v>5.0029331247555726</v>
      </c>
      <c r="K70" s="217">
        <v>4.9262784621127285</v>
      </c>
      <c r="L70" s="217">
        <v>5.2493271818531335</v>
      </c>
      <c r="M70" s="217">
        <v>5.3816398297242269</v>
      </c>
      <c r="N70" s="217">
        <v>5.2631118881118883</v>
      </c>
      <c r="O70" s="217">
        <v>5.2615439472276693</v>
      </c>
      <c r="P70" s="217">
        <v>5.4656769072468032</v>
      </c>
      <c r="Q70" s="217">
        <v>5.1555656934306571</v>
      </c>
      <c r="R70" s="217">
        <v>5.2665177521749351</v>
      </c>
      <c r="S70" s="217">
        <v>5.198006057546694</v>
      </c>
      <c r="T70" s="214">
        <f t="shared" ref="T70:T80" si="15">IFERROR((S70-J70),"n/a")</f>
        <v>0.19507293279112137</v>
      </c>
      <c r="U70" s="214">
        <f t="shared" ref="U70:U80" si="16">IFERROR((S70-O70),"n/a")</f>
        <v>-6.353788968097529E-2</v>
      </c>
      <c r="V70" s="214">
        <f t="shared" ref="V70:V80" si="17">IFERROR((S70-R70),"n/a")</f>
        <v>-6.8511694628241138E-2</v>
      </c>
    </row>
    <row r="71" spans="1:22" ht="15" customHeight="1" x14ac:dyDescent="0.2">
      <c r="A71" s="30" t="s">
        <v>481</v>
      </c>
      <c r="B71" s="217">
        <v>6.6093749999999982</v>
      </c>
      <c r="C71" s="217">
        <v>5.4714285714285706</v>
      </c>
      <c r="D71" s="217">
        <v>7.1494252873563218</v>
      </c>
      <c r="E71" s="217">
        <v>7.0978260869565215</v>
      </c>
      <c r="F71" s="217">
        <v>6.7438016528925635</v>
      </c>
      <c r="G71" s="217">
        <v>7.0071942446043165</v>
      </c>
      <c r="H71" s="217">
        <v>6.3369565217391308</v>
      </c>
      <c r="I71" s="217">
        <v>5.9741935483870954</v>
      </c>
      <c r="J71" s="217">
        <v>6.0303030303030303</v>
      </c>
      <c r="K71" s="217">
        <v>6.2328767123287667</v>
      </c>
      <c r="L71" s="217">
        <v>5.5921787709497206</v>
      </c>
      <c r="M71" s="217">
        <v>5.9289940828402363</v>
      </c>
      <c r="N71" s="217">
        <v>6.2808219178082192</v>
      </c>
      <c r="O71" s="217">
        <v>6.0260869565217394</v>
      </c>
      <c r="P71" s="217">
        <v>6.3717948717948714</v>
      </c>
      <c r="Q71" s="217">
        <v>6.51048951048951</v>
      </c>
      <c r="R71" s="217">
        <v>6.4391891891891895</v>
      </c>
      <c r="S71" s="217">
        <v>6.1296296296296289</v>
      </c>
      <c r="T71" s="214">
        <f t="shared" si="15"/>
        <v>9.9326599326598597E-2</v>
      </c>
      <c r="U71" s="214">
        <f t="shared" si="16"/>
        <v>0.10354267310788945</v>
      </c>
      <c r="V71" s="214">
        <f t="shared" si="17"/>
        <v>-0.3095595595595606</v>
      </c>
    </row>
    <row r="72" spans="1:22" ht="15" customHeight="1" x14ac:dyDescent="0.2">
      <c r="A72" s="30" t="s">
        <v>482</v>
      </c>
      <c r="B72" s="217">
        <v>7.9621621621621612</v>
      </c>
      <c r="C72" s="217">
        <v>7.21256038647343</v>
      </c>
      <c r="D72" s="217">
        <v>7.3170731707317076</v>
      </c>
      <c r="E72" s="217">
        <v>7.3557046979865754</v>
      </c>
      <c r="F72" s="217">
        <v>7.4402985074626891</v>
      </c>
      <c r="G72" s="217">
        <v>7.5884615384615381</v>
      </c>
      <c r="H72" s="217">
        <v>7.2521008403361318</v>
      </c>
      <c r="I72" s="217">
        <v>7.3282674772036476</v>
      </c>
      <c r="J72" s="217">
        <v>7.3227272727272723</v>
      </c>
      <c r="K72" s="217">
        <v>6.89</v>
      </c>
      <c r="L72" s="217">
        <v>6.8712871287128703</v>
      </c>
      <c r="M72" s="217">
        <v>6.4216101694915251</v>
      </c>
      <c r="N72" s="217">
        <v>6.5996343692870205</v>
      </c>
      <c r="O72" s="217">
        <v>6.4769975786924938</v>
      </c>
      <c r="P72" s="217">
        <v>6.9489981785063746</v>
      </c>
      <c r="Q72" s="217">
        <v>6.7055749128919864</v>
      </c>
      <c r="R72" s="217">
        <v>6.4609375</v>
      </c>
      <c r="S72" s="217">
        <v>6.0984528832630103</v>
      </c>
      <c r="T72" s="214">
        <f t="shared" si="15"/>
        <v>-1.224274389464262</v>
      </c>
      <c r="U72" s="214">
        <f t="shared" si="16"/>
        <v>-0.37854469542948355</v>
      </c>
      <c r="V72" s="214">
        <f t="shared" si="17"/>
        <v>-0.36248461673698973</v>
      </c>
    </row>
    <row r="73" spans="1:22" ht="15" customHeight="1" x14ac:dyDescent="0.2">
      <c r="A73" s="30" t="s">
        <v>483</v>
      </c>
      <c r="B73" s="217">
        <v>7.546153846153846</v>
      </c>
      <c r="C73" s="217">
        <v>5.9489051094890515</v>
      </c>
      <c r="D73" s="217">
        <v>6.802521008403362</v>
      </c>
      <c r="E73" s="217">
        <v>6.7137254901960794</v>
      </c>
      <c r="F73" s="217">
        <v>7.0685920577617329</v>
      </c>
      <c r="G73" s="217">
        <v>6.9017094017094021</v>
      </c>
      <c r="H73" s="217">
        <v>7.0510948905109485</v>
      </c>
      <c r="I73" s="217">
        <v>6.6767123287671231</v>
      </c>
      <c r="J73" s="217">
        <v>6.7380952380952381</v>
      </c>
      <c r="K73" s="217">
        <v>6.721774193548387</v>
      </c>
      <c r="L73" s="217">
        <v>6.09375</v>
      </c>
      <c r="M73" s="217">
        <v>6.6032064128256511</v>
      </c>
      <c r="N73" s="217">
        <v>6.560483870967742</v>
      </c>
      <c r="O73" s="217">
        <v>6.3869565217391306</v>
      </c>
      <c r="P73" s="217">
        <v>6.2981366459627326</v>
      </c>
      <c r="Q73" s="217">
        <v>6.3429054054054044</v>
      </c>
      <c r="R73" s="217">
        <v>6.1456815816857437</v>
      </c>
      <c r="S73" s="217">
        <v>5.7824074074074074</v>
      </c>
      <c r="T73" s="214">
        <f t="shared" si="15"/>
        <v>-0.9556878306878307</v>
      </c>
      <c r="U73" s="214">
        <f t="shared" si="16"/>
        <v>-0.6045491143317232</v>
      </c>
      <c r="V73" s="214">
        <f t="shared" si="17"/>
        <v>-0.3632741742783363</v>
      </c>
    </row>
    <row r="74" spans="1:22" ht="15" customHeight="1" x14ac:dyDescent="0.2">
      <c r="A74" s="30" t="s">
        <v>484</v>
      </c>
      <c r="B74" s="217">
        <v>6.3318452380952381</v>
      </c>
      <c r="C74" s="217">
        <v>6.0293685756240825</v>
      </c>
      <c r="D74" s="217">
        <v>5.6424294268605637</v>
      </c>
      <c r="E74" s="217">
        <v>6.4797794117647074</v>
      </c>
      <c r="F74" s="217">
        <v>6.2224598930481285</v>
      </c>
      <c r="G74" s="217">
        <v>6.1028770706190061</v>
      </c>
      <c r="H74" s="217">
        <v>6.3446475195822458</v>
      </c>
      <c r="I74" s="217">
        <v>6.5061823802163836</v>
      </c>
      <c r="J74" s="217">
        <v>6.5202265372168284</v>
      </c>
      <c r="K74" s="217">
        <v>6.3605388272583205</v>
      </c>
      <c r="L74" s="217">
        <v>6.2047353760445683</v>
      </c>
      <c r="M74" s="217">
        <v>6.2066621346023112</v>
      </c>
      <c r="N74" s="217">
        <v>6.1972837741243749</v>
      </c>
      <c r="O74" s="217">
        <v>6.0831903945111492</v>
      </c>
      <c r="P74" s="217">
        <v>6.1327389796929177</v>
      </c>
      <c r="Q74" s="217">
        <v>5.9370165745856349</v>
      </c>
      <c r="R74" s="217">
        <v>6.1871508379888267</v>
      </c>
      <c r="S74" s="217">
        <v>6.1086350974930363</v>
      </c>
      <c r="T74" s="214">
        <f t="shared" si="15"/>
        <v>-0.41159143972379209</v>
      </c>
      <c r="U74" s="214">
        <f t="shared" si="16"/>
        <v>2.5444702981887168E-2</v>
      </c>
      <c r="V74" s="214">
        <f t="shared" si="17"/>
        <v>-7.8515740495790354E-2</v>
      </c>
    </row>
    <row r="75" spans="1:22" ht="15" customHeight="1" x14ac:dyDescent="0.2">
      <c r="A75" s="30" t="s">
        <v>14</v>
      </c>
      <c r="B75" s="217">
        <v>8.2912912912912908</v>
      </c>
      <c r="C75" s="217">
        <v>6.5509838998211087</v>
      </c>
      <c r="D75" s="217">
        <v>6.5521653543307092</v>
      </c>
      <c r="E75" s="217">
        <v>6.5248677248677245</v>
      </c>
      <c r="F75" s="217">
        <v>5.9564315352697097</v>
      </c>
      <c r="G75" s="217">
        <v>5.6106141920095416</v>
      </c>
      <c r="H75" s="217">
        <v>6.0911201392919327</v>
      </c>
      <c r="I75" s="217">
        <v>6.3134009610250938</v>
      </c>
      <c r="J75" s="217">
        <v>6.291896869244936</v>
      </c>
      <c r="K75" s="217">
        <v>6.241858237547893</v>
      </c>
      <c r="L75" s="217">
        <v>6.0845195729537362</v>
      </c>
      <c r="M75" s="217">
        <v>6.1722312703583064</v>
      </c>
      <c r="N75" s="217">
        <v>5.9607275733774285</v>
      </c>
      <c r="O75" s="217">
        <v>6.0790408525754884</v>
      </c>
      <c r="P75" s="217">
        <v>6.1844155844155848</v>
      </c>
      <c r="Q75" s="217">
        <v>5.5710144927536236</v>
      </c>
      <c r="R75" s="217">
        <v>5.2151360544217678</v>
      </c>
      <c r="S75" s="217">
        <v>5.0737024221453284</v>
      </c>
      <c r="T75" s="214">
        <f t="shared" si="15"/>
        <v>-1.2181944470996076</v>
      </c>
      <c r="U75" s="214">
        <f t="shared" si="16"/>
        <v>-1.00533843043016</v>
      </c>
      <c r="V75" s="214">
        <f t="shared" si="17"/>
        <v>-0.14143363227643935</v>
      </c>
    </row>
    <row r="76" spans="1:22" ht="15" customHeight="1" x14ac:dyDescent="0.2">
      <c r="A76" s="30" t="s">
        <v>485</v>
      </c>
      <c r="B76" s="217">
        <v>6.9867549668874176</v>
      </c>
      <c r="C76" s="217">
        <v>6.3601036269430056</v>
      </c>
      <c r="D76" s="217">
        <v>6.0957746478873238</v>
      </c>
      <c r="E76" s="217">
        <v>5.8722943722943723</v>
      </c>
      <c r="F76" s="217">
        <v>6.391111111111111</v>
      </c>
      <c r="G76" s="217">
        <v>6.4555314533622559</v>
      </c>
      <c r="H76" s="217">
        <v>6.625</v>
      </c>
      <c r="I76" s="217">
        <v>6.3825944170771756</v>
      </c>
      <c r="J76" s="217">
        <v>6.197788697788698</v>
      </c>
      <c r="K76" s="217">
        <v>6.2328190743338032</v>
      </c>
      <c r="L76" s="217">
        <v>5.9693396226415105</v>
      </c>
      <c r="M76" s="217">
        <v>5.8343373493975905</v>
      </c>
      <c r="N76" s="217">
        <v>5.828227571115975</v>
      </c>
      <c r="O76" s="217">
        <v>5.8306709265175716</v>
      </c>
      <c r="P76" s="217">
        <v>6.0044843049327357</v>
      </c>
      <c r="Q76" s="217">
        <v>5.6936459909228443</v>
      </c>
      <c r="R76" s="217">
        <v>5.8714918759231907</v>
      </c>
      <c r="S76" s="217">
        <v>5.771879483500717</v>
      </c>
      <c r="T76" s="214">
        <f t="shared" si="15"/>
        <v>-0.42590921428798101</v>
      </c>
      <c r="U76" s="214">
        <f t="shared" si="16"/>
        <v>-5.8791443016854572E-2</v>
      </c>
      <c r="V76" s="214">
        <f t="shared" si="17"/>
        <v>-9.9612392422473661E-2</v>
      </c>
    </row>
    <row r="77" spans="1:22" ht="15" customHeight="1" x14ac:dyDescent="0.2">
      <c r="A77" s="30" t="s">
        <v>486</v>
      </c>
      <c r="B77" s="217">
        <v>7.4090909090909083</v>
      </c>
      <c r="C77" s="217">
        <v>6.7047244094488185</v>
      </c>
      <c r="D77" s="217">
        <v>5.9137931034482758</v>
      </c>
      <c r="E77" s="217">
        <v>7.0700280112044815</v>
      </c>
      <c r="F77" s="217">
        <v>6.9257950530035339</v>
      </c>
      <c r="G77" s="217">
        <v>6.3895216400911172</v>
      </c>
      <c r="H77" s="217">
        <v>6.9219512195121951</v>
      </c>
      <c r="I77" s="217">
        <v>7.2008281573498962</v>
      </c>
      <c r="J77" s="217">
        <v>7.2074592074592072</v>
      </c>
      <c r="K77" s="217">
        <v>7.2710280373831777</v>
      </c>
      <c r="L77" s="217">
        <v>7.0621359223300972</v>
      </c>
      <c r="M77" s="217">
        <v>7.0738177623990772</v>
      </c>
      <c r="N77" s="217">
        <v>6.7167883211678836</v>
      </c>
      <c r="O77" s="217">
        <v>7.209677419354839</v>
      </c>
      <c r="P77" s="217">
        <v>6.9677033492822966</v>
      </c>
      <c r="Q77" s="217">
        <v>6.4050847457627134</v>
      </c>
      <c r="R77" s="217">
        <v>6.3774583963691374</v>
      </c>
      <c r="S77" s="217">
        <v>6.2654735272184938</v>
      </c>
      <c r="T77" s="214">
        <f t="shared" si="15"/>
        <v>-0.94198568024071339</v>
      </c>
      <c r="U77" s="214">
        <f t="shared" si="16"/>
        <v>-0.94420389213634515</v>
      </c>
      <c r="V77" s="214">
        <f t="shared" si="17"/>
        <v>-0.11198486915064354</v>
      </c>
    </row>
    <row r="78" spans="1:22" ht="15" customHeight="1" x14ac:dyDescent="0.2">
      <c r="A78" s="30" t="s">
        <v>487</v>
      </c>
      <c r="B78" s="217" t="s">
        <v>100</v>
      </c>
      <c r="C78" s="217">
        <v>7.1304347826086971</v>
      </c>
      <c r="D78" s="217">
        <v>6.4423076923076925</v>
      </c>
      <c r="E78" s="217">
        <v>7.0625</v>
      </c>
      <c r="F78" s="217">
        <v>6.3584905660377355</v>
      </c>
      <c r="G78" s="217">
        <v>6.1568627450980395</v>
      </c>
      <c r="H78" s="217">
        <v>5.2352941176470589</v>
      </c>
      <c r="I78" s="217">
        <v>5.3076923076923084</v>
      </c>
      <c r="J78" s="217">
        <v>6.1553398058252409</v>
      </c>
      <c r="K78" s="217">
        <v>6.2</v>
      </c>
      <c r="L78" s="217">
        <v>6.2702702702702702</v>
      </c>
      <c r="M78" s="217">
        <v>5.6958762886597949</v>
      </c>
      <c r="N78" s="217">
        <v>5.4210526315789469</v>
      </c>
      <c r="O78" s="217">
        <v>5.8806818181818192</v>
      </c>
      <c r="P78" s="217">
        <v>5.6823529411764691</v>
      </c>
      <c r="Q78" s="217">
        <v>4.8892617449664444</v>
      </c>
      <c r="R78" s="217">
        <v>5.4999999999999991</v>
      </c>
      <c r="S78" s="217">
        <v>5.7486910994764395</v>
      </c>
      <c r="T78" s="214">
        <f t="shared" si="15"/>
        <v>-0.40664870634880135</v>
      </c>
      <c r="U78" s="214">
        <f t="shared" si="16"/>
        <v>-0.13199071870537971</v>
      </c>
      <c r="V78" s="214">
        <f t="shared" si="17"/>
        <v>0.24869109947644041</v>
      </c>
    </row>
    <row r="79" spans="1:22" ht="15" customHeight="1" x14ac:dyDescent="0.2">
      <c r="A79" s="30" t="s">
        <v>488</v>
      </c>
      <c r="B79" s="217">
        <v>5.9672131147540961</v>
      </c>
      <c r="C79" s="217">
        <v>5.5760869565217428</v>
      </c>
      <c r="D79" s="217">
        <v>6.5747126436781587</v>
      </c>
      <c r="E79" s="217">
        <v>7.6842105263157885</v>
      </c>
      <c r="F79" s="217">
        <v>6.9642857142857171</v>
      </c>
      <c r="G79" s="217">
        <v>7.2542372881355934</v>
      </c>
      <c r="H79" s="217">
        <v>6.4239130434782625</v>
      </c>
      <c r="I79" s="217">
        <v>6.5555555555555571</v>
      </c>
      <c r="J79" s="217">
        <v>5.791666666666667</v>
      </c>
      <c r="K79" s="217">
        <v>5.9243697478991599</v>
      </c>
      <c r="L79" s="217">
        <v>5.9150326797385624</v>
      </c>
      <c r="M79" s="217">
        <v>5.9928057553956835</v>
      </c>
      <c r="N79" s="217">
        <v>6.3131313131313131</v>
      </c>
      <c r="O79" s="217">
        <v>5.7984496124031004</v>
      </c>
      <c r="P79" s="217">
        <v>6.0250000000000004</v>
      </c>
      <c r="Q79" s="217">
        <v>6.1735849056603769</v>
      </c>
      <c r="R79" s="217">
        <v>5.7824675324675328</v>
      </c>
      <c r="S79" s="217">
        <v>5.2042440318302399</v>
      </c>
      <c r="T79" s="214">
        <f t="shared" si="15"/>
        <v>-0.58742263483642709</v>
      </c>
      <c r="U79" s="214">
        <f t="shared" si="16"/>
        <v>-0.59420558057286055</v>
      </c>
      <c r="V79" s="214">
        <f t="shared" si="17"/>
        <v>-0.57822350063729289</v>
      </c>
    </row>
    <row r="80" spans="1:22" ht="15" customHeight="1" x14ac:dyDescent="0.2">
      <c r="A80" s="42" t="s">
        <v>0</v>
      </c>
      <c r="B80" s="215">
        <v>5.8786023973476151</v>
      </c>
      <c r="C80" s="215">
        <v>5.7722007722007724</v>
      </c>
      <c r="D80" s="215">
        <v>5.5683234313867551</v>
      </c>
      <c r="E80" s="215">
        <v>5.9207564864020004</v>
      </c>
      <c r="F80" s="215">
        <v>5.7339776195320447</v>
      </c>
      <c r="G80" s="215">
        <v>5.6161843918326442</v>
      </c>
      <c r="H80" s="215">
        <v>5.6062078540261799</v>
      </c>
      <c r="I80" s="215">
        <v>5.7955843904328459</v>
      </c>
      <c r="J80" s="215">
        <v>5.7945355191256827</v>
      </c>
      <c r="K80" s="215">
        <v>5.714272938651404</v>
      </c>
      <c r="L80" s="215">
        <v>5.7899095099880489</v>
      </c>
      <c r="M80" s="215">
        <v>5.8878888362545396</v>
      </c>
      <c r="N80" s="215">
        <v>5.752723224934404</v>
      </c>
      <c r="O80" s="215">
        <v>5.7671415479463466</v>
      </c>
      <c r="P80" s="215">
        <v>5.9178823979104287</v>
      </c>
      <c r="Q80" s="215">
        <v>5.5880320789636029</v>
      </c>
      <c r="R80" s="215">
        <v>5.5725767818172143</v>
      </c>
      <c r="S80" s="215">
        <v>5.4762309479290607</v>
      </c>
      <c r="T80" s="216">
        <f t="shared" si="15"/>
        <v>-0.31830457119662192</v>
      </c>
      <c r="U80" s="216">
        <f t="shared" si="16"/>
        <v>-0.29091060001728586</v>
      </c>
      <c r="V80" s="216">
        <f t="shared" si="17"/>
        <v>-9.6345833888153543E-2</v>
      </c>
    </row>
    <row r="81" spans="1:22" ht="15" customHeight="1" x14ac:dyDescent="0.2">
      <c r="A81" s="179"/>
      <c r="B81" s="180"/>
      <c r="C81" s="180"/>
      <c r="D81" s="180"/>
      <c r="E81" s="180"/>
      <c r="F81" s="180"/>
      <c r="G81" s="180"/>
      <c r="H81" s="180"/>
      <c r="I81" s="180"/>
      <c r="J81" s="180"/>
      <c r="K81" s="180"/>
      <c r="L81" s="180"/>
      <c r="M81" s="180"/>
      <c r="N81" s="180"/>
      <c r="O81" s="180"/>
      <c r="P81" s="180"/>
      <c r="Q81" s="180"/>
      <c r="R81" s="180"/>
      <c r="S81" s="180"/>
      <c r="T81" s="187"/>
      <c r="U81" s="187"/>
      <c r="V81" s="187"/>
    </row>
    <row r="82" spans="1:22" ht="15" customHeight="1" x14ac:dyDescent="0.2">
      <c r="A82" s="122" t="s">
        <v>112</v>
      </c>
      <c r="B82" s="25"/>
      <c r="C82" s="25"/>
      <c r="D82" s="25"/>
      <c r="E82" s="25"/>
      <c r="F82" s="25"/>
      <c r="G82" s="25"/>
      <c r="H82" s="25"/>
      <c r="I82" s="25"/>
      <c r="J82" s="25"/>
      <c r="K82" s="25"/>
      <c r="L82" s="25"/>
      <c r="M82" s="25"/>
      <c r="N82" s="25"/>
      <c r="O82" s="25"/>
      <c r="P82" s="25"/>
      <c r="Q82" s="25"/>
      <c r="R82" s="25"/>
      <c r="S82" s="25"/>
      <c r="T82" s="80"/>
      <c r="U82" s="80"/>
      <c r="V82" s="80"/>
    </row>
    <row r="83" spans="1:22" ht="15" customHeight="1" x14ac:dyDescent="0.2"/>
    <row r="84" spans="1:22" ht="15" customHeight="1" x14ac:dyDescent="0.2">
      <c r="A84" s="12" t="s">
        <v>94</v>
      </c>
      <c r="B84" s="12"/>
      <c r="C84" s="12"/>
      <c r="D84" s="12"/>
      <c r="E84" s="12"/>
      <c r="F84" s="12"/>
      <c r="G84" s="12"/>
      <c r="H84" s="12"/>
      <c r="I84" s="12"/>
      <c r="J84" s="12"/>
      <c r="K84" s="12"/>
      <c r="L84" s="12"/>
      <c r="M84" s="12"/>
      <c r="N84" s="12"/>
      <c r="O84" s="12"/>
      <c r="P84" s="12"/>
      <c r="Q84" s="12"/>
      <c r="R84" s="12"/>
      <c r="S84" s="12"/>
      <c r="T84" s="81"/>
      <c r="U84" s="81"/>
      <c r="V84" s="81"/>
    </row>
    <row r="85" spans="1:22" ht="15" customHeight="1" x14ac:dyDescent="0.2">
      <c r="A85" s="1"/>
      <c r="B85" s="1"/>
      <c r="C85" s="1"/>
      <c r="D85" s="1"/>
      <c r="E85" s="1"/>
      <c r="F85" s="1"/>
      <c r="G85" s="1"/>
      <c r="H85" s="1"/>
      <c r="I85" s="1"/>
      <c r="J85" s="1"/>
      <c r="K85" s="1"/>
      <c r="L85" s="1"/>
      <c r="M85" s="1"/>
      <c r="N85" s="1"/>
      <c r="O85" s="1"/>
      <c r="P85" s="1"/>
      <c r="Q85" s="1"/>
      <c r="R85" s="1"/>
      <c r="S85" s="1"/>
      <c r="T85" s="102"/>
      <c r="U85" s="102"/>
      <c r="V85" s="102"/>
    </row>
    <row r="86" spans="1:22" ht="15" customHeight="1" x14ac:dyDescent="0.2">
      <c r="A86" s="1"/>
      <c r="B86" s="1"/>
      <c r="C86" s="1"/>
      <c r="D86" s="1"/>
      <c r="E86" s="1"/>
      <c r="F86" s="1"/>
      <c r="G86" s="1"/>
      <c r="H86" s="1"/>
      <c r="I86" s="1"/>
      <c r="J86" s="1"/>
      <c r="K86" s="1"/>
      <c r="L86" s="1"/>
      <c r="M86" s="1"/>
      <c r="N86" s="1"/>
      <c r="O86" s="1"/>
      <c r="P86" s="1"/>
      <c r="Q86" s="1"/>
      <c r="R86" s="1"/>
      <c r="S86" s="1"/>
    </row>
    <row r="87" spans="1:22" ht="15" customHeight="1" x14ac:dyDescent="0.2">
      <c r="A87" s="1"/>
      <c r="B87" s="1"/>
      <c r="C87" s="1"/>
      <c r="D87" s="1"/>
      <c r="E87" s="1"/>
      <c r="F87" s="1"/>
      <c r="G87" s="1"/>
      <c r="H87" s="1"/>
      <c r="I87" s="1"/>
      <c r="J87" s="1"/>
      <c r="K87" s="1"/>
      <c r="L87" s="1"/>
      <c r="M87" s="1"/>
      <c r="N87" s="1"/>
      <c r="O87" s="1"/>
      <c r="P87" s="1"/>
      <c r="Q87" s="1"/>
      <c r="R87" s="1"/>
      <c r="S87" s="1"/>
    </row>
    <row r="88" spans="1:22" ht="15" customHeight="1" x14ac:dyDescent="0.2">
      <c r="A88" s="1"/>
      <c r="B88" s="1"/>
      <c r="C88" s="1"/>
      <c r="D88" s="1"/>
      <c r="E88" s="1"/>
      <c r="F88" s="1"/>
      <c r="G88" s="1"/>
      <c r="H88" s="1"/>
      <c r="I88" s="1"/>
      <c r="J88" s="1"/>
      <c r="K88" s="1"/>
      <c r="L88" s="1"/>
      <c r="M88" s="1"/>
      <c r="N88" s="1"/>
      <c r="O88" s="1"/>
      <c r="P88" s="1"/>
      <c r="Q88" s="1"/>
      <c r="R88" s="1"/>
      <c r="S88" s="1"/>
    </row>
    <row r="89" spans="1:22" ht="15" customHeight="1" x14ac:dyDescent="0.2">
      <c r="A89" s="1"/>
      <c r="B89" s="1"/>
      <c r="C89" s="1"/>
      <c r="D89" s="1"/>
      <c r="E89" s="1"/>
      <c r="F89" s="1"/>
      <c r="G89" s="1"/>
      <c r="H89" s="1"/>
      <c r="I89" s="1"/>
      <c r="J89" s="1"/>
      <c r="K89" s="1"/>
      <c r="L89" s="1"/>
      <c r="M89" s="1"/>
      <c r="N89" s="1"/>
      <c r="O89" s="1"/>
      <c r="P89" s="1"/>
      <c r="Q89" s="1"/>
      <c r="R89" s="1"/>
      <c r="S89" s="1"/>
    </row>
    <row r="90" spans="1:22" ht="15" customHeight="1" x14ac:dyDescent="0.2">
      <c r="A90" s="1"/>
      <c r="B90" s="1"/>
      <c r="C90" s="1"/>
      <c r="D90" s="1"/>
      <c r="E90" s="1"/>
      <c r="F90" s="1"/>
      <c r="G90" s="1"/>
      <c r="H90" s="1"/>
      <c r="I90" s="1"/>
      <c r="J90" s="1"/>
      <c r="K90" s="1"/>
      <c r="L90" s="1"/>
      <c r="M90" s="1"/>
      <c r="N90" s="1"/>
      <c r="O90" s="1"/>
      <c r="P90" s="1"/>
      <c r="Q90" s="1"/>
      <c r="R90" s="1"/>
      <c r="S90" s="1"/>
    </row>
    <row r="91" spans="1:22" ht="15" customHeight="1" x14ac:dyDescent="0.2">
      <c r="A91" s="1"/>
      <c r="B91" s="1"/>
      <c r="C91" s="1"/>
      <c r="D91" s="1"/>
      <c r="E91" s="1"/>
      <c r="F91" s="1"/>
      <c r="G91" s="1"/>
      <c r="H91" s="1"/>
      <c r="I91" s="1"/>
      <c r="J91" s="1"/>
      <c r="K91" s="1"/>
      <c r="L91" s="1"/>
      <c r="M91" s="1"/>
      <c r="N91" s="1"/>
      <c r="O91" s="1"/>
      <c r="P91" s="1"/>
      <c r="Q91" s="1"/>
      <c r="R91" s="1"/>
      <c r="S91" s="1"/>
    </row>
    <row r="92" spans="1:22" ht="15" customHeight="1" x14ac:dyDescent="0.2">
      <c r="A92" s="1"/>
      <c r="B92" s="1"/>
      <c r="C92" s="1"/>
      <c r="D92" s="1"/>
      <c r="E92" s="1"/>
      <c r="F92" s="1"/>
      <c r="G92" s="1"/>
      <c r="H92" s="1"/>
      <c r="I92" s="1"/>
      <c r="J92" s="1"/>
      <c r="K92" s="1"/>
      <c r="L92" s="1"/>
      <c r="M92" s="1"/>
      <c r="N92" s="1"/>
      <c r="O92" s="1"/>
      <c r="P92" s="1"/>
      <c r="Q92" s="1"/>
      <c r="R92" s="1"/>
      <c r="S92" s="1"/>
    </row>
    <row r="93" spans="1:22" ht="15" customHeight="1" x14ac:dyDescent="0.2">
      <c r="A93" s="1"/>
      <c r="B93" s="1"/>
      <c r="C93" s="1"/>
      <c r="D93" s="1"/>
      <c r="E93" s="1"/>
      <c r="F93" s="1"/>
      <c r="G93" s="1"/>
      <c r="H93" s="1"/>
      <c r="I93" s="1"/>
      <c r="J93" s="1"/>
      <c r="K93" s="1"/>
      <c r="L93" s="1"/>
      <c r="M93" s="1"/>
      <c r="N93" s="1"/>
      <c r="O93" s="1"/>
      <c r="P93" s="1"/>
      <c r="Q93" s="1"/>
      <c r="R93" s="1"/>
      <c r="S93" s="1"/>
    </row>
    <row r="94" spans="1:22" ht="15" customHeight="1" x14ac:dyDescent="0.2">
      <c r="A94" s="1"/>
      <c r="B94" s="1"/>
      <c r="C94" s="1"/>
      <c r="D94" s="1"/>
      <c r="E94" s="1"/>
      <c r="F94" s="1"/>
      <c r="G94" s="1"/>
      <c r="H94" s="1"/>
      <c r="I94" s="1"/>
      <c r="J94" s="1"/>
      <c r="K94" s="1"/>
      <c r="L94" s="1"/>
      <c r="M94" s="1"/>
      <c r="N94" s="1"/>
      <c r="O94" s="1"/>
      <c r="P94" s="1"/>
      <c r="Q94" s="1"/>
      <c r="R94" s="1"/>
      <c r="S94" s="1"/>
    </row>
    <row r="95" spans="1:22" ht="15" customHeight="1" x14ac:dyDescent="0.2">
      <c r="A95" s="1"/>
      <c r="B95" s="1"/>
      <c r="C95" s="1"/>
      <c r="D95" s="1"/>
      <c r="E95" s="1"/>
      <c r="F95" s="1"/>
      <c r="G95" s="1"/>
      <c r="H95" s="1"/>
      <c r="I95" s="1"/>
      <c r="J95" s="1"/>
      <c r="K95" s="1"/>
      <c r="L95" s="1"/>
      <c r="M95" s="1"/>
      <c r="N95" s="1"/>
      <c r="O95" s="1"/>
      <c r="P95" s="1"/>
      <c r="Q95" s="1"/>
      <c r="R95" s="1"/>
      <c r="S95" s="1"/>
    </row>
    <row r="96" spans="1:22" ht="15" customHeight="1" x14ac:dyDescent="0.2">
      <c r="A96" s="1"/>
      <c r="B96" s="1"/>
      <c r="C96" s="1"/>
      <c r="D96" s="1"/>
      <c r="E96" s="1"/>
      <c r="F96" s="1"/>
      <c r="G96" s="1"/>
      <c r="H96" s="1"/>
      <c r="I96" s="1"/>
      <c r="J96" s="1"/>
      <c r="K96" s="1"/>
      <c r="L96" s="1"/>
      <c r="M96" s="1"/>
      <c r="N96" s="1"/>
      <c r="O96" s="1"/>
      <c r="P96" s="1"/>
      <c r="Q96" s="1"/>
      <c r="R96" s="1"/>
      <c r="S96" s="1"/>
    </row>
    <row r="97" spans="1:19" ht="15" customHeight="1" x14ac:dyDescent="0.2">
      <c r="A97" s="1"/>
      <c r="B97" s="1"/>
      <c r="C97" s="1"/>
      <c r="D97" s="1"/>
      <c r="E97" s="1"/>
      <c r="F97" s="1"/>
      <c r="G97" s="1"/>
      <c r="H97" s="1"/>
      <c r="I97" s="1"/>
      <c r="J97" s="1"/>
      <c r="K97" s="1"/>
      <c r="L97" s="1"/>
      <c r="M97" s="1"/>
      <c r="N97" s="1"/>
      <c r="O97" s="1"/>
      <c r="P97" s="1"/>
      <c r="Q97" s="1"/>
      <c r="R97" s="1"/>
      <c r="S97" s="1"/>
    </row>
    <row r="98" spans="1:19" ht="15" customHeight="1" x14ac:dyDescent="0.2"/>
    <row r="99" spans="1:19" ht="15" customHeight="1" x14ac:dyDescent="0.2"/>
    <row r="100" spans="1:19" ht="15" customHeight="1" x14ac:dyDescent="0.2"/>
    <row r="101" spans="1:19" ht="15" customHeight="1" x14ac:dyDescent="0.2"/>
    <row r="102" spans="1:19" ht="15" customHeight="1" x14ac:dyDescent="0.2"/>
    <row r="103" spans="1:19" ht="15" customHeight="1" x14ac:dyDescent="0.2"/>
    <row r="104" spans="1:19" ht="15" customHeight="1" x14ac:dyDescent="0.2"/>
    <row r="105" spans="1:19" ht="15" customHeight="1" x14ac:dyDescent="0.2"/>
    <row r="106" spans="1:19" ht="15" customHeight="1" x14ac:dyDescent="0.2"/>
    <row r="107" spans="1:19" ht="15" customHeight="1" x14ac:dyDescent="0.2"/>
    <row r="108" spans="1:19" ht="15" customHeight="1" x14ac:dyDescent="0.2"/>
    <row r="109" spans="1:19" ht="15" customHeight="1" x14ac:dyDescent="0.2"/>
    <row r="110" spans="1:19" ht="15" customHeight="1" x14ac:dyDescent="0.2"/>
    <row r="111" spans="1:19" ht="15" customHeight="1" x14ac:dyDescent="0.2"/>
    <row r="112" spans="1:19"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sheetData>
  <phoneticPr fontId="19" type="noConversion"/>
  <hyperlinks>
    <hyperlink ref="A84" location="Índice!A1" display="Volver al índice" xr:uid="{00000000-0004-0000-0400-000000000000}"/>
    <hyperlink ref="A3" location="Índice!A1" display="Volver al índice" xr:uid="{00000000-0004-0000-0400-000001000000}"/>
  </hyperlinks>
  <pageMargins left="0.7" right="0.7" top="0.75" bottom="0.75" header="0.3" footer="0.3"/>
  <pageSetup paperSize="3"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9687-9369-4BDB-BFB0-16B7BF21743D}">
  <sheetPr>
    <tabColor rgb="FF92D050"/>
  </sheetPr>
  <dimension ref="A1:W640"/>
  <sheetViews>
    <sheetView showGridLines="0" zoomScale="80" zoomScaleNormal="80" workbookViewId="0">
      <pane ySplit="3" topLeftCell="A4" activePane="bottomLeft" state="frozen"/>
      <selection pane="bottomLeft" activeCell="B79" sqref="B79:V89"/>
    </sheetView>
  </sheetViews>
  <sheetFormatPr baseColWidth="10" defaultRowHeight="12.75" x14ac:dyDescent="0.2"/>
  <cols>
    <col min="1" max="1" width="47.140625" style="144" customWidth="1"/>
    <col min="2" max="19" width="9.7109375" style="144" customWidth="1"/>
    <col min="20" max="22" width="12.7109375" style="144" customWidth="1"/>
    <col min="23" max="16384" width="11.42578125" style="144"/>
  </cols>
  <sheetData>
    <row r="1" spans="1:23" ht="21" customHeight="1" x14ac:dyDescent="0.2">
      <c r="A1" s="26" t="s">
        <v>584</v>
      </c>
      <c r="B1" s="26"/>
      <c r="C1" s="26"/>
      <c r="D1" s="26"/>
      <c r="E1" s="26"/>
      <c r="F1" s="26"/>
      <c r="G1" s="26"/>
      <c r="H1" s="26"/>
      <c r="I1" s="26"/>
      <c r="J1" s="26"/>
      <c r="K1" s="26"/>
      <c r="L1" s="26"/>
      <c r="M1" s="26"/>
      <c r="N1" s="26"/>
      <c r="O1" s="26"/>
      <c r="P1" s="26"/>
      <c r="Q1" s="26"/>
      <c r="R1" s="26"/>
      <c r="S1" s="26"/>
      <c r="T1" s="78"/>
      <c r="U1" s="78"/>
      <c r="V1" s="78"/>
      <c r="W1" s="1"/>
    </row>
    <row r="2" spans="1:23" ht="15" customHeight="1" x14ac:dyDescent="0.2">
      <c r="A2" s="24" t="s">
        <v>133</v>
      </c>
      <c r="B2" s="24"/>
      <c r="C2" s="24"/>
      <c r="D2" s="24"/>
      <c r="E2" s="24"/>
      <c r="F2" s="24"/>
      <c r="G2" s="24"/>
      <c r="H2" s="24"/>
      <c r="I2" s="24"/>
      <c r="J2" s="24"/>
      <c r="K2" s="24"/>
      <c r="L2" s="24"/>
      <c r="M2" s="24"/>
      <c r="N2" s="24"/>
      <c r="O2" s="24"/>
      <c r="P2" s="24"/>
      <c r="Q2" s="24"/>
      <c r="R2" s="24"/>
      <c r="S2" s="24"/>
      <c r="T2" s="99"/>
      <c r="U2" s="99"/>
      <c r="V2" s="99"/>
      <c r="W2" s="1"/>
    </row>
    <row r="3" spans="1:23" ht="15" customHeight="1" x14ac:dyDescent="0.2">
      <c r="A3" s="12" t="s">
        <v>94</v>
      </c>
      <c r="B3" s="7"/>
      <c r="C3" s="7"/>
      <c r="D3" s="7"/>
      <c r="E3" s="7"/>
      <c r="F3" s="7"/>
      <c r="G3" s="7"/>
      <c r="H3" s="7"/>
      <c r="I3" s="7"/>
      <c r="J3" s="7"/>
      <c r="K3" s="7"/>
      <c r="L3" s="7"/>
      <c r="M3" s="7"/>
      <c r="N3" s="7"/>
      <c r="O3" s="7"/>
      <c r="P3" s="7"/>
      <c r="Q3" s="7"/>
      <c r="R3" s="7"/>
      <c r="S3" s="7"/>
      <c r="T3" s="100"/>
      <c r="U3" s="100"/>
      <c r="V3" s="100"/>
      <c r="W3" s="1"/>
    </row>
    <row r="4" spans="1:23" ht="15" customHeight="1" x14ac:dyDescent="0.2">
      <c r="A4" s="8"/>
      <c r="B4" s="8"/>
      <c r="C4" s="8"/>
      <c r="D4" s="8"/>
      <c r="E4" s="8"/>
      <c r="F4" s="8"/>
      <c r="G4" s="8"/>
      <c r="H4" s="8"/>
      <c r="I4" s="8"/>
      <c r="J4" s="8"/>
      <c r="K4" s="8"/>
      <c r="L4" s="8"/>
      <c r="M4" s="8"/>
      <c r="N4" s="8"/>
      <c r="O4" s="8"/>
      <c r="P4" s="8"/>
      <c r="Q4" s="8"/>
      <c r="R4" s="8"/>
      <c r="S4" s="8"/>
      <c r="T4" s="21"/>
      <c r="U4" s="21"/>
      <c r="V4" s="21"/>
      <c r="W4" s="1"/>
    </row>
    <row r="5" spans="1:23" ht="15" customHeight="1" x14ac:dyDescent="0.2">
      <c r="A5" s="35" t="s">
        <v>395</v>
      </c>
      <c r="B5" s="35"/>
      <c r="C5" s="35"/>
      <c r="D5" s="35"/>
      <c r="E5" s="35"/>
      <c r="F5" s="35"/>
      <c r="G5" s="35"/>
      <c r="H5" s="35"/>
      <c r="I5" s="35"/>
      <c r="J5" s="35"/>
      <c r="K5" s="35"/>
      <c r="L5" s="35"/>
      <c r="M5" s="35"/>
      <c r="N5" s="35"/>
      <c r="O5" s="35"/>
      <c r="P5" s="35"/>
      <c r="Q5" s="35"/>
      <c r="R5" s="35"/>
      <c r="S5" s="35"/>
      <c r="T5" s="75"/>
      <c r="U5" s="75"/>
      <c r="V5" s="75"/>
      <c r="W5" s="1"/>
    </row>
    <row r="6" spans="1:23" ht="38.25" x14ac:dyDescent="0.2">
      <c r="A6" s="36" t="s">
        <v>77</v>
      </c>
      <c r="B6" s="15">
        <v>2007</v>
      </c>
      <c r="C6" s="15">
        <v>2008</v>
      </c>
      <c r="D6" s="15">
        <v>2009</v>
      </c>
      <c r="E6" s="15">
        <v>2010</v>
      </c>
      <c r="F6" s="15">
        <v>2011</v>
      </c>
      <c r="G6" s="15">
        <v>2012</v>
      </c>
      <c r="H6" s="15">
        <v>2013</v>
      </c>
      <c r="I6" s="15">
        <v>2014</v>
      </c>
      <c r="J6" s="15">
        <v>2015</v>
      </c>
      <c r="K6" s="15">
        <v>2016</v>
      </c>
      <c r="L6" s="15">
        <v>2017</v>
      </c>
      <c r="M6" s="15">
        <v>2018</v>
      </c>
      <c r="N6" s="15">
        <v>2019</v>
      </c>
      <c r="O6" s="15">
        <v>2020</v>
      </c>
      <c r="P6" s="15">
        <v>2021</v>
      </c>
      <c r="Q6" s="15">
        <v>2022</v>
      </c>
      <c r="R6" s="15">
        <v>2023</v>
      </c>
      <c r="S6" s="15">
        <v>2024</v>
      </c>
      <c r="T6" s="27" t="s">
        <v>469</v>
      </c>
      <c r="U6" s="27" t="s">
        <v>470</v>
      </c>
      <c r="V6" s="27" t="s">
        <v>471</v>
      </c>
      <c r="W6" s="1"/>
    </row>
    <row r="7" spans="1:23" ht="15" customHeight="1" x14ac:dyDescent="0.2">
      <c r="A7" s="29" t="s">
        <v>323</v>
      </c>
      <c r="B7" s="62">
        <v>7</v>
      </c>
      <c r="C7" s="62">
        <v>6.532974427994616</v>
      </c>
      <c r="D7" s="62">
        <v>6.9431524547803614</v>
      </c>
      <c r="E7" s="62">
        <v>7.4032608695652167</v>
      </c>
      <c r="F7" s="62">
        <v>7.3693251533742332</v>
      </c>
      <c r="G7" s="62">
        <v>7.205231388329981</v>
      </c>
      <c r="H7" s="62">
        <v>7.285593220338983</v>
      </c>
      <c r="I7" s="62">
        <v>7.1066030230708019</v>
      </c>
      <c r="J7" s="62">
        <v>7.0569620253164569</v>
      </c>
      <c r="K7" s="62">
        <v>7.0812127774769884</v>
      </c>
      <c r="L7" s="62">
        <v>7.0187651331719119</v>
      </c>
      <c r="M7" s="62">
        <v>7.0593499764484218</v>
      </c>
      <c r="N7" s="62">
        <v>6.9950174389636279</v>
      </c>
      <c r="O7" s="62">
        <v>7.1205496564647071</v>
      </c>
      <c r="P7" s="62">
        <v>7.1368715083798886</v>
      </c>
      <c r="Q7" s="62">
        <v>7.1172349369453523</v>
      </c>
      <c r="R7" s="62">
        <v>7.1426181514010878</v>
      </c>
      <c r="S7" s="62">
        <v>7.0595026642984005</v>
      </c>
      <c r="T7" s="214">
        <f>IFERROR((S7-J7),"n/a")</f>
        <v>2.540638981943566E-3</v>
      </c>
      <c r="U7" s="214">
        <f>IFERROR((S7-O7),"n/a")</f>
        <v>-6.1046992166306602E-2</v>
      </c>
      <c r="V7" s="214">
        <f>IFERROR((S7-R7),"n/a")</f>
        <v>-8.3115487102687347E-2</v>
      </c>
      <c r="W7" s="1"/>
    </row>
    <row r="8" spans="1:23" ht="15" customHeight="1" x14ac:dyDescent="0.2">
      <c r="A8" s="29" t="s">
        <v>82</v>
      </c>
      <c r="B8" s="62">
        <v>3.5905349794238681</v>
      </c>
      <c r="C8" s="62">
        <v>3.4692343823391263</v>
      </c>
      <c r="D8" s="62">
        <v>3.4947981689554721</v>
      </c>
      <c r="E8" s="62">
        <v>3.5852731591448932</v>
      </c>
      <c r="F8" s="62">
        <v>3.3425925925925934</v>
      </c>
      <c r="G8" s="62">
        <v>3.7586384734399174</v>
      </c>
      <c r="H8" s="62">
        <v>3.2635861668119732</v>
      </c>
      <c r="I8" s="62">
        <v>3.2302955665024631</v>
      </c>
      <c r="J8" s="62">
        <v>3.4396</v>
      </c>
      <c r="K8" s="62">
        <v>4.338082075271104</v>
      </c>
      <c r="L8" s="62">
        <v>3.6306888068880689</v>
      </c>
      <c r="M8" s="62">
        <v>3.8158205430932703</v>
      </c>
      <c r="N8" s="62">
        <v>3.9361769352290681</v>
      </c>
      <c r="O8" s="62">
        <v>3.7095571095571094</v>
      </c>
      <c r="P8" s="62">
        <v>3.406816088424931</v>
      </c>
      <c r="Q8" s="62">
        <v>3.5730530668504481</v>
      </c>
      <c r="R8" s="62">
        <v>3.5098559514783929</v>
      </c>
      <c r="S8" s="62">
        <v>3.4592145015105742</v>
      </c>
      <c r="T8" s="214">
        <f t="shared" ref="T8:T10" si="0">IFERROR((S8-J8),"n/a")</f>
        <v>1.96145015105742E-2</v>
      </c>
      <c r="U8" s="214">
        <f t="shared" ref="U8:U10" si="1">IFERROR((S8-O8),"n/a")</f>
        <v>-0.25034260804653519</v>
      </c>
      <c r="V8" s="214">
        <f t="shared" ref="V8:V10" si="2">IFERROR((S8-R8),"n/a")</f>
        <v>-5.0641449967818719E-2</v>
      </c>
      <c r="W8" s="1"/>
    </row>
    <row r="9" spans="1:23" ht="15" customHeight="1" x14ac:dyDescent="0.2">
      <c r="A9" s="29" t="s">
        <v>587</v>
      </c>
      <c r="B9" s="62">
        <v>2.4698067632850242</v>
      </c>
      <c r="C9" s="62">
        <v>2.4851794071762869</v>
      </c>
      <c r="D9" s="62">
        <v>2.566116720019699</v>
      </c>
      <c r="E9" s="62">
        <v>2.2611722434313948</v>
      </c>
      <c r="F9" s="62">
        <v>2.3733483272420579</v>
      </c>
      <c r="G9" s="62">
        <v>2.2752718485702781</v>
      </c>
      <c r="H9" s="62">
        <v>2.2667177914110428</v>
      </c>
      <c r="I9" s="62">
        <v>2.1913495338529727</v>
      </c>
      <c r="J9" s="62">
        <v>2.2940868655154367</v>
      </c>
      <c r="K9" s="62">
        <v>2.2158995815899583</v>
      </c>
      <c r="L9" s="62">
        <v>2.1955618714473109</v>
      </c>
      <c r="M9" s="62">
        <v>2.1274422735346357</v>
      </c>
      <c r="N9" s="62">
        <v>2.1386181977444432</v>
      </c>
      <c r="O9" s="62">
        <v>2.1273042616451932</v>
      </c>
      <c r="P9" s="62">
        <v>2.2493014986029971</v>
      </c>
      <c r="Q9" s="62">
        <v>2.2653174952339055</v>
      </c>
      <c r="R9" s="62">
        <v>2.2072139718560542</v>
      </c>
      <c r="S9" s="62">
        <v>1.9519096534911342</v>
      </c>
      <c r="T9" s="214">
        <f t="shared" si="0"/>
        <v>-0.34217721202430251</v>
      </c>
      <c r="U9" s="214">
        <f t="shared" si="1"/>
        <v>-0.17539460815405894</v>
      </c>
      <c r="V9" s="214">
        <f t="shared" si="2"/>
        <v>-0.25530431836491996</v>
      </c>
      <c r="W9" s="1"/>
    </row>
    <row r="10" spans="1:23" ht="15" customHeight="1" x14ac:dyDescent="0.2">
      <c r="A10" s="42" t="s">
        <v>0</v>
      </c>
      <c r="B10" s="215">
        <v>3.6488447071466954</v>
      </c>
      <c r="C10" s="215">
        <v>3.3248313312489715</v>
      </c>
      <c r="D10" s="215">
        <v>3.3424979276043105</v>
      </c>
      <c r="E10" s="215">
        <v>3.2665151109922435</v>
      </c>
      <c r="F10" s="215">
        <v>3.3194986072423398</v>
      </c>
      <c r="G10" s="215">
        <v>3.2597797189517661</v>
      </c>
      <c r="H10" s="215">
        <v>3.106184364060677</v>
      </c>
      <c r="I10" s="215">
        <v>3.0560282404055035</v>
      </c>
      <c r="J10" s="215">
        <v>3.1272695832612829</v>
      </c>
      <c r="K10" s="215">
        <v>3.3119329673504767</v>
      </c>
      <c r="L10" s="215">
        <v>3.0947196128664958</v>
      </c>
      <c r="M10" s="215">
        <v>2.8500097904836501</v>
      </c>
      <c r="N10" s="215">
        <v>2.7972096595272635</v>
      </c>
      <c r="O10" s="215">
        <v>2.6032767700409591</v>
      </c>
      <c r="P10" s="215">
        <v>2.6859674212564095</v>
      </c>
      <c r="Q10" s="215">
        <v>2.6277019776176607</v>
      </c>
      <c r="R10" s="215">
        <v>2.578964061775685</v>
      </c>
      <c r="S10" s="215">
        <v>2.2371865606331571</v>
      </c>
      <c r="T10" s="216">
        <f t="shared" si="0"/>
        <v>-0.89008302262812578</v>
      </c>
      <c r="U10" s="216">
        <f t="shared" si="1"/>
        <v>-0.36609020940780201</v>
      </c>
      <c r="V10" s="216">
        <f t="shared" si="2"/>
        <v>-0.34177750114252792</v>
      </c>
      <c r="W10" s="1"/>
    </row>
    <row r="11" spans="1:23" ht="15" customHeight="1" x14ac:dyDescent="0.2">
      <c r="A11" s="51"/>
      <c r="B11" s="51"/>
      <c r="C11" s="51"/>
      <c r="D11" s="51"/>
      <c r="E11" s="51"/>
      <c r="F11" s="51"/>
      <c r="G11" s="51"/>
      <c r="H11" s="51"/>
      <c r="I11" s="51"/>
      <c r="J11" s="51"/>
      <c r="K11" s="51"/>
      <c r="L11" s="51"/>
      <c r="M11" s="51"/>
      <c r="N11" s="51"/>
      <c r="O11" s="51"/>
      <c r="P11" s="51"/>
      <c r="Q11" s="51"/>
      <c r="R11" s="51"/>
      <c r="S11" s="51"/>
      <c r="T11" s="51"/>
      <c r="U11" s="51"/>
      <c r="V11" s="51"/>
      <c r="W11" s="1"/>
    </row>
    <row r="12" spans="1:23" ht="15" customHeight="1" x14ac:dyDescent="0.2">
      <c r="A12" s="35" t="s">
        <v>586</v>
      </c>
      <c r="B12" s="35"/>
      <c r="C12" s="35"/>
      <c r="D12" s="35"/>
      <c r="E12" s="35"/>
      <c r="F12" s="35"/>
      <c r="G12" s="35"/>
      <c r="H12" s="35"/>
      <c r="I12" s="35"/>
      <c r="J12" s="35"/>
      <c r="K12" s="35"/>
      <c r="L12" s="35"/>
      <c r="M12" s="35"/>
      <c r="N12" s="35"/>
      <c r="O12" s="35"/>
      <c r="P12" s="35"/>
      <c r="Q12" s="35"/>
      <c r="R12" s="35"/>
      <c r="S12" s="35"/>
      <c r="T12" s="75"/>
      <c r="U12" s="75"/>
      <c r="V12" s="75"/>
      <c r="W12" s="1"/>
    </row>
    <row r="13" spans="1:23" ht="38.25" x14ac:dyDescent="0.2">
      <c r="A13" s="36" t="s">
        <v>588</v>
      </c>
      <c r="B13" s="15">
        <v>2007</v>
      </c>
      <c r="C13" s="15">
        <v>2008</v>
      </c>
      <c r="D13" s="15">
        <v>2009</v>
      </c>
      <c r="E13" s="15">
        <v>2010</v>
      </c>
      <c r="F13" s="15">
        <v>2011</v>
      </c>
      <c r="G13" s="15">
        <v>2012</v>
      </c>
      <c r="H13" s="15">
        <v>2013</v>
      </c>
      <c r="I13" s="15">
        <v>2014</v>
      </c>
      <c r="J13" s="15">
        <v>2015</v>
      </c>
      <c r="K13" s="15">
        <v>2016</v>
      </c>
      <c r="L13" s="15">
        <v>2017</v>
      </c>
      <c r="M13" s="15">
        <v>2018</v>
      </c>
      <c r="N13" s="15">
        <v>2019</v>
      </c>
      <c r="O13" s="15">
        <v>2020</v>
      </c>
      <c r="P13" s="15">
        <v>2021</v>
      </c>
      <c r="Q13" s="15">
        <v>2022</v>
      </c>
      <c r="R13" s="15">
        <v>2023</v>
      </c>
      <c r="S13" s="15">
        <v>2024</v>
      </c>
      <c r="T13" s="27" t="s">
        <v>469</v>
      </c>
      <c r="U13" s="27" t="s">
        <v>470</v>
      </c>
      <c r="V13" s="27" t="s">
        <v>471</v>
      </c>
      <c r="W13" s="1"/>
    </row>
    <row r="14" spans="1:23" ht="15" customHeight="1" x14ac:dyDescent="0.2">
      <c r="A14" s="33" t="s">
        <v>323</v>
      </c>
      <c r="B14" s="220">
        <v>7</v>
      </c>
      <c r="C14" s="220">
        <v>6.532974427994616</v>
      </c>
      <c r="D14" s="220">
        <v>6.9431524547803614</v>
      </c>
      <c r="E14" s="220">
        <v>7.4032608695652167</v>
      </c>
      <c r="F14" s="220">
        <v>7.3693251533742332</v>
      </c>
      <c r="G14" s="220">
        <v>7.205231388329981</v>
      </c>
      <c r="H14" s="220">
        <v>7.285593220338983</v>
      </c>
      <c r="I14" s="220">
        <v>7.1066030230708019</v>
      </c>
      <c r="J14" s="220">
        <v>7.0569620253164569</v>
      </c>
      <c r="K14" s="220">
        <v>7.0812127774769884</v>
      </c>
      <c r="L14" s="220">
        <v>7.0187651331719119</v>
      </c>
      <c r="M14" s="220">
        <v>7.0593499764484218</v>
      </c>
      <c r="N14" s="220">
        <v>6.9950174389636279</v>
      </c>
      <c r="O14" s="220">
        <v>7.1205496564647071</v>
      </c>
      <c r="P14" s="215">
        <v>7.1368715083798886</v>
      </c>
      <c r="Q14" s="215">
        <v>7.1172349369453523</v>
      </c>
      <c r="R14" s="215">
        <v>7.1426181514010878</v>
      </c>
      <c r="S14" s="215">
        <v>7.0595026642984005</v>
      </c>
      <c r="T14" s="216">
        <f t="shared" ref="T14:T29" si="3">IFERROR((S14-J14),"n/a")</f>
        <v>2.540638981943566E-3</v>
      </c>
      <c r="U14" s="216">
        <f t="shared" ref="U14:U29" si="4">IFERROR((S14-O14),"n/a")</f>
        <v>-6.1046992166306602E-2</v>
      </c>
      <c r="V14" s="216">
        <f t="shared" ref="V14:V29" si="5">IFERROR((S14-R14),"n/a")</f>
        <v>-8.3115487102687347E-2</v>
      </c>
      <c r="W14" s="1"/>
    </row>
    <row r="15" spans="1:23" ht="15" customHeight="1" x14ac:dyDescent="0.2">
      <c r="A15" s="34" t="s">
        <v>286</v>
      </c>
      <c r="B15" s="219">
        <v>8.0638888888888882</v>
      </c>
      <c r="C15" s="219">
        <v>7.4965517241379311</v>
      </c>
      <c r="D15" s="219">
        <v>7.2987804878048772</v>
      </c>
      <c r="E15" s="219">
        <v>8.0613718411552338</v>
      </c>
      <c r="F15" s="219">
        <v>7.9387387387387385</v>
      </c>
      <c r="G15" s="219">
        <v>7.8890845070422539</v>
      </c>
      <c r="H15" s="219">
        <v>8.1790322580645149</v>
      </c>
      <c r="I15" s="219">
        <v>8.0030769230769199</v>
      </c>
      <c r="J15" s="219">
        <v>8.194767441860467</v>
      </c>
      <c r="K15" s="219">
        <v>8.0985401459853996</v>
      </c>
      <c r="L15" s="219">
        <v>8.1153846153846132</v>
      </c>
      <c r="M15" s="219">
        <v>8.0307203389830502</v>
      </c>
      <c r="N15" s="219">
        <v>7.8113663845223735</v>
      </c>
      <c r="O15" s="219">
        <v>7.4583333333333295</v>
      </c>
      <c r="P15" s="219">
        <v>7.7250324254215306</v>
      </c>
      <c r="Q15" s="219">
        <v>7.7849872773536894</v>
      </c>
      <c r="R15" s="219">
        <v>7.9426142401700321</v>
      </c>
      <c r="S15" s="219">
        <v>8.0494821634062124</v>
      </c>
      <c r="T15" s="214">
        <f t="shared" si="3"/>
        <v>-0.14528527845425465</v>
      </c>
      <c r="U15" s="214">
        <f t="shared" si="4"/>
        <v>0.59114883007288288</v>
      </c>
      <c r="V15" s="214">
        <f t="shared" si="5"/>
        <v>0.10686792323618022</v>
      </c>
      <c r="W15" s="1"/>
    </row>
    <row r="16" spans="1:23" ht="15" customHeight="1" x14ac:dyDescent="0.2">
      <c r="A16" s="34" t="s">
        <v>287</v>
      </c>
      <c r="B16" s="219">
        <v>6.3174603174603172</v>
      </c>
      <c r="C16" s="219">
        <v>6.2638888888888893</v>
      </c>
      <c r="D16" s="219">
        <v>6.52</v>
      </c>
      <c r="E16" s="219">
        <v>6.7523809523809524</v>
      </c>
      <c r="F16" s="219">
        <v>7.9074074074074092</v>
      </c>
      <c r="G16" s="219">
        <v>7.0181818181818185</v>
      </c>
      <c r="H16" s="219">
        <v>6.8197278911564627</v>
      </c>
      <c r="I16" s="219">
        <v>6.6202531645569618</v>
      </c>
      <c r="J16" s="219">
        <v>6.360128617363344</v>
      </c>
      <c r="K16" s="219">
        <v>6.6032608695652177</v>
      </c>
      <c r="L16" s="219">
        <v>6.7660668380462727</v>
      </c>
      <c r="M16" s="219">
        <v>6.7553956834532372</v>
      </c>
      <c r="N16" s="219">
        <v>6.7885714285714283</v>
      </c>
      <c r="O16" s="219">
        <v>6.8900900900900899</v>
      </c>
      <c r="P16" s="219">
        <v>6.7872727272727271</v>
      </c>
      <c r="Q16" s="219">
        <v>6.7553763440860219</v>
      </c>
      <c r="R16" s="219">
        <v>6.6494565217391308</v>
      </c>
      <c r="S16" s="219">
        <v>6.6490514905149052</v>
      </c>
      <c r="T16" s="214">
        <f t="shared" si="3"/>
        <v>0.28892287315156118</v>
      </c>
      <c r="U16" s="214">
        <f t="shared" si="4"/>
        <v>-0.2410385995751847</v>
      </c>
      <c r="V16" s="214">
        <f t="shared" si="5"/>
        <v>-4.050312242256382E-4</v>
      </c>
      <c r="W16" s="1"/>
    </row>
    <row r="17" spans="1:23" ht="15" customHeight="1" x14ac:dyDescent="0.2">
      <c r="A17" s="34" t="s">
        <v>165</v>
      </c>
      <c r="B17" s="219">
        <v>4.5655737704918034</v>
      </c>
      <c r="C17" s="219">
        <v>4.2134146341463419</v>
      </c>
      <c r="D17" s="219">
        <v>5.8414634146341466</v>
      </c>
      <c r="E17" s="219">
        <v>5.9423076923076925</v>
      </c>
      <c r="F17" s="219">
        <v>4.9078947368421053</v>
      </c>
      <c r="G17" s="219">
        <v>5.5194174757281553</v>
      </c>
      <c r="H17" s="219">
        <v>5.7180451127819545</v>
      </c>
      <c r="I17" s="219">
        <v>5.6323024054982822</v>
      </c>
      <c r="J17" s="219">
        <v>5.7186761229314422</v>
      </c>
      <c r="K17" s="219">
        <v>6.0761035007610351</v>
      </c>
      <c r="L17" s="219">
        <v>6.0163132137030999</v>
      </c>
      <c r="M17" s="219">
        <v>6.0223097112860895</v>
      </c>
      <c r="N17" s="219">
        <v>6.1297709923664119</v>
      </c>
      <c r="O17" s="219">
        <v>6.5708661417322833</v>
      </c>
      <c r="P17" s="219">
        <v>6.5799573560767595</v>
      </c>
      <c r="Q17" s="219">
        <v>6.6988543371522091</v>
      </c>
      <c r="R17" s="219">
        <v>6.5966386554621845</v>
      </c>
      <c r="S17" s="219">
        <v>6.195348837209302</v>
      </c>
      <c r="T17" s="214">
        <f t="shared" si="3"/>
        <v>0.47667271427785973</v>
      </c>
      <c r="U17" s="214">
        <f t="shared" si="4"/>
        <v>-0.37551730452298138</v>
      </c>
      <c r="V17" s="214">
        <f t="shared" si="5"/>
        <v>-0.40128981825288257</v>
      </c>
      <c r="W17" s="1"/>
    </row>
    <row r="18" spans="1:23" ht="15" customHeight="1" x14ac:dyDescent="0.2">
      <c r="A18" s="33" t="s">
        <v>82</v>
      </c>
      <c r="B18" s="220">
        <v>3.5905349794238681</v>
      </c>
      <c r="C18" s="220">
        <v>3.4692343823391263</v>
      </c>
      <c r="D18" s="220">
        <v>3.4947981689554721</v>
      </c>
      <c r="E18" s="220">
        <v>3.5852731591448932</v>
      </c>
      <c r="F18" s="220">
        <v>3.3425925925925934</v>
      </c>
      <c r="G18" s="220">
        <v>3.7586384734399174</v>
      </c>
      <c r="H18" s="220">
        <v>3.2635861668119732</v>
      </c>
      <c r="I18" s="220">
        <v>3.2302955665024631</v>
      </c>
      <c r="J18" s="220">
        <v>3.4396</v>
      </c>
      <c r="K18" s="220">
        <v>4.338082075271104</v>
      </c>
      <c r="L18" s="220">
        <v>3.6306888068880689</v>
      </c>
      <c r="M18" s="220">
        <v>3.8158205430932703</v>
      </c>
      <c r="N18" s="220">
        <v>3.9361769352290681</v>
      </c>
      <c r="O18" s="220">
        <v>3.7095571095571094</v>
      </c>
      <c r="P18" s="215">
        <v>3.406816088424931</v>
      </c>
      <c r="Q18" s="215">
        <v>3.5730530668504481</v>
      </c>
      <c r="R18" s="215">
        <v>3.5098559514783929</v>
      </c>
      <c r="S18" s="215">
        <v>3.4592145015105742</v>
      </c>
      <c r="T18" s="216">
        <f t="shared" si="3"/>
        <v>1.96145015105742E-2</v>
      </c>
      <c r="U18" s="216">
        <f t="shared" si="4"/>
        <v>-0.25034260804653519</v>
      </c>
      <c r="V18" s="216">
        <f t="shared" si="5"/>
        <v>-5.0641449967818719E-2</v>
      </c>
      <c r="W18" s="1"/>
    </row>
    <row r="19" spans="1:23" ht="15" customHeight="1" x14ac:dyDescent="0.2">
      <c r="A19" s="34" t="s">
        <v>286</v>
      </c>
      <c r="B19" s="219">
        <v>3.9185520361990949</v>
      </c>
      <c r="C19" s="219">
        <v>3.575268817204301</v>
      </c>
      <c r="D19" s="219">
        <v>3.5308641975308634</v>
      </c>
      <c r="E19" s="219">
        <v>3.2357142857142858</v>
      </c>
      <c r="F19" s="219">
        <v>3.2489626556016598</v>
      </c>
      <c r="G19" s="219">
        <v>3.2819767441860463</v>
      </c>
      <c r="H19" s="219">
        <v>3.2062391681109186</v>
      </c>
      <c r="I19" s="219">
        <v>3.5582010582010577</v>
      </c>
      <c r="J19" s="219">
        <v>3.9382022471910112</v>
      </c>
      <c r="K19" s="219">
        <v>3.7018779342723001</v>
      </c>
      <c r="L19" s="219">
        <v>3.3628691983122363</v>
      </c>
      <c r="M19" s="219">
        <v>3.3614457831325302</v>
      </c>
      <c r="N19" s="219">
        <v>3.8439999999999999</v>
      </c>
      <c r="O19" s="219">
        <v>4.1031746031746028</v>
      </c>
      <c r="P19" s="219">
        <v>3.7232876712328768</v>
      </c>
      <c r="Q19" s="219">
        <v>4.1296296296296306</v>
      </c>
      <c r="R19" s="219">
        <v>3.5277777777777781</v>
      </c>
      <c r="S19" s="219">
        <v>3.8125</v>
      </c>
      <c r="T19" s="214">
        <f t="shared" si="3"/>
        <v>-0.1257022471910112</v>
      </c>
      <c r="U19" s="214">
        <f t="shared" si="4"/>
        <v>-0.29067460317460281</v>
      </c>
      <c r="V19" s="214">
        <f t="shared" si="5"/>
        <v>0.28472222222222188</v>
      </c>
      <c r="W19" s="1"/>
    </row>
    <row r="20" spans="1:23" ht="15" customHeight="1" x14ac:dyDescent="0.2">
      <c r="A20" s="34" t="s">
        <v>287</v>
      </c>
      <c r="B20" s="219">
        <v>3.8677563150074294</v>
      </c>
      <c r="C20" s="219">
        <v>3.3035413153456998</v>
      </c>
      <c r="D20" s="219">
        <v>2.9198113207547172</v>
      </c>
      <c r="E20" s="219">
        <v>3.5481049562682214</v>
      </c>
      <c r="F20" s="219">
        <v>3.1973799126637554</v>
      </c>
      <c r="G20" s="219">
        <v>3.8912280701754387</v>
      </c>
      <c r="H20" s="219">
        <v>3.439189189189189</v>
      </c>
      <c r="I20" s="219">
        <v>3.6921568627450991</v>
      </c>
      <c r="J20" s="219">
        <v>3.6267190569744603</v>
      </c>
      <c r="K20" s="219">
        <v>3.6846011131725422</v>
      </c>
      <c r="L20" s="219">
        <v>3.6657381615598892</v>
      </c>
      <c r="M20" s="219">
        <v>3.1840000000000002</v>
      </c>
      <c r="N20" s="219">
        <v>3.1163366336633662</v>
      </c>
      <c r="O20" s="219">
        <v>3.1440677966101687</v>
      </c>
      <c r="P20" s="219">
        <v>3.2404761904761905</v>
      </c>
      <c r="Q20" s="219">
        <v>3.6120313862249347</v>
      </c>
      <c r="R20" s="219">
        <v>3.3197755960729327</v>
      </c>
      <c r="S20" s="219">
        <v>3.3931888544891642</v>
      </c>
      <c r="T20" s="214">
        <f t="shared" ref="T20:T22" si="6">IFERROR((S20-J20),"n/a")</f>
        <v>-0.2335302024852961</v>
      </c>
      <c r="U20" s="214">
        <f t="shared" ref="U20:U22" si="7">IFERROR((S20-O20),"n/a")</f>
        <v>0.24912105787899552</v>
      </c>
      <c r="V20" s="214">
        <f t="shared" ref="V20:V22" si="8">IFERROR((S20-R20),"n/a")</f>
        <v>7.3413258416231475E-2</v>
      </c>
      <c r="W20" s="1"/>
    </row>
    <row r="21" spans="1:23" ht="15" customHeight="1" x14ac:dyDescent="0.2">
      <c r="A21" s="34" t="s">
        <v>165</v>
      </c>
      <c r="B21" s="219">
        <v>3.1312056737588643</v>
      </c>
      <c r="C21" s="219">
        <v>3.519759450171823</v>
      </c>
      <c r="D21" s="219">
        <v>3.7893553223388308</v>
      </c>
      <c r="E21" s="219">
        <v>3.7577577577577572</v>
      </c>
      <c r="F21" s="219">
        <v>3.521591871295513</v>
      </c>
      <c r="G21" s="219">
        <v>3.8448780487804877</v>
      </c>
      <c r="H21" s="219">
        <v>3.2450413223140493</v>
      </c>
      <c r="I21" s="219">
        <v>3.0785988893635206</v>
      </c>
      <c r="J21" s="219">
        <v>3.1870546318289787</v>
      </c>
      <c r="K21" s="219">
        <v>3.5535230352303522</v>
      </c>
      <c r="L21" s="219">
        <v>3.0813148788927336</v>
      </c>
      <c r="M21" s="219">
        <v>3.1472577009767093</v>
      </c>
      <c r="N21" s="219">
        <v>3.4255042290175668</v>
      </c>
      <c r="O21" s="219">
        <v>3.4935897435897432</v>
      </c>
      <c r="P21" s="219">
        <v>3.0595164290142591</v>
      </c>
      <c r="Q21" s="219">
        <v>3.3344191096634095</v>
      </c>
      <c r="R21" s="219">
        <v>3.4492362982929015</v>
      </c>
      <c r="S21" s="219">
        <v>3.367153912295787</v>
      </c>
      <c r="T21" s="214">
        <f t="shared" si="6"/>
        <v>0.18009928046680823</v>
      </c>
      <c r="U21" s="214">
        <f t="shared" si="7"/>
        <v>-0.12643583129395619</v>
      </c>
      <c r="V21" s="214">
        <f t="shared" si="8"/>
        <v>-8.2082385997114482E-2</v>
      </c>
      <c r="W21" s="1"/>
    </row>
    <row r="22" spans="1:23" ht="15" customHeight="1" x14ac:dyDescent="0.2">
      <c r="A22" s="34" t="s">
        <v>589</v>
      </c>
      <c r="B22" s="219" t="s">
        <v>100</v>
      </c>
      <c r="C22" s="219" t="s">
        <v>100</v>
      </c>
      <c r="D22" s="219">
        <v>2</v>
      </c>
      <c r="E22" s="219" t="s">
        <v>100</v>
      </c>
      <c r="F22" s="219" t="s">
        <v>100</v>
      </c>
      <c r="G22" s="219" t="s">
        <v>100</v>
      </c>
      <c r="H22" s="219" t="s">
        <v>100</v>
      </c>
      <c r="I22" s="219">
        <v>3</v>
      </c>
      <c r="J22" s="219">
        <v>5.3100775193798446</v>
      </c>
      <c r="K22" s="219">
        <v>5.1255526083112297</v>
      </c>
      <c r="L22" s="219">
        <v>4.7190889370932751</v>
      </c>
      <c r="M22" s="219">
        <v>5.4486638537271448</v>
      </c>
      <c r="N22" s="219">
        <v>5.1057494866529778</v>
      </c>
      <c r="O22" s="219">
        <v>4.1722141823444279</v>
      </c>
      <c r="P22" s="219">
        <v>4.0058207217694983</v>
      </c>
      <c r="Q22" s="219">
        <v>3.5627450980392159</v>
      </c>
      <c r="R22" s="219">
        <v>4.0755813953488378</v>
      </c>
      <c r="S22" s="219">
        <v>3.7133333333333316</v>
      </c>
      <c r="T22" s="214">
        <f t="shared" si="6"/>
        <v>-1.596744186046513</v>
      </c>
      <c r="U22" s="214">
        <f t="shared" si="7"/>
        <v>-0.45888084901109627</v>
      </c>
      <c r="V22" s="214">
        <f t="shared" si="8"/>
        <v>-0.36224806201550619</v>
      </c>
      <c r="W22" s="1"/>
    </row>
    <row r="23" spans="1:23" ht="15" customHeight="1" x14ac:dyDescent="0.2">
      <c r="A23" s="33" t="s">
        <v>587</v>
      </c>
      <c r="B23" s="220">
        <v>2.4698067632850242</v>
      </c>
      <c r="C23" s="220">
        <v>2.4851794071762869</v>
      </c>
      <c r="D23" s="220">
        <v>2.566116720019699</v>
      </c>
      <c r="E23" s="220">
        <v>2.2611722434313948</v>
      </c>
      <c r="F23" s="220">
        <v>2.3733483272420579</v>
      </c>
      <c r="G23" s="220">
        <v>2.2752718485702781</v>
      </c>
      <c r="H23" s="220">
        <v>2.2667177914110428</v>
      </c>
      <c r="I23" s="220">
        <v>2.1913495338529727</v>
      </c>
      <c r="J23" s="220">
        <v>2.2940868655154367</v>
      </c>
      <c r="K23" s="220">
        <v>2.2158995815899583</v>
      </c>
      <c r="L23" s="220">
        <v>2.1955618714473109</v>
      </c>
      <c r="M23" s="220">
        <v>2.1274422735346357</v>
      </c>
      <c r="N23" s="220">
        <v>2.1386181977444432</v>
      </c>
      <c r="O23" s="220">
        <v>2.1273042616451932</v>
      </c>
      <c r="P23" s="215">
        <v>2.2493014986029971</v>
      </c>
      <c r="Q23" s="215">
        <v>2.2653174952339055</v>
      </c>
      <c r="R23" s="215">
        <v>2.2072139718560542</v>
      </c>
      <c r="S23" s="215">
        <v>1.9519096534911342</v>
      </c>
      <c r="T23" s="216">
        <f t="shared" ref="T23:T24" si="9">IFERROR((S23-J23),"n/a")</f>
        <v>-0.34217721202430251</v>
      </c>
      <c r="U23" s="216">
        <f t="shared" ref="U23:U24" si="10">IFERROR((S23-O23),"n/a")</f>
        <v>-0.17539460815405894</v>
      </c>
      <c r="V23" s="216">
        <f t="shared" ref="V23:V24" si="11">IFERROR((S23-R23),"n/a")</f>
        <v>-0.25530431836491996</v>
      </c>
      <c r="W23" s="1"/>
    </row>
    <row r="24" spans="1:23" ht="15" customHeight="1" x14ac:dyDescent="0.2">
      <c r="A24" s="34" t="s">
        <v>286</v>
      </c>
      <c r="B24" s="219">
        <v>3.3404255319148954</v>
      </c>
      <c r="C24" s="219">
        <v>2.6928571428571431</v>
      </c>
      <c r="D24" s="219">
        <v>2.4285714285714284</v>
      </c>
      <c r="E24" s="219">
        <v>2.0793650793650795</v>
      </c>
      <c r="F24" s="219">
        <v>2.3253731343283577</v>
      </c>
      <c r="G24" s="219">
        <v>2.4000000000000004</v>
      </c>
      <c r="H24" s="219">
        <v>2.5139318885448914</v>
      </c>
      <c r="I24" s="219">
        <v>2.4635473340587595</v>
      </c>
      <c r="J24" s="219">
        <v>2.3072970195272355</v>
      </c>
      <c r="K24" s="219">
        <v>2.2494456762749442</v>
      </c>
      <c r="L24" s="219">
        <v>2.1874999999999991</v>
      </c>
      <c r="M24" s="219">
        <v>2.2873015873015872</v>
      </c>
      <c r="N24" s="219">
        <v>2.0406212664277179</v>
      </c>
      <c r="O24" s="219">
        <v>3.3869969040247621</v>
      </c>
      <c r="P24" s="219">
        <v>2.984815618221258</v>
      </c>
      <c r="Q24" s="219">
        <v>2.9031281533804232</v>
      </c>
      <c r="R24" s="219">
        <v>2.4228694714131609</v>
      </c>
      <c r="S24" s="219">
        <v>2.1195466542462351</v>
      </c>
      <c r="T24" s="214">
        <f t="shared" si="9"/>
        <v>-0.18775036528100042</v>
      </c>
      <c r="U24" s="214">
        <f t="shared" si="10"/>
        <v>-1.2674502497785269</v>
      </c>
      <c r="V24" s="214">
        <f t="shared" si="11"/>
        <v>-0.30332281716692577</v>
      </c>
      <c r="W24" s="1"/>
    </row>
    <row r="25" spans="1:23" ht="15" customHeight="1" x14ac:dyDescent="0.2">
      <c r="A25" s="34" t="s">
        <v>287</v>
      </c>
      <c r="B25" s="219">
        <v>3.103448275862069</v>
      </c>
      <c r="C25" s="219">
        <v>2.7</v>
      </c>
      <c r="D25" s="219">
        <v>2.9085872576177287</v>
      </c>
      <c r="E25" s="219">
        <v>2.9377104377104377</v>
      </c>
      <c r="F25" s="219">
        <v>3.2063492063492065</v>
      </c>
      <c r="G25" s="219">
        <v>3.6871794871794856</v>
      </c>
      <c r="H25" s="219">
        <v>3.2912457912457906</v>
      </c>
      <c r="I25" s="219">
        <v>2.3967935871743484</v>
      </c>
      <c r="J25" s="219">
        <v>2.5298013245033113</v>
      </c>
      <c r="K25" s="219">
        <v>2.6467977171845281</v>
      </c>
      <c r="L25" s="219">
        <v>2.8132464712269272</v>
      </c>
      <c r="M25" s="219">
        <v>2.0546218487394956</v>
      </c>
      <c r="N25" s="219">
        <v>2.0738396624472575</v>
      </c>
      <c r="O25" s="219">
        <v>2.0063764561618638</v>
      </c>
      <c r="P25" s="219">
        <v>2.4735647096983455</v>
      </c>
      <c r="Q25" s="219">
        <v>2.3828513186393172</v>
      </c>
      <c r="R25" s="219">
        <v>2.4094221759500258</v>
      </c>
      <c r="S25" s="219">
        <v>2.0888203978705522</v>
      </c>
      <c r="T25" s="214">
        <f>IFERROR((S25-J25),"n/a")</f>
        <v>-0.44098092663275912</v>
      </c>
      <c r="U25" s="214">
        <f t="shared" ref="U25:U26" si="12">IFERROR((S25-O25),"n/a")</f>
        <v>8.2443941708688406E-2</v>
      </c>
      <c r="V25" s="214">
        <f t="shared" ref="V25:V26" si="13">IFERROR((S25-R25),"n/a")</f>
        <v>-0.32060177807947365</v>
      </c>
      <c r="W25" s="1"/>
    </row>
    <row r="26" spans="1:23" ht="15" customHeight="1" x14ac:dyDescent="0.2">
      <c r="A26" s="34" t="s">
        <v>165</v>
      </c>
      <c r="B26" s="219">
        <v>2.2960477255779268</v>
      </c>
      <c r="C26" s="219">
        <v>2.4489945155393054</v>
      </c>
      <c r="D26" s="219">
        <v>2.5445514750150511</v>
      </c>
      <c r="E26" s="219">
        <v>2.1740366392924826</v>
      </c>
      <c r="F26" s="219">
        <v>2.3267392021101219</v>
      </c>
      <c r="G26" s="219">
        <v>2.1123971193415638</v>
      </c>
      <c r="H26" s="219">
        <v>2.095912585997572</v>
      </c>
      <c r="I26" s="219">
        <v>2.0929528750540425</v>
      </c>
      <c r="J26" s="219">
        <v>2.2011494252873565</v>
      </c>
      <c r="K26" s="219">
        <v>2.0569732187973724</v>
      </c>
      <c r="L26" s="219">
        <v>2.0947453299287728</v>
      </c>
      <c r="M26" s="219">
        <v>2.1654639827826307</v>
      </c>
      <c r="N26" s="219">
        <v>2.1794602541216004</v>
      </c>
      <c r="O26" s="219">
        <v>2.1674712542789432</v>
      </c>
      <c r="P26" s="219">
        <v>2.0888328075709781</v>
      </c>
      <c r="Q26" s="219">
        <v>2.0290789556862001</v>
      </c>
      <c r="R26" s="219">
        <v>2.0944460431654677</v>
      </c>
      <c r="S26" s="219">
        <v>1.8022395943376295</v>
      </c>
      <c r="T26" s="214">
        <f t="shared" ref="T26" si="14">IFERROR((S26-J26),"n/a")</f>
        <v>-0.39890983094972698</v>
      </c>
      <c r="U26" s="214">
        <f t="shared" si="12"/>
        <v>-0.36523165994131368</v>
      </c>
      <c r="V26" s="214">
        <f t="shared" si="13"/>
        <v>-0.29220644882783819</v>
      </c>
      <c r="W26" s="1"/>
    </row>
    <row r="27" spans="1:23" ht="15" customHeight="1" x14ac:dyDescent="0.2">
      <c r="A27" s="34" t="s">
        <v>589</v>
      </c>
      <c r="B27" s="219" t="s">
        <v>100</v>
      </c>
      <c r="C27" s="219" t="s">
        <v>100</v>
      </c>
      <c r="D27" s="219" t="s">
        <v>100</v>
      </c>
      <c r="E27" s="219" t="s">
        <v>100</v>
      </c>
      <c r="F27" s="219" t="s">
        <v>100</v>
      </c>
      <c r="G27" s="219" t="s">
        <v>100</v>
      </c>
      <c r="H27" s="219" t="s">
        <v>100</v>
      </c>
      <c r="I27" s="219" t="s">
        <v>100</v>
      </c>
      <c r="J27" s="219">
        <v>3.1652173913043469</v>
      </c>
      <c r="K27" s="219">
        <v>3.7777777777777786</v>
      </c>
      <c r="L27" s="219">
        <v>3.0416666666666652</v>
      </c>
      <c r="M27" s="219">
        <v>3.4333333333333313</v>
      </c>
      <c r="N27" s="219">
        <v>2.6990595611285273</v>
      </c>
      <c r="O27" s="219">
        <v>2.4983713355048867</v>
      </c>
      <c r="P27" s="219">
        <v>2.8796296296296302</v>
      </c>
      <c r="Q27" s="219">
        <v>3.3304940374787053</v>
      </c>
      <c r="R27" s="219">
        <v>1.0698016164584865</v>
      </c>
      <c r="S27" s="219">
        <v>2.2962962962962967</v>
      </c>
      <c r="T27" s="214">
        <f t="shared" ref="T27:T28" si="15">IFERROR((S27-J27),"n/a")</f>
        <v>-0.86892109500805015</v>
      </c>
      <c r="U27" s="214">
        <f t="shared" ref="U27:U28" si="16">IFERROR((S27-O27),"n/a")</f>
        <v>-0.20207503920858993</v>
      </c>
      <c r="V27" s="214">
        <f t="shared" ref="V27:V28" si="17">IFERROR((S27-R27),"n/a")</f>
        <v>1.2264946798378102</v>
      </c>
      <c r="W27" s="1"/>
    </row>
    <row r="28" spans="1:23" ht="15" customHeight="1" x14ac:dyDescent="0.2">
      <c r="A28" s="34" t="s">
        <v>1</v>
      </c>
      <c r="B28" s="219" t="s">
        <v>100</v>
      </c>
      <c r="C28" s="219" t="s">
        <v>100</v>
      </c>
      <c r="D28" s="219" t="s">
        <v>100</v>
      </c>
      <c r="E28" s="219" t="s">
        <v>100</v>
      </c>
      <c r="F28" s="219" t="s">
        <v>100</v>
      </c>
      <c r="G28" s="219" t="s">
        <v>100</v>
      </c>
      <c r="H28" s="219">
        <v>2</v>
      </c>
      <c r="I28" s="219" t="s">
        <v>100</v>
      </c>
      <c r="J28" s="219" t="s">
        <v>100</v>
      </c>
      <c r="K28" s="219" t="s">
        <v>100</v>
      </c>
      <c r="L28" s="219">
        <v>2.5</v>
      </c>
      <c r="M28" s="219" t="s">
        <v>100</v>
      </c>
      <c r="N28" s="219" t="s">
        <v>100</v>
      </c>
      <c r="O28" s="219" t="s">
        <v>100</v>
      </c>
      <c r="P28" s="219" t="s">
        <v>100</v>
      </c>
      <c r="Q28" s="219" t="s">
        <v>100</v>
      </c>
      <c r="R28" s="219" t="s">
        <v>100</v>
      </c>
      <c r="S28" s="219">
        <v>2.6</v>
      </c>
      <c r="T28" s="214" t="str">
        <f t="shared" si="15"/>
        <v>n/a</v>
      </c>
      <c r="U28" s="214" t="str">
        <f t="shared" si="16"/>
        <v>n/a</v>
      </c>
      <c r="V28" s="214" t="str">
        <f t="shared" si="17"/>
        <v>n/a</v>
      </c>
      <c r="W28" s="1"/>
    </row>
    <row r="29" spans="1:23" ht="15" customHeight="1" x14ac:dyDescent="0.2">
      <c r="A29" s="42" t="s">
        <v>0</v>
      </c>
      <c r="B29" s="215">
        <v>3.6488447071466954</v>
      </c>
      <c r="C29" s="215">
        <v>3.3248313312489715</v>
      </c>
      <c r="D29" s="215">
        <v>3.3424979276043105</v>
      </c>
      <c r="E29" s="215">
        <v>3.2665151109922439</v>
      </c>
      <c r="F29" s="215">
        <v>3.3194986072423398</v>
      </c>
      <c r="G29" s="215">
        <v>3.2597797189517661</v>
      </c>
      <c r="H29" s="215">
        <v>3.106184364060677</v>
      </c>
      <c r="I29" s="215">
        <v>3.0560282404055035</v>
      </c>
      <c r="J29" s="215">
        <v>3.1272695832612829</v>
      </c>
      <c r="K29" s="215">
        <v>3.3119329673504767</v>
      </c>
      <c r="L29" s="215">
        <v>3.0947196128664958</v>
      </c>
      <c r="M29" s="215">
        <v>2.8500097904836501</v>
      </c>
      <c r="N29" s="215">
        <v>2.7972096595272635</v>
      </c>
      <c r="O29" s="215">
        <v>2.6032767700409596</v>
      </c>
      <c r="P29" s="215">
        <v>2.6859674212564095</v>
      </c>
      <c r="Q29" s="215">
        <v>2.6277019776176607</v>
      </c>
      <c r="R29" s="215">
        <v>2.578964061775685</v>
      </c>
      <c r="S29" s="215">
        <v>2.2371865606331571</v>
      </c>
      <c r="T29" s="216">
        <f t="shared" si="3"/>
        <v>-0.89008302262812578</v>
      </c>
      <c r="U29" s="216">
        <f t="shared" si="4"/>
        <v>-0.36609020940780246</v>
      </c>
      <c r="V29" s="216">
        <f t="shared" si="5"/>
        <v>-0.34177750114252792</v>
      </c>
    </row>
    <row r="30" spans="1:23" ht="15" customHeight="1" x14ac:dyDescent="0.2">
      <c r="A30" s="158" t="s">
        <v>415</v>
      </c>
      <c r="B30" s="44"/>
      <c r="C30" s="44"/>
      <c r="D30" s="44"/>
      <c r="E30" s="44"/>
      <c r="F30" s="44"/>
      <c r="G30" s="44"/>
      <c r="H30" s="44"/>
      <c r="I30" s="44"/>
      <c r="J30" s="44"/>
      <c r="K30" s="44"/>
      <c r="L30" s="44"/>
      <c r="M30" s="44"/>
      <c r="N30" s="44"/>
      <c r="O30" s="44"/>
      <c r="P30" s="44"/>
      <c r="Q30" s="44"/>
      <c r="R30" s="44"/>
      <c r="S30" s="44"/>
      <c r="T30" s="51"/>
      <c r="U30" s="51"/>
      <c r="V30" s="51"/>
    </row>
    <row r="31" spans="1:23" ht="15" customHeight="1" x14ac:dyDescent="0.2">
      <c r="A31" s="44"/>
      <c r="B31" s="44"/>
      <c r="C31" s="44"/>
      <c r="D31" s="44"/>
      <c r="E31" s="44"/>
      <c r="F31" s="44"/>
      <c r="G31" s="44"/>
      <c r="H31" s="44"/>
      <c r="I31" s="44"/>
      <c r="J31" s="44"/>
      <c r="K31" s="44"/>
      <c r="L31" s="44"/>
      <c r="M31" s="44"/>
      <c r="N31" s="44"/>
      <c r="O31" s="44"/>
      <c r="P31" s="44"/>
      <c r="Q31" s="44"/>
      <c r="R31" s="44"/>
      <c r="S31" s="44"/>
      <c r="T31" s="51"/>
      <c r="U31" s="51"/>
      <c r="V31" s="51"/>
    </row>
    <row r="32" spans="1:23" ht="15" customHeight="1" x14ac:dyDescent="0.2">
      <c r="A32" s="35" t="s">
        <v>590</v>
      </c>
      <c r="B32" s="35"/>
      <c r="C32" s="35"/>
      <c r="D32" s="35"/>
      <c r="E32" s="35"/>
      <c r="F32" s="35"/>
      <c r="G32" s="35"/>
      <c r="H32" s="35"/>
      <c r="I32" s="35"/>
      <c r="J32" s="35"/>
      <c r="K32" s="35"/>
      <c r="L32" s="35"/>
      <c r="M32" s="35"/>
      <c r="N32" s="35"/>
      <c r="O32" s="35"/>
      <c r="P32" s="35"/>
      <c r="Q32" s="35"/>
      <c r="R32" s="35"/>
      <c r="S32" s="35"/>
      <c r="T32" s="75"/>
      <c r="U32" s="75"/>
      <c r="V32" s="75"/>
    </row>
    <row r="33" spans="1:22" ht="38.25" x14ac:dyDescent="0.2">
      <c r="A33" s="36" t="s">
        <v>577</v>
      </c>
      <c r="B33" s="15">
        <v>2007</v>
      </c>
      <c r="C33" s="15">
        <v>2008</v>
      </c>
      <c r="D33" s="15">
        <v>2009</v>
      </c>
      <c r="E33" s="15">
        <v>2010</v>
      </c>
      <c r="F33" s="15">
        <v>2011</v>
      </c>
      <c r="G33" s="15">
        <v>2012</v>
      </c>
      <c r="H33" s="15">
        <v>2013</v>
      </c>
      <c r="I33" s="15">
        <v>2014</v>
      </c>
      <c r="J33" s="15">
        <v>2015</v>
      </c>
      <c r="K33" s="15">
        <v>2016</v>
      </c>
      <c r="L33" s="15">
        <v>2017</v>
      </c>
      <c r="M33" s="15">
        <v>2018</v>
      </c>
      <c r="N33" s="15">
        <v>2019</v>
      </c>
      <c r="O33" s="15">
        <v>2020</v>
      </c>
      <c r="P33" s="15">
        <v>2021</v>
      </c>
      <c r="Q33" s="15">
        <v>2022</v>
      </c>
      <c r="R33" s="15">
        <v>2023</v>
      </c>
      <c r="S33" s="15">
        <v>2024</v>
      </c>
      <c r="T33" s="27" t="s">
        <v>469</v>
      </c>
      <c r="U33" s="27" t="s">
        <v>470</v>
      </c>
      <c r="V33" s="27" t="s">
        <v>471</v>
      </c>
    </row>
    <row r="34" spans="1:22" ht="15" customHeight="1" x14ac:dyDescent="0.2">
      <c r="A34" s="30" t="s">
        <v>8</v>
      </c>
      <c r="B34" s="219">
        <v>2.9191919191919182</v>
      </c>
      <c r="C34" s="219">
        <v>2.573248407643312</v>
      </c>
      <c r="D34" s="219">
        <v>2.7719298245614041</v>
      </c>
      <c r="E34" s="219">
        <v>3.022598870056497</v>
      </c>
      <c r="F34" s="219">
        <v>2.2955974842767297</v>
      </c>
      <c r="G34" s="219">
        <v>3.023391812865496</v>
      </c>
      <c r="H34" s="219">
        <v>3.0441988950276242</v>
      </c>
      <c r="I34" s="219">
        <v>3.0909090909090908</v>
      </c>
      <c r="J34" s="219">
        <v>3.3603603603603602</v>
      </c>
      <c r="K34" s="219">
        <v>4.1706896551724126</v>
      </c>
      <c r="L34" s="219">
        <v>3.2446351931330488</v>
      </c>
      <c r="M34" s="219">
        <v>3.7076502732240435</v>
      </c>
      <c r="N34" s="219">
        <v>3.9649681528662426</v>
      </c>
      <c r="O34" s="219">
        <v>3.4310954063604209</v>
      </c>
      <c r="P34" s="219">
        <v>2.9849397590361431</v>
      </c>
      <c r="Q34" s="219">
        <v>2.9746835443037973</v>
      </c>
      <c r="R34" s="219">
        <v>2.5080385852090048</v>
      </c>
      <c r="S34" s="219">
        <v>3.1509433962264151</v>
      </c>
      <c r="T34" s="61">
        <f t="shared" ref="T34:T44" si="18">IFERROR((S34-J34),"n/a")</f>
        <v>-0.20941696413394517</v>
      </c>
      <c r="U34" s="61">
        <f t="shared" ref="U34:U44" si="19">IFERROR((S34-O34),"n/a")</f>
        <v>-0.28015201013400581</v>
      </c>
      <c r="V34" s="61">
        <f t="shared" ref="V34:V44" si="20">IFERROR((S34-R34),"n/a")</f>
        <v>0.64290481101741026</v>
      </c>
    </row>
    <row r="35" spans="1:22" ht="15" customHeight="1" x14ac:dyDescent="0.2">
      <c r="A35" s="30" t="s">
        <v>9</v>
      </c>
      <c r="B35" s="219">
        <v>5.4615384615384617</v>
      </c>
      <c r="C35" s="219" t="s">
        <v>100</v>
      </c>
      <c r="D35" s="219" t="s">
        <v>100</v>
      </c>
      <c r="E35" s="219" t="s">
        <v>100</v>
      </c>
      <c r="F35" s="219" t="s">
        <v>100</v>
      </c>
      <c r="G35" s="219" t="s">
        <v>100</v>
      </c>
      <c r="H35" s="219" t="s">
        <v>100</v>
      </c>
      <c r="I35" s="219" t="s">
        <v>100</v>
      </c>
      <c r="J35" s="219" t="s">
        <v>100</v>
      </c>
      <c r="K35" s="219">
        <v>4.3</v>
      </c>
      <c r="L35" s="219" t="s">
        <v>100</v>
      </c>
      <c r="M35" s="219" t="s">
        <v>100</v>
      </c>
      <c r="N35" s="219" t="s">
        <v>100</v>
      </c>
      <c r="O35" s="219" t="s">
        <v>100</v>
      </c>
      <c r="P35" s="219" t="s">
        <v>100</v>
      </c>
      <c r="Q35" s="219">
        <v>3.4210526315789473</v>
      </c>
      <c r="R35" s="219" t="s">
        <v>100</v>
      </c>
      <c r="S35" s="219" t="s">
        <v>100</v>
      </c>
      <c r="T35" s="61" t="str">
        <f t="shared" si="18"/>
        <v>n/a</v>
      </c>
      <c r="U35" s="61" t="str">
        <f t="shared" si="19"/>
        <v>n/a</v>
      </c>
      <c r="V35" s="61" t="str">
        <f t="shared" si="20"/>
        <v>n/a</v>
      </c>
    </row>
    <row r="36" spans="1:22" ht="15" customHeight="1" x14ac:dyDescent="0.2">
      <c r="A36" s="30" t="s">
        <v>10</v>
      </c>
      <c r="B36" s="219">
        <v>4.5714285714285712</v>
      </c>
      <c r="C36" s="219">
        <v>3.2749999999999999</v>
      </c>
      <c r="D36" s="219">
        <v>3.947368421052631</v>
      </c>
      <c r="E36" s="219">
        <v>3.35</v>
      </c>
      <c r="F36" s="219">
        <v>3.2142857142857153</v>
      </c>
      <c r="G36" s="219" t="s">
        <v>100</v>
      </c>
      <c r="H36" s="219">
        <v>3.7500000000000004</v>
      </c>
      <c r="I36" s="219">
        <v>2.9999999999999987</v>
      </c>
      <c r="J36" s="219">
        <v>4.1428571428571432</v>
      </c>
      <c r="K36" s="219">
        <v>5.615384615384615</v>
      </c>
      <c r="L36" s="219">
        <v>5.125</v>
      </c>
      <c r="M36" s="219" t="s">
        <v>100</v>
      </c>
      <c r="N36" s="219">
        <v>6.0869565217391308</v>
      </c>
      <c r="O36" s="219" t="s">
        <v>100</v>
      </c>
      <c r="P36" s="219">
        <v>5.5454545454545467</v>
      </c>
      <c r="Q36" s="219">
        <v>4.5333333333333332</v>
      </c>
      <c r="R36" s="219">
        <v>7.0476190476190492</v>
      </c>
      <c r="S36" s="219">
        <v>4.6756756756756745</v>
      </c>
      <c r="T36" s="61">
        <f t="shared" si="18"/>
        <v>0.53281853281853131</v>
      </c>
      <c r="U36" s="61" t="str">
        <f t="shared" si="19"/>
        <v>n/a</v>
      </c>
      <c r="V36" s="61">
        <f t="shared" si="20"/>
        <v>-2.3719433719433747</v>
      </c>
    </row>
    <row r="37" spans="1:22" ht="15" customHeight="1" x14ac:dyDescent="0.2">
      <c r="A37" s="30" t="s">
        <v>11</v>
      </c>
      <c r="B37" s="219">
        <v>3.5789473684210495</v>
      </c>
      <c r="C37" s="219">
        <v>2</v>
      </c>
      <c r="D37" s="219" t="s">
        <v>100</v>
      </c>
      <c r="E37" s="219" t="s">
        <v>100</v>
      </c>
      <c r="F37" s="219" t="s">
        <v>100</v>
      </c>
      <c r="G37" s="219" t="s">
        <v>100</v>
      </c>
      <c r="H37" s="219">
        <v>1.65</v>
      </c>
      <c r="I37" s="219" t="s">
        <v>100</v>
      </c>
      <c r="J37" s="219" t="s">
        <v>100</v>
      </c>
      <c r="K37" s="219" t="s">
        <v>100</v>
      </c>
      <c r="L37" s="219" t="s">
        <v>100</v>
      </c>
      <c r="M37" s="219" t="s">
        <v>100</v>
      </c>
      <c r="N37" s="219" t="s">
        <v>100</v>
      </c>
      <c r="O37" s="219" t="s">
        <v>100</v>
      </c>
      <c r="P37" s="219">
        <v>2.0555555555555554</v>
      </c>
      <c r="Q37" s="219">
        <v>2</v>
      </c>
      <c r="R37" s="219" t="s">
        <v>100</v>
      </c>
      <c r="S37" s="219" t="s">
        <v>100</v>
      </c>
      <c r="T37" s="61" t="str">
        <f t="shared" si="18"/>
        <v>n/a</v>
      </c>
      <c r="U37" s="61" t="str">
        <f t="shared" si="19"/>
        <v>n/a</v>
      </c>
      <c r="V37" s="61" t="str">
        <f t="shared" si="20"/>
        <v>n/a</v>
      </c>
    </row>
    <row r="38" spans="1:22" ht="15" customHeight="1" x14ac:dyDescent="0.2">
      <c r="A38" s="30" t="s">
        <v>12</v>
      </c>
      <c r="B38" s="219">
        <v>3.6356589147286797</v>
      </c>
      <c r="C38" s="219">
        <v>3.5809859154929575</v>
      </c>
      <c r="D38" s="219">
        <v>2.8518518518518525</v>
      </c>
      <c r="E38" s="219">
        <v>3.9351851851851856</v>
      </c>
      <c r="F38" s="219">
        <v>3.3999999999999995</v>
      </c>
      <c r="G38" s="219">
        <v>4.024096385542169</v>
      </c>
      <c r="H38" s="219">
        <v>3.1580645161290333</v>
      </c>
      <c r="I38" s="219">
        <v>3.098039215686275</v>
      </c>
      <c r="J38" s="219">
        <v>3.123249299719888</v>
      </c>
      <c r="K38" s="219">
        <v>3.3705882352941177</v>
      </c>
      <c r="L38" s="219">
        <v>3.4093137254901955</v>
      </c>
      <c r="M38" s="219">
        <v>3.4270270270270262</v>
      </c>
      <c r="N38" s="219">
        <v>3.4438775510204089</v>
      </c>
      <c r="O38" s="219">
        <v>3.6280701754385971</v>
      </c>
      <c r="P38" s="219">
        <v>3.1728395061728394</v>
      </c>
      <c r="Q38" s="219">
        <v>3.9841269841269837</v>
      </c>
      <c r="R38" s="219">
        <v>3.6784452296819778</v>
      </c>
      <c r="S38" s="219">
        <v>3.1932367149758467</v>
      </c>
      <c r="T38" s="61">
        <f t="shared" si="18"/>
        <v>6.9987415255958751E-2</v>
      </c>
      <c r="U38" s="61">
        <f t="shared" si="19"/>
        <v>-0.4348334604627504</v>
      </c>
      <c r="V38" s="61">
        <f t="shared" si="20"/>
        <v>-0.48520851470613113</v>
      </c>
    </row>
    <row r="39" spans="1:22" ht="15" customHeight="1" x14ac:dyDescent="0.2">
      <c r="A39" s="30" t="s">
        <v>13</v>
      </c>
      <c r="B39" s="219">
        <v>2.0919540229885056</v>
      </c>
      <c r="C39" s="219">
        <v>2.5368421052631587</v>
      </c>
      <c r="D39" s="219">
        <v>2.9111111111111119</v>
      </c>
      <c r="E39" s="219">
        <v>2.3142857142857132</v>
      </c>
      <c r="F39" s="219">
        <v>2.5952380952380953</v>
      </c>
      <c r="G39" s="219">
        <v>2.6888888888888891</v>
      </c>
      <c r="H39" s="219">
        <v>2.1694915254237288</v>
      </c>
      <c r="I39" s="219">
        <v>2.3076923076923097</v>
      </c>
      <c r="J39" s="219">
        <v>2.0420168067226894</v>
      </c>
      <c r="K39" s="219">
        <v>2.7922077922077899</v>
      </c>
      <c r="L39" s="219">
        <v>2.1744186046511627</v>
      </c>
      <c r="M39" s="219">
        <v>2.1411764705882361</v>
      </c>
      <c r="N39" s="219">
        <v>1.8359375</v>
      </c>
      <c r="O39" s="219">
        <v>2.9285714285714284</v>
      </c>
      <c r="P39" s="219">
        <v>1.9360000000000013</v>
      </c>
      <c r="Q39" s="219">
        <v>3.4181494661921721</v>
      </c>
      <c r="R39" s="219">
        <v>2.3265306122448974</v>
      </c>
      <c r="S39" s="219">
        <v>2.3390804597701154</v>
      </c>
      <c r="T39" s="61">
        <f t="shared" si="18"/>
        <v>0.29706365304742599</v>
      </c>
      <c r="U39" s="61">
        <f t="shared" si="19"/>
        <v>-0.58949096880131302</v>
      </c>
      <c r="V39" s="61">
        <f t="shared" si="20"/>
        <v>1.2549847525217928E-2</v>
      </c>
    </row>
    <row r="40" spans="1:22" ht="15" customHeight="1" x14ac:dyDescent="0.2">
      <c r="A40" s="30" t="s">
        <v>14</v>
      </c>
      <c r="B40" s="219">
        <v>3.9038461538461529</v>
      </c>
      <c r="C40" s="219">
        <v>3.6528751753155686</v>
      </c>
      <c r="D40" s="219">
        <v>3.7717917675544794</v>
      </c>
      <c r="E40" s="219">
        <v>3.844900849858357</v>
      </c>
      <c r="F40" s="219">
        <v>3.5196419691695673</v>
      </c>
      <c r="G40" s="219">
        <v>3.9148056244830447</v>
      </c>
      <c r="H40" s="219">
        <v>3.3944444444444439</v>
      </c>
      <c r="I40" s="219">
        <v>3.2447643979057594</v>
      </c>
      <c r="J40" s="219">
        <v>3.6700143472022955</v>
      </c>
      <c r="K40" s="219">
        <v>4.6731123388581954</v>
      </c>
      <c r="L40" s="219">
        <v>3.92</v>
      </c>
      <c r="M40" s="219">
        <v>4.136394790952707</v>
      </c>
      <c r="N40" s="219">
        <v>4.3169811320754716</v>
      </c>
      <c r="O40" s="219">
        <v>3.7834394904458599</v>
      </c>
      <c r="P40" s="219">
        <v>3.6208997188378631</v>
      </c>
      <c r="Q40" s="219">
        <v>3.6402597402597401</v>
      </c>
      <c r="R40" s="219">
        <v>3.8017711171662132</v>
      </c>
      <c r="S40" s="219">
        <v>3.6506189821182939</v>
      </c>
      <c r="T40" s="61">
        <f t="shared" si="18"/>
        <v>-1.9395365084001526E-2</v>
      </c>
      <c r="U40" s="61">
        <f t="shared" si="19"/>
        <v>-0.13282050832756598</v>
      </c>
      <c r="V40" s="61">
        <f t="shared" si="20"/>
        <v>-0.15115213504791924</v>
      </c>
    </row>
    <row r="41" spans="1:22" ht="15" customHeight="1" x14ac:dyDescent="0.2">
      <c r="A41" s="30" t="s">
        <v>15</v>
      </c>
      <c r="B41" s="219">
        <v>6.2500000000000009</v>
      </c>
      <c r="C41" s="219">
        <v>3.6296296296296298</v>
      </c>
      <c r="D41" s="219" t="s">
        <v>100</v>
      </c>
      <c r="E41" s="219" t="s">
        <v>100</v>
      </c>
      <c r="F41" s="219">
        <v>3.9285714285714297</v>
      </c>
      <c r="G41" s="219">
        <v>6.1818181818181817</v>
      </c>
      <c r="H41" s="219">
        <v>4.3846153846153859</v>
      </c>
      <c r="I41" s="219">
        <v>5.9444444444444446</v>
      </c>
      <c r="J41" s="219" t="s">
        <v>100</v>
      </c>
      <c r="K41" s="219">
        <v>5.15</v>
      </c>
      <c r="L41" s="219">
        <v>5.916666666666667</v>
      </c>
      <c r="M41" s="219" t="s">
        <v>100</v>
      </c>
      <c r="N41" s="219" t="s">
        <v>100</v>
      </c>
      <c r="O41" s="219" t="s">
        <v>100</v>
      </c>
      <c r="P41" s="219" t="s">
        <v>100</v>
      </c>
      <c r="Q41" s="219" t="s">
        <v>100</v>
      </c>
      <c r="R41" s="219" t="s">
        <v>100</v>
      </c>
      <c r="S41" s="219">
        <v>4</v>
      </c>
      <c r="T41" s="61" t="str">
        <f t="shared" si="18"/>
        <v>n/a</v>
      </c>
      <c r="U41" s="61" t="str">
        <f t="shared" si="19"/>
        <v>n/a</v>
      </c>
      <c r="V41" s="61" t="str">
        <f t="shared" si="20"/>
        <v>n/a</v>
      </c>
    </row>
    <row r="42" spans="1:22" ht="15" customHeight="1" x14ac:dyDescent="0.2">
      <c r="A42" s="30" t="s">
        <v>16</v>
      </c>
      <c r="B42" s="219">
        <v>2.2884615384615383</v>
      </c>
      <c r="C42" s="219" t="s">
        <v>100</v>
      </c>
      <c r="D42" s="219">
        <v>2.9729729729729728</v>
      </c>
      <c r="E42" s="219">
        <v>3.0000000000000004</v>
      </c>
      <c r="F42" s="219">
        <v>2.8014705882352939</v>
      </c>
      <c r="G42" s="219">
        <v>3.3761467889908259</v>
      </c>
      <c r="H42" s="219">
        <v>3.0373333333333332</v>
      </c>
      <c r="I42" s="219">
        <v>3.4738805970149254</v>
      </c>
      <c r="J42" s="219">
        <v>3.456410256410257</v>
      </c>
      <c r="K42" s="219">
        <v>2.9008264462809916</v>
      </c>
      <c r="L42" s="219">
        <v>3.0890688259109313</v>
      </c>
      <c r="M42" s="219">
        <v>3.2821576763485472</v>
      </c>
      <c r="N42" s="219">
        <v>3.1940298507462686</v>
      </c>
      <c r="O42" s="219">
        <v>3.8226950354609923</v>
      </c>
      <c r="P42" s="219">
        <v>3.1780821917808209</v>
      </c>
      <c r="Q42" s="219">
        <v>3.4521276595744692</v>
      </c>
      <c r="R42" s="219">
        <v>3.5231213872832372</v>
      </c>
      <c r="S42" s="219">
        <v>3.2426900584795328</v>
      </c>
      <c r="T42" s="61">
        <f t="shared" si="18"/>
        <v>-0.21372019793072417</v>
      </c>
      <c r="U42" s="61">
        <f t="shared" si="19"/>
        <v>-0.58000497698145947</v>
      </c>
      <c r="V42" s="61">
        <f t="shared" si="20"/>
        <v>-0.28043132880370436</v>
      </c>
    </row>
    <row r="43" spans="1:22" ht="15" customHeight="1" x14ac:dyDescent="0.2">
      <c r="A43" s="30" t="s">
        <v>17</v>
      </c>
      <c r="B43" s="219">
        <v>2.5138888888888871</v>
      </c>
      <c r="C43" s="219">
        <v>2.75</v>
      </c>
      <c r="D43" s="219">
        <v>2.5494505494505493</v>
      </c>
      <c r="E43" s="219">
        <v>1.8345864661654132</v>
      </c>
      <c r="F43" s="219">
        <v>2.7578125000000009</v>
      </c>
      <c r="G43" s="219">
        <v>3.5104166666666665</v>
      </c>
      <c r="H43" s="219">
        <v>2.5249999999999999</v>
      </c>
      <c r="I43" s="219">
        <v>2.944444444444446</v>
      </c>
      <c r="J43" s="219">
        <v>3.2096774193548381</v>
      </c>
      <c r="K43" s="219">
        <v>2.9375000000000009</v>
      </c>
      <c r="L43" s="219">
        <v>2.6951219512195119</v>
      </c>
      <c r="M43" s="219">
        <v>2.6923076923076925</v>
      </c>
      <c r="N43" s="219">
        <v>2.5227272727272729</v>
      </c>
      <c r="O43" s="219" t="s">
        <v>100</v>
      </c>
      <c r="P43" s="219">
        <v>3.4210526315789473</v>
      </c>
      <c r="Q43" s="219">
        <v>3.1250000000000013</v>
      </c>
      <c r="R43" s="219" t="s">
        <v>100</v>
      </c>
      <c r="S43" s="219">
        <v>3.2105263157894717</v>
      </c>
      <c r="T43" s="61">
        <f t="shared" si="18"/>
        <v>8.4889643463359477E-4</v>
      </c>
      <c r="U43" s="61" t="str">
        <f t="shared" si="19"/>
        <v>n/a</v>
      </c>
      <c r="V43" s="61" t="str">
        <f t="shared" si="20"/>
        <v>n/a</v>
      </c>
    </row>
    <row r="44" spans="1:22" ht="15" customHeight="1" x14ac:dyDescent="0.2">
      <c r="A44" s="42" t="s">
        <v>0</v>
      </c>
      <c r="B44" s="215">
        <v>3.5905349794238677</v>
      </c>
      <c r="C44" s="215">
        <v>3.4692343823391263</v>
      </c>
      <c r="D44" s="215">
        <v>3.4947981689554721</v>
      </c>
      <c r="E44" s="215">
        <v>3.5852731591448932</v>
      </c>
      <c r="F44" s="215">
        <v>3.3425925925925926</v>
      </c>
      <c r="G44" s="215">
        <v>3.7586384734399174</v>
      </c>
      <c r="H44" s="215">
        <v>3.2635861668119732</v>
      </c>
      <c r="I44" s="215">
        <v>3.2302955665024631</v>
      </c>
      <c r="J44" s="215">
        <v>3.4396</v>
      </c>
      <c r="K44" s="215">
        <v>4.3380820752711031</v>
      </c>
      <c r="L44" s="215">
        <v>3.6306888068880689</v>
      </c>
      <c r="M44" s="215">
        <v>3.8158205430932703</v>
      </c>
      <c r="N44" s="215">
        <v>3.9361769352290681</v>
      </c>
      <c r="O44" s="215">
        <v>3.7095571095571089</v>
      </c>
      <c r="P44" s="215">
        <v>3.406816088424931</v>
      </c>
      <c r="Q44" s="215">
        <v>3.5730530668504481</v>
      </c>
      <c r="R44" s="215">
        <v>3.5098559514783929</v>
      </c>
      <c r="S44" s="215">
        <v>3.4592145015105742</v>
      </c>
      <c r="T44" s="212">
        <f t="shared" si="18"/>
        <v>1.96145015105742E-2</v>
      </c>
      <c r="U44" s="212">
        <f t="shared" si="19"/>
        <v>-0.25034260804653474</v>
      </c>
      <c r="V44" s="212">
        <f t="shared" si="20"/>
        <v>-5.0641449967818719E-2</v>
      </c>
    </row>
    <row r="45" spans="1:22" ht="15" customHeight="1" x14ac:dyDescent="0.2">
      <c r="A45" s="158" t="s">
        <v>415</v>
      </c>
      <c r="B45" s="180"/>
      <c r="C45" s="180"/>
      <c r="D45" s="180"/>
      <c r="E45" s="180"/>
      <c r="F45" s="180"/>
      <c r="G45" s="180"/>
      <c r="H45" s="180"/>
      <c r="I45" s="180"/>
      <c r="J45" s="180"/>
      <c r="K45" s="180"/>
      <c r="L45" s="180"/>
      <c r="M45" s="180"/>
      <c r="N45" s="180"/>
      <c r="O45" s="180"/>
      <c r="P45" s="180"/>
      <c r="Q45" s="180"/>
      <c r="R45" s="180"/>
      <c r="S45" s="180"/>
      <c r="T45" s="181"/>
      <c r="U45" s="181"/>
      <c r="V45" s="181"/>
    </row>
    <row r="46" spans="1:22" ht="15" customHeight="1" x14ac:dyDescent="0.2"/>
    <row r="47" spans="1:22" ht="15" customHeight="1" x14ac:dyDescent="0.2">
      <c r="A47" s="35" t="s">
        <v>591</v>
      </c>
      <c r="B47" s="35"/>
      <c r="C47" s="35"/>
      <c r="D47" s="35"/>
      <c r="E47" s="35"/>
      <c r="F47" s="35"/>
      <c r="G47" s="35"/>
      <c r="H47" s="35"/>
      <c r="I47" s="35"/>
      <c r="J47" s="35"/>
      <c r="K47" s="35"/>
      <c r="L47" s="35"/>
      <c r="M47" s="35"/>
      <c r="N47" s="35"/>
      <c r="O47" s="35"/>
      <c r="P47" s="35"/>
      <c r="Q47" s="35"/>
      <c r="R47" s="35"/>
      <c r="S47" s="35"/>
      <c r="T47" s="75"/>
      <c r="U47" s="75"/>
      <c r="V47" s="75"/>
    </row>
    <row r="48" spans="1:22" ht="38.25" x14ac:dyDescent="0.2">
      <c r="A48" s="36" t="s">
        <v>577</v>
      </c>
      <c r="B48" s="15">
        <v>2007</v>
      </c>
      <c r="C48" s="15">
        <v>2008</v>
      </c>
      <c r="D48" s="15">
        <v>2009</v>
      </c>
      <c r="E48" s="15">
        <v>2010</v>
      </c>
      <c r="F48" s="15">
        <v>2011</v>
      </c>
      <c r="G48" s="15">
        <v>2012</v>
      </c>
      <c r="H48" s="15">
        <v>2013</v>
      </c>
      <c r="I48" s="15">
        <v>2014</v>
      </c>
      <c r="J48" s="15">
        <v>2015</v>
      </c>
      <c r="K48" s="15">
        <v>2016</v>
      </c>
      <c r="L48" s="15">
        <v>2017</v>
      </c>
      <c r="M48" s="15">
        <v>2018</v>
      </c>
      <c r="N48" s="15">
        <v>2019</v>
      </c>
      <c r="O48" s="15">
        <v>2020</v>
      </c>
      <c r="P48" s="15">
        <v>2021</v>
      </c>
      <c r="Q48" s="15">
        <v>2022</v>
      </c>
      <c r="R48" s="15">
        <v>2023</v>
      </c>
      <c r="S48" s="15">
        <v>2024</v>
      </c>
      <c r="T48" s="27" t="s">
        <v>469</v>
      </c>
      <c r="U48" s="27" t="s">
        <v>470</v>
      </c>
      <c r="V48" s="27" t="s">
        <v>471</v>
      </c>
    </row>
    <row r="49" spans="1:22" ht="15" customHeight="1" x14ac:dyDescent="0.2">
      <c r="A49" s="30" t="s">
        <v>8</v>
      </c>
      <c r="B49" s="218">
        <v>2.3820375335120652</v>
      </c>
      <c r="C49" s="218">
        <v>2.632332878581173</v>
      </c>
      <c r="D49" s="218">
        <v>2.6344142259414216</v>
      </c>
      <c r="E49" s="218">
        <v>2.1017382413087935</v>
      </c>
      <c r="F49" s="218">
        <v>2.295144157814871</v>
      </c>
      <c r="G49" s="218">
        <v>2.0064039408866989</v>
      </c>
      <c r="H49" s="218">
        <v>2.2223382045929019</v>
      </c>
      <c r="I49" s="218">
        <v>2.0687872763419484</v>
      </c>
      <c r="J49" s="218">
        <v>2.3402697495183045</v>
      </c>
      <c r="K49" s="218">
        <v>2.0998694516971281</v>
      </c>
      <c r="L49" s="218">
        <v>2.164564749307905</v>
      </c>
      <c r="M49" s="218">
        <v>2.2700653594771247</v>
      </c>
      <c r="N49" s="218">
        <v>2.1216959375554372</v>
      </c>
      <c r="O49" s="218">
        <v>2.2546491108999591</v>
      </c>
      <c r="P49" s="218">
        <v>2.3043528864059586</v>
      </c>
      <c r="Q49" s="218">
        <v>2.2791120080726537</v>
      </c>
      <c r="R49" s="218">
        <v>2.2646522531909352</v>
      </c>
      <c r="S49" s="218">
        <v>2.0037137741229527</v>
      </c>
      <c r="T49" s="214">
        <f t="shared" ref="T49:T59" si="21">IFERROR((S49-J49),"n/a")</f>
        <v>-0.33655597539535176</v>
      </c>
      <c r="U49" s="214">
        <f t="shared" ref="U49:U59" si="22">IFERROR((S49-O49),"n/a")</f>
        <v>-0.25093533677700641</v>
      </c>
      <c r="V49" s="214">
        <f t="shared" ref="V49:V59" si="23">IFERROR((S49-R49),"n/a")</f>
        <v>-0.26093847906798251</v>
      </c>
    </row>
    <row r="50" spans="1:22" ht="15" customHeight="1" x14ac:dyDescent="0.2">
      <c r="A50" s="30" t="s">
        <v>9</v>
      </c>
      <c r="B50" s="218">
        <v>4.1428571428571432</v>
      </c>
      <c r="C50" s="218" t="s">
        <v>100</v>
      </c>
      <c r="D50" s="218">
        <v>4.28</v>
      </c>
      <c r="E50" s="218">
        <v>3.4074074074074074</v>
      </c>
      <c r="F50" s="218">
        <v>3.0338983050847448</v>
      </c>
      <c r="G50" s="218">
        <v>3.4285714285714284</v>
      </c>
      <c r="H50" s="218" t="s">
        <v>100</v>
      </c>
      <c r="I50" s="218">
        <v>4.4473684210526327</v>
      </c>
      <c r="J50" s="218">
        <v>3.3749999999999991</v>
      </c>
      <c r="K50" s="218">
        <v>2.1333333333333333</v>
      </c>
      <c r="L50" s="218">
        <v>3.0158730158730158</v>
      </c>
      <c r="M50" s="218">
        <v>2.6034482758620694</v>
      </c>
      <c r="N50" s="218">
        <v>2.4509803921568629</v>
      </c>
      <c r="O50" s="218">
        <v>1.2727272727272725</v>
      </c>
      <c r="P50" s="218">
        <v>1.8908045977011494</v>
      </c>
      <c r="Q50" s="218">
        <v>2.1370716510903427</v>
      </c>
      <c r="R50" s="218">
        <v>2.1362637362637367</v>
      </c>
      <c r="S50" s="218">
        <v>1.9644670050761421</v>
      </c>
      <c r="T50" s="214">
        <f t="shared" si="21"/>
        <v>-1.410532994923857</v>
      </c>
      <c r="U50" s="214">
        <f t="shared" si="22"/>
        <v>0.69173973234886965</v>
      </c>
      <c r="V50" s="214">
        <f t="shared" si="23"/>
        <v>-0.17179673118759453</v>
      </c>
    </row>
    <row r="51" spans="1:22" ht="15" customHeight="1" x14ac:dyDescent="0.2">
      <c r="A51" s="30" t="s">
        <v>10</v>
      </c>
      <c r="B51" s="218" t="s">
        <v>100</v>
      </c>
      <c r="C51" s="218">
        <v>2.0208333333333335</v>
      </c>
      <c r="D51" s="218">
        <v>2</v>
      </c>
      <c r="E51" s="218">
        <v>1.7325581395348848</v>
      </c>
      <c r="F51" s="218">
        <v>2.1276595744680851</v>
      </c>
      <c r="G51" s="218">
        <v>2.1851851851851851</v>
      </c>
      <c r="H51" s="218">
        <v>1.7428571428571429</v>
      </c>
      <c r="I51" s="218">
        <v>1.449438202247191</v>
      </c>
      <c r="J51" s="218">
        <v>2.1142857142857139</v>
      </c>
      <c r="K51" s="218">
        <v>2.0562499999999999</v>
      </c>
      <c r="L51" s="218">
        <v>1.4827586206896552</v>
      </c>
      <c r="M51" s="218">
        <v>1.6190476190476191</v>
      </c>
      <c r="N51" s="218">
        <v>1.7999999999999994</v>
      </c>
      <c r="O51" s="218">
        <v>2.5102564102564062</v>
      </c>
      <c r="P51" s="218">
        <v>3.4349112426035489</v>
      </c>
      <c r="Q51" s="218">
        <v>2.6159509202453988</v>
      </c>
      <c r="R51" s="218">
        <v>2.1865030674846624</v>
      </c>
      <c r="S51" s="218">
        <v>1.9638949671772421</v>
      </c>
      <c r="T51" s="214">
        <f t="shared" si="21"/>
        <v>-0.15039074710847178</v>
      </c>
      <c r="U51" s="214">
        <f t="shared" si="22"/>
        <v>-0.54636144307916412</v>
      </c>
      <c r="V51" s="214">
        <f t="shared" si="23"/>
        <v>-0.22260810030742029</v>
      </c>
    </row>
    <row r="52" spans="1:22" ht="15" customHeight="1" x14ac:dyDescent="0.2">
      <c r="A52" s="30" t="s">
        <v>11</v>
      </c>
      <c r="B52" s="218">
        <v>2.0416666666666665</v>
      </c>
      <c r="C52" s="218" t="s">
        <v>100</v>
      </c>
      <c r="D52" s="218">
        <v>3.5000000000000004</v>
      </c>
      <c r="E52" s="218">
        <v>1.6333333333333335</v>
      </c>
      <c r="F52" s="218">
        <v>2.476923076923077</v>
      </c>
      <c r="G52" s="218">
        <v>1.8709677419354838</v>
      </c>
      <c r="H52" s="218">
        <v>2.12</v>
      </c>
      <c r="I52" s="218">
        <v>2.5384615384615383</v>
      </c>
      <c r="J52" s="218">
        <v>2.0222222222222239</v>
      </c>
      <c r="K52" s="218">
        <v>2.3125000000000009</v>
      </c>
      <c r="L52" s="218">
        <v>2.8064516129032255</v>
      </c>
      <c r="M52" s="218">
        <v>1.8125</v>
      </c>
      <c r="N52" s="218">
        <v>1.9173553719008265</v>
      </c>
      <c r="O52" s="218">
        <v>2.725135623869801</v>
      </c>
      <c r="P52" s="218">
        <v>2.1797752808988768</v>
      </c>
      <c r="Q52" s="218">
        <v>1.9304403318442891</v>
      </c>
      <c r="R52" s="218">
        <v>2.2435991221653255</v>
      </c>
      <c r="S52" s="218">
        <v>2.2171226831421009</v>
      </c>
      <c r="T52" s="214">
        <f t="shared" si="21"/>
        <v>0.19490046091987701</v>
      </c>
      <c r="U52" s="214">
        <f t="shared" si="22"/>
        <v>-0.50801294072770009</v>
      </c>
      <c r="V52" s="214">
        <f t="shared" si="23"/>
        <v>-2.6476439023224607E-2</v>
      </c>
    </row>
    <row r="53" spans="1:22" ht="15" customHeight="1" x14ac:dyDescent="0.2">
      <c r="A53" s="30" t="s">
        <v>12</v>
      </c>
      <c r="B53" s="218">
        <v>1.9751243781094525</v>
      </c>
      <c r="C53" s="218">
        <v>1.9080717488789232</v>
      </c>
      <c r="D53" s="218">
        <v>2.2251908396946547</v>
      </c>
      <c r="E53" s="218">
        <v>1.9741035856573705</v>
      </c>
      <c r="F53" s="218">
        <v>1.9796610169491529</v>
      </c>
      <c r="G53" s="218">
        <v>2.3084112149532712</v>
      </c>
      <c r="H53" s="218">
        <v>2.0151133501259446</v>
      </c>
      <c r="I53" s="218">
        <v>2.1403940886699511</v>
      </c>
      <c r="J53" s="218">
        <v>2.4646365422396848</v>
      </c>
      <c r="K53" s="218">
        <v>2.1182608695652174</v>
      </c>
      <c r="L53" s="218">
        <v>2.0033222591362128</v>
      </c>
      <c r="M53" s="218">
        <v>1.9361179361179359</v>
      </c>
      <c r="N53" s="218">
        <v>2.0937178166838311</v>
      </c>
      <c r="O53" s="218">
        <v>1.7927733168622606</v>
      </c>
      <c r="P53" s="218">
        <v>2.0100563153660498</v>
      </c>
      <c r="Q53" s="218">
        <v>2.2940043342162291</v>
      </c>
      <c r="R53" s="218">
        <v>1.8671081677704198</v>
      </c>
      <c r="S53" s="218">
        <v>1.9582434816702607</v>
      </c>
      <c r="T53" s="214">
        <f t="shared" si="21"/>
        <v>-0.50639306056942401</v>
      </c>
      <c r="U53" s="214">
        <f t="shared" si="22"/>
        <v>0.16547016480800014</v>
      </c>
      <c r="V53" s="214">
        <f t="shared" si="23"/>
        <v>9.1135313899840975E-2</v>
      </c>
    </row>
    <row r="54" spans="1:22" ht="15" customHeight="1" x14ac:dyDescent="0.2">
      <c r="A54" s="30" t="s">
        <v>13</v>
      </c>
      <c r="B54" s="218">
        <v>2.9333333333333331</v>
      </c>
      <c r="C54" s="218">
        <v>1.8640000000000001</v>
      </c>
      <c r="D54" s="218">
        <v>1.9924528301886792</v>
      </c>
      <c r="E54" s="218">
        <v>2.0160256410256414</v>
      </c>
      <c r="F54" s="218">
        <v>2.496815286624205</v>
      </c>
      <c r="G54" s="218">
        <v>2.3556231003039509</v>
      </c>
      <c r="H54" s="218">
        <v>2.3192488262910786</v>
      </c>
      <c r="I54" s="218">
        <v>2</v>
      </c>
      <c r="J54" s="218">
        <v>2.3662477558348289</v>
      </c>
      <c r="K54" s="218">
        <v>2.4680851063829792</v>
      </c>
      <c r="L54" s="218">
        <v>2.2460202604920401</v>
      </c>
      <c r="M54" s="218">
        <v>2.2823218997361483</v>
      </c>
      <c r="N54" s="218">
        <v>2.1842629482071714</v>
      </c>
      <c r="O54" s="218">
        <v>2.05506993006993</v>
      </c>
      <c r="P54" s="218">
        <v>2.1436107854630722</v>
      </c>
      <c r="Q54" s="218">
        <v>2.5404821878373518</v>
      </c>
      <c r="R54" s="218">
        <v>2.331433581762385</v>
      </c>
      <c r="S54" s="218">
        <v>1.9224667349027627</v>
      </c>
      <c r="T54" s="214">
        <f t="shared" si="21"/>
        <v>-0.44378102093206628</v>
      </c>
      <c r="U54" s="214">
        <f t="shared" si="22"/>
        <v>-0.13260319516716734</v>
      </c>
      <c r="V54" s="214">
        <f t="shared" si="23"/>
        <v>-0.40896684685962237</v>
      </c>
    </row>
    <row r="55" spans="1:22" ht="15" customHeight="1" x14ac:dyDescent="0.2">
      <c r="A55" s="30" t="s">
        <v>14</v>
      </c>
      <c r="B55" s="218">
        <v>2.6016260162601625</v>
      </c>
      <c r="C55" s="218">
        <v>2.606741573033708</v>
      </c>
      <c r="D55" s="218">
        <v>2.3186528497409324</v>
      </c>
      <c r="E55" s="218">
        <v>1.9190600522193211</v>
      </c>
      <c r="F55" s="218">
        <v>2.1</v>
      </c>
      <c r="G55" s="218">
        <v>2.1149700598802399</v>
      </c>
      <c r="H55" s="218">
        <v>2.2867435158501439</v>
      </c>
      <c r="I55" s="218">
        <v>2.0461065573770494</v>
      </c>
      <c r="J55" s="218">
        <v>2.1322207958921693</v>
      </c>
      <c r="K55" s="218">
        <v>2.1901874310915113</v>
      </c>
      <c r="L55" s="218">
        <v>2.2527472527472523</v>
      </c>
      <c r="M55" s="218">
        <v>1.9366258741258742</v>
      </c>
      <c r="N55" s="218">
        <v>1.9807032590051459</v>
      </c>
      <c r="O55" s="218">
        <v>2.1618390804597705</v>
      </c>
      <c r="P55" s="218">
        <v>1.9321848509707409</v>
      </c>
      <c r="Q55" s="218">
        <v>2.3013981205592482</v>
      </c>
      <c r="R55" s="218">
        <v>2.1068981269986296</v>
      </c>
      <c r="S55" s="218">
        <v>1.8530098831985624</v>
      </c>
      <c r="T55" s="214">
        <f t="shared" si="21"/>
        <v>-0.27921091269360687</v>
      </c>
      <c r="U55" s="214">
        <f t="shared" si="22"/>
        <v>-0.30882919726120805</v>
      </c>
      <c r="V55" s="214">
        <f t="shared" si="23"/>
        <v>-0.25388824380006714</v>
      </c>
    </row>
    <row r="56" spans="1:22" ht="15" customHeight="1" x14ac:dyDescent="0.2">
      <c r="A56" s="30" t="s">
        <v>15</v>
      </c>
      <c r="B56" s="218">
        <v>4.0408163265306118</v>
      </c>
      <c r="C56" s="218">
        <v>3.1012658227848116</v>
      </c>
      <c r="D56" s="218">
        <v>2.024390243902439</v>
      </c>
      <c r="E56" s="218">
        <v>3.6438356164383561</v>
      </c>
      <c r="F56" s="218">
        <v>3.021505376344086</v>
      </c>
      <c r="G56" s="218">
        <v>2.8043478260869565</v>
      </c>
      <c r="H56" s="218">
        <v>2.6642857142857141</v>
      </c>
      <c r="I56" s="218">
        <v>3.84375</v>
      </c>
      <c r="J56" s="218">
        <v>1.6042296072507547</v>
      </c>
      <c r="K56" s="218">
        <v>1.7244897959183674</v>
      </c>
      <c r="L56" s="218">
        <v>2.7716535433070866</v>
      </c>
      <c r="M56" s="218">
        <v>2.2499999999999991</v>
      </c>
      <c r="N56" s="218">
        <v>2.628342245989304</v>
      </c>
      <c r="O56" s="218">
        <v>2.3039215686274508</v>
      </c>
      <c r="P56" s="218">
        <v>2.2945736434108519</v>
      </c>
      <c r="Q56" s="218">
        <v>2.6950757575757578</v>
      </c>
      <c r="R56" s="218">
        <v>2.3677130044843042</v>
      </c>
      <c r="S56" s="218">
        <v>2.2479338842975207</v>
      </c>
      <c r="T56" s="214">
        <f t="shared" si="21"/>
        <v>0.64370427704676603</v>
      </c>
      <c r="U56" s="214">
        <f t="shared" si="22"/>
        <v>-5.5987684329930065E-2</v>
      </c>
      <c r="V56" s="214">
        <f t="shared" si="23"/>
        <v>-0.11977912018678349</v>
      </c>
    </row>
    <row r="57" spans="1:22" ht="15" customHeight="1" x14ac:dyDescent="0.2">
      <c r="A57" s="30" t="s">
        <v>16</v>
      </c>
      <c r="B57" s="218">
        <v>2.1885521885521881</v>
      </c>
      <c r="C57" s="218">
        <v>2.636507936507936</v>
      </c>
      <c r="D57" s="218">
        <v>2.6577992744860941</v>
      </c>
      <c r="E57" s="218">
        <v>2.8008595988538678</v>
      </c>
      <c r="F57" s="218">
        <v>2.5244988864142539</v>
      </c>
      <c r="G57" s="218">
        <v>2.7195121951219501</v>
      </c>
      <c r="H57" s="218">
        <v>2.4265873015873014</v>
      </c>
      <c r="I57" s="218">
        <v>2.4013722126929675</v>
      </c>
      <c r="J57" s="218">
        <v>2.1965875370919883</v>
      </c>
      <c r="K57" s="218">
        <v>2.5532710280373832</v>
      </c>
      <c r="L57" s="218">
        <v>2.1562036579337618</v>
      </c>
      <c r="M57" s="218">
        <v>2.2066153149071139</v>
      </c>
      <c r="N57" s="218">
        <v>2.2723328228688104</v>
      </c>
      <c r="O57" s="218">
        <v>2.019235836627141</v>
      </c>
      <c r="P57" s="218">
        <v>2.5062444246208742</v>
      </c>
      <c r="Q57" s="218">
        <v>2.1590668080593853</v>
      </c>
      <c r="R57" s="218">
        <v>2.2779665624575234</v>
      </c>
      <c r="S57" s="218">
        <v>1.9485192360918904</v>
      </c>
      <c r="T57" s="214">
        <f t="shared" si="21"/>
        <v>-0.24806830100009791</v>
      </c>
      <c r="U57" s="214">
        <f t="shared" si="22"/>
        <v>-7.071660053525064E-2</v>
      </c>
      <c r="V57" s="214">
        <f t="shared" si="23"/>
        <v>-0.32944732636563301</v>
      </c>
    </row>
    <row r="58" spans="1:22" ht="15" customHeight="1" x14ac:dyDescent="0.2">
      <c r="A58" s="30" t="s">
        <v>17</v>
      </c>
      <c r="B58" s="218">
        <v>2.8571428571428563</v>
      </c>
      <c r="C58" s="218">
        <v>2.314606741573034</v>
      </c>
      <c r="D58" s="218">
        <v>2.996282527881041</v>
      </c>
      <c r="E58" s="218">
        <v>2.7349397590361444</v>
      </c>
      <c r="F58" s="218">
        <v>2.8594594594594587</v>
      </c>
      <c r="G58" s="218">
        <v>3.1677419354838712</v>
      </c>
      <c r="H58" s="218">
        <v>2.5594713656387666</v>
      </c>
      <c r="I58" s="218">
        <v>2.6748971193415638</v>
      </c>
      <c r="J58" s="218">
        <v>2.4791403286978508</v>
      </c>
      <c r="K58" s="218">
        <v>2.3540462427745661</v>
      </c>
      <c r="L58" s="218">
        <v>2.6520787746170678</v>
      </c>
      <c r="M58" s="218">
        <v>2.1661538461538461</v>
      </c>
      <c r="N58" s="218">
        <v>2.1565287915652878</v>
      </c>
      <c r="O58" s="218">
        <v>2.3005272407732864</v>
      </c>
      <c r="P58" s="218">
        <v>2.2554082344731339</v>
      </c>
      <c r="Q58" s="218">
        <v>2.1125295508274231</v>
      </c>
      <c r="R58" s="218">
        <v>2.3645092460881934</v>
      </c>
      <c r="S58" s="218">
        <v>1.8088304368248003</v>
      </c>
      <c r="T58" s="214">
        <f t="shared" si="21"/>
        <v>-0.67030989187305057</v>
      </c>
      <c r="U58" s="214">
        <f t="shared" si="22"/>
        <v>-0.49169680394848614</v>
      </c>
      <c r="V58" s="214">
        <f t="shared" si="23"/>
        <v>-0.55567880926339308</v>
      </c>
    </row>
    <row r="59" spans="1:22" ht="15" customHeight="1" x14ac:dyDescent="0.2">
      <c r="A59" s="42" t="s">
        <v>0</v>
      </c>
      <c r="B59" s="212">
        <v>2.4698067632850242</v>
      </c>
      <c r="C59" s="212">
        <v>2.4851794071762869</v>
      </c>
      <c r="D59" s="212">
        <v>2.5661167200196986</v>
      </c>
      <c r="E59" s="212">
        <v>2.2611722434313948</v>
      </c>
      <c r="F59" s="212">
        <v>2.3733483272420579</v>
      </c>
      <c r="G59" s="212">
        <v>2.2752718485702776</v>
      </c>
      <c r="H59" s="212">
        <v>2.2667177914110428</v>
      </c>
      <c r="I59" s="212">
        <v>2.1913495338529727</v>
      </c>
      <c r="J59" s="212">
        <v>2.2940868655154367</v>
      </c>
      <c r="K59" s="212">
        <v>2.2158995815899583</v>
      </c>
      <c r="L59" s="212">
        <v>2.1955618714473109</v>
      </c>
      <c r="M59" s="212">
        <v>2.1274422735346357</v>
      </c>
      <c r="N59" s="212">
        <v>2.1386181977444432</v>
      </c>
      <c r="O59" s="212">
        <v>2.1273042616451932</v>
      </c>
      <c r="P59" s="212">
        <v>2.2493014986029971</v>
      </c>
      <c r="Q59" s="212">
        <v>2.2653174952339055</v>
      </c>
      <c r="R59" s="212">
        <v>2.2072139718560542</v>
      </c>
      <c r="S59" s="212">
        <v>1.9519096534911342</v>
      </c>
      <c r="T59" s="216">
        <f t="shared" si="21"/>
        <v>-0.34217721202430251</v>
      </c>
      <c r="U59" s="216">
        <f t="shared" si="22"/>
        <v>-0.17539460815405894</v>
      </c>
      <c r="V59" s="216">
        <f t="shared" si="23"/>
        <v>-0.25530431836491996</v>
      </c>
    </row>
    <row r="60" spans="1:22" ht="15" customHeight="1" x14ac:dyDescent="0.2">
      <c r="A60" s="158" t="s">
        <v>415</v>
      </c>
      <c r="B60" s="180"/>
      <c r="C60" s="180"/>
      <c r="D60" s="180"/>
      <c r="E60" s="180"/>
      <c r="F60" s="180"/>
      <c r="G60" s="180"/>
      <c r="H60" s="180"/>
      <c r="I60" s="180"/>
      <c r="J60" s="180"/>
      <c r="K60" s="180"/>
      <c r="L60" s="180"/>
      <c r="M60" s="180"/>
      <c r="N60" s="180"/>
      <c r="O60" s="180"/>
      <c r="P60" s="180"/>
      <c r="Q60" s="180"/>
      <c r="R60" s="180"/>
      <c r="S60" s="180"/>
      <c r="T60" s="187"/>
      <c r="U60" s="187"/>
      <c r="V60" s="187"/>
    </row>
    <row r="61" spans="1:22" ht="15" customHeight="1" x14ac:dyDescent="0.2">
      <c r="A61" s="179"/>
      <c r="B61" s="180"/>
      <c r="C61" s="180"/>
      <c r="D61" s="180"/>
      <c r="E61" s="180"/>
      <c r="F61" s="180"/>
      <c r="G61" s="180"/>
      <c r="H61" s="180"/>
      <c r="I61" s="180"/>
      <c r="J61" s="180"/>
      <c r="K61" s="180"/>
      <c r="L61" s="180"/>
      <c r="M61" s="180"/>
      <c r="N61" s="180"/>
      <c r="O61" s="180"/>
      <c r="P61" s="180"/>
      <c r="Q61" s="180"/>
      <c r="R61" s="180"/>
      <c r="S61" s="180"/>
      <c r="T61" s="187"/>
      <c r="U61" s="187"/>
      <c r="V61" s="187"/>
    </row>
    <row r="62" spans="1:22" ht="15" customHeight="1" x14ac:dyDescent="0.2">
      <c r="A62" s="35" t="s">
        <v>592</v>
      </c>
      <c r="B62" s="35"/>
      <c r="C62" s="35"/>
      <c r="D62" s="35"/>
      <c r="E62" s="35"/>
      <c r="F62" s="35"/>
      <c r="G62" s="35"/>
      <c r="H62" s="35"/>
      <c r="I62" s="35"/>
      <c r="J62" s="35"/>
      <c r="K62" s="35"/>
      <c r="L62" s="35"/>
      <c r="M62" s="35"/>
      <c r="N62" s="35"/>
      <c r="O62" s="35"/>
      <c r="P62" s="35"/>
      <c r="Q62" s="35"/>
      <c r="R62" s="35"/>
      <c r="S62" s="35"/>
      <c r="T62" s="75"/>
      <c r="U62" s="75"/>
      <c r="V62" s="75"/>
    </row>
    <row r="63" spans="1:22" ht="38.25" x14ac:dyDescent="0.2">
      <c r="A63" s="36" t="s">
        <v>578</v>
      </c>
      <c r="B63" s="15">
        <v>2007</v>
      </c>
      <c r="C63" s="15">
        <v>2008</v>
      </c>
      <c r="D63" s="15">
        <v>2009</v>
      </c>
      <c r="E63" s="15">
        <v>2010</v>
      </c>
      <c r="F63" s="15">
        <v>2011</v>
      </c>
      <c r="G63" s="15">
        <v>2012</v>
      </c>
      <c r="H63" s="15">
        <v>2013</v>
      </c>
      <c r="I63" s="15">
        <v>2014</v>
      </c>
      <c r="J63" s="15">
        <v>2015</v>
      </c>
      <c r="K63" s="15">
        <v>2016</v>
      </c>
      <c r="L63" s="15">
        <v>2017</v>
      </c>
      <c r="M63" s="15">
        <v>2018</v>
      </c>
      <c r="N63" s="15">
        <v>2019</v>
      </c>
      <c r="O63" s="15">
        <v>2020</v>
      </c>
      <c r="P63" s="15">
        <v>2021</v>
      </c>
      <c r="Q63" s="15">
        <v>2022</v>
      </c>
      <c r="R63" s="15">
        <v>2023</v>
      </c>
      <c r="S63" s="15">
        <v>2024</v>
      </c>
      <c r="T63" s="27" t="s">
        <v>469</v>
      </c>
      <c r="U63" s="27" t="s">
        <v>470</v>
      </c>
      <c r="V63" s="27" t="s">
        <v>471</v>
      </c>
    </row>
    <row r="64" spans="1:22" ht="15" customHeight="1" x14ac:dyDescent="0.2">
      <c r="A64" s="30" t="s">
        <v>480</v>
      </c>
      <c r="B64" s="219">
        <v>2.6135265700483088</v>
      </c>
      <c r="C64" s="219">
        <v>2.5674740484429064</v>
      </c>
      <c r="D64" s="219">
        <v>2.7214285714285724</v>
      </c>
      <c r="E64" s="219">
        <v>2.8364312267657987</v>
      </c>
      <c r="F64" s="219">
        <v>2.33203125</v>
      </c>
      <c r="G64" s="219">
        <v>2.9557522123893794</v>
      </c>
      <c r="H64" s="219">
        <v>2.8346774193548385</v>
      </c>
      <c r="I64" s="219">
        <v>2.884615384615385</v>
      </c>
      <c r="J64" s="219">
        <v>2.9275362318840581</v>
      </c>
      <c r="K64" s="219">
        <v>4.0479134466769695</v>
      </c>
      <c r="L64" s="219">
        <v>3.093693693693695</v>
      </c>
      <c r="M64" s="219">
        <v>3.3991416309012874</v>
      </c>
      <c r="N64" s="219">
        <v>3.3443708609271527</v>
      </c>
      <c r="O64" s="219">
        <v>3.4074074074074043</v>
      </c>
      <c r="P64" s="219">
        <v>2.6857142857142851</v>
      </c>
      <c r="Q64" s="219">
        <v>3.3634945397815925</v>
      </c>
      <c r="R64" s="219">
        <v>2.4378698224852084</v>
      </c>
      <c r="S64" s="219">
        <v>2.5485232067510548</v>
      </c>
      <c r="T64" s="61">
        <f t="shared" ref="T64:T74" si="24">IFERROR((S64-J64),"n/a")</f>
        <v>-0.37901302513300328</v>
      </c>
      <c r="U64" s="61">
        <f t="shared" ref="U64:U74" si="25">IFERROR((S64-O64),"n/a")</f>
        <v>-0.85888420065634952</v>
      </c>
      <c r="V64" s="61">
        <f t="shared" ref="V64:V74" si="26">IFERROR((S64-R64),"n/a")</f>
        <v>0.11065338426584637</v>
      </c>
    </row>
    <row r="65" spans="1:22" ht="15" customHeight="1" x14ac:dyDescent="0.2">
      <c r="A65" s="30" t="s">
        <v>481</v>
      </c>
      <c r="B65" s="219">
        <v>5.4615384615384617</v>
      </c>
      <c r="C65" s="219" t="s">
        <v>100</v>
      </c>
      <c r="D65" s="219" t="s">
        <v>100</v>
      </c>
      <c r="E65" s="219" t="s">
        <v>100</v>
      </c>
      <c r="F65" s="219" t="s">
        <v>100</v>
      </c>
      <c r="G65" s="219" t="s">
        <v>100</v>
      </c>
      <c r="H65" s="219" t="s">
        <v>100</v>
      </c>
      <c r="I65" s="219" t="s">
        <v>100</v>
      </c>
      <c r="J65" s="219" t="s">
        <v>100</v>
      </c>
      <c r="K65" s="219">
        <v>4.3</v>
      </c>
      <c r="L65" s="219" t="s">
        <v>100</v>
      </c>
      <c r="M65" s="219" t="s">
        <v>100</v>
      </c>
      <c r="N65" s="219" t="s">
        <v>100</v>
      </c>
      <c r="O65" s="219" t="s">
        <v>100</v>
      </c>
      <c r="P65" s="219" t="s">
        <v>100</v>
      </c>
      <c r="Q65" s="219">
        <v>3.4210526315789473</v>
      </c>
      <c r="R65" s="219" t="s">
        <v>100</v>
      </c>
      <c r="S65" s="219" t="s">
        <v>100</v>
      </c>
      <c r="T65" s="61" t="str">
        <f t="shared" si="24"/>
        <v>n/a</v>
      </c>
      <c r="U65" s="61" t="str">
        <f t="shared" si="25"/>
        <v>n/a</v>
      </c>
      <c r="V65" s="61" t="str">
        <f t="shared" si="26"/>
        <v>n/a</v>
      </c>
    </row>
    <row r="66" spans="1:22" ht="15" customHeight="1" x14ac:dyDescent="0.2">
      <c r="A66" s="30" t="s">
        <v>482</v>
      </c>
      <c r="B66" s="219">
        <v>5.375</v>
      </c>
      <c r="C66" s="219">
        <v>3.5384615384615383</v>
      </c>
      <c r="D66" s="219">
        <v>4.1612903225806441</v>
      </c>
      <c r="E66" s="219">
        <v>3.2051282051282053</v>
      </c>
      <c r="F66" s="219">
        <v>3.4523809523809539</v>
      </c>
      <c r="G66" s="219">
        <v>5.666666666666667</v>
      </c>
      <c r="H66" s="219">
        <v>4.0344827586206904</v>
      </c>
      <c r="I66" s="219">
        <v>4.7666666666666666</v>
      </c>
      <c r="J66" s="219">
        <v>4.117647058823529</v>
      </c>
      <c r="K66" s="219">
        <v>5.333333333333333</v>
      </c>
      <c r="L66" s="219">
        <v>5.4642857142857144</v>
      </c>
      <c r="M66" s="219" t="s">
        <v>100</v>
      </c>
      <c r="N66" s="219">
        <v>6.0869565217391308</v>
      </c>
      <c r="O66" s="219" t="s">
        <v>100</v>
      </c>
      <c r="P66" s="219">
        <v>5.5454545454545467</v>
      </c>
      <c r="Q66" s="219" t="s">
        <v>100</v>
      </c>
      <c r="R66" s="219">
        <v>7.2000000000000011</v>
      </c>
      <c r="S66" s="219">
        <v>4.5178571428571415</v>
      </c>
      <c r="T66" s="61">
        <f t="shared" si="24"/>
        <v>0.40021008403361247</v>
      </c>
      <c r="U66" s="61" t="str">
        <f t="shared" si="25"/>
        <v>n/a</v>
      </c>
      <c r="V66" s="61">
        <f t="shared" si="26"/>
        <v>-2.6821428571428596</v>
      </c>
    </row>
    <row r="67" spans="1:22" ht="15" customHeight="1" x14ac:dyDescent="0.2">
      <c r="A67" s="30" t="s">
        <v>483</v>
      </c>
      <c r="B67" s="219">
        <v>3.5789473684210495</v>
      </c>
      <c r="C67" s="219">
        <v>2</v>
      </c>
      <c r="D67" s="219" t="s">
        <v>100</v>
      </c>
      <c r="E67" s="219" t="s">
        <v>100</v>
      </c>
      <c r="F67" s="219" t="s">
        <v>100</v>
      </c>
      <c r="G67" s="219" t="s">
        <v>100</v>
      </c>
      <c r="H67" s="219">
        <v>1.65</v>
      </c>
      <c r="I67" s="219" t="s">
        <v>100</v>
      </c>
      <c r="J67" s="219" t="s">
        <v>100</v>
      </c>
      <c r="K67" s="219" t="s">
        <v>100</v>
      </c>
      <c r="L67" s="219" t="s">
        <v>100</v>
      </c>
      <c r="M67" s="219" t="s">
        <v>100</v>
      </c>
      <c r="N67" s="219" t="s">
        <v>100</v>
      </c>
      <c r="O67" s="219" t="s">
        <v>100</v>
      </c>
      <c r="P67" s="219">
        <v>2.0555555555555554</v>
      </c>
      <c r="Q67" s="219">
        <v>2</v>
      </c>
      <c r="R67" s="219" t="s">
        <v>100</v>
      </c>
      <c r="S67" s="219" t="s">
        <v>100</v>
      </c>
      <c r="T67" s="61" t="str">
        <f t="shared" si="24"/>
        <v>n/a</v>
      </c>
      <c r="U67" s="61" t="str">
        <f t="shared" si="25"/>
        <v>n/a</v>
      </c>
      <c r="V67" s="61" t="str">
        <f t="shared" si="26"/>
        <v>n/a</v>
      </c>
    </row>
    <row r="68" spans="1:22" ht="15" customHeight="1" x14ac:dyDescent="0.2">
      <c r="A68" s="30" t="s">
        <v>484</v>
      </c>
      <c r="B68" s="219">
        <v>3.3793103448275841</v>
      </c>
      <c r="C68" s="219">
        <v>3.441860465116279</v>
      </c>
      <c r="D68" s="219">
        <v>3.7077922077922092</v>
      </c>
      <c r="E68" s="219">
        <v>4.0000000000000018</v>
      </c>
      <c r="F68" s="219">
        <v>3.5410958904109582</v>
      </c>
      <c r="G68" s="219">
        <v>3.9008264462809921</v>
      </c>
      <c r="H68" s="219">
        <v>2.7932692307692313</v>
      </c>
      <c r="I68" s="219">
        <v>2.5649350649350664</v>
      </c>
      <c r="J68" s="219">
        <v>2.8663793103448283</v>
      </c>
      <c r="K68" s="219">
        <v>3.7361963190184051</v>
      </c>
      <c r="L68" s="219">
        <v>3.3413793103448266</v>
      </c>
      <c r="M68" s="219">
        <v>3.5340314136125643</v>
      </c>
      <c r="N68" s="219">
        <v>3.5103305785123977</v>
      </c>
      <c r="O68" s="219">
        <v>3.6410256410256423</v>
      </c>
      <c r="P68" s="219">
        <v>3.0508474576271185</v>
      </c>
      <c r="Q68" s="219">
        <v>3.9746192893401013</v>
      </c>
      <c r="R68" s="219">
        <v>3.8450704225352119</v>
      </c>
      <c r="S68" s="219">
        <v>2.941747572815534</v>
      </c>
      <c r="T68" s="61">
        <f t="shared" si="24"/>
        <v>7.5368262470705716E-2</v>
      </c>
      <c r="U68" s="61">
        <f t="shared" si="25"/>
        <v>-0.69927806821010829</v>
      </c>
      <c r="V68" s="61">
        <f t="shared" si="26"/>
        <v>-0.90332284971967791</v>
      </c>
    </row>
    <row r="69" spans="1:22" ht="15" customHeight="1" x14ac:dyDescent="0.2">
      <c r="A69" s="30" t="s">
        <v>14</v>
      </c>
      <c r="B69" s="219">
        <v>3.9038461538461529</v>
      </c>
      <c r="C69" s="219">
        <v>3.6528751753155686</v>
      </c>
      <c r="D69" s="219">
        <v>3.7717917675544794</v>
      </c>
      <c r="E69" s="219">
        <v>3.844900849858357</v>
      </c>
      <c r="F69" s="219">
        <v>3.5196419691695673</v>
      </c>
      <c r="G69" s="219">
        <v>3.9148056244830447</v>
      </c>
      <c r="H69" s="219">
        <v>3.3944444444444439</v>
      </c>
      <c r="I69" s="219">
        <v>3.2447643979057594</v>
      </c>
      <c r="J69" s="219">
        <v>3.6700143472022955</v>
      </c>
      <c r="K69" s="219">
        <v>4.6731123388581954</v>
      </c>
      <c r="L69" s="219">
        <v>3.92</v>
      </c>
      <c r="M69" s="219">
        <v>4.136394790952707</v>
      </c>
      <c r="N69" s="219">
        <v>4.3169811320754716</v>
      </c>
      <c r="O69" s="219">
        <v>3.7834394904458599</v>
      </c>
      <c r="P69" s="219">
        <v>3.6208997188378631</v>
      </c>
      <c r="Q69" s="219">
        <v>3.6402597402597401</v>
      </c>
      <c r="R69" s="219">
        <v>3.8017711171662132</v>
      </c>
      <c r="S69" s="219">
        <v>3.6506189821182939</v>
      </c>
      <c r="T69" s="61">
        <f t="shared" si="24"/>
        <v>-1.9395365084001526E-2</v>
      </c>
      <c r="U69" s="61">
        <f t="shared" si="25"/>
        <v>-0.13282050832756598</v>
      </c>
      <c r="V69" s="61">
        <f t="shared" si="26"/>
        <v>-0.15115213504791924</v>
      </c>
    </row>
    <row r="70" spans="1:22" ht="15" customHeight="1" x14ac:dyDescent="0.2">
      <c r="A70" s="30" t="s">
        <v>485</v>
      </c>
      <c r="B70" s="219">
        <v>3.3846153846153846</v>
      </c>
      <c r="C70" s="219">
        <v>3</v>
      </c>
      <c r="D70" s="219">
        <v>3.0930232558139537</v>
      </c>
      <c r="E70" s="219">
        <v>2.064516129032258</v>
      </c>
      <c r="F70" s="219">
        <v>1.5737704918032784</v>
      </c>
      <c r="G70" s="219">
        <v>3.3555555555555556</v>
      </c>
      <c r="H70" s="219">
        <v>2.1896551724137927</v>
      </c>
      <c r="I70" s="219">
        <v>2.0249999999999999</v>
      </c>
      <c r="J70" s="219">
        <v>3.2268907563025193</v>
      </c>
      <c r="K70" s="219">
        <v>3.1392405063291156</v>
      </c>
      <c r="L70" s="219">
        <v>2.7826086956521734</v>
      </c>
      <c r="M70" s="219" t="s">
        <v>100</v>
      </c>
      <c r="N70" s="219">
        <v>2.85</v>
      </c>
      <c r="O70" s="219" t="s">
        <v>100</v>
      </c>
      <c r="P70" s="219">
        <v>3.3529411764705883</v>
      </c>
      <c r="Q70" s="219">
        <v>3.3170731707317085</v>
      </c>
      <c r="R70" s="219" t="s">
        <v>100</v>
      </c>
      <c r="S70" s="219">
        <v>3.5625000000000013</v>
      </c>
      <c r="T70" s="61">
        <f t="shared" si="24"/>
        <v>0.33560924369748202</v>
      </c>
      <c r="U70" s="61" t="str">
        <f t="shared" si="25"/>
        <v>n/a</v>
      </c>
      <c r="V70" s="61" t="str">
        <f t="shared" si="26"/>
        <v>n/a</v>
      </c>
    </row>
    <row r="71" spans="1:22" ht="15" customHeight="1" x14ac:dyDescent="0.2">
      <c r="A71" s="30" t="s">
        <v>486</v>
      </c>
      <c r="B71" s="219">
        <v>3.4695652173913034</v>
      </c>
      <c r="C71" s="219">
        <v>4.3717948717948714</v>
      </c>
      <c r="D71" s="219">
        <v>2.2982456140350882</v>
      </c>
      <c r="E71" s="219">
        <v>3.6742424242424243</v>
      </c>
      <c r="F71" s="219">
        <v>3.0765765765765765</v>
      </c>
      <c r="G71" s="219">
        <v>3.5652173913043477</v>
      </c>
      <c r="H71" s="219">
        <v>3.2260127931769724</v>
      </c>
      <c r="I71" s="219">
        <v>3.5123042505592843</v>
      </c>
      <c r="J71" s="219">
        <v>3.529220779220779</v>
      </c>
      <c r="K71" s="219">
        <v>2.9560975609756097</v>
      </c>
      <c r="L71" s="219">
        <v>3.2556818181818183</v>
      </c>
      <c r="M71" s="219">
        <v>3.3061728395061722</v>
      </c>
      <c r="N71" s="219">
        <v>3.1734693877551017</v>
      </c>
      <c r="O71" s="219">
        <v>3.7222222222222219</v>
      </c>
      <c r="P71" s="219">
        <v>3.2526315789473674</v>
      </c>
      <c r="Q71" s="219">
        <v>3.5243619489559168</v>
      </c>
      <c r="R71" s="219">
        <v>3.5195071868583154</v>
      </c>
      <c r="S71" s="219">
        <v>3.2958715596330284</v>
      </c>
      <c r="T71" s="61">
        <f t="shared" si="24"/>
        <v>-0.23334921958775068</v>
      </c>
      <c r="U71" s="61">
        <f t="shared" si="25"/>
        <v>-0.42635066258919352</v>
      </c>
      <c r="V71" s="61">
        <f t="shared" si="26"/>
        <v>-0.22363562722528707</v>
      </c>
    </row>
    <row r="72" spans="1:22" ht="15" customHeight="1" x14ac:dyDescent="0.2">
      <c r="A72" s="30" t="s">
        <v>487</v>
      </c>
      <c r="B72" s="219" t="s">
        <v>100</v>
      </c>
      <c r="C72" s="219">
        <v>4</v>
      </c>
      <c r="D72" s="219">
        <v>3</v>
      </c>
      <c r="E72" s="219">
        <v>2</v>
      </c>
      <c r="F72" s="219">
        <v>5.45714285714286</v>
      </c>
      <c r="G72" s="219">
        <v>4.645161290322581</v>
      </c>
      <c r="H72" s="219">
        <v>4.25</v>
      </c>
      <c r="I72" s="219">
        <v>5.1851851851851887</v>
      </c>
      <c r="J72" s="219">
        <v>3.3859649122807034</v>
      </c>
      <c r="K72" s="219">
        <v>2.9827586206896557</v>
      </c>
      <c r="L72" s="219">
        <v>2.6923076923076925</v>
      </c>
      <c r="M72" s="219" t="s">
        <v>100</v>
      </c>
      <c r="N72" s="219" t="s">
        <v>100</v>
      </c>
      <c r="O72" s="219" t="s">
        <v>100</v>
      </c>
      <c r="P72" s="219" t="s">
        <v>100</v>
      </c>
      <c r="Q72" s="219">
        <v>3</v>
      </c>
      <c r="R72" s="219" t="s">
        <v>100</v>
      </c>
      <c r="S72" s="219">
        <v>3.1428571428571401</v>
      </c>
      <c r="T72" s="61">
        <f t="shared" si="24"/>
        <v>-0.24310776942356327</v>
      </c>
      <c r="U72" s="61" t="str">
        <f t="shared" si="25"/>
        <v>n/a</v>
      </c>
      <c r="V72" s="61" t="str">
        <f t="shared" si="26"/>
        <v>n/a</v>
      </c>
    </row>
    <row r="73" spans="1:22" ht="15" customHeight="1" x14ac:dyDescent="0.2">
      <c r="A73" s="30" t="s">
        <v>488</v>
      </c>
      <c r="B73" s="219">
        <v>2.0851063829787204</v>
      </c>
      <c r="C73" s="219">
        <v>2.0499999999999998</v>
      </c>
      <c r="D73" s="219">
        <v>2</v>
      </c>
      <c r="E73" s="219">
        <v>2.0512820512820502</v>
      </c>
      <c r="F73" s="219">
        <v>2.0625</v>
      </c>
      <c r="G73" s="219">
        <v>2.1</v>
      </c>
      <c r="H73" s="219">
        <v>2.347826086956522</v>
      </c>
      <c r="I73" s="219">
        <v>2.3658536585365875</v>
      </c>
      <c r="J73" s="219">
        <v>2</v>
      </c>
      <c r="K73" s="219">
        <v>2.1666666666666665</v>
      </c>
      <c r="L73" s="219">
        <v>2.2000000000000002</v>
      </c>
      <c r="M73" s="219" t="s">
        <v>100</v>
      </c>
      <c r="N73" s="219">
        <v>2.0526315789473686</v>
      </c>
      <c r="O73" s="219" t="s">
        <v>100</v>
      </c>
      <c r="P73" s="219" t="s">
        <v>100</v>
      </c>
      <c r="Q73" s="219" t="s">
        <v>100</v>
      </c>
      <c r="R73" s="219" t="s">
        <v>100</v>
      </c>
      <c r="S73" s="219" t="s">
        <v>100</v>
      </c>
      <c r="T73" s="61" t="str">
        <f t="shared" si="24"/>
        <v>n/a</v>
      </c>
      <c r="U73" s="61" t="str">
        <f t="shared" si="25"/>
        <v>n/a</v>
      </c>
      <c r="V73" s="61" t="str">
        <f t="shared" si="26"/>
        <v>n/a</v>
      </c>
    </row>
    <row r="74" spans="1:22" ht="15" customHeight="1" x14ac:dyDescent="0.2">
      <c r="A74" s="42" t="s">
        <v>0</v>
      </c>
      <c r="B74" s="215">
        <v>3.5905349794238677</v>
      </c>
      <c r="C74" s="215">
        <v>3.4692343823391263</v>
      </c>
      <c r="D74" s="215">
        <v>3.4947981689554721</v>
      </c>
      <c r="E74" s="215">
        <v>3.5852731591448932</v>
      </c>
      <c r="F74" s="215">
        <v>3.3425925925925926</v>
      </c>
      <c r="G74" s="215">
        <v>3.7586384734399174</v>
      </c>
      <c r="H74" s="215">
        <v>3.2635861668119732</v>
      </c>
      <c r="I74" s="215">
        <v>3.2302955665024631</v>
      </c>
      <c r="J74" s="215">
        <v>3.4396</v>
      </c>
      <c r="K74" s="215">
        <v>4.3380820752711031</v>
      </c>
      <c r="L74" s="215">
        <v>3.6306888068880689</v>
      </c>
      <c r="M74" s="215">
        <v>3.8158205430932703</v>
      </c>
      <c r="N74" s="215">
        <v>3.9361769352290681</v>
      </c>
      <c r="O74" s="215">
        <v>3.7095571095571089</v>
      </c>
      <c r="P74" s="215">
        <v>3.406816088424931</v>
      </c>
      <c r="Q74" s="215">
        <v>3.5730530668504481</v>
      </c>
      <c r="R74" s="215">
        <v>3.5098559514783934</v>
      </c>
      <c r="S74" s="215">
        <v>3.4592145015105742</v>
      </c>
      <c r="T74" s="212">
        <f t="shared" si="24"/>
        <v>1.96145015105742E-2</v>
      </c>
      <c r="U74" s="212">
        <f t="shared" si="25"/>
        <v>-0.25034260804653474</v>
      </c>
      <c r="V74" s="212">
        <f t="shared" si="26"/>
        <v>-5.0641449967819163E-2</v>
      </c>
    </row>
    <row r="75" spans="1:22" ht="15" customHeight="1" x14ac:dyDescent="0.2">
      <c r="A75" s="158" t="s">
        <v>415</v>
      </c>
      <c r="B75" s="101"/>
      <c r="C75" s="101"/>
      <c r="D75" s="101"/>
      <c r="E75" s="101"/>
      <c r="F75" s="101"/>
      <c r="G75" s="101"/>
      <c r="H75" s="101"/>
      <c r="I75" s="101"/>
      <c r="J75" s="101"/>
      <c r="K75" s="101"/>
      <c r="L75" s="101"/>
      <c r="M75" s="101"/>
      <c r="N75" s="101"/>
      <c r="O75" s="101"/>
      <c r="P75" s="101"/>
      <c r="Q75" s="101"/>
      <c r="R75" s="101"/>
      <c r="S75" s="101"/>
      <c r="T75" s="101"/>
      <c r="U75" s="101"/>
      <c r="V75" s="101"/>
    </row>
    <row r="76" spans="1:22" ht="15" customHeight="1" x14ac:dyDescent="0.2">
      <c r="A76" s="101"/>
      <c r="B76" s="101"/>
      <c r="C76" s="101"/>
      <c r="D76" s="101"/>
      <c r="E76" s="101"/>
      <c r="F76" s="101"/>
      <c r="G76" s="101"/>
      <c r="H76" s="101"/>
      <c r="I76" s="101"/>
      <c r="J76" s="101"/>
      <c r="K76" s="101"/>
      <c r="L76" s="101"/>
      <c r="M76" s="101"/>
      <c r="N76" s="101"/>
      <c r="O76" s="101"/>
      <c r="P76" s="101"/>
      <c r="Q76" s="101"/>
      <c r="R76" s="101"/>
      <c r="S76" s="101"/>
      <c r="T76" s="101"/>
      <c r="U76" s="101"/>
      <c r="V76" s="101"/>
    </row>
    <row r="77" spans="1:22" ht="15" customHeight="1" x14ac:dyDescent="0.2">
      <c r="A77" s="35" t="s">
        <v>593</v>
      </c>
      <c r="B77" s="35"/>
      <c r="C77" s="35"/>
      <c r="D77" s="35"/>
      <c r="E77" s="35"/>
      <c r="F77" s="35"/>
      <c r="G77" s="35"/>
      <c r="H77" s="35"/>
      <c r="I77" s="35"/>
      <c r="J77" s="35"/>
      <c r="K77" s="35"/>
      <c r="L77" s="35"/>
      <c r="M77" s="35"/>
      <c r="N77" s="35"/>
      <c r="O77" s="35"/>
      <c r="P77" s="35"/>
      <c r="Q77" s="35"/>
      <c r="R77" s="35"/>
      <c r="S77" s="35"/>
      <c r="T77" s="75"/>
      <c r="U77" s="75"/>
      <c r="V77" s="75"/>
    </row>
    <row r="78" spans="1:22" ht="38.25" x14ac:dyDescent="0.2">
      <c r="A78" s="36" t="s">
        <v>578</v>
      </c>
      <c r="B78" s="15">
        <v>2007</v>
      </c>
      <c r="C78" s="15">
        <v>2008</v>
      </c>
      <c r="D78" s="15">
        <v>2009</v>
      </c>
      <c r="E78" s="15">
        <v>2010</v>
      </c>
      <c r="F78" s="15">
        <v>2011</v>
      </c>
      <c r="G78" s="15">
        <v>2012</v>
      </c>
      <c r="H78" s="15">
        <v>2013</v>
      </c>
      <c r="I78" s="15">
        <v>2014</v>
      </c>
      <c r="J78" s="15">
        <v>2015</v>
      </c>
      <c r="K78" s="15">
        <v>2016</v>
      </c>
      <c r="L78" s="15">
        <v>2017</v>
      </c>
      <c r="M78" s="15">
        <v>2018</v>
      </c>
      <c r="N78" s="15">
        <v>2019</v>
      </c>
      <c r="O78" s="15">
        <v>2020</v>
      </c>
      <c r="P78" s="15">
        <v>2021</v>
      </c>
      <c r="Q78" s="15">
        <v>2022</v>
      </c>
      <c r="R78" s="15">
        <v>2023</v>
      </c>
      <c r="S78" s="15">
        <v>2024</v>
      </c>
      <c r="T78" s="27" t="s">
        <v>469</v>
      </c>
      <c r="U78" s="27" t="s">
        <v>470</v>
      </c>
      <c r="V78" s="27" t="s">
        <v>471</v>
      </c>
    </row>
    <row r="79" spans="1:22" ht="15" customHeight="1" x14ac:dyDescent="0.2">
      <c r="A79" s="30" t="s">
        <v>480</v>
      </c>
      <c r="B79" s="217">
        <v>2.4230769230769238</v>
      </c>
      <c r="C79" s="217">
        <v>2.5719673161533625</v>
      </c>
      <c r="D79" s="217">
        <v>2.5562700964630216</v>
      </c>
      <c r="E79" s="217">
        <v>2.0869175627240142</v>
      </c>
      <c r="F79" s="217">
        <v>2.3235694822888284</v>
      </c>
      <c r="G79" s="217">
        <v>2.1070411070411064</v>
      </c>
      <c r="H79" s="217">
        <v>2.210872675250358</v>
      </c>
      <c r="I79" s="217">
        <v>2.0683789192795197</v>
      </c>
      <c r="J79" s="217">
        <v>2.3530150753768844</v>
      </c>
      <c r="K79" s="217">
        <v>2.1308858739026335</v>
      </c>
      <c r="L79" s="217">
        <v>2.1715575620767495</v>
      </c>
      <c r="M79" s="217">
        <v>2.2779640954823441</v>
      </c>
      <c r="N79" s="217">
        <v>2.1437249758387407</v>
      </c>
      <c r="O79" s="217">
        <v>2.1997625728469674</v>
      </c>
      <c r="P79" s="217">
        <v>2.235789283128168</v>
      </c>
      <c r="Q79" s="217">
        <v>2.3193289897401335</v>
      </c>
      <c r="R79" s="217">
        <v>2.2495946993726652</v>
      </c>
      <c r="S79" s="217">
        <v>1.9816159666852877</v>
      </c>
      <c r="T79" s="214">
        <f t="shared" ref="T79:T89" si="27">IFERROR((S79-J79),"n/a")</f>
        <v>-0.37139910869159665</v>
      </c>
      <c r="U79" s="214">
        <f t="shared" ref="U79:U89" si="28">IFERROR((S79-O79),"n/a")</f>
        <v>-0.21814660616167969</v>
      </c>
      <c r="V79" s="214">
        <f t="shared" ref="V79:V89" si="29">IFERROR((S79-R79),"n/a")</f>
        <v>-0.26797873268737749</v>
      </c>
    </row>
    <row r="80" spans="1:22" ht="15" customHeight="1" x14ac:dyDescent="0.2">
      <c r="A80" s="30" t="s">
        <v>481</v>
      </c>
      <c r="B80" s="217">
        <v>4.1428571428571432</v>
      </c>
      <c r="C80" s="217" t="s">
        <v>100</v>
      </c>
      <c r="D80" s="217">
        <v>4.28</v>
      </c>
      <c r="E80" s="217">
        <v>3.4074074074074074</v>
      </c>
      <c r="F80" s="217">
        <v>3.0338983050847448</v>
      </c>
      <c r="G80" s="217">
        <v>3.4285714285714284</v>
      </c>
      <c r="H80" s="217" t="s">
        <v>100</v>
      </c>
      <c r="I80" s="217">
        <v>4.4473684210526327</v>
      </c>
      <c r="J80" s="217">
        <v>3.3749999999999991</v>
      </c>
      <c r="K80" s="217">
        <v>2.1333333333333333</v>
      </c>
      <c r="L80" s="217">
        <v>3.0158730158730158</v>
      </c>
      <c r="M80" s="217">
        <v>2.4320987654320989</v>
      </c>
      <c r="N80" s="217">
        <v>2.3538461538461539</v>
      </c>
      <c r="O80" s="217">
        <v>1.2727272727272725</v>
      </c>
      <c r="P80" s="217">
        <v>1.8908045977011494</v>
      </c>
      <c r="Q80" s="217">
        <v>2.1311953352769679</v>
      </c>
      <c r="R80" s="217">
        <v>2.3085501858736062</v>
      </c>
      <c r="S80" s="217">
        <v>1.9671361502347418</v>
      </c>
      <c r="T80" s="214">
        <f t="shared" si="27"/>
        <v>-1.4078638497652574</v>
      </c>
      <c r="U80" s="214">
        <f t="shared" si="28"/>
        <v>0.69440887750746927</v>
      </c>
      <c r="V80" s="214">
        <f t="shared" si="29"/>
        <v>-0.34141403563886441</v>
      </c>
    </row>
    <row r="81" spans="1:22" ht="15" customHeight="1" x14ac:dyDescent="0.2">
      <c r="A81" s="30" t="s">
        <v>482</v>
      </c>
      <c r="B81" s="217">
        <v>3.8691588785046731</v>
      </c>
      <c r="C81" s="217">
        <v>2.5297619047619055</v>
      </c>
      <c r="D81" s="217">
        <v>2.0151515151515151</v>
      </c>
      <c r="E81" s="217">
        <v>2.7826086956521738</v>
      </c>
      <c r="F81" s="217">
        <v>2.7769230769230768</v>
      </c>
      <c r="G81" s="217">
        <v>2.7058823529411766</v>
      </c>
      <c r="H81" s="217">
        <v>2.3233830845771144</v>
      </c>
      <c r="I81" s="217">
        <v>2.0884955752212391</v>
      </c>
      <c r="J81" s="217">
        <v>2.2703862660944196</v>
      </c>
      <c r="K81" s="217">
        <v>1.9010416666666667</v>
      </c>
      <c r="L81" s="217">
        <v>2.2561576354679804</v>
      </c>
      <c r="M81" s="217">
        <v>2.0607638888888884</v>
      </c>
      <c r="N81" s="217">
        <v>2.4333868378812196</v>
      </c>
      <c r="O81" s="217">
        <v>2.0651629072681703</v>
      </c>
      <c r="P81" s="217">
        <v>2.3024054982817863</v>
      </c>
      <c r="Q81" s="217">
        <v>2.6666666666666665</v>
      </c>
      <c r="R81" s="217">
        <v>2.4166666666666665</v>
      </c>
      <c r="S81" s="217">
        <v>2.1457925636007826</v>
      </c>
      <c r="T81" s="214">
        <f t="shared" si="27"/>
        <v>-0.12459370249363699</v>
      </c>
      <c r="U81" s="214">
        <f t="shared" si="28"/>
        <v>8.0629656332612321E-2</v>
      </c>
      <c r="V81" s="214">
        <f t="shared" si="29"/>
        <v>-0.27087410306588389</v>
      </c>
    </row>
    <row r="82" spans="1:22" ht="15" customHeight="1" x14ac:dyDescent="0.2">
      <c r="A82" s="30" t="s">
        <v>483</v>
      </c>
      <c r="B82" s="217">
        <v>2.0416666666666665</v>
      </c>
      <c r="C82" s="217" t="s">
        <v>100</v>
      </c>
      <c r="D82" s="217">
        <v>3.5000000000000004</v>
      </c>
      <c r="E82" s="217">
        <v>1.6333333333333335</v>
      </c>
      <c r="F82" s="217">
        <v>2.476923076923077</v>
      </c>
      <c r="G82" s="217">
        <v>1.8709677419354838</v>
      </c>
      <c r="H82" s="217">
        <v>2.3529411764705883</v>
      </c>
      <c r="I82" s="217">
        <v>2.5384615384615383</v>
      </c>
      <c r="J82" s="217">
        <v>1.9701492537313445</v>
      </c>
      <c r="K82" s="217">
        <v>2.2575757575757582</v>
      </c>
      <c r="L82" s="217">
        <v>2.6666666666666661</v>
      </c>
      <c r="M82" s="217">
        <v>1.862258953168044</v>
      </c>
      <c r="N82" s="217">
        <v>1.9327354260089686</v>
      </c>
      <c r="O82" s="217">
        <v>2.6246105919003115</v>
      </c>
      <c r="P82" s="217">
        <v>2.1467625899280578</v>
      </c>
      <c r="Q82" s="217">
        <v>1.9344359125812174</v>
      </c>
      <c r="R82" s="217">
        <v>2.2765382014874915</v>
      </c>
      <c r="S82" s="217">
        <v>2.2173913043478266</v>
      </c>
      <c r="T82" s="214">
        <f t="shared" si="27"/>
        <v>0.24724205061648208</v>
      </c>
      <c r="U82" s="214">
        <f t="shared" si="28"/>
        <v>-0.40721928755248493</v>
      </c>
      <c r="V82" s="214">
        <f t="shared" si="29"/>
        <v>-5.9146897139664922E-2</v>
      </c>
    </row>
    <row r="83" spans="1:22" ht="15" customHeight="1" x14ac:dyDescent="0.2">
      <c r="A83" s="30" t="s">
        <v>484</v>
      </c>
      <c r="B83" s="217">
        <v>1.8717948717948714</v>
      </c>
      <c r="C83" s="217">
        <v>1.8743455497382193</v>
      </c>
      <c r="D83" s="217">
        <v>2.2067510548523184</v>
      </c>
      <c r="E83" s="217">
        <v>1.9653465346534653</v>
      </c>
      <c r="F83" s="217">
        <v>2.1086956521739131</v>
      </c>
      <c r="G83" s="217">
        <v>2.1638888888888888</v>
      </c>
      <c r="H83" s="217">
        <v>2.1560439560439559</v>
      </c>
      <c r="I83" s="217">
        <v>2.2245901639344265</v>
      </c>
      <c r="J83" s="217">
        <v>2.0840807174887881</v>
      </c>
      <c r="K83" s="217">
        <v>2.1507760532150777</v>
      </c>
      <c r="L83" s="217">
        <v>1.9597701149425291</v>
      </c>
      <c r="M83" s="217">
        <v>2.001368925393566</v>
      </c>
      <c r="N83" s="217">
        <v>2.0502207505518766</v>
      </c>
      <c r="O83" s="217">
        <v>1.6159114857744994</v>
      </c>
      <c r="P83" s="217">
        <v>1.9991015274034143</v>
      </c>
      <c r="Q83" s="217">
        <v>2.2522620340209913</v>
      </c>
      <c r="R83" s="217">
        <v>1.8738444806960304</v>
      </c>
      <c r="S83" s="217">
        <v>2.0144216902220942</v>
      </c>
      <c r="T83" s="214">
        <f t="shared" si="27"/>
        <v>-6.9659027266693929E-2</v>
      </c>
      <c r="U83" s="214">
        <f t="shared" si="28"/>
        <v>0.39851020444759477</v>
      </c>
      <c r="V83" s="214">
        <f t="shared" si="29"/>
        <v>0.14057720952606378</v>
      </c>
    </row>
    <row r="84" spans="1:22" ht="15" customHeight="1" x14ac:dyDescent="0.2">
      <c r="A84" s="30" t="s">
        <v>14</v>
      </c>
      <c r="B84" s="217">
        <v>2.6280991735537191</v>
      </c>
      <c r="C84" s="217">
        <v>2.6183206106870229</v>
      </c>
      <c r="D84" s="217">
        <v>2.3015873015873014</v>
      </c>
      <c r="E84" s="217">
        <v>1.9190600522193211</v>
      </c>
      <c r="F84" s="217">
        <v>2.1037735849056602</v>
      </c>
      <c r="G84" s="217">
        <v>1.979338842975207</v>
      </c>
      <c r="H84" s="217">
        <v>2.1996699669966997</v>
      </c>
      <c r="I84" s="217">
        <v>1.9930715935334873</v>
      </c>
      <c r="J84" s="217">
        <v>2.1339401820546162</v>
      </c>
      <c r="K84" s="217">
        <v>2.1916666666666673</v>
      </c>
      <c r="L84" s="217">
        <v>2.2590579710144922</v>
      </c>
      <c r="M84" s="217">
        <v>1.935656836461126</v>
      </c>
      <c r="N84" s="217">
        <v>1.9774501300954033</v>
      </c>
      <c r="O84" s="217">
        <v>2.1991193737769081</v>
      </c>
      <c r="P84" s="217">
        <v>1.9278178789561353</v>
      </c>
      <c r="Q84" s="217">
        <v>2.3014045590605572</v>
      </c>
      <c r="R84" s="217">
        <v>2.1076139782457766</v>
      </c>
      <c r="S84" s="217">
        <v>1.85383502170767</v>
      </c>
      <c r="T84" s="214">
        <f t="shared" si="27"/>
        <v>-0.28010516034694621</v>
      </c>
      <c r="U84" s="214">
        <f t="shared" si="28"/>
        <v>-0.34528435206923813</v>
      </c>
      <c r="V84" s="214">
        <f t="shared" si="29"/>
        <v>-0.25377895653810656</v>
      </c>
    </row>
    <row r="85" spans="1:22" ht="15" customHeight="1" x14ac:dyDescent="0.2">
      <c r="A85" s="30" t="s">
        <v>485</v>
      </c>
      <c r="B85" s="217">
        <v>3.4130434782608683</v>
      </c>
      <c r="C85" s="217">
        <v>2.3529411764705888</v>
      </c>
      <c r="D85" s="217">
        <v>3.1497326203208558</v>
      </c>
      <c r="E85" s="217">
        <v>2.628571428571429</v>
      </c>
      <c r="F85" s="217">
        <v>2.9072164948453603</v>
      </c>
      <c r="G85" s="217">
        <v>3.3623188405797095</v>
      </c>
      <c r="H85" s="217">
        <v>2.4192546583850927</v>
      </c>
      <c r="I85" s="217">
        <v>2.4494382022471903</v>
      </c>
      <c r="J85" s="217">
        <v>2.706989247311828</v>
      </c>
      <c r="K85" s="217">
        <v>2.2376470588235291</v>
      </c>
      <c r="L85" s="217">
        <v>2.8741258741258733</v>
      </c>
      <c r="M85" s="217">
        <v>1.8372943327239488</v>
      </c>
      <c r="N85" s="217">
        <v>1.7338129496402879</v>
      </c>
      <c r="O85" s="217">
        <v>2.4948849104859314</v>
      </c>
      <c r="P85" s="217">
        <v>2.6241413150147204</v>
      </c>
      <c r="Q85" s="217">
        <v>2.2882392929979605</v>
      </c>
      <c r="R85" s="217">
        <v>2.177036199095022</v>
      </c>
      <c r="S85" s="217">
        <v>1.8591359135913592</v>
      </c>
      <c r="T85" s="214">
        <f t="shared" si="27"/>
        <v>-0.84785333372046878</v>
      </c>
      <c r="U85" s="214">
        <f t="shared" si="28"/>
        <v>-0.6357489968945722</v>
      </c>
      <c r="V85" s="214">
        <f t="shared" si="29"/>
        <v>-0.31790028550366278</v>
      </c>
    </row>
    <row r="86" spans="1:22" ht="15" customHeight="1" x14ac:dyDescent="0.2">
      <c r="A86" s="30" t="s">
        <v>486</v>
      </c>
      <c r="B86" s="217">
        <v>2.1732283464566926</v>
      </c>
      <c r="C86" s="217">
        <v>2.5964912280701751</v>
      </c>
      <c r="D86" s="217">
        <v>2.6502347417840375</v>
      </c>
      <c r="E86" s="217">
        <v>2.703517587939698</v>
      </c>
      <c r="F86" s="217">
        <v>2.4361277445109781</v>
      </c>
      <c r="G86" s="217">
        <v>2.7201138519924091</v>
      </c>
      <c r="H86" s="217">
        <v>2.3839357429718877</v>
      </c>
      <c r="I86" s="217">
        <v>2.3515151515151516</v>
      </c>
      <c r="J86" s="217">
        <v>2.2652933832709112</v>
      </c>
      <c r="K86" s="217">
        <v>2.5095613048368959</v>
      </c>
      <c r="L86" s="217">
        <v>2.1582048957388937</v>
      </c>
      <c r="M86" s="217">
        <v>2.1660037680552646</v>
      </c>
      <c r="N86" s="217">
        <v>2.2747565898836379</v>
      </c>
      <c r="O86" s="217">
        <v>2.0383542538354256</v>
      </c>
      <c r="P86" s="217">
        <v>2.5018159806295399</v>
      </c>
      <c r="Q86" s="217">
        <v>2.199556813984981</v>
      </c>
      <c r="R86" s="217">
        <v>2.2707764338665628</v>
      </c>
      <c r="S86" s="217">
        <v>1.9437137000341647</v>
      </c>
      <c r="T86" s="214">
        <f t="shared" si="27"/>
        <v>-0.32157968323674657</v>
      </c>
      <c r="U86" s="214">
        <f t="shared" si="28"/>
        <v>-9.4640553801260907E-2</v>
      </c>
      <c r="V86" s="214">
        <f t="shared" si="29"/>
        <v>-0.32706273383239814</v>
      </c>
    </row>
    <row r="87" spans="1:22" ht="15" customHeight="1" x14ac:dyDescent="0.2">
      <c r="A87" s="30" t="s">
        <v>487</v>
      </c>
      <c r="B87" s="217">
        <v>2.75</v>
      </c>
      <c r="C87" s="217">
        <v>2.0930232558139537</v>
      </c>
      <c r="D87" s="217">
        <v>2.776315789473685</v>
      </c>
      <c r="E87" s="217">
        <v>2.801587301587301</v>
      </c>
      <c r="F87" s="217">
        <v>2.5546874999999996</v>
      </c>
      <c r="G87" s="217">
        <v>2.6818181818181825</v>
      </c>
      <c r="H87" s="217">
        <v>3.0360360360360361</v>
      </c>
      <c r="I87" s="217">
        <v>2.9123711340206184</v>
      </c>
      <c r="J87" s="217">
        <v>2.5438596491228074</v>
      </c>
      <c r="K87" s="217">
        <v>2.6274509803921569</v>
      </c>
      <c r="L87" s="217">
        <v>2.7321937321937328</v>
      </c>
      <c r="M87" s="217">
        <v>1.9505208333333337</v>
      </c>
      <c r="N87" s="217">
        <v>2.1765957446808502</v>
      </c>
      <c r="O87" s="217">
        <v>2.2058823529411753</v>
      </c>
      <c r="P87" s="217">
        <v>2.641711229946524</v>
      </c>
      <c r="Q87" s="217">
        <v>2.3823529411764706</v>
      </c>
      <c r="R87" s="217">
        <v>2.4764267990074442</v>
      </c>
      <c r="S87" s="217">
        <v>1.8942731277533043</v>
      </c>
      <c r="T87" s="214">
        <f t="shared" si="27"/>
        <v>-0.64958652136950312</v>
      </c>
      <c r="U87" s="214">
        <f t="shared" si="28"/>
        <v>-0.31160922518787104</v>
      </c>
      <c r="V87" s="214">
        <f t="shared" si="29"/>
        <v>-0.58215367125413997</v>
      </c>
    </row>
    <row r="88" spans="1:22" ht="15" customHeight="1" x14ac:dyDescent="0.2">
      <c r="A88" s="30" t="s">
        <v>488</v>
      </c>
      <c r="B88" s="217">
        <v>1.2352941176470589</v>
      </c>
      <c r="C88" s="217" t="s">
        <v>100</v>
      </c>
      <c r="D88" s="217">
        <v>2.0769230769230771</v>
      </c>
      <c r="E88" s="217">
        <v>2.1886792452830188</v>
      </c>
      <c r="F88" s="217" t="s">
        <v>100</v>
      </c>
      <c r="G88" s="217">
        <v>3</v>
      </c>
      <c r="H88" s="217">
        <v>2.0980392156862746</v>
      </c>
      <c r="I88" s="217">
        <v>2.3163265306122449</v>
      </c>
      <c r="J88" s="217">
        <v>1.6923076923076923</v>
      </c>
      <c r="K88" s="217">
        <v>1.8894472361809034</v>
      </c>
      <c r="L88" s="217">
        <v>1.7054794520547945</v>
      </c>
      <c r="M88" s="217">
        <v>2.1380597014925371</v>
      </c>
      <c r="N88" s="217">
        <v>2.3363636363636369</v>
      </c>
      <c r="O88" s="217">
        <v>2.4279475982532759</v>
      </c>
      <c r="P88" s="217">
        <v>2.031428571428572</v>
      </c>
      <c r="Q88" s="217">
        <v>1.7742663656884872</v>
      </c>
      <c r="R88" s="217">
        <v>2.375838926174497</v>
      </c>
      <c r="S88" s="217">
        <v>1.6909604519774009</v>
      </c>
      <c r="T88" s="214">
        <f t="shared" si="27"/>
        <v>-1.3472403302914326E-3</v>
      </c>
      <c r="U88" s="214">
        <f t="shared" si="28"/>
        <v>-0.73698714627587503</v>
      </c>
      <c r="V88" s="214">
        <f t="shared" si="29"/>
        <v>-0.68487847419709613</v>
      </c>
    </row>
    <row r="89" spans="1:22" ht="15" customHeight="1" x14ac:dyDescent="0.2">
      <c r="A89" s="42" t="s">
        <v>0</v>
      </c>
      <c r="B89" s="215">
        <v>2.4698067632850242</v>
      </c>
      <c r="C89" s="215">
        <v>2.4851794071762869</v>
      </c>
      <c r="D89" s="215">
        <v>2.5661167200196986</v>
      </c>
      <c r="E89" s="215">
        <v>2.2611722434313948</v>
      </c>
      <c r="F89" s="215">
        <v>2.3733483272420579</v>
      </c>
      <c r="G89" s="215">
        <v>2.2752718485702776</v>
      </c>
      <c r="H89" s="215">
        <v>2.2667177914110428</v>
      </c>
      <c r="I89" s="215">
        <v>2.1913495338529727</v>
      </c>
      <c r="J89" s="215">
        <v>2.2940868655154367</v>
      </c>
      <c r="K89" s="215">
        <v>2.2158995815899583</v>
      </c>
      <c r="L89" s="215">
        <v>2.1955618714473109</v>
      </c>
      <c r="M89" s="215">
        <v>2.1274422735346357</v>
      </c>
      <c r="N89" s="215">
        <v>2.1386181977444432</v>
      </c>
      <c r="O89" s="215">
        <v>2.1273042616451932</v>
      </c>
      <c r="P89" s="215">
        <v>2.2493014986029971</v>
      </c>
      <c r="Q89" s="215">
        <v>2.2653174952339055</v>
      </c>
      <c r="R89" s="215">
        <v>2.2072139718560542</v>
      </c>
      <c r="S89" s="215">
        <v>1.9519096534911342</v>
      </c>
      <c r="T89" s="216">
        <f t="shared" si="27"/>
        <v>-0.34217721202430251</v>
      </c>
      <c r="U89" s="216">
        <f t="shared" si="28"/>
        <v>-0.17539460815405894</v>
      </c>
      <c r="V89" s="216">
        <f t="shared" si="29"/>
        <v>-0.25530431836491996</v>
      </c>
    </row>
    <row r="90" spans="1:22" ht="15" customHeight="1" x14ac:dyDescent="0.2">
      <c r="A90" s="158" t="s">
        <v>415</v>
      </c>
      <c r="B90" s="180"/>
      <c r="C90" s="180"/>
      <c r="D90" s="180"/>
      <c r="E90" s="180"/>
      <c r="F90" s="180"/>
      <c r="G90" s="180"/>
      <c r="H90" s="180"/>
      <c r="I90" s="180"/>
      <c r="J90" s="180"/>
      <c r="K90" s="180"/>
      <c r="L90" s="180"/>
      <c r="M90" s="180"/>
      <c r="N90" s="180"/>
      <c r="O90" s="180"/>
      <c r="P90" s="180"/>
      <c r="Q90" s="180"/>
      <c r="R90" s="180"/>
      <c r="S90" s="180"/>
      <c r="T90" s="187"/>
      <c r="U90" s="187"/>
      <c r="V90" s="187"/>
    </row>
    <row r="91" spans="1:22" ht="15" customHeight="1" x14ac:dyDescent="0.2"/>
    <row r="92" spans="1:22" ht="15" customHeight="1" x14ac:dyDescent="0.2">
      <c r="A92" s="122" t="s">
        <v>112</v>
      </c>
    </row>
    <row r="93" spans="1:22" ht="15" customHeight="1" x14ac:dyDescent="0.2">
      <c r="A93" s="8"/>
    </row>
    <row r="94" spans="1:22" ht="15" customHeight="1" x14ac:dyDescent="0.2">
      <c r="A94" s="12" t="s">
        <v>94</v>
      </c>
    </row>
    <row r="95" spans="1:22" ht="15" customHeight="1" x14ac:dyDescent="0.2">
      <c r="A95" s="1"/>
    </row>
    <row r="96" spans="1:22"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sheetData>
  <hyperlinks>
    <hyperlink ref="A3" location="Índice!A1" display="Volver al índice" xr:uid="{43334888-B4C6-4722-804F-BF6E91DA0468}"/>
    <hyperlink ref="A94" location="Índice!A1" display="Volver al índice" xr:uid="{AB597DEA-D090-4DFE-844E-42B9EB0E9C1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X558"/>
  <sheetViews>
    <sheetView showGridLines="0" zoomScale="80" zoomScaleNormal="80" workbookViewId="0">
      <pane ySplit="3" topLeftCell="A4" activePane="bottomLeft" state="frozenSplit"/>
      <selection pane="bottomLeft" activeCell="A4" sqref="A4"/>
    </sheetView>
  </sheetViews>
  <sheetFormatPr baseColWidth="10" defaultRowHeight="15" customHeight="1" x14ac:dyDescent="0.2"/>
  <cols>
    <col min="1" max="1" width="39.5703125" style="8" customWidth="1"/>
    <col min="2" max="2" width="10.28515625" style="8" bestFit="1" customWidth="1"/>
    <col min="3" max="20" width="9.42578125" style="8" customWidth="1"/>
    <col min="21" max="21" width="12.140625" style="67" customWidth="1"/>
    <col min="22" max="22" width="12" style="67" customWidth="1"/>
    <col min="23" max="23" width="11.5703125" style="67" customWidth="1"/>
    <col min="24" max="24" width="14.28515625" style="1" customWidth="1"/>
    <col min="25" max="16384" width="11.42578125" style="1"/>
  </cols>
  <sheetData>
    <row r="1" spans="1:23" ht="21" customHeight="1" x14ac:dyDescent="0.2">
      <c r="A1" s="13" t="s">
        <v>538</v>
      </c>
      <c r="B1" s="13"/>
      <c r="C1" s="13"/>
      <c r="D1" s="13"/>
      <c r="E1" s="13"/>
      <c r="F1" s="13"/>
      <c r="G1" s="13"/>
      <c r="H1" s="13"/>
      <c r="I1" s="13"/>
      <c r="J1" s="13"/>
      <c r="K1" s="13"/>
      <c r="L1" s="13"/>
      <c r="M1" s="13"/>
      <c r="N1" s="13"/>
      <c r="O1" s="13"/>
      <c r="P1" s="13"/>
      <c r="Q1" s="13"/>
      <c r="R1" s="13"/>
      <c r="S1" s="13"/>
      <c r="T1" s="13"/>
      <c r="U1" s="63"/>
      <c r="V1" s="63"/>
      <c r="W1" s="63"/>
    </row>
    <row r="2" spans="1:23" ht="15" customHeight="1" x14ac:dyDescent="0.2">
      <c r="A2" s="24" t="s">
        <v>133</v>
      </c>
      <c r="B2" s="24"/>
      <c r="C2" s="24"/>
      <c r="D2" s="24"/>
      <c r="E2" s="24"/>
      <c r="F2" s="24"/>
      <c r="G2" s="24"/>
      <c r="H2" s="24"/>
      <c r="I2" s="24"/>
      <c r="J2" s="24"/>
      <c r="K2" s="24"/>
      <c r="L2" s="24"/>
      <c r="M2" s="24"/>
      <c r="N2" s="24"/>
      <c r="O2" s="24"/>
      <c r="P2" s="24"/>
      <c r="Q2" s="24"/>
      <c r="R2" s="24"/>
      <c r="S2" s="24"/>
      <c r="T2" s="24"/>
      <c r="U2" s="64"/>
      <c r="V2" s="64"/>
      <c r="W2" s="64"/>
    </row>
    <row r="3" spans="1:23" ht="15" customHeight="1" x14ac:dyDescent="0.2">
      <c r="A3" s="12" t="s">
        <v>94</v>
      </c>
      <c r="B3" s="12"/>
      <c r="C3" s="7"/>
      <c r="D3" s="7"/>
      <c r="E3" s="7"/>
      <c r="F3" s="7"/>
      <c r="G3" s="7"/>
      <c r="H3" s="7"/>
      <c r="I3" s="7"/>
      <c r="J3" s="7"/>
      <c r="K3" s="7"/>
      <c r="L3" s="7"/>
      <c r="M3" s="7"/>
      <c r="N3" s="7"/>
      <c r="O3" s="7"/>
      <c r="P3" s="7"/>
      <c r="Q3" s="7"/>
      <c r="R3" s="7"/>
      <c r="S3" s="7"/>
      <c r="T3" s="7"/>
      <c r="U3" s="65"/>
      <c r="V3" s="65"/>
      <c r="W3" s="65"/>
    </row>
    <row r="5" spans="1:23" ht="15" customHeight="1" x14ac:dyDescent="0.25">
      <c r="A5" s="54" t="s">
        <v>532</v>
      </c>
      <c r="B5" s="54"/>
      <c r="C5" s="54"/>
      <c r="D5" s="54"/>
      <c r="E5" s="54"/>
      <c r="F5" s="54"/>
      <c r="G5" s="54"/>
      <c r="H5" s="54"/>
      <c r="I5" s="54"/>
      <c r="J5" s="54"/>
      <c r="K5" s="54"/>
      <c r="L5" s="54"/>
      <c r="M5" s="54"/>
      <c r="N5" s="54"/>
      <c r="O5" s="54"/>
      <c r="P5" s="54"/>
      <c r="Q5" s="54"/>
      <c r="R5" s="54"/>
      <c r="S5" s="54"/>
      <c r="T5" s="54"/>
      <c r="U5" s="66"/>
      <c r="V5" s="66"/>
      <c r="W5" s="66"/>
    </row>
    <row r="6" spans="1:23" ht="45.75" customHeight="1" x14ac:dyDescent="0.2">
      <c r="A6" s="47" t="s">
        <v>362</v>
      </c>
      <c r="B6" s="147" t="s">
        <v>530</v>
      </c>
      <c r="C6" s="15">
        <v>2007</v>
      </c>
      <c r="D6" s="15">
        <v>2008</v>
      </c>
      <c r="E6" s="15">
        <v>2009</v>
      </c>
      <c r="F6" s="15">
        <v>2010</v>
      </c>
      <c r="G6" s="15">
        <v>2011</v>
      </c>
      <c r="H6" s="15">
        <v>2012</v>
      </c>
      <c r="I6" s="15">
        <v>2013</v>
      </c>
      <c r="J6" s="15">
        <v>2014</v>
      </c>
      <c r="K6" s="15">
        <v>2015</v>
      </c>
      <c r="L6" s="15">
        <v>2016</v>
      </c>
      <c r="M6" s="15">
        <v>2017</v>
      </c>
      <c r="N6" s="15">
        <v>2018</v>
      </c>
      <c r="O6" s="15">
        <v>2019</v>
      </c>
      <c r="P6" s="15">
        <v>2020</v>
      </c>
      <c r="Q6" s="15">
        <v>2021</v>
      </c>
      <c r="R6" s="15">
        <v>2022</v>
      </c>
      <c r="S6" s="15">
        <v>2023</v>
      </c>
      <c r="T6" s="15">
        <v>2024</v>
      </c>
      <c r="U6" s="27" t="s">
        <v>469</v>
      </c>
      <c r="V6" s="27" t="s">
        <v>470</v>
      </c>
      <c r="W6" s="27" t="s">
        <v>471</v>
      </c>
    </row>
    <row r="7" spans="1:23" ht="15" customHeight="1" x14ac:dyDescent="0.2">
      <c r="A7" s="29" t="s">
        <v>72</v>
      </c>
      <c r="B7" s="29" t="s">
        <v>384</v>
      </c>
      <c r="C7" s="173">
        <v>10.825825500446946</v>
      </c>
      <c r="D7" s="173">
        <v>10.123398580749631</v>
      </c>
      <c r="E7" s="173">
        <v>10.24836093857833</v>
      </c>
      <c r="F7" s="173">
        <v>10.493261337196541</v>
      </c>
      <c r="G7" s="173">
        <v>9.843537290156867</v>
      </c>
      <c r="H7" s="173">
        <v>9.635353966222727</v>
      </c>
      <c r="I7" s="173">
        <v>9.6809699685991344</v>
      </c>
      <c r="J7" s="173">
        <v>9.6134275976535282</v>
      </c>
      <c r="K7" s="173">
        <v>9.4150822549845223</v>
      </c>
      <c r="L7" s="173">
        <v>9.329571106094809</v>
      </c>
      <c r="M7" s="173">
        <v>9.3318155766414055</v>
      </c>
      <c r="N7" s="173">
        <v>9.4625128071197544</v>
      </c>
      <c r="O7" s="173">
        <v>9.314435299869622</v>
      </c>
      <c r="P7" s="173">
        <v>9.1453252970734482</v>
      </c>
      <c r="Q7" s="173">
        <v>9.7129972227784407</v>
      </c>
      <c r="R7" s="173">
        <v>9.8059206124033089</v>
      </c>
      <c r="S7" s="173">
        <v>9.6248205827472368</v>
      </c>
      <c r="T7" s="173">
        <v>9.419605181080982</v>
      </c>
      <c r="U7" s="164">
        <f>IFERROR((T7-K7),"n/a")</f>
        <v>4.5229260964596563E-3</v>
      </c>
      <c r="V7" s="164">
        <f>IFERROR((T7-P7),"n/a")</f>
        <v>0.27427988400753378</v>
      </c>
      <c r="W7" s="164">
        <f>IFERROR((T7-S7),"n/a")</f>
        <v>-0.20521540166625485</v>
      </c>
    </row>
    <row r="8" spans="1:23" ht="15" customHeight="1" x14ac:dyDescent="0.2">
      <c r="A8" s="29"/>
      <c r="B8" s="29" t="s">
        <v>531</v>
      </c>
      <c r="C8" s="173">
        <v>2.3203943982447086</v>
      </c>
      <c r="D8" s="173">
        <v>2.046411392103634</v>
      </c>
      <c r="E8" s="173">
        <v>2.0860938578329886</v>
      </c>
      <c r="F8" s="173">
        <v>2.2536985820273063</v>
      </c>
      <c r="G8" s="173">
        <v>2.1133290523805162</v>
      </c>
      <c r="H8" s="173">
        <v>2.050902886392719</v>
      </c>
      <c r="I8" s="173">
        <v>2.1300023516067013</v>
      </c>
      <c r="J8" s="173">
        <v>2.0535811572719096</v>
      </c>
      <c r="K8" s="173">
        <v>1.9718897889955054</v>
      </c>
      <c r="L8" s="173">
        <v>1.924135794272563</v>
      </c>
      <c r="M8" s="173">
        <v>1.9158228788554199</v>
      </c>
      <c r="N8" s="173">
        <v>2.0359101593105251</v>
      </c>
      <c r="O8" s="173">
        <v>1.9291883963494136</v>
      </c>
      <c r="P8" s="173">
        <v>1.9785685082362878</v>
      </c>
      <c r="Q8" s="173">
        <v>2.197322027110558</v>
      </c>
      <c r="R8" s="173">
        <v>2.1003452798372644</v>
      </c>
      <c r="S8" s="173">
        <v>1.9613266111669301</v>
      </c>
      <c r="T8" s="173">
        <v>1.7989487395883019</v>
      </c>
      <c r="U8" s="164">
        <f t="shared" ref="U8:U12" si="0">IFERROR((T8-K8),"n/a")</f>
        <v>-0.17294104940720345</v>
      </c>
      <c r="V8" s="164">
        <f t="shared" ref="V8:V12" si="1">IFERROR((T8-P8),"n/a")</f>
        <v>-0.1796197686479859</v>
      </c>
      <c r="W8" s="164">
        <f t="shared" ref="W8:W12" si="2">IFERROR((T8-S8),"n/a")</f>
        <v>-0.16237787157862815</v>
      </c>
    </row>
    <row r="9" spans="1:23" ht="15" customHeight="1" x14ac:dyDescent="0.2">
      <c r="A9" s="29" t="s">
        <v>71</v>
      </c>
      <c r="B9" s="29" t="s">
        <v>384</v>
      </c>
      <c r="C9" s="173">
        <v>11.904611348424204</v>
      </c>
      <c r="D9" s="173">
        <v>11.495481595768128</v>
      </c>
      <c r="E9" s="173">
        <v>11.354709822070195</v>
      </c>
      <c r="F9" s="173">
        <v>11.543241753459631</v>
      </c>
      <c r="G9" s="173">
        <v>10.862164476003425</v>
      </c>
      <c r="H9" s="173">
        <v>10.729518236254764</v>
      </c>
      <c r="I9" s="173">
        <v>10.63991331915406</v>
      </c>
      <c r="J9" s="173">
        <v>10.548533782090301</v>
      </c>
      <c r="K9" s="173">
        <v>10.20684246642486</v>
      </c>
      <c r="L9" s="173">
        <v>10.025015518311609</v>
      </c>
      <c r="M9" s="173">
        <v>10.081437320630787</v>
      </c>
      <c r="N9" s="173">
        <v>10.27527875985858</v>
      </c>
      <c r="O9" s="173">
        <v>10.141770558538774</v>
      </c>
      <c r="P9" s="173">
        <v>10.206635003898773</v>
      </c>
      <c r="Q9" s="173">
        <v>10.59917870047231</v>
      </c>
      <c r="R9" s="173">
        <v>10.548151679624468</v>
      </c>
      <c r="S9" s="173">
        <v>10.44508537148131</v>
      </c>
      <c r="T9" s="173">
        <v>10.128812395802687</v>
      </c>
      <c r="U9" s="164">
        <f t="shared" si="0"/>
        <v>-7.8030070622173042E-2</v>
      </c>
      <c r="V9" s="164">
        <f t="shared" si="1"/>
        <v>-7.7822608096086654E-2</v>
      </c>
      <c r="W9" s="164">
        <f t="shared" si="2"/>
        <v>-0.31627297567862378</v>
      </c>
    </row>
    <row r="10" spans="1:23" ht="15" customHeight="1" x14ac:dyDescent="0.2">
      <c r="A10" s="29"/>
      <c r="B10" s="29" t="s">
        <v>531</v>
      </c>
      <c r="C10" s="173">
        <v>3.2848205576670821</v>
      </c>
      <c r="D10" s="173">
        <v>3.0465694763689033</v>
      </c>
      <c r="E10" s="173">
        <v>3.0204374946103663</v>
      </c>
      <c r="F10" s="173">
        <v>3.1309872639183034</v>
      </c>
      <c r="G10" s="173">
        <v>2.8876970337916106</v>
      </c>
      <c r="H10" s="173">
        <v>2.86631282888768</v>
      </c>
      <c r="I10" s="173">
        <v>2.8523215217304072</v>
      </c>
      <c r="J10" s="173">
        <v>2.7930466540155399</v>
      </c>
      <c r="K10" s="173">
        <v>2.6379113158840628</v>
      </c>
      <c r="L10" s="173">
        <v>2.587088764742397</v>
      </c>
      <c r="M10" s="173">
        <v>2.6058167401402397</v>
      </c>
      <c r="N10" s="173">
        <v>2.7800652706010327</v>
      </c>
      <c r="O10" s="173">
        <v>2.7162580178635993</v>
      </c>
      <c r="P10" s="173">
        <v>2.7152123059474018</v>
      </c>
      <c r="Q10" s="173">
        <v>2.9525348065753301</v>
      </c>
      <c r="R10" s="173">
        <v>2.8329543787589841</v>
      </c>
      <c r="S10" s="173">
        <v>2.702086318704005</v>
      </c>
      <c r="T10" s="173">
        <v>2.475973325487888</v>
      </c>
      <c r="U10" s="164">
        <f t="shared" si="0"/>
        <v>-0.16193799039617485</v>
      </c>
      <c r="V10" s="164">
        <f t="shared" si="1"/>
        <v>-0.23923898045951386</v>
      </c>
      <c r="W10" s="164">
        <f t="shared" si="2"/>
        <v>-0.226112993216117</v>
      </c>
    </row>
    <row r="11" spans="1:23" ht="15" customHeight="1" x14ac:dyDescent="0.2">
      <c r="A11" s="42" t="s">
        <v>0</v>
      </c>
      <c r="B11" s="42" t="s">
        <v>384</v>
      </c>
      <c r="C11" s="166">
        <v>11.307060977073581</v>
      </c>
      <c r="D11" s="166">
        <v>10.714235353138177</v>
      </c>
      <c r="E11" s="166">
        <v>10.722611727885457</v>
      </c>
      <c r="F11" s="166">
        <v>10.945505891761531</v>
      </c>
      <c r="G11" s="166">
        <v>10.272896124985406</v>
      </c>
      <c r="H11" s="166">
        <v>10.084574195651161</v>
      </c>
      <c r="I11" s="166">
        <v>10.072292412121609</v>
      </c>
      <c r="J11" s="166">
        <v>10.000957079793746</v>
      </c>
      <c r="K11" s="166">
        <v>9.7481050324017122</v>
      </c>
      <c r="L11" s="166">
        <v>9.6190476190476186</v>
      </c>
      <c r="M11" s="166">
        <v>9.644967123152222</v>
      </c>
      <c r="N11" s="166">
        <v>9.8078211838654141</v>
      </c>
      <c r="O11" s="166">
        <v>9.6718656893429671</v>
      </c>
      <c r="P11" s="166">
        <v>9.5981580479542696</v>
      </c>
      <c r="Q11" s="166">
        <v>10.079722792083857</v>
      </c>
      <c r="R11" s="166">
        <v>10.119079670117131</v>
      </c>
      <c r="S11" s="166">
        <v>9.9733307880032402</v>
      </c>
      <c r="T11" s="166">
        <v>9.7231949377980893</v>
      </c>
      <c r="U11" s="165">
        <f t="shared" si="0"/>
        <v>-2.4910094603622923E-2</v>
      </c>
      <c r="V11" s="165">
        <f t="shared" si="1"/>
        <v>0.12503688984381967</v>
      </c>
      <c r="W11" s="165">
        <f t="shared" si="2"/>
        <v>-0.25013585020515094</v>
      </c>
    </row>
    <row r="12" spans="1:23" ht="15" customHeight="1" x14ac:dyDescent="0.2">
      <c r="A12" s="42"/>
      <c r="B12" s="42" t="s">
        <v>531</v>
      </c>
      <c r="C12" s="166">
        <v>2.7506151722482297</v>
      </c>
      <c r="D12" s="166">
        <v>2.477092457255976</v>
      </c>
      <c r="E12" s="166">
        <v>2.4866123686188502</v>
      </c>
      <c r="F12" s="166">
        <v>2.631561847876343</v>
      </c>
      <c r="G12" s="166">
        <v>2.4397308398518343</v>
      </c>
      <c r="H12" s="166">
        <v>2.3856777017274284</v>
      </c>
      <c r="I12" s="166">
        <v>2.4247639790713098</v>
      </c>
      <c r="J12" s="166">
        <v>2.3600326445821134</v>
      </c>
      <c r="K12" s="166">
        <v>2.2520255365352497</v>
      </c>
      <c r="L12" s="166">
        <v>2.2000878484871969</v>
      </c>
      <c r="M12" s="166">
        <v>2.2040651109902605</v>
      </c>
      <c r="N12" s="166">
        <v>2.3520688180988367</v>
      </c>
      <c r="O12" s="166">
        <v>2.2692229813772391</v>
      </c>
      <c r="P12" s="166">
        <v>2.2928749120989638</v>
      </c>
      <c r="Q12" s="166">
        <v>2.5098492503342626</v>
      </c>
      <c r="R12" s="166">
        <v>2.4094446765383966</v>
      </c>
      <c r="S12" s="166">
        <v>2.2760462080600972</v>
      </c>
      <c r="T12" s="166">
        <v>2.0887406933243788</v>
      </c>
      <c r="U12" s="165">
        <f t="shared" si="0"/>
        <v>-0.16328484321087089</v>
      </c>
      <c r="V12" s="165">
        <f t="shared" si="1"/>
        <v>-0.20413421877458493</v>
      </c>
      <c r="W12" s="165">
        <f t="shared" si="2"/>
        <v>-0.18730551473571833</v>
      </c>
    </row>
    <row r="13" spans="1:23" ht="15" customHeight="1" x14ac:dyDescent="0.2">
      <c r="A13" s="44"/>
      <c r="B13" s="44"/>
      <c r="C13" s="44"/>
      <c r="D13" s="44"/>
      <c r="E13" s="44"/>
      <c r="F13" s="44"/>
      <c r="G13" s="44"/>
      <c r="H13" s="44"/>
      <c r="I13" s="44"/>
      <c r="J13" s="44"/>
      <c r="K13" s="44"/>
      <c r="L13" s="44"/>
      <c r="M13" s="44"/>
      <c r="N13" s="44"/>
      <c r="O13" s="44"/>
      <c r="P13" s="44"/>
      <c r="Q13" s="44"/>
      <c r="R13" s="44"/>
      <c r="S13" s="44"/>
      <c r="T13" s="44"/>
      <c r="U13" s="51"/>
    </row>
    <row r="14" spans="1:23" ht="15" customHeight="1" x14ac:dyDescent="0.25">
      <c r="A14" s="54" t="s">
        <v>533</v>
      </c>
      <c r="B14" s="54"/>
      <c r="C14" s="54"/>
      <c r="D14" s="54"/>
      <c r="E14" s="54"/>
      <c r="F14" s="54"/>
      <c r="G14" s="54"/>
      <c r="H14" s="54"/>
      <c r="I14" s="54"/>
      <c r="J14" s="54"/>
      <c r="K14" s="54"/>
      <c r="L14" s="54"/>
      <c r="M14" s="54"/>
      <c r="N14" s="54"/>
      <c r="O14" s="54"/>
      <c r="P14" s="54"/>
      <c r="Q14" s="54"/>
      <c r="R14" s="54"/>
      <c r="S14" s="54"/>
      <c r="T14" s="54"/>
      <c r="U14" s="66"/>
      <c r="V14" s="66"/>
      <c r="W14" s="66"/>
    </row>
    <row r="15" spans="1:23" ht="48" customHeight="1" x14ac:dyDescent="0.2">
      <c r="A15" s="47" t="s">
        <v>363</v>
      </c>
      <c r="B15" s="147" t="s">
        <v>530</v>
      </c>
      <c r="C15" s="15">
        <v>2007</v>
      </c>
      <c r="D15" s="15">
        <v>2008</v>
      </c>
      <c r="E15" s="15">
        <v>2009</v>
      </c>
      <c r="F15" s="15">
        <v>2010</v>
      </c>
      <c r="G15" s="15">
        <v>2011</v>
      </c>
      <c r="H15" s="15">
        <v>2012</v>
      </c>
      <c r="I15" s="15">
        <v>2013</v>
      </c>
      <c r="J15" s="15">
        <v>2014</v>
      </c>
      <c r="K15" s="15">
        <v>2015</v>
      </c>
      <c r="L15" s="15">
        <v>2016</v>
      </c>
      <c r="M15" s="15">
        <v>2017</v>
      </c>
      <c r="N15" s="15">
        <v>2018</v>
      </c>
      <c r="O15" s="15">
        <v>2019</v>
      </c>
      <c r="P15" s="15">
        <v>2020</v>
      </c>
      <c r="Q15" s="15">
        <v>2021</v>
      </c>
      <c r="R15" s="15">
        <v>2022</v>
      </c>
      <c r="S15" s="15">
        <v>2023</v>
      </c>
      <c r="T15" s="15">
        <v>2024</v>
      </c>
      <c r="U15" s="27" t="s">
        <v>469</v>
      </c>
      <c r="V15" s="27" t="s">
        <v>470</v>
      </c>
      <c r="W15" s="27" t="s">
        <v>471</v>
      </c>
    </row>
    <row r="16" spans="1:23" ht="15" customHeight="1" x14ac:dyDescent="0.2">
      <c r="A16" s="196" t="s">
        <v>72</v>
      </c>
      <c r="B16" s="197"/>
      <c r="C16" s="166"/>
      <c r="D16" s="166"/>
      <c r="E16" s="166"/>
      <c r="F16" s="166"/>
      <c r="G16" s="166"/>
      <c r="H16" s="166"/>
      <c r="I16" s="166"/>
      <c r="J16" s="166"/>
      <c r="K16" s="166"/>
      <c r="L16" s="166"/>
      <c r="M16" s="166"/>
      <c r="N16" s="166"/>
      <c r="O16" s="166"/>
      <c r="P16" s="166"/>
      <c r="Q16" s="166"/>
      <c r="R16" s="166"/>
      <c r="S16" s="166"/>
      <c r="T16" s="166"/>
      <c r="U16" s="165"/>
      <c r="V16" s="165"/>
      <c r="W16" s="165"/>
    </row>
    <row r="17" spans="1:23" ht="15" customHeight="1" x14ac:dyDescent="0.2">
      <c r="A17" s="34" t="s">
        <v>1</v>
      </c>
      <c r="B17" s="29" t="s">
        <v>384</v>
      </c>
      <c r="C17" s="167">
        <v>6.6456469251526773</v>
      </c>
      <c r="D17" s="167">
        <v>6.0564523654007649</v>
      </c>
      <c r="E17" s="167">
        <v>5.9978560144436921</v>
      </c>
      <c r="F17" s="167">
        <v>6.5795487416835403</v>
      </c>
      <c r="G17" s="167">
        <v>6.4475369247844272</v>
      </c>
      <c r="H17" s="167">
        <v>6.4402533832421538</v>
      </c>
      <c r="I17" s="167">
        <v>6.549724128650249</v>
      </c>
      <c r="J17" s="167">
        <v>6.563632605250465</v>
      </c>
      <c r="K17" s="167">
        <v>6.4758226997985222</v>
      </c>
      <c r="L17" s="167">
        <v>6.4103060360469337</v>
      </c>
      <c r="M17" s="167">
        <v>6.2616361506688856</v>
      </c>
      <c r="N17" s="167">
        <v>6.4737558435410376</v>
      </c>
      <c r="O17" s="167">
        <v>6.3273041474654379</v>
      </c>
      <c r="P17" s="167">
        <v>6.3866976024748645</v>
      </c>
      <c r="Q17" s="167">
        <v>6.6495474422861793</v>
      </c>
      <c r="R17" s="167">
        <v>6.4763698276751622</v>
      </c>
      <c r="S17" s="167">
        <v>6.3912979925940361</v>
      </c>
      <c r="T17" s="167">
        <v>6.2230092182698815</v>
      </c>
      <c r="U17" s="164">
        <f t="shared" ref="U17" si="3">IFERROR((T17-K17),"n/a")</f>
        <v>-0.25281348152864069</v>
      </c>
      <c r="V17" s="164">
        <f t="shared" ref="V17" si="4">IFERROR((T17-P17),"n/a")</f>
        <v>-0.163688384204983</v>
      </c>
      <c r="W17" s="164">
        <f t="shared" ref="W17" si="5">IFERROR((T17-S17),"n/a")</f>
        <v>-0.16828877432415457</v>
      </c>
    </row>
    <row r="18" spans="1:23" ht="15" customHeight="1" x14ac:dyDescent="0.2">
      <c r="A18" s="34"/>
      <c r="B18" s="29" t="s">
        <v>531</v>
      </c>
      <c r="C18" s="167">
        <v>1.5544666950717225</v>
      </c>
      <c r="D18" s="167">
        <v>1.039936549407483</v>
      </c>
      <c r="E18" s="167">
        <v>0.93432633716993863</v>
      </c>
      <c r="F18" s="167">
        <v>1.4503905120046277</v>
      </c>
      <c r="G18" s="167">
        <v>1.4682831042431479</v>
      </c>
      <c r="H18" s="167">
        <v>1.4285919953930319</v>
      </c>
      <c r="I18" s="167">
        <v>1.543062844839187</v>
      </c>
      <c r="J18" s="167">
        <v>1.5291807345138837</v>
      </c>
      <c r="K18" s="167">
        <v>1.4457353928811276</v>
      </c>
      <c r="L18" s="167">
        <v>1.4213741381395915</v>
      </c>
      <c r="M18" s="167">
        <v>1.3325319030885883</v>
      </c>
      <c r="N18" s="167">
        <v>1.5053553464702052</v>
      </c>
      <c r="O18" s="167">
        <v>1.4483870967741934</v>
      </c>
      <c r="P18" s="167">
        <v>1.4659706109822119</v>
      </c>
      <c r="Q18" s="167">
        <v>1.7936031729889148</v>
      </c>
      <c r="R18" s="167">
        <v>1.6385305953977918</v>
      </c>
      <c r="S18" s="167">
        <v>1.5423406743324888</v>
      </c>
      <c r="T18" s="167">
        <v>1.4098224050830686</v>
      </c>
      <c r="U18" s="164">
        <f t="shared" ref="U18:U22" si="6">IFERROR((T18-K18),"n/a")</f>
        <v>-3.5912987798059071E-2</v>
      </c>
      <c r="V18" s="164">
        <f t="shared" ref="V18:V22" si="7">IFERROR((T18-P18),"n/a")</f>
        <v>-5.6148205899143377E-2</v>
      </c>
      <c r="W18" s="164">
        <f t="shared" ref="W18:W22" si="8">IFERROR((T18-S18),"n/a")</f>
        <v>-0.13251826924942023</v>
      </c>
    </row>
    <row r="19" spans="1:23" ht="15" customHeight="1" x14ac:dyDescent="0.2">
      <c r="A19" s="34" t="s">
        <v>2</v>
      </c>
      <c r="B19" s="29" t="s">
        <v>384</v>
      </c>
      <c r="C19" s="167">
        <v>8.6253665689149557</v>
      </c>
      <c r="D19" s="167">
        <v>8.0255820638114397</v>
      </c>
      <c r="E19" s="167">
        <v>7.8737884099814393</v>
      </c>
      <c r="F19" s="167">
        <v>7.7826683658464875</v>
      </c>
      <c r="G19" s="167">
        <v>7.603194708324537</v>
      </c>
      <c r="H19" s="167">
        <v>7.5590568778634486</v>
      </c>
      <c r="I19" s="167">
        <v>7.7518489949634741</v>
      </c>
      <c r="J19" s="167">
        <v>7.5354662983849314</v>
      </c>
      <c r="K19" s="167">
        <v>7.3625187016197229</v>
      </c>
      <c r="L19" s="167">
        <v>7.4035368820841496</v>
      </c>
      <c r="M19" s="167">
        <v>7.3969354350636847</v>
      </c>
      <c r="N19" s="167">
        <v>7.7432269639882101</v>
      </c>
      <c r="O19" s="167">
        <v>7.4233803042862112</v>
      </c>
      <c r="P19" s="167">
        <v>7.3703979777028783</v>
      </c>
      <c r="Q19" s="167">
        <v>7.6354886113152096</v>
      </c>
      <c r="R19" s="167">
        <v>7.9423409060714762</v>
      </c>
      <c r="S19" s="167">
        <v>7.6684447091952777</v>
      </c>
      <c r="T19" s="167">
        <v>7.5423038499961574</v>
      </c>
      <c r="U19" s="164">
        <f t="shared" si="6"/>
        <v>0.17978514837643456</v>
      </c>
      <c r="V19" s="164">
        <f t="shared" si="7"/>
        <v>0.17190587229327914</v>
      </c>
      <c r="W19" s="164">
        <f t="shared" si="8"/>
        <v>-0.12614085919912021</v>
      </c>
    </row>
    <row r="20" spans="1:23" ht="15" customHeight="1" x14ac:dyDescent="0.2">
      <c r="A20" s="34"/>
      <c r="B20" s="29" t="s">
        <v>531</v>
      </c>
      <c r="C20" s="167">
        <v>1.4269794721407623</v>
      </c>
      <c r="D20" s="167">
        <v>1.2628628916355273</v>
      </c>
      <c r="E20" s="167">
        <v>1.4817488141884922</v>
      </c>
      <c r="F20" s="167">
        <v>1.1999803940790139</v>
      </c>
      <c r="G20" s="167">
        <v>1.4303004714657659</v>
      </c>
      <c r="H20" s="167">
        <v>1.3993742317577382</v>
      </c>
      <c r="I20" s="167">
        <v>1.5648169154680343</v>
      </c>
      <c r="J20" s="167">
        <v>1.3847393255840723</v>
      </c>
      <c r="K20" s="167">
        <v>1.3227086450269958</v>
      </c>
      <c r="L20" s="167">
        <v>1.3237790042134003</v>
      </c>
      <c r="M20" s="167">
        <v>1.2843112981761164</v>
      </c>
      <c r="N20" s="167">
        <v>1.5985133922850192</v>
      </c>
      <c r="O20" s="167">
        <v>1.311532393914276</v>
      </c>
      <c r="P20" s="167">
        <v>1.3869263676432464</v>
      </c>
      <c r="Q20" s="167">
        <v>1.5578251285819249</v>
      </c>
      <c r="R20" s="167">
        <v>1.5859970771887877</v>
      </c>
      <c r="S20" s="167">
        <v>1.4660186288313657</v>
      </c>
      <c r="T20" s="167">
        <v>1.3514690437767358</v>
      </c>
      <c r="U20" s="164">
        <f t="shared" si="6"/>
        <v>2.8760398749740013E-2</v>
      </c>
      <c r="V20" s="164">
        <f t="shared" si="7"/>
        <v>-3.5457323866510571E-2</v>
      </c>
      <c r="W20" s="164">
        <f t="shared" si="8"/>
        <v>-0.11454958505462987</v>
      </c>
    </row>
    <row r="21" spans="1:23" ht="15" customHeight="1" x14ac:dyDescent="0.2">
      <c r="A21" s="34" t="s">
        <v>3</v>
      </c>
      <c r="B21" s="29" t="s">
        <v>384</v>
      </c>
      <c r="C21" s="167">
        <v>12.753296321998612</v>
      </c>
      <c r="D21" s="167">
        <v>12.515851803116904</v>
      </c>
      <c r="E21" s="167">
        <v>12.431063003452245</v>
      </c>
      <c r="F21" s="167">
        <v>12.416763351263931</v>
      </c>
      <c r="G21" s="167">
        <v>12.349218011965991</v>
      </c>
      <c r="H21" s="167">
        <v>12.223601104516456</v>
      </c>
      <c r="I21" s="167">
        <v>12.197287369313365</v>
      </c>
      <c r="J21" s="167">
        <v>12.18019662555089</v>
      </c>
      <c r="K21" s="167">
        <v>12.178461538461539</v>
      </c>
      <c r="L21" s="167">
        <v>12.149441897548336</v>
      </c>
      <c r="M21" s="167">
        <v>12.21651539163425</v>
      </c>
      <c r="N21" s="167">
        <v>12.156943171402384</v>
      </c>
      <c r="O21" s="167">
        <v>12.137757099753554</v>
      </c>
      <c r="P21" s="167">
        <v>11.968193026812747</v>
      </c>
      <c r="Q21" s="167">
        <v>12.381352658781982</v>
      </c>
      <c r="R21" s="167">
        <v>12.251516362183562</v>
      </c>
      <c r="S21" s="167">
        <v>12.191054502369669</v>
      </c>
      <c r="T21" s="167">
        <v>12.071968801701725</v>
      </c>
      <c r="U21" s="164">
        <f t="shared" si="6"/>
        <v>-0.10649273675981341</v>
      </c>
      <c r="V21" s="164">
        <f t="shared" si="7"/>
        <v>0.10377577488897849</v>
      </c>
      <c r="W21" s="164">
        <f t="shared" si="8"/>
        <v>-0.11908570066794333</v>
      </c>
    </row>
    <row r="22" spans="1:23" ht="15" customHeight="1" x14ac:dyDescent="0.2">
      <c r="A22" s="34"/>
      <c r="B22" s="29" t="s">
        <v>531</v>
      </c>
      <c r="C22" s="167">
        <v>2.8185721721027051</v>
      </c>
      <c r="D22" s="167">
        <v>2.7141329824417113</v>
      </c>
      <c r="E22" s="167">
        <v>2.6639096662830841</v>
      </c>
      <c r="F22" s="167">
        <v>2.8268818338431245</v>
      </c>
      <c r="G22" s="167">
        <v>2.7172947062733979</v>
      </c>
      <c r="H22" s="167">
        <v>2.6954010219951119</v>
      </c>
      <c r="I22" s="167">
        <v>2.7284543656400118</v>
      </c>
      <c r="J22" s="167">
        <v>2.7067045661981375</v>
      </c>
      <c r="K22" s="167">
        <v>2.6905494505494509</v>
      </c>
      <c r="L22" s="167">
        <v>2.635364759816623</v>
      </c>
      <c r="M22" s="167">
        <v>2.6942323392402621</v>
      </c>
      <c r="N22" s="167">
        <v>2.6324014665444562</v>
      </c>
      <c r="O22" s="167">
        <v>2.6534767487389743</v>
      </c>
      <c r="P22" s="167">
        <v>2.7552829540843398</v>
      </c>
      <c r="Q22" s="167">
        <v>2.8236246252322186</v>
      </c>
      <c r="R22" s="167">
        <v>2.6144263247739072</v>
      </c>
      <c r="S22" s="167">
        <v>2.4591787618483423</v>
      </c>
      <c r="T22" s="167">
        <v>2.2901796265658234</v>
      </c>
      <c r="U22" s="164">
        <f t="shared" si="6"/>
        <v>-0.40036982398362753</v>
      </c>
      <c r="V22" s="164">
        <f t="shared" si="7"/>
        <v>-0.46510332751851635</v>
      </c>
      <c r="W22" s="164">
        <f t="shared" si="8"/>
        <v>-0.16899913528251886</v>
      </c>
    </row>
    <row r="23" spans="1:23" ht="15" customHeight="1" x14ac:dyDescent="0.2">
      <c r="A23" s="196" t="s">
        <v>71</v>
      </c>
      <c r="B23" s="197"/>
      <c r="C23" s="166"/>
      <c r="D23" s="166"/>
      <c r="E23" s="166"/>
      <c r="F23" s="166"/>
      <c r="G23" s="166"/>
      <c r="H23" s="166"/>
      <c r="I23" s="166"/>
      <c r="J23" s="166"/>
      <c r="K23" s="166"/>
      <c r="L23" s="166"/>
      <c r="M23" s="166"/>
      <c r="N23" s="166"/>
      <c r="O23" s="166"/>
      <c r="P23" s="166"/>
      <c r="Q23" s="166"/>
      <c r="R23" s="166"/>
      <c r="S23" s="166"/>
      <c r="T23" s="166"/>
      <c r="U23" s="165"/>
      <c r="V23" s="165"/>
      <c r="W23" s="165"/>
    </row>
    <row r="24" spans="1:23" ht="15" customHeight="1" x14ac:dyDescent="0.2">
      <c r="A24" s="34" t="s">
        <v>1</v>
      </c>
      <c r="B24" s="29" t="s">
        <v>384</v>
      </c>
      <c r="C24" s="167">
        <v>7.2808683853459977</v>
      </c>
      <c r="D24" s="167">
        <v>6.9319063130138048</v>
      </c>
      <c r="E24" s="167">
        <v>6.74685650887574</v>
      </c>
      <c r="F24" s="167">
        <v>7.0839333470479326</v>
      </c>
      <c r="G24" s="167">
        <v>6.9066059225512531</v>
      </c>
      <c r="H24" s="167">
        <v>6.909789343246592</v>
      </c>
      <c r="I24" s="167">
        <v>6.9942561746122918</v>
      </c>
      <c r="J24" s="167">
        <v>6.9524619922850013</v>
      </c>
      <c r="K24" s="167">
        <v>6.7714228974282591</v>
      </c>
      <c r="L24" s="167">
        <v>6.6663796073027903</v>
      </c>
      <c r="M24" s="167">
        <v>6.5597665241696808</v>
      </c>
      <c r="N24" s="167">
        <v>6.8351280796214713</v>
      </c>
      <c r="O24" s="167">
        <v>6.8079551176005175</v>
      </c>
      <c r="P24" s="167">
        <v>6.8818141690576029</v>
      </c>
      <c r="Q24" s="167">
        <v>7.2046653919694075</v>
      </c>
      <c r="R24" s="167">
        <v>7.102411388727484</v>
      </c>
      <c r="S24" s="167">
        <v>7.1002446747265404</v>
      </c>
      <c r="T24" s="167">
        <v>6.694138929088278</v>
      </c>
      <c r="U24" s="164">
        <f t="shared" ref="U24:U28" si="9">IFERROR((T24-K24),"n/a")</f>
        <v>-7.728396833998108E-2</v>
      </c>
      <c r="V24" s="164">
        <f t="shared" ref="V24:V28" si="10">IFERROR((T24-P24),"n/a")</f>
        <v>-0.18767523996932489</v>
      </c>
      <c r="W24" s="164">
        <f t="shared" ref="W24:W28" si="11">IFERROR((T24-S24),"n/a")</f>
        <v>-0.40610574563826241</v>
      </c>
    </row>
    <row r="25" spans="1:23" ht="15" customHeight="1" x14ac:dyDescent="0.2">
      <c r="A25" s="34"/>
      <c r="B25" s="29" t="s">
        <v>531</v>
      </c>
      <c r="C25" s="167">
        <v>2.3207986043806947</v>
      </c>
      <c r="D25" s="167">
        <v>1.8974716922599661</v>
      </c>
      <c r="E25" s="167">
        <v>1.8267381656804735</v>
      </c>
      <c r="F25" s="167">
        <v>2.1250771446204482</v>
      </c>
      <c r="G25" s="167">
        <v>2.0723234624145785</v>
      </c>
      <c r="H25" s="167">
        <v>2.0531598513011149</v>
      </c>
      <c r="I25" s="167">
        <v>2.1587593337162554</v>
      </c>
      <c r="J25" s="167">
        <v>2.1607669616519178</v>
      </c>
      <c r="K25" s="167">
        <v>2.0305828616820571</v>
      </c>
      <c r="L25" s="167">
        <v>2.0170513262142613</v>
      </c>
      <c r="M25" s="167">
        <v>1.9797763893456093</v>
      </c>
      <c r="N25" s="167">
        <v>2.2117800620003258</v>
      </c>
      <c r="O25" s="167">
        <v>2.3002949003812123</v>
      </c>
      <c r="P25" s="167">
        <v>2.3293974839991165</v>
      </c>
      <c r="Q25" s="167">
        <v>2.6603441682600382</v>
      </c>
      <c r="R25" s="167">
        <v>2.5544015107495639</v>
      </c>
      <c r="S25" s="167">
        <v>2.571171560161198</v>
      </c>
      <c r="T25" s="167">
        <v>2.1769175108538352</v>
      </c>
      <c r="U25" s="164">
        <f t="shared" si="9"/>
        <v>0.14633464917177808</v>
      </c>
      <c r="V25" s="164">
        <f t="shared" si="10"/>
        <v>-0.15247997314528128</v>
      </c>
      <c r="W25" s="164">
        <f t="shared" si="11"/>
        <v>-0.39425404930736274</v>
      </c>
    </row>
    <row r="26" spans="1:23" ht="15" customHeight="1" x14ac:dyDescent="0.2">
      <c r="A26" s="34" t="s">
        <v>2</v>
      </c>
      <c r="B26" s="29" t="s">
        <v>384</v>
      </c>
      <c r="C26" s="167">
        <v>9.5351014040561619</v>
      </c>
      <c r="D26" s="167">
        <v>9.2413793103448274</v>
      </c>
      <c r="E26" s="167">
        <v>8.8153933220147138</v>
      </c>
      <c r="F26" s="167">
        <v>8.8530529817058685</v>
      </c>
      <c r="G26" s="167">
        <v>8.4706039076376562</v>
      </c>
      <c r="H26" s="167">
        <v>8.408415082771306</v>
      </c>
      <c r="I26" s="167">
        <v>8.3877470615273495</v>
      </c>
      <c r="J26" s="167">
        <v>8.271098234883846</v>
      </c>
      <c r="K26" s="167">
        <v>8.0077424056109674</v>
      </c>
      <c r="L26" s="167">
        <v>8.0567546294378385</v>
      </c>
      <c r="M26" s="167">
        <v>8.1951573659838317</v>
      </c>
      <c r="N26" s="167">
        <v>8.7633822363203802</v>
      </c>
      <c r="O26" s="167">
        <v>8.704923497449915</v>
      </c>
      <c r="P26" s="167">
        <v>8.5512385092605179</v>
      </c>
      <c r="Q26" s="167">
        <v>9.1119400645747781</v>
      </c>
      <c r="R26" s="167">
        <v>9.0439772430028782</v>
      </c>
      <c r="S26" s="167">
        <v>8.7953605879650905</v>
      </c>
      <c r="T26" s="167">
        <v>8.51569309879911</v>
      </c>
      <c r="U26" s="164">
        <f t="shared" si="9"/>
        <v>0.50795069318814257</v>
      </c>
      <c r="V26" s="164">
        <f t="shared" si="10"/>
        <v>-3.5545410461407911E-2</v>
      </c>
      <c r="W26" s="164">
        <f t="shared" si="11"/>
        <v>-0.2796674891659805</v>
      </c>
    </row>
    <row r="27" spans="1:23" ht="15" customHeight="1" x14ac:dyDescent="0.2">
      <c r="A27" s="34"/>
      <c r="B27" s="29" t="s">
        <v>531</v>
      </c>
      <c r="C27" s="167">
        <v>2.1713232165650256</v>
      </c>
      <c r="D27" s="167">
        <v>2.1435069699192955</v>
      </c>
      <c r="E27" s="167">
        <v>2.1636672325976223</v>
      </c>
      <c r="F27" s="167">
        <v>1.942860536944643</v>
      </c>
      <c r="G27" s="167">
        <v>2.0265541740674964</v>
      </c>
      <c r="H27" s="167">
        <v>2.0055180870631517</v>
      </c>
      <c r="I27" s="167">
        <v>2.0724276052268698</v>
      </c>
      <c r="J27" s="167">
        <v>1.920596598529964</v>
      </c>
      <c r="K27" s="167">
        <v>1.8262513093774198</v>
      </c>
      <c r="L27" s="167">
        <v>1.8503666266208203</v>
      </c>
      <c r="M27" s="167">
        <v>1.8895691076053689</v>
      </c>
      <c r="N27" s="167">
        <v>2.2689994713190584</v>
      </c>
      <c r="O27" s="167">
        <v>2.0973032434414485</v>
      </c>
      <c r="P27" s="167">
        <v>2.0097359960150349</v>
      </c>
      <c r="Q27" s="167">
        <v>2.4309582771699949</v>
      </c>
      <c r="R27" s="167">
        <v>2.2833180748103592</v>
      </c>
      <c r="S27" s="167">
        <v>2.1194960299232246</v>
      </c>
      <c r="T27" s="167">
        <v>1.8963722446931932</v>
      </c>
      <c r="U27" s="164">
        <f t="shared" si="9"/>
        <v>7.0120935315773458E-2</v>
      </c>
      <c r="V27" s="164">
        <f t="shared" si="10"/>
        <v>-0.11336375132184173</v>
      </c>
      <c r="W27" s="164">
        <f t="shared" si="11"/>
        <v>-0.2231237852300314</v>
      </c>
    </row>
    <row r="28" spans="1:23" ht="15" customHeight="1" x14ac:dyDescent="0.2">
      <c r="A28" s="34" t="s">
        <v>3</v>
      </c>
      <c r="B28" s="29" t="s">
        <v>384</v>
      </c>
      <c r="C28" s="167">
        <v>14.219622167684493</v>
      </c>
      <c r="D28" s="167">
        <v>13.916581067200086</v>
      </c>
      <c r="E28" s="167">
        <v>13.659495765599143</v>
      </c>
      <c r="F28" s="167">
        <v>13.634922133081645</v>
      </c>
      <c r="G28" s="167">
        <v>13.415258982734484</v>
      </c>
      <c r="H28" s="167">
        <v>13.389986939486286</v>
      </c>
      <c r="I28" s="167">
        <v>13.18908276714021</v>
      </c>
      <c r="J28" s="167">
        <v>13.158810068649885</v>
      </c>
      <c r="K28" s="167">
        <v>13.047467269860855</v>
      </c>
      <c r="L28" s="167">
        <v>13.040538185367215</v>
      </c>
      <c r="M28" s="167">
        <v>13.116419604700855</v>
      </c>
      <c r="N28" s="167">
        <v>13.109936166097105</v>
      </c>
      <c r="O28" s="167">
        <v>13.048480909829406</v>
      </c>
      <c r="P28" s="167">
        <v>12.844203615077324</v>
      </c>
      <c r="Q28" s="167">
        <v>13.141824726567908</v>
      </c>
      <c r="R28" s="167">
        <v>13.043201965182099</v>
      </c>
      <c r="S28" s="167">
        <v>12.993284525439798</v>
      </c>
      <c r="T28" s="167">
        <v>12.886930820065249</v>
      </c>
      <c r="U28" s="164">
        <f t="shared" si="9"/>
        <v>-0.16053644979560566</v>
      </c>
      <c r="V28" s="164">
        <f t="shared" si="10"/>
        <v>4.2727204987924594E-2</v>
      </c>
      <c r="W28" s="164">
        <f t="shared" si="11"/>
        <v>-0.10635370537454847</v>
      </c>
    </row>
    <row r="29" spans="1:23" ht="15" customHeight="1" x14ac:dyDescent="0.2">
      <c r="A29" s="34"/>
      <c r="B29" s="29" t="s">
        <v>531</v>
      </c>
      <c r="C29" s="167">
        <v>4.0167798641630039</v>
      </c>
      <c r="D29" s="167">
        <v>3.7798021300751472</v>
      </c>
      <c r="E29" s="167">
        <v>3.7030565560206359</v>
      </c>
      <c r="F29" s="167">
        <v>3.833742331288347</v>
      </c>
      <c r="G29" s="167">
        <v>3.607419505366309</v>
      </c>
      <c r="H29" s="167">
        <v>3.6409664780148017</v>
      </c>
      <c r="I29" s="167">
        <v>3.5438928350833852</v>
      </c>
      <c r="J29" s="167">
        <v>3.5617320894208753</v>
      </c>
      <c r="K29" s="167">
        <v>3.4583247652340816</v>
      </c>
      <c r="L29" s="167">
        <v>3.437693889644116</v>
      </c>
      <c r="M29" s="167">
        <v>3.469417735042736</v>
      </c>
      <c r="N29" s="167">
        <v>3.5032884131794439</v>
      </c>
      <c r="O29" s="167">
        <v>3.5075223395613317</v>
      </c>
      <c r="P29" s="167">
        <v>3.4696831863307356</v>
      </c>
      <c r="Q29" s="167">
        <v>3.5190364114633805</v>
      </c>
      <c r="R29" s="167">
        <v>3.3841984406707244</v>
      </c>
      <c r="S29" s="167">
        <v>3.2176077109449057</v>
      </c>
      <c r="T29" s="167">
        <v>3.1066558848952965</v>
      </c>
      <c r="U29" s="164">
        <f t="shared" ref="U29" si="12">IFERROR((T29-K29),"n/a")</f>
        <v>-0.35166888033878507</v>
      </c>
      <c r="V29" s="164">
        <f t="shared" ref="V29" si="13">IFERROR((T29-P29),"n/a")</f>
        <v>-0.36302730143543904</v>
      </c>
      <c r="W29" s="164">
        <f t="shared" ref="W29" si="14">IFERROR((T29-S29),"n/a")</f>
        <v>-0.11095182604960918</v>
      </c>
    </row>
    <row r="30" spans="1:23" ht="15" customHeight="1" x14ac:dyDescent="0.2">
      <c r="A30" s="44"/>
      <c r="B30" s="44"/>
      <c r="C30" s="44"/>
      <c r="D30" s="44"/>
      <c r="E30" s="44"/>
      <c r="F30" s="44"/>
      <c r="G30" s="44"/>
      <c r="H30" s="44"/>
      <c r="I30" s="44"/>
      <c r="J30" s="44"/>
      <c r="K30" s="44"/>
      <c r="L30" s="44"/>
      <c r="M30" s="44"/>
      <c r="N30" s="44"/>
      <c r="O30" s="44"/>
      <c r="P30" s="44"/>
      <c r="Q30" s="44"/>
      <c r="R30" s="44"/>
      <c r="S30" s="44"/>
      <c r="T30" s="44"/>
    </row>
    <row r="31" spans="1:23" ht="15" customHeight="1" x14ac:dyDescent="0.25">
      <c r="A31" s="54" t="s">
        <v>534</v>
      </c>
      <c r="B31" s="54"/>
      <c r="C31" s="54"/>
      <c r="D31" s="54"/>
      <c r="E31" s="54"/>
      <c r="F31" s="54"/>
      <c r="G31" s="54"/>
      <c r="H31" s="54"/>
      <c r="I31" s="54"/>
      <c r="J31" s="54"/>
      <c r="K31" s="54"/>
      <c r="L31" s="54"/>
      <c r="M31" s="54"/>
      <c r="N31" s="54"/>
      <c r="O31" s="54"/>
      <c r="P31" s="54"/>
      <c r="Q31" s="54"/>
      <c r="R31" s="54"/>
      <c r="S31" s="54"/>
      <c r="T31" s="54"/>
      <c r="U31" s="66"/>
      <c r="V31" s="66"/>
      <c r="W31" s="66"/>
    </row>
    <row r="32" spans="1:23" ht="48" customHeight="1" x14ac:dyDescent="0.2">
      <c r="A32" s="36" t="s">
        <v>364</v>
      </c>
      <c r="B32" s="147" t="s">
        <v>530</v>
      </c>
      <c r="C32" s="15">
        <v>2007</v>
      </c>
      <c r="D32" s="15">
        <v>2008</v>
      </c>
      <c r="E32" s="15">
        <v>2009</v>
      </c>
      <c r="F32" s="15">
        <v>2010</v>
      </c>
      <c r="G32" s="15">
        <v>2011</v>
      </c>
      <c r="H32" s="15">
        <v>2012</v>
      </c>
      <c r="I32" s="15">
        <v>2013</v>
      </c>
      <c r="J32" s="15">
        <v>2014</v>
      </c>
      <c r="K32" s="15">
        <v>2015</v>
      </c>
      <c r="L32" s="15">
        <v>2016</v>
      </c>
      <c r="M32" s="15">
        <v>2017</v>
      </c>
      <c r="N32" s="15">
        <v>2018</v>
      </c>
      <c r="O32" s="15">
        <v>2019</v>
      </c>
      <c r="P32" s="15">
        <v>2020</v>
      </c>
      <c r="Q32" s="15">
        <v>2021</v>
      </c>
      <c r="R32" s="15">
        <v>2022</v>
      </c>
      <c r="S32" s="15">
        <v>2023</v>
      </c>
      <c r="T32" s="15">
        <v>2024</v>
      </c>
      <c r="U32" s="27" t="s">
        <v>469</v>
      </c>
      <c r="V32" s="27" t="s">
        <v>470</v>
      </c>
      <c r="W32" s="27" t="s">
        <v>471</v>
      </c>
    </row>
    <row r="33" spans="1:23" ht="15" customHeight="1" x14ac:dyDescent="0.2">
      <c r="A33" s="196" t="s">
        <v>72</v>
      </c>
      <c r="B33" s="197"/>
      <c r="C33" s="166"/>
      <c r="D33" s="166"/>
      <c r="E33" s="166"/>
      <c r="F33" s="166"/>
      <c r="G33" s="166"/>
      <c r="H33" s="166"/>
      <c r="I33" s="166"/>
      <c r="J33" s="166"/>
      <c r="K33" s="166"/>
      <c r="L33" s="166"/>
      <c r="M33" s="166"/>
      <c r="N33" s="166"/>
      <c r="O33" s="166"/>
      <c r="P33" s="166"/>
      <c r="Q33" s="166"/>
      <c r="R33" s="166"/>
      <c r="S33" s="166"/>
      <c r="T33" s="166"/>
      <c r="U33" s="165"/>
      <c r="V33" s="165"/>
      <c r="W33" s="165"/>
    </row>
    <row r="34" spans="1:23" ht="15" customHeight="1" x14ac:dyDescent="0.2">
      <c r="A34" s="29" t="s">
        <v>5</v>
      </c>
      <c r="B34" s="29" t="s">
        <v>384</v>
      </c>
      <c r="C34" s="173">
        <v>12.592444788841535</v>
      </c>
      <c r="D34" s="173">
        <v>12.467338786380065</v>
      </c>
      <c r="E34" s="173">
        <v>12.390237440805379</v>
      </c>
      <c r="F34" s="173">
        <v>12.358471040972738</v>
      </c>
      <c r="G34" s="173">
        <v>12.219970695513922</v>
      </c>
      <c r="H34" s="173">
        <v>12.143160423475516</v>
      </c>
      <c r="I34" s="173">
        <v>12.083656685457695</v>
      </c>
      <c r="J34" s="173">
        <v>12.03305546933889</v>
      </c>
      <c r="K34" s="173">
        <v>12.033071275420701</v>
      </c>
      <c r="L34" s="173">
        <v>11.979147481940778</v>
      </c>
      <c r="M34" s="173">
        <v>11.92917917439437</v>
      </c>
      <c r="N34" s="173">
        <v>12.025677655015279</v>
      </c>
      <c r="O34" s="173">
        <v>11.998719447692222</v>
      </c>
      <c r="P34" s="173">
        <v>11.909315599041941</v>
      </c>
      <c r="Q34" s="173">
        <v>12.227495509756766</v>
      </c>
      <c r="R34" s="173">
        <v>12.04720302707125</v>
      </c>
      <c r="S34" s="173">
        <v>11.952826070595318</v>
      </c>
      <c r="T34" s="173">
        <v>11.80017480607451</v>
      </c>
      <c r="U34" s="164">
        <f t="shared" ref="U34" si="15">IFERROR((T34-K34),"n/a")</f>
        <v>-0.23289646934619057</v>
      </c>
      <c r="V34" s="164">
        <f t="shared" ref="V34" si="16">IFERROR((T34-P34),"n/a")</f>
        <v>-0.1091407929674304</v>
      </c>
      <c r="W34" s="164">
        <f t="shared" ref="W34" si="17">IFERROR((T34-S34),"n/a")</f>
        <v>-0.15265126452080757</v>
      </c>
    </row>
    <row r="35" spans="1:23" ht="15" customHeight="1" x14ac:dyDescent="0.2">
      <c r="A35" s="29"/>
      <c r="B35" s="29" t="s">
        <v>531</v>
      </c>
      <c r="C35" s="173">
        <v>2.691049980627664</v>
      </c>
      <c r="D35" s="173">
        <v>2.6377401559824989</v>
      </c>
      <c r="E35" s="173">
        <v>2.5962843991124949</v>
      </c>
      <c r="F35" s="173">
        <v>2.687384794489537</v>
      </c>
      <c r="G35" s="173">
        <v>2.5944757926240012</v>
      </c>
      <c r="H35" s="173">
        <v>2.5778932372412644</v>
      </c>
      <c r="I35" s="173">
        <v>2.5889645410840227</v>
      </c>
      <c r="J35" s="173">
        <v>2.5568660488626787</v>
      </c>
      <c r="K35" s="173">
        <v>2.561150455894138</v>
      </c>
      <c r="L35" s="173">
        <v>2.5086868438823746</v>
      </c>
      <c r="M35" s="173">
        <v>2.5036423777748027</v>
      </c>
      <c r="N35" s="173">
        <v>2.5968788991157474</v>
      </c>
      <c r="O35" s="173">
        <v>2.5801458716107124</v>
      </c>
      <c r="P35" s="173">
        <v>2.6471487540131484</v>
      </c>
      <c r="Q35" s="173">
        <v>2.7292002800694082</v>
      </c>
      <c r="R35" s="173">
        <v>2.5325424768805966</v>
      </c>
      <c r="S35" s="173">
        <v>2.3791676074358392</v>
      </c>
      <c r="T35" s="173">
        <v>2.2260304974169269</v>
      </c>
      <c r="U35" s="164">
        <f t="shared" ref="U35:U37" si="18">IFERROR((T35-K35),"n/a")</f>
        <v>-0.3351199584772111</v>
      </c>
      <c r="V35" s="164">
        <f t="shared" ref="V35:V37" si="19">IFERROR((T35-P35),"n/a")</f>
        <v>-0.42111825659622149</v>
      </c>
      <c r="W35" s="164">
        <f t="shared" ref="W35:W37" si="20">IFERROR((T35-S35),"n/a")</f>
        <v>-0.15313711001891228</v>
      </c>
    </row>
    <row r="36" spans="1:23" ht="15" customHeight="1" x14ac:dyDescent="0.2">
      <c r="A36" s="29" t="s">
        <v>6</v>
      </c>
      <c r="B36" s="29" t="s">
        <v>384</v>
      </c>
      <c r="C36" s="173">
        <v>6.7206266318537855</v>
      </c>
      <c r="D36" s="173">
        <v>6.2014132026227005</v>
      </c>
      <c r="E36" s="173">
        <v>6.2487168387854801</v>
      </c>
      <c r="F36" s="173">
        <v>6.5521694567816882</v>
      </c>
      <c r="G36" s="173">
        <v>6.4447119671838777</v>
      </c>
      <c r="H36" s="173">
        <v>6.3704996727034695</v>
      </c>
      <c r="I36" s="173">
        <v>6.5368525260266974</v>
      </c>
      <c r="J36" s="173">
        <v>6.3864462907660924</v>
      </c>
      <c r="K36" s="173">
        <v>6.2455293932560698</v>
      </c>
      <c r="L36" s="173">
        <v>6.2100228888085773</v>
      </c>
      <c r="M36" s="173">
        <v>6.0910131927380302</v>
      </c>
      <c r="N36" s="173">
        <v>6.259440037963528</v>
      </c>
      <c r="O36" s="173">
        <v>6.0489693631047796</v>
      </c>
      <c r="P36" s="173">
        <v>6.1796484129370919</v>
      </c>
      <c r="Q36" s="173">
        <v>6.3529339977626362</v>
      </c>
      <c r="R36" s="173">
        <v>6.2900032085071276</v>
      </c>
      <c r="S36" s="173">
        <v>6.1907320647467641</v>
      </c>
      <c r="T36" s="173">
        <v>6.0257003626977594</v>
      </c>
      <c r="U36" s="164">
        <f t="shared" si="18"/>
        <v>-0.21982903055831038</v>
      </c>
      <c r="V36" s="164">
        <f t="shared" si="19"/>
        <v>-0.15394805023933245</v>
      </c>
      <c r="W36" s="164">
        <f t="shared" si="20"/>
        <v>-0.16503170204900464</v>
      </c>
    </row>
    <row r="37" spans="1:23" ht="15" customHeight="1" x14ac:dyDescent="0.2">
      <c r="A37" s="29"/>
      <c r="B37" s="29" t="s">
        <v>531</v>
      </c>
      <c r="C37" s="173">
        <v>1.4590798595480328</v>
      </c>
      <c r="D37" s="173">
        <v>1.056973709338596</v>
      </c>
      <c r="E37" s="173">
        <v>1.1333869272153851</v>
      </c>
      <c r="F37" s="173">
        <v>1.3373419883840114</v>
      </c>
      <c r="G37" s="173">
        <v>1.4251828072052799</v>
      </c>
      <c r="H37" s="173">
        <v>1.3648265328387517</v>
      </c>
      <c r="I37" s="173">
        <v>1.5294117647058822</v>
      </c>
      <c r="J37" s="173">
        <v>1.3823659856302299</v>
      </c>
      <c r="K37" s="173">
        <v>1.2584823535581311</v>
      </c>
      <c r="L37" s="173">
        <v>1.2358992892422602</v>
      </c>
      <c r="M37" s="173">
        <v>1.1823842355130383</v>
      </c>
      <c r="N37" s="173">
        <v>1.33489254965765</v>
      </c>
      <c r="O37" s="173">
        <v>1.1372903167543402</v>
      </c>
      <c r="P37" s="173">
        <v>1.2612023949476452</v>
      </c>
      <c r="Q37" s="173">
        <v>1.4865859859656263</v>
      </c>
      <c r="R37" s="173">
        <v>1.4223541275152405</v>
      </c>
      <c r="S37" s="173">
        <v>1.344960810000666</v>
      </c>
      <c r="T37" s="173">
        <v>1.1900714269820432</v>
      </c>
      <c r="U37" s="164">
        <f t="shared" si="18"/>
        <v>-6.8410926576087938E-2</v>
      </c>
      <c r="V37" s="164">
        <f t="shared" si="19"/>
        <v>-7.1130967965602032E-2</v>
      </c>
      <c r="W37" s="164">
        <f t="shared" si="20"/>
        <v>-0.15488938301862287</v>
      </c>
    </row>
    <row r="38" spans="1:23" ht="15" customHeight="1" x14ac:dyDescent="0.2">
      <c r="A38" s="196" t="s">
        <v>71</v>
      </c>
      <c r="B38" s="197"/>
      <c r="C38" s="166"/>
      <c r="D38" s="166"/>
      <c r="E38" s="166"/>
      <c r="F38" s="166"/>
      <c r="G38" s="166"/>
      <c r="H38" s="166"/>
      <c r="I38" s="166"/>
      <c r="J38" s="166"/>
      <c r="K38" s="166"/>
      <c r="L38" s="166"/>
      <c r="M38" s="166"/>
      <c r="N38" s="166"/>
      <c r="O38" s="166"/>
      <c r="P38" s="166"/>
      <c r="Q38" s="166"/>
      <c r="R38" s="166"/>
      <c r="S38" s="166"/>
      <c r="T38" s="166"/>
      <c r="U38" s="165"/>
      <c r="V38" s="165"/>
      <c r="W38" s="165"/>
    </row>
    <row r="39" spans="1:23" ht="15" customHeight="1" x14ac:dyDescent="0.2">
      <c r="A39" s="29" t="s">
        <v>5</v>
      </c>
      <c r="B39" s="29" t="s">
        <v>384</v>
      </c>
      <c r="C39" s="173">
        <v>14.04386226059343</v>
      </c>
      <c r="D39" s="173">
        <v>13.834401040412311</v>
      </c>
      <c r="E39" s="173">
        <v>13.547831715210355</v>
      </c>
      <c r="F39" s="173">
        <v>13.616643870747138</v>
      </c>
      <c r="G39" s="173">
        <v>13.199662202919532</v>
      </c>
      <c r="H39" s="173">
        <v>13.205151109126097</v>
      </c>
      <c r="I39" s="173">
        <v>13.049883527454243</v>
      </c>
      <c r="J39" s="173">
        <v>12.976500457591593</v>
      </c>
      <c r="K39" s="173">
        <v>12.933611151027446</v>
      </c>
      <c r="L39" s="173">
        <v>12.866426703411038</v>
      </c>
      <c r="M39" s="173">
        <v>12.782282438770192</v>
      </c>
      <c r="N39" s="173">
        <v>12.682474035177398</v>
      </c>
      <c r="O39" s="173">
        <v>12.628184021585037</v>
      </c>
      <c r="P39" s="173">
        <v>12.489862291239378</v>
      </c>
      <c r="Q39" s="173">
        <v>12.711831353965561</v>
      </c>
      <c r="R39" s="173">
        <v>12.569148429613547</v>
      </c>
      <c r="S39" s="173">
        <v>12.482457631922008</v>
      </c>
      <c r="T39" s="173">
        <v>12.369691480774152</v>
      </c>
      <c r="U39" s="164">
        <f t="shared" ref="U39:U42" si="21">IFERROR((T39-K39),"n/a")</f>
        <v>-0.56391967025329315</v>
      </c>
      <c r="V39" s="164">
        <f t="shared" ref="V39:V42" si="22">IFERROR((T39-P39),"n/a")</f>
        <v>-0.12017081046522549</v>
      </c>
      <c r="W39" s="164">
        <f t="shared" ref="W39:W42" si="23">IFERROR((T39-S39),"n/a")</f>
        <v>-0.11276615114785571</v>
      </c>
    </row>
    <row r="40" spans="1:23" ht="15" customHeight="1" x14ac:dyDescent="0.2">
      <c r="A40" s="29"/>
      <c r="B40" s="29" t="s">
        <v>531</v>
      </c>
      <c r="C40" s="173">
        <v>3.8713406767887264</v>
      </c>
      <c r="D40" s="173">
        <v>3.7155243003708875</v>
      </c>
      <c r="E40" s="173">
        <v>3.5799352750809064</v>
      </c>
      <c r="F40" s="173">
        <v>3.6851598563857095</v>
      </c>
      <c r="G40" s="173">
        <v>3.423332126915188</v>
      </c>
      <c r="H40" s="173">
        <v>3.4625949084412682</v>
      </c>
      <c r="I40" s="173">
        <v>3.3787354409317807</v>
      </c>
      <c r="J40" s="173">
        <v>3.3731585628671805</v>
      </c>
      <c r="K40" s="173">
        <v>3.336657565742204</v>
      </c>
      <c r="L40" s="173">
        <v>3.3190292736424709</v>
      </c>
      <c r="M40" s="173">
        <v>3.2520844189682112</v>
      </c>
      <c r="N40" s="173">
        <v>3.2858105439252778</v>
      </c>
      <c r="O40" s="173">
        <v>3.3051173000411573</v>
      </c>
      <c r="P40" s="173">
        <v>3.2178728391444462</v>
      </c>
      <c r="Q40" s="173">
        <v>3.374636790889058</v>
      </c>
      <c r="R40" s="173">
        <v>3.1797421099746686</v>
      </c>
      <c r="S40" s="173">
        <v>3.0361805437472835</v>
      </c>
      <c r="T40" s="173">
        <v>2.9163828237286129</v>
      </c>
      <c r="U40" s="164">
        <f t="shared" si="21"/>
        <v>-0.42027474201359105</v>
      </c>
      <c r="V40" s="164">
        <f t="shared" si="22"/>
        <v>-0.30149001541583331</v>
      </c>
      <c r="W40" s="164">
        <f t="shared" si="23"/>
        <v>-0.11979772001867062</v>
      </c>
    </row>
    <row r="41" spans="1:23" ht="15" customHeight="1" x14ac:dyDescent="0.2">
      <c r="A41" s="29" t="s">
        <v>6</v>
      </c>
      <c r="B41" s="29" t="s">
        <v>384</v>
      </c>
      <c r="C41" s="173">
        <v>7.4027357209982245</v>
      </c>
      <c r="D41" s="173">
        <v>7.0802873249681761</v>
      </c>
      <c r="E41" s="173">
        <v>6.97847425520923</v>
      </c>
      <c r="F41" s="173">
        <v>7.1623769529486134</v>
      </c>
      <c r="G41" s="173">
        <v>6.9471273657978045</v>
      </c>
      <c r="H41" s="173">
        <v>6.8668408826945413</v>
      </c>
      <c r="I41" s="173">
        <v>6.9801394784718012</v>
      </c>
      <c r="J41" s="173">
        <v>6.8076870593586536</v>
      </c>
      <c r="K41" s="173">
        <v>6.6144788156449961</v>
      </c>
      <c r="L41" s="173">
        <v>6.5261608781467499</v>
      </c>
      <c r="M41" s="173">
        <v>6.5336778698062838</v>
      </c>
      <c r="N41" s="173">
        <v>6.8785613586439789</v>
      </c>
      <c r="O41" s="173">
        <v>6.6275409624147628</v>
      </c>
      <c r="P41" s="173">
        <v>6.71185756570096</v>
      </c>
      <c r="Q41" s="173">
        <v>6.9652488930631957</v>
      </c>
      <c r="R41" s="173">
        <v>6.9268284358895604</v>
      </c>
      <c r="S41" s="173">
        <v>6.7793112825916984</v>
      </c>
      <c r="T41" s="173">
        <v>6.4316712684749069</v>
      </c>
      <c r="U41" s="164">
        <f t="shared" si="21"/>
        <v>-0.18280754717008918</v>
      </c>
      <c r="V41" s="164">
        <f t="shared" si="22"/>
        <v>-0.28018629722605315</v>
      </c>
      <c r="W41" s="164">
        <f t="shared" si="23"/>
        <v>-0.34764001411679146</v>
      </c>
    </row>
    <row r="42" spans="1:23" ht="15" customHeight="1" x14ac:dyDescent="0.2">
      <c r="A42" s="29"/>
      <c r="B42" s="29" t="s">
        <v>531</v>
      </c>
      <c r="C42" s="173">
        <v>2.050537746684765</v>
      </c>
      <c r="D42" s="173">
        <v>1.7837788688852516</v>
      </c>
      <c r="E42" s="173">
        <v>1.903995178233167</v>
      </c>
      <c r="F42" s="173">
        <v>1.9600830849814859</v>
      </c>
      <c r="G42" s="173">
        <v>1.9905704856199913</v>
      </c>
      <c r="H42" s="173">
        <v>1.9359465737514521</v>
      </c>
      <c r="I42" s="173">
        <v>2.0529108550636748</v>
      </c>
      <c r="J42" s="173">
        <v>1.8992494882874684</v>
      </c>
      <c r="K42" s="173">
        <v>1.7173526182272534</v>
      </c>
      <c r="L42" s="173">
        <v>1.6857924443367152</v>
      </c>
      <c r="M42" s="173">
        <v>1.7568964337052506</v>
      </c>
      <c r="N42" s="173">
        <v>2.0664240516704373</v>
      </c>
      <c r="O42" s="173">
        <v>1.8839802216979606</v>
      </c>
      <c r="P42" s="173">
        <v>1.9458247376446325</v>
      </c>
      <c r="Q42" s="173">
        <v>2.2264859788004827</v>
      </c>
      <c r="R42" s="173">
        <v>2.2115627452987958</v>
      </c>
      <c r="S42" s="173">
        <v>2.1009620287588806</v>
      </c>
      <c r="T42" s="173">
        <v>1.749358453792432</v>
      </c>
      <c r="U42" s="164">
        <f t="shared" si="21"/>
        <v>3.2005835565178664E-2</v>
      </c>
      <c r="V42" s="164">
        <f t="shared" si="22"/>
        <v>-0.19646628385220044</v>
      </c>
      <c r="W42" s="164">
        <f t="shared" si="23"/>
        <v>-0.35160357496644856</v>
      </c>
    </row>
    <row r="43" spans="1:23" ht="15" customHeight="1" x14ac:dyDescent="0.2">
      <c r="A43" s="44"/>
      <c r="B43" s="44"/>
      <c r="C43" s="44"/>
      <c r="D43" s="44"/>
      <c r="E43" s="44"/>
      <c r="F43" s="44"/>
      <c r="G43" s="44"/>
      <c r="H43" s="44"/>
      <c r="I43" s="44"/>
      <c r="J43" s="44"/>
      <c r="K43" s="44"/>
      <c r="L43" s="44"/>
      <c r="M43" s="44"/>
      <c r="N43" s="44"/>
      <c r="O43" s="44"/>
      <c r="P43" s="44"/>
      <c r="Q43" s="44"/>
      <c r="R43" s="44"/>
      <c r="S43" s="44"/>
      <c r="T43" s="44"/>
    </row>
    <row r="44" spans="1:23" ht="15" customHeight="1" x14ac:dyDescent="0.25">
      <c r="A44" s="54" t="s">
        <v>535</v>
      </c>
      <c r="B44" s="54"/>
      <c r="C44" s="54"/>
      <c r="D44" s="54"/>
      <c r="E44" s="54"/>
      <c r="F44" s="54"/>
      <c r="G44" s="54"/>
      <c r="H44" s="54"/>
      <c r="I44" s="54"/>
      <c r="J44" s="54"/>
      <c r="K44" s="54"/>
      <c r="L44" s="54"/>
      <c r="M44" s="54"/>
      <c r="N44" s="54"/>
      <c r="O44" s="54"/>
      <c r="P44" s="54"/>
      <c r="Q44" s="54"/>
      <c r="R44" s="54"/>
      <c r="S44" s="54"/>
      <c r="T44" s="54"/>
      <c r="U44" s="66"/>
      <c r="V44" s="66"/>
      <c r="W44" s="66"/>
    </row>
    <row r="45" spans="1:23" ht="49.5" customHeight="1" x14ac:dyDescent="0.2">
      <c r="A45" s="36" t="s">
        <v>365</v>
      </c>
      <c r="B45" s="147" t="s">
        <v>530</v>
      </c>
      <c r="C45" s="15">
        <v>2007</v>
      </c>
      <c r="D45" s="15">
        <v>2008</v>
      </c>
      <c r="E45" s="15">
        <v>2009</v>
      </c>
      <c r="F45" s="15">
        <v>2010</v>
      </c>
      <c r="G45" s="15">
        <v>2011</v>
      </c>
      <c r="H45" s="15">
        <v>2012</v>
      </c>
      <c r="I45" s="15">
        <v>2013</v>
      </c>
      <c r="J45" s="15">
        <v>2014</v>
      </c>
      <c r="K45" s="15">
        <v>2015</v>
      </c>
      <c r="L45" s="15">
        <v>2016</v>
      </c>
      <c r="M45" s="15">
        <v>2017</v>
      </c>
      <c r="N45" s="15">
        <v>2018</v>
      </c>
      <c r="O45" s="15">
        <v>2019</v>
      </c>
      <c r="P45" s="15">
        <v>2020</v>
      </c>
      <c r="Q45" s="15">
        <v>2021</v>
      </c>
      <c r="R45" s="15">
        <v>2022</v>
      </c>
      <c r="S45" s="15">
        <v>2023</v>
      </c>
      <c r="T45" s="15">
        <v>2024</v>
      </c>
      <c r="U45" s="27" t="s">
        <v>469</v>
      </c>
      <c r="V45" s="27" t="s">
        <v>470</v>
      </c>
      <c r="W45" s="27" t="s">
        <v>471</v>
      </c>
    </row>
    <row r="46" spans="1:23" ht="15" customHeight="1" x14ac:dyDescent="0.2">
      <c r="A46" s="196" t="s">
        <v>72</v>
      </c>
      <c r="B46" s="197"/>
      <c r="C46" s="166"/>
      <c r="D46" s="166"/>
      <c r="E46" s="166"/>
      <c r="F46" s="166"/>
      <c r="G46" s="166"/>
      <c r="H46" s="166"/>
      <c r="I46" s="166"/>
      <c r="J46" s="166"/>
      <c r="K46" s="166"/>
      <c r="L46" s="166"/>
      <c r="M46" s="166"/>
      <c r="N46" s="166"/>
      <c r="O46" s="166"/>
      <c r="P46" s="166"/>
      <c r="Q46" s="166"/>
      <c r="R46" s="166"/>
      <c r="S46" s="166"/>
      <c r="T46" s="166"/>
      <c r="U46" s="165"/>
      <c r="V46" s="165"/>
      <c r="W46" s="165"/>
    </row>
    <row r="47" spans="1:23" ht="15" customHeight="1" x14ac:dyDescent="0.2">
      <c r="A47" s="34" t="s">
        <v>113</v>
      </c>
      <c r="B47" s="29" t="s">
        <v>384</v>
      </c>
      <c r="C47" s="167">
        <v>12.981106283259289</v>
      </c>
      <c r="D47" s="167">
        <v>12.748749254142378</v>
      </c>
      <c r="E47" s="167">
        <v>12.75630419218837</v>
      </c>
      <c r="F47" s="167">
        <v>12.754648720143157</v>
      </c>
      <c r="G47" s="167">
        <v>12.693833365551905</v>
      </c>
      <c r="H47" s="167">
        <v>12.665989739204788</v>
      </c>
      <c r="I47" s="167">
        <v>12.671711734532328</v>
      </c>
      <c r="J47" s="167">
        <v>12.619933168676448</v>
      </c>
      <c r="K47" s="167">
        <v>12.686976567743441</v>
      </c>
      <c r="L47" s="167">
        <v>12.738478211270818</v>
      </c>
      <c r="M47" s="167">
        <v>12.792845965904412</v>
      </c>
      <c r="N47" s="167">
        <v>12.750834985909613</v>
      </c>
      <c r="O47" s="167">
        <v>12.68467601383867</v>
      </c>
      <c r="P47" s="167">
        <v>12.678940639269406</v>
      </c>
      <c r="Q47" s="167">
        <v>12.895151178804136</v>
      </c>
      <c r="R47" s="167">
        <v>12.694869577459123</v>
      </c>
      <c r="S47" s="167">
        <v>12.578900511907412</v>
      </c>
      <c r="T47" s="167">
        <v>12.465251955378895</v>
      </c>
      <c r="U47" s="164">
        <f t="shared" ref="U47" si="24">IFERROR((T47-K47),"n/a")</f>
        <v>-0.22172461236454666</v>
      </c>
      <c r="V47" s="164">
        <f t="shared" ref="V47" si="25">IFERROR((T47-P47),"n/a")</f>
        <v>-0.21368868389051165</v>
      </c>
      <c r="W47" s="164">
        <f t="shared" ref="W47" si="26">IFERROR((T47-S47),"n/a")</f>
        <v>-0.11364855652851702</v>
      </c>
    </row>
    <row r="48" spans="1:23" ht="15" customHeight="1" x14ac:dyDescent="0.2">
      <c r="A48" s="34"/>
      <c r="B48" s="29" t="s">
        <v>531</v>
      </c>
      <c r="C48" s="167">
        <v>2.7903627398330322</v>
      </c>
      <c r="D48" s="167">
        <v>2.6762748427961629</v>
      </c>
      <c r="E48" s="167">
        <v>2.6660170233076137</v>
      </c>
      <c r="F48" s="167">
        <v>2.8454835446977356</v>
      </c>
      <c r="G48" s="167">
        <v>2.7404987434757402</v>
      </c>
      <c r="H48" s="167">
        <v>2.7449052301553358</v>
      </c>
      <c r="I48" s="167">
        <v>2.7925717180672542</v>
      </c>
      <c r="J48" s="167">
        <v>2.7603080052302769</v>
      </c>
      <c r="K48" s="167">
        <v>2.7531004698123667</v>
      </c>
      <c r="L48" s="167">
        <v>2.7352555327401316</v>
      </c>
      <c r="M48" s="167">
        <v>2.7885359760617128</v>
      </c>
      <c r="N48" s="167">
        <v>2.7374491180461327</v>
      </c>
      <c r="O48" s="167">
        <v>2.7497593840230987</v>
      </c>
      <c r="P48" s="167">
        <v>2.9094794520547946</v>
      </c>
      <c r="Q48" s="167">
        <v>2.9109576370475434</v>
      </c>
      <c r="R48" s="167">
        <v>2.6679202783420148</v>
      </c>
      <c r="S48" s="167">
        <v>2.5025797705521722</v>
      </c>
      <c r="T48" s="167">
        <v>2.3411334786511091</v>
      </c>
      <c r="U48" s="164">
        <f t="shared" ref="U48:U54" si="27">IFERROR((T48-K48),"n/a")</f>
        <v>-0.41196699116125757</v>
      </c>
      <c r="V48" s="164">
        <f t="shared" ref="V48:V54" si="28">IFERROR((T48-P48),"n/a")</f>
        <v>-0.56834597340368553</v>
      </c>
      <c r="W48" s="164">
        <f t="shared" ref="W48:W54" si="29">IFERROR((T48-S48),"n/a")</f>
        <v>-0.16144629190106308</v>
      </c>
    </row>
    <row r="49" spans="1:23" ht="15" customHeight="1" x14ac:dyDescent="0.2">
      <c r="A49" s="34" t="s">
        <v>114</v>
      </c>
      <c r="B49" s="29" t="s">
        <v>384</v>
      </c>
      <c r="C49" s="167">
        <v>12.306122448979592</v>
      </c>
      <c r="D49" s="167">
        <v>11.867647058823534</v>
      </c>
      <c r="E49" s="167">
        <v>11.899371069182392</v>
      </c>
      <c r="F49" s="167">
        <v>11.722532588454383</v>
      </c>
      <c r="G49" s="167">
        <v>11.62900188323917</v>
      </c>
      <c r="H49" s="167">
        <v>11.724324324324325</v>
      </c>
      <c r="I49" s="167">
        <v>11.685466377440342</v>
      </c>
      <c r="J49" s="167">
        <v>11.904878048780485</v>
      </c>
      <c r="K49" s="167">
        <v>11.879177377892033</v>
      </c>
      <c r="L49" s="167">
        <v>10.843400447427298</v>
      </c>
      <c r="M49" s="167">
        <v>10.650467289719622</v>
      </c>
      <c r="N49" s="167">
        <v>11.268518518518517</v>
      </c>
      <c r="O49" s="167">
        <v>10.696721311475411</v>
      </c>
      <c r="P49" s="167">
        <v>10.114960629921269</v>
      </c>
      <c r="Q49" s="167">
        <v>10.434402332361513</v>
      </c>
      <c r="R49" s="167">
        <v>10.328063241106715</v>
      </c>
      <c r="S49" s="167">
        <v>10.045454545454545</v>
      </c>
      <c r="T49" s="167">
        <v>10.050188205771645</v>
      </c>
      <c r="U49" s="164">
        <f t="shared" si="27"/>
        <v>-1.8289891721203873</v>
      </c>
      <c r="V49" s="164">
        <f t="shared" si="28"/>
        <v>-6.4772424149623475E-2</v>
      </c>
      <c r="W49" s="164">
        <f t="shared" si="29"/>
        <v>4.7336603171004299E-3</v>
      </c>
    </row>
    <row r="50" spans="1:23" ht="15" customHeight="1" x14ac:dyDescent="0.2">
      <c r="A50" s="34"/>
      <c r="B50" s="29" t="s">
        <v>531</v>
      </c>
      <c r="C50" s="167">
        <v>3.1020408163265305</v>
      </c>
      <c r="D50" s="167">
        <v>2.921568627450986</v>
      </c>
      <c r="E50" s="167">
        <v>3.069182389937108</v>
      </c>
      <c r="F50" s="167">
        <v>3.0093109869646248</v>
      </c>
      <c r="G50" s="167">
        <v>3.1242937853107318</v>
      </c>
      <c r="H50" s="167">
        <v>3.1477477477477489</v>
      </c>
      <c r="I50" s="167">
        <v>3.4620390455531407</v>
      </c>
      <c r="J50" s="167">
        <v>3.6097560975609735</v>
      </c>
      <c r="K50" s="167">
        <v>3.7352185089974306</v>
      </c>
      <c r="L50" s="167">
        <v>2.7852348993288629</v>
      </c>
      <c r="M50" s="167">
        <v>2.6037383177570046</v>
      </c>
      <c r="N50" s="167">
        <v>3.168981481481481</v>
      </c>
      <c r="O50" s="167">
        <v>2.5778688524590176</v>
      </c>
      <c r="P50" s="167">
        <v>2.069291338582687</v>
      </c>
      <c r="Q50" s="167">
        <v>2.3629737609329418</v>
      </c>
      <c r="R50" s="167">
        <v>2.2779973649538832</v>
      </c>
      <c r="S50" s="167">
        <v>1.9748803827751189</v>
      </c>
      <c r="T50" s="167">
        <v>1.98745294855709</v>
      </c>
      <c r="U50" s="164">
        <f t="shared" si="27"/>
        <v>-1.7477655604403406</v>
      </c>
      <c r="V50" s="164">
        <f t="shared" si="28"/>
        <v>-8.1838390025597008E-2</v>
      </c>
      <c r="W50" s="164">
        <f t="shared" si="29"/>
        <v>1.2572565781971079E-2</v>
      </c>
    </row>
    <row r="51" spans="1:23" ht="15" customHeight="1" x14ac:dyDescent="0.2">
      <c r="A51" s="34" t="s">
        <v>115</v>
      </c>
      <c r="B51" s="29" t="s">
        <v>384</v>
      </c>
      <c r="C51" s="167">
        <v>10.975604713665495</v>
      </c>
      <c r="D51" s="167">
        <v>11.028117359413203</v>
      </c>
      <c r="E51" s="167">
        <v>10.430974224552207</v>
      </c>
      <c r="F51" s="167">
        <v>10.255341880341884</v>
      </c>
      <c r="G51" s="167">
        <v>10.117760957577891</v>
      </c>
      <c r="H51" s="167">
        <v>10.130574136008921</v>
      </c>
      <c r="I51" s="167">
        <v>10.025408551600627</v>
      </c>
      <c r="J51" s="167">
        <v>10.073630969750024</v>
      </c>
      <c r="K51" s="167">
        <v>10.092227529309596</v>
      </c>
      <c r="L51" s="167">
        <v>10.023659778376759</v>
      </c>
      <c r="M51" s="167">
        <v>9.9227459417171922</v>
      </c>
      <c r="N51" s="167">
        <v>10.36572982774252</v>
      </c>
      <c r="O51" s="167">
        <v>10.277554842161582</v>
      </c>
      <c r="P51" s="167">
        <v>10.135635457458172</v>
      </c>
      <c r="Q51" s="167">
        <v>10.31734001589145</v>
      </c>
      <c r="R51" s="167">
        <v>10.327433628318584</v>
      </c>
      <c r="S51" s="167">
        <v>10.138538575667656</v>
      </c>
      <c r="T51" s="167">
        <v>9.9963592233009706</v>
      </c>
      <c r="U51" s="164">
        <f t="shared" si="27"/>
        <v>-9.5868306008625837E-2</v>
      </c>
      <c r="V51" s="164">
        <f t="shared" si="28"/>
        <v>-0.13927623415720092</v>
      </c>
      <c r="W51" s="164">
        <f t="shared" si="29"/>
        <v>-0.14217935236668566</v>
      </c>
    </row>
    <row r="52" spans="1:23" ht="15" customHeight="1" x14ac:dyDescent="0.2">
      <c r="A52" s="34"/>
      <c r="B52" s="29" t="s">
        <v>531</v>
      </c>
      <c r="C52" s="167">
        <v>2.2288608641720078</v>
      </c>
      <c r="D52" s="167">
        <v>2.4041564792176047</v>
      </c>
      <c r="E52" s="167">
        <v>2.1640454346876368</v>
      </c>
      <c r="F52" s="167">
        <v>1.7820512820512864</v>
      </c>
      <c r="G52" s="167">
        <v>1.8801267382503077</v>
      </c>
      <c r="H52" s="167">
        <v>1.8805741360089208</v>
      </c>
      <c r="I52" s="167">
        <v>1.8241549138124018</v>
      </c>
      <c r="J52" s="167">
        <v>1.8338683007489536</v>
      </c>
      <c r="K52" s="167">
        <v>1.9502388189318278</v>
      </c>
      <c r="L52" s="167">
        <v>1.9046121593291403</v>
      </c>
      <c r="M52" s="167">
        <v>1.8235869352630552</v>
      </c>
      <c r="N52" s="167">
        <v>2.256331217890601</v>
      </c>
      <c r="O52" s="167">
        <v>2.1441278758694473</v>
      </c>
      <c r="P52" s="167">
        <v>2.0406728373086516</v>
      </c>
      <c r="Q52" s="167">
        <v>2.2040828800195591</v>
      </c>
      <c r="R52" s="167">
        <v>2.1686425112706633</v>
      </c>
      <c r="S52" s="167">
        <v>2.0229970326409497</v>
      </c>
      <c r="T52" s="167">
        <v>1.910740291262135</v>
      </c>
      <c r="U52" s="164">
        <f t="shared" si="27"/>
        <v>-3.9498527669692862E-2</v>
      </c>
      <c r="V52" s="164">
        <f t="shared" si="28"/>
        <v>-0.12993254604651661</v>
      </c>
      <c r="W52" s="164">
        <f t="shared" si="29"/>
        <v>-0.1122567413788147</v>
      </c>
    </row>
    <row r="53" spans="1:23" ht="15" customHeight="1" x14ac:dyDescent="0.2">
      <c r="A53" s="34" t="s">
        <v>4</v>
      </c>
      <c r="B53" s="29" t="s">
        <v>384</v>
      </c>
      <c r="C53" s="167">
        <v>6.7206266318537855</v>
      </c>
      <c r="D53" s="167">
        <v>6.2014132026227005</v>
      </c>
      <c r="E53" s="167">
        <v>6.2487168387854801</v>
      </c>
      <c r="F53" s="167">
        <v>6.5521694567816882</v>
      </c>
      <c r="G53" s="167">
        <v>6.4447119671838777</v>
      </c>
      <c r="H53" s="167">
        <v>6.3704996727034695</v>
      </c>
      <c r="I53" s="167">
        <v>6.5368525260266974</v>
      </c>
      <c r="J53" s="167">
        <v>6.3864462907660924</v>
      </c>
      <c r="K53" s="167">
        <v>6.2455293932560698</v>
      </c>
      <c r="L53" s="167">
        <v>6.2100228888085773</v>
      </c>
      <c r="M53" s="167">
        <v>6.0910131927380302</v>
      </c>
      <c r="N53" s="167">
        <v>6.259440037963528</v>
      </c>
      <c r="O53" s="167">
        <v>6.0489693631047796</v>
      </c>
      <c r="P53" s="167">
        <v>6.1796484129370919</v>
      </c>
      <c r="Q53" s="167">
        <v>6.3529339977626362</v>
      </c>
      <c r="R53" s="167">
        <v>6.2900032085071276</v>
      </c>
      <c r="S53" s="167">
        <v>6.1907320647467641</v>
      </c>
      <c r="T53" s="167">
        <v>6.0257003626977594</v>
      </c>
      <c r="U53" s="164">
        <f t="shared" si="27"/>
        <v>-0.21982903055831038</v>
      </c>
      <c r="V53" s="164">
        <f t="shared" si="28"/>
        <v>-0.15394805023933245</v>
      </c>
      <c r="W53" s="164">
        <f t="shared" si="29"/>
        <v>-0.16503170204900464</v>
      </c>
    </row>
    <row r="54" spans="1:23" ht="15" customHeight="1" x14ac:dyDescent="0.2">
      <c r="A54" s="169"/>
      <c r="B54" s="29" t="s">
        <v>531</v>
      </c>
      <c r="C54" s="167">
        <v>1.4590798595480328</v>
      </c>
      <c r="D54" s="167">
        <v>1.056973709338596</v>
      </c>
      <c r="E54" s="167">
        <v>1.1333869272153851</v>
      </c>
      <c r="F54" s="167">
        <v>1.3373419883840114</v>
      </c>
      <c r="G54" s="167">
        <v>1.4251828072052799</v>
      </c>
      <c r="H54" s="167">
        <v>1.3648265328387517</v>
      </c>
      <c r="I54" s="167">
        <v>1.5294117647058822</v>
      </c>
      <c r="J54" s="167">
        <v>1.3823659856302299</v>
      </c>
      <c r="K54" s="167">
        <v>1.2584823535581311</v>
      </c>
      <c r="L54" s="167">
        <v>1.2358992892422602</v>
      </c>
      <c r="M54" s="167">
        <v>1.1823842355130383</v>
      </c>
      <c r="N54" s="167">
        <v>1.33489254965765</v>
      </c>
      <c r="O54" s="167">
        <v>1.1372903167543402</v>
      </c>
      <c r="P54" s="167">
        <v>1.2612023949476452</v>
      </c>
      <c r="Q54" s="167">
        <v>1.4865859859656263</v>
      </c>
      <c r="R54" s="167">
        <v>1.4223541275152405</v>
      </c>
      <c r="S54" s="167">
        <v>1.344960810000666</v>
      </c>
      <c r="T54" s="167">
        <v>1.1900714269820432</v>
      </c>
      <c r="U54" s="164">
        <f t="shared" si="27"/>
        <v>-6.8410926576087938E-2</v>
      </c>
      <c r="V54" s="164">
        <f t="shared" si="28"/>
        <v>-7.1130967965602032E-2</v>
      </c>
      <c r="W54" s="164">
        <f t="shared" si="29"/>
        <v>-0.15488938301862287</v>
      </c>
    </row>
    <row r="55" spans="1:23" ht="15" customHeight="1" x14ac:dyDescent="0.2">
      <c r="A55" s="196" t="s">
        <v>71</v>
      </c>
      <c r="B55" s="197"/>
      <c r="C55" s="166"/>
      <c r="D55" s="166"/>
      <c r="E55" s="166"/>
      <c r="F55" s="166"/>
      <c r="G55" s="166"/>
      <c r="H55" s="166"/>
      <c r="I55" s="166"/>
      <c r="J55" s="166"/>
      <c r="K55" s="166"/>
      <c r="L55" s="166"/>
      <c r="M55" s="166"/>
      <c r="N55" s="166"/>
      <c r="O55" s="166"/>
      <c r="P55" s="166"/>
      <c r="Q55" s="166"/>
      <c r="R55" s="166"/>
      <c r="S55" s="166"/>
      <c r="T55" s="166"/>
      <c r="U55" s="165"/>
      <c r="V55" s="165"/>
      <c r="W55" s="165"/>
    </row>
    <row r="56" spans="1:23" ht="15" customHeight="1" x14ac:dyDescent="0.2">
      <c r="A56" s="34" t="s">
        <v>113</v>
      </c>
      <c r="B56" s="29" t="s">
        <v>384</v>
      </c>
      <c r="C56" s="167">
        <v>14.801855155190866</v>
      </c>
      <c r="D56" s="167">
        <v>14.421693888303478</v>
      </c>
      <c r="E56" s="167">
        <v>14.274717024717024</v>
      </c>
      <c r="F56" s="167">
        <v>14.255886794563455</v>
      </c>
      <c r="G56" s="167">
        <v>14.068600266193432</v>
      </c>
      <c r="H56" s="167">
        <v>14.064920922997148</v>
      </c>
      <c r="I56" s="167">
        <v>13.91251210625836</v>
      </c>
      <c r="J56" s="167">
        <v>13.866283701622709</v>
      </c>
      <c r="K56" s="167">
        <v>13.817010522827077</v>
      </c>
      <c r="L56" s="167">
        <v>13.853559836445644</v>
      </c>
      <c r="M56" s="167">
        <v>13.892422002956097</v>
      </c>
      <c r="N56" s="167">
        <v>13.911933481672326</v>
      </c>
      <c r="O56" s="167">
        <v>13.874728571992577</v>
      </c>
      <c r="P56" s="167">
        <v>13.683465486209077</v>
      </c>
      <c r="Q56" s="167">
        <v>13.807088939940925</v>
      </c>
      <c r="R56" s="167">
        <v>13.665688233824632</v>
      </c>
      <c r="S56" s="167">
        <v>13.512297039159503</v>
      </c>
      <c r="T56" s="167">
        <v>13.464051048774325</v>
      </c>
      <c r="U56" s="164">
        <f t="shared" ref="U56:U63" si="30">IFERROR((T56-K56),"n/a")</f>
        <v>-0.35295947405275285</v>
      </c>
      <c r="V56" s="164">
        <f t="shared" ref="V56:V63" si="31">IFERROR((T56-P56),"n/a")</f>
        <v>-0.21941443743475197</v>
      </c>
      <c r="W56" s="164">
        <f t="shared" ref="W56:W63" si="32">IFERROR((T56-S56),"n/a")</f>
        <v>-4.8245990385177961E-2</v>
      </c>
    </row>
    <row r="57" spans="1:23" ht="15" customHeight="1" x14ac:dyDescent="0.2">
      <c r="A57" s="34"/>
      <c r="B57" s="29" t="s">
        <v>531</v>
      </c>
      <c r="C57" s="167">
        <v>4.0124866214769881</v>
      </c>
      <c r="D57" s="167">
        <v>3.7621838777660699</v>
      </c>
      <c r="E57" s="167">
        <v>3.7512705012705005</v>
      </c>
      <c r="F57" s="167">
        <v>3.8936182113093576</v>
      </c>
      <c r="G57" s="167">
        <v>3.7122892635314972</v>
      </c>
      <c r="H57" s="167">
        <v>3.7433756805807619</v>
      </c>
      <c r="I57" s="167">
        <v>3.6558133099663337</v>
      </c>
      <c r="J57" s="167">
        <v>3.6766740743846693</v>
      </c>
      <c r="K57" s="167">
        <v>3.5725826497638575</v>
      </c>
      <c r="L57" s="167">
        <v>3.5850440500779843</v>
      </c>
      <c r="M57" s="167">
        <v>3.580673510965525</v>
      </c>
      <c r="N57" s="167">
        <v>3.6297771011437714</v>
      </c>
      <c r="O57" s="167">
        <v>3.6607840814876216</v>
      </c>
      <c r="P57" s="167">
        <v>3.6247993384248662</v>
      </c>
      <c r="Q57" s="167">
        <v>3.6084673449294389</v>
      </c>
      <c r="R57" s="167">
        <v>3.4329565326005493</v>
      </c>
      <c r="S57" s="167">
        <v>3.2553724928366758</v>
      </c>
      <c r="T57" s="167">
        <v>3.1594010614101595</v>
      </c>
      <c r="U57" s="164">
        <f t="shared" si="30"/>
        <v>-0.413181588353698</v>
      </c>
      <c r="V57" s="164">
        <f t="shared" si="31"/>
        <v>-0.46539827701470671</v>
      </c>
      <c r="W57" s="164">
        <f t="shared" si="32"/>
        <v>-9.5971431426516318E-2</v>
      </c>
    </row>
    <row r="58" spans="1:23" ht="15" customHeight="1" x14ac:dyDescent="0.2">
      <c r="A58" s="34" t="s">
        <v>114</v>
      </c>
      <c r="B58" s="29" t="s">
        <v>384</v>
      </c>
      <c r="C58" s="167">
        <v>12.535483870967752</v>
      </c>
      <c r="D58" s="167">
        <v>12.126279863481225</v>
      </c>
      <c r="E58" s="167">
        <v>11.619718309859154</v>
      </c>
      <c r="F58" s="167">
        <v>12.2575</v>
      </c>
      <c r="G58" s="167">
        <v>11.907766990291265</v>
      </c>
      <c r="H58" s="167">
        <v>11.802056555269923</v>
      </c>
      <c r="I58" s="167">
        <v>11.851190476190485</v>
      </c>
      <c r="J58" s="167">
        <v>11.932203389830509</v>
      </c>
      <c r="K58" s="167">
        <v>12.107462686567159</v>
      </c>
      <c r="L58" s="167">
        <v>11.571815718157184</v>
      </c>
      <c r="M58" s="167">
        <v>11.921700223713643</v>
      </c>
      <c r="N58" s="167">
        <v>11.758152173913043</v>
      </c>
      <c r="O58" s="167">
        <v>11.638095238095239</v>
      </c>
      <c r="P58" s="167">
        <v>10.890243902439027</v>
      </c>
      <c r="Q58" s="167">
        <v>11.5</v>
      </c>
      <c r="R58" s="167">
        <v>10.839080459770116</v>
      </c>
      <c r="S58" s="167">
        <v>10.572307692307698</v>
      </c>
      <c r="T58" s="167">
        <v>10.788216560509552</v>
      </c>
      <c r="U58" s="164">
        <f t="shared" si="30"/>
        <v>-1.3192461260576067</v>
      </c>
      <c r="V58" s="164">
        <f t="shared" si="31"/>
        <v>-0.1020273419294746</v>
      </c>
      <c r="W58" s="164">
        <f t="shared" si="32"/>
        <v>0.21590886820185418</v>
      </c>
    </row>
    <row r="59" spans="1:23" ht="15" customHeight="1" x14ac:dyDescent="0.2">
      <c r="A59" s="34"/>
      <c r="B59" s="29" t="s">
        <v>531</v>
      </c>
      <c r="C59" s="167">
        <v>3.6064516129032356</v>
      </c>
      <c r="D59" s="167">
        <v>3.1843003412969235</v>
      </c>
      <c r="E59" s="167">
        <v>2.7380281690140844</v>
      </c>
      <c r="F59" s="167">
        <v>3.4675000000000011</v>
      </c>
      <c r="G59" s="167">
        <v>3.2427184466019447</v>
      </c>
      <c r="H59" s="167">
        <v>3.3110539845758353</v>
      </c>
      <c r="I59" s="167">
        <v>3.4880952380952479</v>
      </c>
      <c r="J59" s="167">
        <v>3.6327683615819204</v>
      </c>
      <c r="K59" s="167">
        <v>3.8716417910447714</v>
      </c>
      <c r="L59" s="167">
        <v>3.3794037940379429</v>
      </c>
      <c r="M59" s="167">
        <v>3.7293064876957462</v>
      </c>
      <c r="N59" s="167">
        <v>3.4266304347826075</v>
      </c>
      <c r="O59" s="167">
        <v>3.4166666666666679</v>
      </c>
      <c r="P59" s="167">
        <v>2.7337398373983763</v>
      </c>
      <c r="Q59" s="167">
        <v>3.3111888111888117</v>
      </c>
      <c r="R59" s="167">
        <v>2.5665024630541886</v>
      </c>
      <c r="S59" s="167">
        <v>2.3753846153846201</v>
      </c>
      <c r="T59" s="167">
        <v>2.6369426751592329</v>
      </c>
      <c r="U59" s="164">
        <f t="shared" si="30"/>
        <v>-1.2346991158855385</v>
      </c>
      <c r="V59" s="164">
        <f t="shared" si="31"/>
        <v>-9.6797162239143475E-2</v>
      </c>
      <c r="W59" s="164">
        <f t="shared" si="32"/>
        <v>0.26155805977461277</v>
      </c>
    </row>
    <row r="60" spans="1:23" ht="15" customHeight="1" x14ac:dyDescent="0.2">
      <c r="A60" s="34" t="s">
        <v>115</v>
      </c>
      <c r="B60" s="29" t="s">
        <v>384</v>
      </c>
      <c r="C60" s="167">
        <v>12.301595470921256</v>
      </c>
      <c r="D60" s="167">
        <v>12.241483724451172</v>
      </c>
      <c r="E60" s="167">
        <v>11.385356104651162</v>
      </c>
      <c r="F60" s="167">
        <v>11.489349228063318</v>
      </c>
      <c r="G60" s="167">
        <v>10.843063988790284</v>
      </c>
      <c r="H60" s="167">
        <v>10.976230191826522</v>
      </c>
      <c r="I60" s="167">
        <v>10.771012327231976</v>
      </c>
      <c r="J60" s="167">
        <v>10.820268872802483</v>
      </c>
      <c r="K60" s="167">
        <v>10.894594070916488</v>
      </c>
      <c r="L60" s="167">
        <v>10.866248147179354</v>
      </c>
      <c r="M60" s="167">
        <v>10.657829457364342</v>
      </c>
      <c r="N60" s="167">
        <v>10.855635041632462</v>
      </c>
      <c r="O60" s="167">
        <v>10.895746455379482</v>
      </c>
      <c r="P60" s="167">
        <v>10.674260377646968</v>
      </c>
      <c r="Q60" s="167">
        <v>11.097000543558828</v>
      </c>
      <c r="R60" s="167">
        <v>10.854906894816306</v>
      </c>
      <c r="S60" s="167">
        <v>10.710838881491345</v>
      </c>
      <c r="T60" s="167">
        <v>10.551467012481764</v>
      </c>
      <c r="U60" s="164">
        <f t="shared" si="30"/>
        <v>-0.34312705843472457</v>
      </c>
      <c r="V60" s="164">
        <f t="shared" si="31"/>
        <v>-0.12279336516520445</v>
      </c>
      <c r="W60" s="164">
        <f t="shared" si="32"/>
        <v>-0.15937186900958089</v>
      </c>
    </row>
    <row r="61" spans="1:23" ht="15" customHeight="1" x14ac:dyDescent="0.2">
      <c r="A61" s="34"/>
      <c r="B61" s="29" t="s">
        <v>531</v>
      </c>
      <c r="C61" s="167">
        <v>3.5460627895007732</v>
      </c>
      <c r="D61" s="167">
        <v>3.6109008327024963</v>
      </c>
      <c r="E61" s="167">
        <v>3.0952034883720927</v>
      </c>
      <c r="F61" s="167">
        <v>2.9738127809263233</v>
      </c>
      <c r="G61" s="167">
        <v>2.6236960921687675</v>
      </c>
      <c r="H61" s="167">
        <v>2.7180984153461214</v>
      </c>
      <c r="I61" s="167">
        <v>2.6260739633918568</v>
      </c>
      <c r="J61" s="167">
        <v>2.6150982419855229</v>
      </c>
      <c r="K61" s="167">
        <v>2.7675838015888381</v>
      </c>
      <c r="L61" s="167">
        <v>2.7668497689423663</v>
      </c>
      <c r="M61" s="167">
        <v>2.597906976744186</v>
      </c>
      <c r="N61" s="167">
        <v>2.7660959305734725</v>
      </c>
      <c r="O61" s="167">
        <v>2.8016124548234629</v>
      </c>
      <c r="P61" s="167">
        <v>2.5965904747343469</v>
      </c>
      <c r="Q61" s="167">
        <v>3.0243613183772293</v>
      </c>
      <c r="R61" s="167">
        <v>2.7904378459989942</v>
      </c>
      <c r="S61" s="167">
        <v>2.6679094540612507</v>
      </c>
      <c r="T61" s="167">
        <v>2.5101853352785426</v>
      </c>
      <c r="U61" s="164">
        <f t="shared" si="30"/>
        <v>-0.2573984663102955</v>
      </c>
      <c r="V61" s="164">
        <f t="shared" si="31"/>
        <v>-8.6405139455804303E-2</v>
      </c>
      <c r="W61" s="164">
        <f t="shared" si="32"/>
        <v>-0.15772411878270809</v>
      </c>
    </row>
    <row r="62" spans="1:23" ht="15" customHeight="1" x14ac:dyDescent="0.2">
      <c r="A62" s="34" t="s">
        <v>4</v>
      </c>
      <c r="B62" s="29" t="s">
        <v>384</v>
      </c>
      <c r="C62" s="167">
        <v>7.4027357209982245</v>
      </c>
      <c r="D62" s="167">
        <v>7.0802873249681761</v>
      </c>
      <c r="E62" s="167">
        <v>6.97847425520923</v>
      </c>
      <c r="F62" s="167">
        <v>7.1623769529486134</v>
      </c>
      <c r="G62" s="167">
        <v>6.9471273657978045</v>
      </c>
      <c r="H62" s="167">
        <v>6.8668408826945413</v>
      </c>
      <c r="I62" s="167">
        <v>6.9801394784718012</v>
      </c>
      <c r="J62" s="167">
        <v>6.8076870593586536</v>
      </c>
      <c r="K62" s="167">
        <v>6.6144788156449961</v>
      </c>
      <c r="L62" s="167">
        <v>6.5261608781467499</v>
      </c>
      <c r="M62" s="167">
        <v>6.5336778698062838</v>
      </c>
      <c r="N62" s="167">
        <v>6.8785613586439789</v>
      </c>
      <c r="O62" s="167">
        <v>6.6275409624147628</v>
      </c>
      <c r="P62" s="167">
        <v>6.71185756570096</v>
      </c>
      <c r="Q62" s="167">
        <v>6.9652488930631957</v>
      </c>
      <c r="R62" s="167">
        <v>6.9268284358895604</v>
      </c>
      <c r="S62" s="167">
        <v>6.7793112825916984</v>
      </c>
      <c r="T62" s="167">
        <v>6.4316712684749069</v>
      </c>
      <c r="U62" s="164">
        <f t="shared" si="30"/>
        <v>-0.18280754717008918</v>
      </c>
      <c r="V62" s="164">
        <f t="shared" si="31"/>
        <v>-0.28018629722605315</v>
      </c>
      <c r="W62" s="164">
        <f t="shared" si="32"/>
        <v>-0.34764001411679146</v>
      </c>
    </row>
    <row r="63" spans="1:23" ht="15" customHeight="1" x14ac:dyDescent="0.2">
      <c r="A63" s="34"/>
      <c r="B63" s="29" t="s">
        <v>531</v>
      </c>
      <c r="C63" s="167">
        <v>2.050537746684765</v>
      </c>
      <c r="D63" s="167">
        <v>1.7837788688852516</v>
      </c>
      <c r="E63" s="167">
        <v>1.903995178233167</v>
      </c>
      <c r="F63" s="167">
        <v>1.9600830849814859</v>
      </c>
      <c r="G63" s="167">
        <v>1.9905704856199913</v>
      </c>
      <c r="H63" s="167">
        <v>1.9359465737514521</v>
      </c>
      <c r="I63" s="167">
        <v>2.0529108550636748</v>
      </c>
      <c r="J63" s="167">
        <v>1.8992494882874684</v>
      </c>
      <c r="K63" s="167">
        <v>1.7173526182272534</v>
      </c>
      <c r="L63" s="167">
        <v>1.6857924443367152</v>
      </c>
      <c r="M63" s="167">
        <v>1.7568964337052506</v>
      </c>
      <c r="N63" s="167">
        <v>2.0664240516704373</v>
      </c>
      <c r="O63" s="167">
        <v>1.8839802216979606</v>
      </c>
      <c r="P63" s="167">
        <v>1.9458247376446325</v>
      </c>
      <c r="Q63" s="167">
        <v>2.2264859788004827</v>
      </c>
      <c r="R63" s="167">
        <v>2.2115627452987958</v>
      </c>
      <c r="S63" s="167">
        <v>2.1009620287588806</v>
      </c>
      <c r="T63" s="167">
        <v>1.749358453792432</v>
      </c>
      <c r="U63" s="164">
        <f t="shared" si="30"/>
        <v>3.2005835565178664E-2</v>
      </c>
      <c r="V63" s="164">
        <f t="shared" si="31"/>
        <v>-0.19646628385220044</v>
      </c>
      <c r="W63" s="164">
        <f t="shared" si="32"/>
        <v>-0.35160357496644856</v>
      </c>
    </row>
    <row r="64" spans="1:23" ht="15" customHeight="1" x14ac:dyDescent="0.2">
      <c r="A64" s="55"/>
      <c r="B64" s="55"/>
      <c r="C64" s="55"/>
      <c r="D64" s="55"/>
      <c r="E64" s="55"/>
      <c r="F64" s="55"/>
      <c r="G64" s="55"/>
      <c r="H64" s="55"/>
      <c r="I64" s="55"/>
      <c r="J64" s="55"/>
      <c r="K64" s="55"/>
      <c r="L64" s="116"/>
      <c r="M64" s="116"/>
      <c r="N64" s="116"/>
      <c r="O64" s="116"/>
      <c r="P64" s="116"/>
      <c r="Q64" s="116"/>
      <c r="R64" s="116"/>
      <c r="S64" s="116"/>
      <c r="T64" s="116"/>
      <c r="U64" s="68"/>
      <c r="V64" s="68"/>
      <c r="W64" s="68"/>
    </row>
    <row r="65" spans="1:23" ht="15" customHeight="1" x14ac:dyDescent="0.25">
      <c r="A65" s="54" t="s">
        <v>536</v>
      </c>
      <c r="B65" s="54"/>
      <c r="C65" s="54"/>
      <c r="D65" s="54"/>
      <c r="E65" s="54"/>
      <c r="F65" s="54"/>
      <c r="G65" s="54"/>
      <c r="H65" s="54"/>
      <c r="I65" s="54"/>
      <c r="J65" s="54"/>
      <c r="K65" s="54"/>
      <c r="L65" s="54"/>
      <c r="M65" s="54"/>
      <c r="N65" s="54"/>
      <c r="O65" s="54"/>
      <c r="P65" s="54"/>
      <c r="Q65" s="54"/>
      <c r="R65" s="54"/>
      <c r="S65" s="54"/>
      <c r="T65" s="54"/>
      <c r="U65" s="66"/>
      <c r="V65" s="66"/>
      <c r="W65" s="66"/>
    </row>
    <row r="66" spans="1:23" ht="48" customHeight="1" x14ac:dyDescent="0.2">
      <c r="A66" s="56" t="s">
        <v>363</v>
      </c>
      <c r="B66" s="147" t="s">
        <v>530</v>
      </c>
      <c r="C66" s="15">
        <v>2007</v>
      </c>
      <c r="D66" s="15">
        <v>2008</v>
      </c>
      <c r="E66" s="15">
        <v>2009</v>
      </c>
      <c r="F66" s="15">
        <v>2010</v>
      </c>
      <c r="G66" s="15">
        <v>2011</v>
      </c>
      <c r="H66" s="15">
        <v>2012</v>
      </c>
      <c r="I66" s="15">
        <v>2013</v>
      </c>
      <c r="J66" s="15">
        <v>2014</v>
      </c>
      <c r="K66" s="15">
        <v>2015</v>
      </c>
      <c r="L66" s="15">
        <v>2016</v>
      </c>
      <c r="M66" s="15">
        <v>2017</v>
      </c>
      <c r="N66" s="15">
        <v>2018</v>
      </c>
      <c r="O66" s="15">
        <v>2019</v>
      </c>
      <c r="P66" s="15">
        <v>2020</v>
      </c>
      <c r="Q66" s="15">
        <v>2021</v>
      </c>
      <c r="R66" s="15">
        <v>2022</v>
      </c>
      <c r="S66" s="15">
        <v>2023</v>
      </c>
      <c r="T66" s="15">
        <v>2024</v>
      </c>
      <c r="U66" s="27" t="s">
        <v>469</v>
      </c>
      <c r="V66" s="27" t="s">
        <v>470</v>
      </c>
      <c r="W66" s="27" t="s">
        <v>471</v>
      </c>
    </row>
    <row r="67" spans="1:23" ht="15" customHeight="1" x14ac:dyDescent="0.2">
      <c r="A67" s="196" t="s">
        <v>72</v>
      </c>
      <c r="B67" s="197"/>
      <c r="C67" s="166"/>
      <c r="D67" s="166"/>
      <c r="E67" s="166"/>
      <c r="F67" s="166"/>
      <c r="G67" s="166"/>
      <c r="H67" s="166"/>
      <c r="I67" s="166"/>
      <c r="J67" s="166"/>
      <c r="K67" s="166"/>
      <c r="L67" s="166"/>
      <c r="M67" s="166"/>
      <c r="N67" s="166"/>
      <c r="O67" s="166"/>
      <c r="P67" s="166"/>
      <c r="Q67" s="166"/>
      <c r="R67" s="166"/>
      <c r="S67" s="166"/>
      <c r="T67" s="166"/>
      <c r="U67" s="165"/>
      <c r="V67" s="165"/>
      <c r="W67" s="165"/>
    </row>
    <row r="68" spans="1:23" ht="15" customHeight="1" x14ac:dyDescent="0.2">
      <c r="A68" s="34" t="s">
        <v>2</v>
      </c>
      <c r="B68" s="29" t="s">
        <v>384</v>
      </c>
      <c r="C68" s="167">
        <v>10.444534194938072</v>
      </c>
      <c r="D68" s="167">
        <v>10.309338521400779</v>
      </c>
      <c r="E68" s="167">
        <v>10.156464312928627</v>
      </c>
      <c r="F68" s="167">
        <v>10.075678366940506</v>
      </c>
      <c r="G68" s="167">
        <v>10.03720562042351</v>
      </c>
      <c r="H68" s="167">
        <v>10.079778830963667</v>
      </c>
      <c r="I68" s="167">
        <v>9.9903249813941954</v>
      </c>
      <c r="J68" s="167">
        <v>10.068889863975429</v>
      </c>
      <c r="K68" s="167">
        <v>10.075407608695652</v>
      </c>
      <c r="L68" s="167">
        <v>9.9793762575452725</v>
      </c>
      <c r="M68" s="167">
        <v>9.8539884477590114</v>
      </c>
      <c r="N68" s="167">
        <v>10.342667649226234</v>
      </c>
      <c r="O68" s="167">
        <v>10.215535131930032</v>
      </c>
      <c r="P68" s="167">
        <v>10.017361111111111</v>
      </c>
      <c r="Q68" s="167">
        <v>10.21786844408537</v>
      </c>
      <c r="R68" s="167">
        <v>10.244764556349111</v>
      </c>
      <c r="S68" s="167">
        <v>10.020185307743217</v>
      </c>
      <c r="T68" s="167">
        <v>9.910455259026687</v>
      </c>
      <c r="U68" s="164">
        <f t="shared" ref="U68" si="33">IFERROR((T68-K68),"n/a")</f>
        <v>-0.16495234966896533</v>
      </c>
      <c r="V68" s="164">
        <f t="shared" ref="V68" si="34">IFERROR((T68-P68),"n/a")</f>
        <v>-0.10690585208442371</v>
      </c>
      <c r="W68" s="164">
        <f t="shared" ref="W68" si="35">IFERROR((T68-S68),"n/a")</f>
        <v>-0.10973004871653025</v>
      </c>
    </row>
    <row r="69" spans="1:23" ht="15" customHeight="1" x14ac:dyDescent="0.2">
      <c r="A69" s="34"/>
      <c r="B69" s="29" t="s">
        <v>531</v>
      </c>
      <c r="C69" s="167">
        <v>1.7598276790522345</v>
      </c>
      <c r="D69" s="167">
        <v>1.6916342412451364</v>
      </c>
      <c r="E69" s="167">
        <v>1.8547117094234196</v>
      </c>
      <c r="F69" s="167">
        <v>1.4665173014687607</v>
      </c>
      <c r="G69" s="167">
        <v>1.7460914308331681</v>
      </c>
      <c r="H69" s="167">
        <v>1.762875197472356</v>
      </c>
      <c r="I69" s="167">
        <v>1.7322004465393199</v>
      </c>
      <c r="J69" s="167">
        <v>1.7783018867924536</v>
      </c>
      <c r="K69" s="167">
        <v>1.9024650621118013</v>
      </c>
      <c r="L69" s="167">
        <v>1.8384473507712951</v>
      </c>
      <c r="M69" s="167">
        <v>1.7358338816992038</v>
      </c>
      <c r="N69" s="167">
        <v>2.213371742480069</v>
      </c>
      <c r="O69" s="167">
        <v>2.0615179365549956</v>
      </c>
      <c r="P69" s="167">
        <v>1.9154761904761894</v>
      </c>
      <c r="Q69" s="167">
        <v>2.0881976705042753</v>
      </c>
      <c r="R69" s="167">
        <v>2.0608885122866489</v>
      </c>
      <c r="S69" s="167">
        <v>1.8978160158835209</v>
      </c>
      <c r="T69" s="167">
        <v>1.8195290423861845</v>
      </c>
      <c r="U69" s="164">
        <f t="shared" ref="U69:U71" si="36">IFERROR((T69-K69),"n/a")</f>
        <v>-8.2936019725616816E-2</v>
      </c>
      <c r="V69" s="164">
        <f t="shared" ref="V69:V71" si="37">IFERROR((T69-P69),"n/a")</f>
        <v>-9.594714809000493E-2</v>
      </c>
      <c r="W69" s="164">
        <f t="shared" ref="W69:W71" si="38">IFERROR((T69-S69),"n/a")</f>
        <v>-7.8286973497336376E-2</v>
      </c>
    </row>
    <row r="70" spans="1:23" ht="15" customHeight="1" x14ac:dyDescent="0.2">
      <c r="A70" s="34" t="s">
        <v>3</v>
      </c>
      <c r="B70" s="29" t="s">
        <v>384</v>
      </c>
      <c r="C70" s="167">
        <v>12.953475742215785</v>
      </c>
      <c r="D70" s="167">
        <v>12.754191629671135</v>
      </c>
      <c r="E70" s="167">
        <v>12.725133282559025</v>
      </c>
      <c r="F70" s="167">
        <v>12.699286404519437</v>
      </c>
      <c r="G70" s="167">
        <v>12.62810834813499</v>
      </c>
      <c r="H70" s="167">
        <v>12.586378906647663</v>
      </c>
      <c r="I70" s="167">
        <v>12.596384627069725</v>
      </c>
      <c r="J70" s="167">
        <v>12.530564045568214</v>
      </c>
      <c r="K70" s="167">
        <v>12.59544453427751</v>
      </c>
      <c r="L70" s="167">
        <v>12.624895097322613</v>
      </c>
      <c r="M70" s="167">
        <v>12.664017191383596</v>
      </c>
      <c r="N70" s="167">
        <v>12.647916976271858</v>
      </c>
      <c r="O70" s="167">
        <v>12.594365081329999</v>
      </c>
      <c r="P70" s="167">
        <v>12.56319001577179</v>
      </c>
      <c r="Q70" s="167">
        <v>12.814554036778445</v>
      </c>
      <c r="R70" s="167">
        <v>12.620698287981204</v>
      </c>
      <c r="S70" s="167">
        <v>12.52179249878227</v>
      </c>
      <c r="T70" s="167">
        <v>12.425227433223943</v>
      </c>
      <c r="U70" s="164">
        <f t="shared" si="36"/>
        <v>-0.17021710105356647</v>
      </c>
      <c r="V70" s="164">
        <f t="shared" si="37"/>
        <v>-0.13796258254784632</v>
      </c>
      <c r="W70" s="164">
        <f t="shared" si="38"/>
        <v>-9.6565065558326779E-2</v>
      </c>
    </row>
    <row r="71" spans="1:23" ht="15" customHeight="1" x14ac:dyDescent="0.2">
      <c r="A71" s="34"/>
      <c r="B71" s="29" t="s">
        <v>531</v>
      </c>
      <c r="C71" s="167">
        <v>2.8475742215785651</v>
      </c>
      <c r="D71" s="167">
        <v>2.7635015732080515</v>
      </c>
      <c r="E71" s="167">
        <v>2.7074638233054067</v>
      </c>
      <c r="F71" s="167">
        <v>2.8696573255036046</v>
      </c>
      <c r="G71" s="167">
        <v>2.7531083481349903</v>
      </c>
      <c r="H71" s="167">
        <v>2.7529607384030683</v>
      </c>
      <c r="I71" s="167">
        <v>2.7988151298799941</v>
      </c>
      <c r="J71" s="167">
        <v>2.7540705751597674</v>
      </c>
      <c r="K71" s="167">
        <v>2.7503693997602383</v>
      </c>
      <c r="L71" s="167">
        <v>2.7251143777579241</v>
      </c>
      <c r="M71" s="167">
        <v>2.7755281690140858</v>
      </c>
      <c r="N71" s="167">
        <v>2.73866844999257</v>
      </c>
      <c r="O71" s="167">
        <v>2.7533856552202209</v>
      </c>
      <c r="P71" s="167">
        <v>2.9000205718987875</v>
      </c>
      <c r="Q71" s="167">
        <v>2.9164519618448228</v>
      </c>
      <c r="R71" s="167">
        <v>2.6826121285651006</v>
      </c>
      <c r="S71" s="167">
        <v>2.520876765708719</v>
      </c>
      <c r="T71" s="167">
        <v>2.3604868524903413</v>
      </c>
      <c r="U71" s="164">
        <f t="shared" si="36"/>
        <v>-0.38988254726989702</v>
      </c>
      <c r="V71" s="164">
        <f t="shared" si="37"/>
        <v>-0.53953371940844619</v>
      </c>
      <c r="W71" s="164">
        <f t="shared" si="38"/>
        <v>-0.1603899132183777</v>
      </c>
    </row>
    <row r="72" spans="1:23" ht="15" customHeight="1" x14ac:dyDescent="0.2">
      <c r="A72" s="196" t="s">
        <v>71</v>
      </c>
      <c r="B72" s="197"/>
      <c r="C72" s="166"/>
      <c r="D72" s="166"/>
      <c r="E72" s="166"/>
      <c r="F72" s="166"/>
      <c r="G72" s="166"/>
      <c r="H72" s="166"/>
      <c r="I72" s="166"/>
      <c r="J72" s="166"/>
      <c r="K72" s="166"/>
      <c r="L72" s="166"/>
      <c r="M72" s="166"/>
      <c r="N72" s="166"/>
      <c r="O72" s="166"/>
      <c r="P72" s="166"/>
      <c r="Q72" s="166"/>
      <c r="R72" s="166"/>
      <c r="S72" s="166"/>
      <c r="T72" s="166"/>
      <c r="U72" s="165"/>
      <c r="V72" s="165"/>
      <c r="W72" s="165"/>
    </row>
    <row r="73" spans="1:23" ht="15" customHeight="1" x14ac:dyDescent="0.2">
      <c r="A73" s="34" t="s">
        <v>2</v>
      </c>
      <c r="B73" s="29" t="s">
        <v>384</v>
      </c>
      <c r="C73" s="167">
        <v>11.664152840623428</v>
      </c>
      <c r="D73" s="167">
        <v>11.513016411997736</v>
      </c>
      <c r="E73" s="167">
        <v>11.017428167687235</v>
      </c>
      <c r="F73" s="167">
        <v>11.254037426300949</v>
      </c>
      <c r="G73" s="167">
        <v>10.729258517034069</v>
      </c>
      <c r="H73" s="167">
        <v>10.815972842594247</v>
      </c>
      <c r="I73" s="167">
        <v>10.669573489773265</v>
      </c>
      <c r="J73" s="167">
        <v>10.734625754268841</v>
      </c>
      <c r="K73" s="167">
        <v>10.78633085018328</v>
      </c>
      <c r="L73" s="167">
        <v>10.727338576158941</v>
      </c>
      <c r="M73" s="167">
        <v>10.513482246151108</v>
      </c>
      <c r="N73" s="167">
        <v>10.702470533395482</v>
      </c>
      <c r="O73" s="167">
        <v>10.805569684638861</v>
      </c>
      <c r="P73" s="167">
        <v>10.489703532753417</v>
      </c>
      <c r="Q73" s="167">
        <v>10.970839420159569</v>
      </c>
      <c r="R73" s="167">
        <v>10.732221345655359</v>
      </c>
      <c r="S73" s="167">
        <v>10.563107357704766</v>
      </c>
      <c r="T73" s="167">
        <v>10.39601921757035</v>
      </c>
      <c r="U73" s="164">
        <f t="shared" ref="U73:U76" si="39">IFERROR((T73-K73),"n/a")</f>
        <v>-0.39031163261292967</v>
      </c>
      <c r="V73" s="164">
        <f t="shared" ref="V73:V76" si="40">IFERROR((T73-P73),"n/a")</f>
        <v>-9.3684315183066857E-2</v>
      </c>
      <c r="W73" s="164">
        <f t="shared" ref="W73:W76" si="41">IFERROR((T73-S73),"n/a")</f>
        <v>-0.16708814013441575</v>
      </c>
    </row>
    <row r="74" spans="1:23" ht="15" customHeight="1" x14ac:dyDescent="0.2">
      <c r="A74" s="34"/>
      <c r="B74" s="29" t="s">
        <v>531</v>
      </c>
      <c r="C74" s="167">
        <v>2.9824032176973354</v>
      </c>
      <c r="D74" s="167">
        <v>2.913412563667233</v>
      </c>
      <c r="E74" s="167">
        <v>2.6834667922750821</v>
      </c>
      <c r="F74" s="167">
        <v>2.5567803127403224</v>
      </c>
      <c r="G74" s="167">
        <v>2.4260521042084182</v>
      </c>
      <c r="H74" s="167">
        <v>2.4588172235125967</v>
      </c>
      <c r="I74" s="167">
        <v>2.4452195972728692</v>
      </c>
      <c r="J74" s="167">
        <v>2.4601360893567854</v>
      </c>
      <c r="K74" s="167">
        <v>2.6250443419652356</v>
      </c>
      <c r="L74" s="167">
        <v>2.6089610927152318</v>
      </c>
      <c r="M74" s="167">
        <v>2.42413455548634</v>
      </c>
      <c r="N74" s="167">
        <v>2.5955250715855342</v>
      </c>
      <c r="O74" s="167">
        <v>2.6860376398779255</v>
      </c>
      <c r="P74" s="167">
        <v>2.3988993431563994</v>
      </c>
      <c r="Q74" s="167">
        <v>2.8862231711428254</v>
      </c>
      <c r="R74" s="167">
        <v>2.6453848754648934</v>
      </c>
      <c r="S74" s="167">
        <v>2.5115108745950945</v>
      </c>
      <c r="T74" s="167">
        <v>2.347231754747197</v>
      </c>
      <c r="U74" s="164">
        <f t="shared" si="39"/>
        <v>-0.27781258721803859</v>
      </c>
      <c r="V74" s="164">
        <f t="shared" si="40"/>
        <v>-5.1667588409202381E-2</v>
      </c>
      <c r="W74" s="164">
        <f t="shared" si="41"/>
        <v>-0.16427911984789745</v>
      </c>
    </row>
    <row r="75" spans="1:23" ht="15" customHeight="1" x14ac:dyDescent="0.2">
      <c r="A75" s="34" t="s">
        <v>3</v>
      </c>
      <c r="B75" s="29" t="s">
        <v>384</v>
      </c>
      <c r="C75" s="167">
        <v>14.629080118694363</v>
      </c>
      <c r="D75" s="167">
        <v>14.310617054623554</v>
      </c>
      <c r="E75" s="167">
        <v>14.115431348724179</v>
      </c>
      <c r="F75" s="167">
        <v>14.089407540394973</v>
      </c>
      <c r="G75" s="167">
        <v>13.819842028475122</v>
      </c>
      <c r="H75" s="167">
        <v>13.833811292369893</v>
      </c>
      <c r="I75" s="167">
        <v>13.682180010950596</v>
      </c>
      <c r="J75" s="167">
        <v>13.645951541174666</v>
      </c>
      <c r="K75" s="167">
        <v>13.623092110258941</v>
      </c>
      <c r="L75" s="167">
        <v>13.664671583581109</v>
      </c>
      <c r="M75" s="167">
        <v>13.721548833953506</v>
      </c>
      <c r="N75" s="167">
        <v>13.743558632503033</v>
      </c>
      <c r="O75" s="167">
        <v>13.651753195743769</v>
      </c>
      <c r="P75" s="167">
        <v>13.475419874037788</v>
      </c>
      <c r="Q75" s="167">
        <v>13.637316687076252</v>
      </c>
      <c r="R75" s="167">
        <v>13.507034554190522</v>
      </c>
      <c r="S75" s="167">
        <v>13.41345641255857</v>
      </c>
      <c r="T75" s="167">
        <v>13.405740535022668</v>
      </c>
      <c r="U75" s="164">
        <f t="shared" si="39"/>
        <v>-0.21735157523627358</v>
      </c>
      <c r="V75" s="164">
        <f t="shared" si="40"/>
        <v>-6.9679339015120689E-2</v>
      </c>
      <c r="W75" s="164">
        <f t="shared" si="41"/>
        <v>-7.7158775359027487E-3</v>
      </c>
    </row>
    <row r="76" spans="1:23" ht="15" customHeight="1" x14ac:dyDescent="0.2">
      <c r="A76" s="34"/>
      <c r="B76" s="29" t="s">
        <v>531</v>
      </c>
      <c r="C76" s="167">
        <v>4.0899480712166181</v>
      </c>
      <c r="D76" s="167">
        <v>3.8800719800313441</v>
      </c>
      <c r="E76" s="167">
        <v>3.7810238258756392</v>
      </c>
      <c r="F76" s="167">
        <v>3.9109515260323153</v>
      </c>
      <c r="G76" s="167">
        <v>3.6736932132615596</v>
      </c>
      <c r="H76" s="167">
        <v>3.7267171266042958</v>
      </c>
      <c r="I76" s="167">
        <v>3.6267110306195516</v>
      </c>
      <c r="J76" s="167">
        <v>3.6457981904615853</v>
      </c>
      <c r="K76" s="167">
        <v>3.5651530108588343</v>
      </c>
      <c r="L76" s="167">
        <v>3.584005869405722</v>
      </c>
      <c r="M76" s="167">
        <v>3.5948495007921011</v>
      </c>
      <c r="N76" s="167">
        <v>3.6557347798158588</v>
      </c>
      <c r="O76" s="167">
        <v>3.6527886881382567</v>
      </c>
      <c r="P76" s="167">
        <v>3.621413575927221</v>
      </c>
      <c r="Q76" s="167">
        <v>3.6342701830889155</v>
      </c>
      <c r="R76" s="167">
        <v>3.4525707051816887</v>
      </c>
      <c r="S76" s="167">
        <v>3.2906764681125669</v>
      </c>
      <c r="T76" s="167">
        <v>3.2151499684750959</v>
      </c>
      <c r="U76" s="164">
        <f t="shared" si="39"/>
        <v>-0.35000304238373836</v>
      </c>
      <c r="V76" s="164">
        <f t="shared" si="40"/>
        <v>-0.40626360745212509</v>
      </c>
      <c r="W76" s="164">
        <f t="shared" si="41"/>
        <v>-7.5526499637470934E-2</v>
      </c>
    </row>
    <row r="77" spans="1:23" ht="15" customHeight="1" x14ac:dyDescent="0.2">
      <c r="A77" s="44"/>
      <c r="B77" s="44"/>
      <c r="C77" s="44"/>
      <c r="D77" s="44"/>
      <c r="E77" s="44"/>
      <c r="F77" s="44"/>
      <c r="G77" s="44"/>
      <c r="H77" s="44"/>
      <c r="I77" s="44"/>
      <c r="J77" s="44"/>
      <c r="K77" s="44"/>
      <c r="L77" s="44"/>
      <c r="M77" s="44"/>
      <c r="N77" s="44"/>
      <c r="O77" s="44"/>
      <c r="P77" s="44"/>
      <c r="Q77" s="44"/>
      <c r="R77" s="44"/>
      <c r="S77" s="44"/>
      <c r="T77" s="44"/>
    </row>
    <row r="78" spans="1:23" ht="15" customHeight="1" x14ac:dyDescent="0.25">
      <c r="A78" s="159" t="s">
        <v>537</v>
      </c>
      <c r="B78" s="159"/>
      <c r="C78" s="54"/>
      <c r="D78" s="54"/>
      <c r="E78" s="54"/>
      <c r="F78" s="54"/>
      <c r="G78" s="54"/>
      <c r="H78" s="54"/>
      <c r="I78" s="54"/>
      <c r="J78" s="54"/>
      <c r="K78" s="54"/>
      <c r="L78" s="54"/>
      <c r="M78" s="54"/>
      <c r="N78" s="54"/>
      <c r="O78" s="54"/>
      <c r="P78" s="54"/>
      <c r="Q78" s="54"/>
      <c r="R78" s="54"/>
      <c r="S78" s="54"/>
      <c r="T78" s="54"/>
      <c r="U78" s="66"/>
      <c r="V78" s="66"/>
      <c r="W78" s="66"/>
    </row>
    <row r="79" spans="1:23" ht="49.5" customHeight="1" x14ac:dyDescent="0.2">
      <c r="A79" s="56" t="s">
        <v>366</v>
      </c>
      <c r="B79" s="147" t="s">
        <v>530</v>
      </c>
      <c r="C79" s="15">
        <v>2007</v>
      </c>
      <c r="D79" s="15">
        <v>2008</v>
      </c>
      <c r="E79" s="15">
        <v>2009</v>
      </c>
      <c r="F79" s="15">
        <v>2010</v>
      </c>
      <c r="G79" s="15">
        <v>2011</v>
      </c>
      <c r="H79" s="15">
        <v>2012</v>
      </c>
      <c r="I79" s="15">
        <v>2013</v>
      </c>
      <c r="J79" s="15">
        <v>2014</v>
      </c>
      <c r="K79" s="15">
        <v>2015</v>
      </c>
      <c r="L79" s="15">
        <v>2016</v>
      </c>
      <c r="M79" s="15">
        <v>2017</v>
      </c>
      <c r="N79" s="15">
        <v>2018</v>
      </c>
      <c r="O79" s="15">
        <v>2019</v>
      </c>
      <c r="P79" s="15">
        <v>2020</v>
      </c>
      <c r="Q79" s="15">
        <v>2021</v>
      </c>
      <c r="R79" s="15">
        <v>2022</v>
      </c>
      <c r="S79" s="15">
        <v>2023</v>
      </c>
      <c r="T79" s="15">
        <v>2024</v>
      </c>
      <c r="U79" s="27" t="s">
        <v>469</v>
      </c>
      <c r="V79" s="27" t="s">
        <v>470</v>
      </c>
      <c r="W79" s="27" t="s">
        <v>471</v>
      </c>
    </row>
    <row r="80" spans="1:23" ht="15" customHeight="1" x14ac:dyDescent="0.2">
      <c r="A80" s="196" t="s">
        <v>72</v>
      </c>
      <c r="B80" s="197"/>
      <c r="C80" s="166"/>
      <c r="D80" s="166"/>
      <c r="E80" s="166"/>
      <c r="F80" s="166"/>
      <c r="G80" s="166"/>
      <c r="H80" s="166"/>
      <c r="I80" s="166"/>
      <c r="J80" s="166"/>
      <c r="K80" s="166"/>
      <c r="L80" s="166"/>
      <c r="M80" s="166"/>
      <c r="N80" s="166"/>
      <c r="O80" s="166"/>
      <c r="P80" s="166"/>
      <c r="Q80" s="166"/>
      <c r="R80" s="166"/>
      <c r="S80" s="166"/>
      <c r="T80" s="166"/>
      <c r="U80" s="165"/>
      <c r="V80" s="165"/>
      <c r="W80" s="165"/>
    </row>
    <row r="81" spans="1:23" ht="15" customHeight="1" x14ac:dyDescent="0.2">
      <c r="A81" s="34" t="s">
        <v>489</v>
      </c>
      <c r="B81" s="29" t="s">
        <v>384</v>
      </c>
      <c r="C81" s="167">
        <v>12.737012419100926</v>
      </c>
      <c r="D81" s="167">
        <v>12.578107949299085</v>
      </c>
      <c r="E81" s="167">
        <v>12.518247357214896</v>
      </c>
      <c r="F81" s="167">
        <v>12.507724976202679</v>
      </c>
      <c r="G81" s="167">
        <v>12.361968601164229</v>
      </c>
      <c r="H81" s="167">
        <v>12.295692444331662</v>
      </c>
      <c r="I81" s="167">
        <v>12.287263329400528</v>
      </c>
      <c r="J81" s="167">
        <v>12.243684606796998</v>
      </c>
      <c r="K81" s="167">
        <v>12.283613063892709</v>
      </c>
      <c r="L81" s="167">
        <v>12.264751841654885</v>
      </c>
      <c r="M81" s="167">
        <v>12.278552849373375</v>
      </c>
      <c r="N81" s="167">
        <v>12.346746965964048</v>
      </c>
      <c r="O81" s="167">
        <v>12.261296794491816</v>
      </c>
      <c r="P81" s="167">
        <v>12.192412011624153</v>
      </c>
      <c r="Q81" s="167">
        <v>12.441216155437617</v>
      </c>
      <c r="R81" s="167">
        <v>12.259332297865656</v>
      </c>
      <c r="S81" s="167">
        <v>12.110481486695763</v>
      </c>
      <c r="T81" s="167">
        <v>11.994185724569467</v>
      </c>
      <c r="U81" s="164">
        <f t="shared" ref="U81" si="42">IFERROR((T81-K81),"n/a")</f>
        <v>-0.28942733932324138</v>
      </c>
      <c r="V81" s="164">
        <f t="shared" ref="V81" si="43">IFERROR((T81-P81),"n/a")</f>
        <v>-0.19822628705468581</v>
      </c>
      <c r="W81" s="164">
        <f t="shared" ref="W81" si="44">IFERROR((T81-S81),"n/a")</f>
        <v>-0.11629576212629544</v>
      </c>
    </row>
    <row r="82" spans="1:23" ht="15" customHeight="1" x14ac:dyDescent="0.2">
      <c r="A82" s="34"/>
      <c r="B82" s="29" t="s">
        <v>531</v>
      </c>
      <c r="C82" s="167">
        <v>2.7327269546965187</v>
      </c>
      <c r="D82" s="167">
        <v>2.672710484344833</v>
      </c>
      <c r="E82" s="167">
        <v>2.6215307608979863</v>
      </c>
      <c r="F82" s="167">
        <v>2.715750164750677</v>
      </c>
      <c r="G82" s="167">
        <v>2.6214852707708616</v>
      </c>
      <c r="H82" s="167">
        <v>2.6295755884032221</v>
      </c>
      <c r="I82" s="167">
        <v>2.6709646609360078</v>
      </c>
      <c r="J82" s="167">
        <v>2.6349404159202425</v>
      </c>
      <c r="K82" s="167">
        <v>2.6413914757840686</v>
      </c>
      <c r="L82" s="167">
        <v>2.5855098345611029</v>
      </c>
      <c r="M82" s="167">
        <v>2.6132891936628049</v>
      </c>
      <c r="N82" s="167">
        <v>2.6542339629528247</v>
      </c>
      <c r="O82" s="167">
        <v>2.6144270667092258</v>
      </c>
      <c r="P82" s="167">
        <v>2.7062318372618677</v>
      </c>
      <c r="Q82" s="167">
        <v>2.7517855536565605</v>
      </c>
      <c r="R82" s="167">
        <v>2.5411074850351643</v>
      </c>
      <c r="S82" s="167">
        <v>2.3550436435309035</v>
      </c>
      <c r="T82" s="167">
        <v>2.2135592594643487</v>
      </c>
      <c r="U82" s="164">
        <f t="shared" ref="U82:U90" si="45">IFERROR((T82-K82),"n/a")</f>
        <v>-0.4278322163197199</v>
      </c>
      <c r="V82" s="164">
        <f t="shared" ref="V82:V90" si="46">IFERROR((T82-P82),"n/a")</f>
        <v>-0.49267257779751894</v>
      </c>
      <c r="W82" s="164">
        <f t="shared" ref="W82:W90" si="47">IFERROR((T82-S82),"n/a")</f>
        <v>-0.14148438406655472</v>
      </c>
    </row>
    <row r="83" spans="1:23" ht="15" customHeight="1" x14ac:dyDescent="0.2">
      <c r="A83" s="34" t="s">
        <v>490</v>
      </c>
      <c r="B83" s="29" t="s">
        <v>384</v>
      </c>
      <c r="C83" s="167">
        <v>11.464979831316464</v>
      </c>
      <c r="D83" s="167">
        <v>11.452609603340294</v>
      </c>
      <c r="E83" s="167">
        <v>11.512495942875692</v>
      </c>
      <c r="F83" s="167">
        <v>11.277039274924473</v>
      </c>
      <c r="G83" s="167">
        <v>11.157048521389607</v>
      </c>
      <c r="H83" s="167">
        <v>10.974482426576794</v>
      </c>
      <c r="I83" s="167">
        <v>10.731291866028709</v>
      </c>
      <c r="J83" s="167">
        <v>10.822387576835975</v>
      </c>
      <c r="K83" s="167">
        <v>10.76800117319255</v>
      </c>
      <c r="L83" s="167">
        <v>10.628152341739577</v>
      </c>
      <c r="M83" s="167">
        <v>10.565546507627021</v>
      </c>
      <c r="N83" s="167">
        <v>10.840839354647134</v>
      </c>
      <c r="O83" s="167">
        <v>10.959841694796879</v>
      </c>
      <c r="P83" s="167">
        <v>11.019227902817114</v>
      </c>
      <c r="Q83" s="167">
        <v>11.344107164802752</v>
      </c>
      <c r="R83" s="167">
        <v>11.181572730340871</v>
      </c>
      <c r="S83" s="167">
        <v>11.225317492830808</v>
      </c>
      <c r="T83" s="167">
        <v>10.972160356347439</v>
      </c>
      <c r="U83" s="164">
        <f t="shared" si="45"/>
        <v>0.20415918315488923</v>
      </c>
      <c r="V83" s="164">
        <f t="shared" si="46"/>
        <v>-4.7067546469675037E-2</v>
      </c>
      <c r="W83" s="164">
        <f t="shared" si="47"/>
        <v>-0.25315713648336846</v>
      </c>
    </row>
    <row r="84" spans="1:23" ht="15" customHeight="1" x14ac:dyDescent="0.2">
      <c r="A84" s="34"/>
      <c r="B84" s="29" t="s">
        <v>531</v>
      </c>
      <c r="C84" s="167">
        <v>2.2808947561422794</v>
      </c>
      <c r="D84" s="167">
        <v>2.3102296450939477</v>
      </c>
      <c r="E84" s="167">
        <v>2.5118468029860459</v>
      </c>
      <c r="F84" s="167">
        <v>2.5350453172205452</v>
      </c>
      <c r="G84" s="167">
        <v>2.4010910134941135</v>
      </c>
      <c r="H84" s="167">
        <v>2.1591237361579196</v>
      </c>
      <c r="I84" s="167">
        <v>2.0355980861244021</v>
      </c>
      <c r="J84" s="167">
        <v>2.1161436428340341</v>
      </c>
      <c r="K84" s="167">
        <v>2.2057486434961131</v>
      </c>
      <c r="L84" s="167">
        <v>2.1779464745239316</v>
      </c>
      <c r="M84" s="167">
        <v>2.1806399816492714</v>
      </c>
      <c r="N84" s="167">
        <v>2.4455112342868439</v>
      </c>
      <c r="O84" s="167">
        <v>2.5423117215690816</v>
      </c>
      <c r="P84" s="167">
        <v>2.5775823520643932</v>
      </c>
      <c r="Q84" s="167">
        <v>2.8718200811109735</v>
      </c>
      <c r="R84" s="167">
        <v>2.6935538305771178</v>
      </c>
      <c r="S84" s="167">
        <v>2.7034002458009017</v>
      </c>
      <c r="T84" s="167">
        <v>2.497633630289533</v>
      </c>
      <c r="U84" s="164">
        <f t="shared" si="45"/>
        <v>0.2918849867934199</v>
      </c>
      <c r="V84" s="164">
        <f t="shared" si="46"/>
        <v>-7.9948721774860232E-2</v>
      </c>
      <c r="W84" s="164">
        <f t="shared" si="47"/>
        <v>-0.20576661551136866</v>
      </c>
    </row>
    <row r="85" spans="1:23" ht="15" customHeight="1" x14ac:dyDescent="0.2">
      <c r="A85" s="34" t="s">
        <v>292</v>
      </c>
      <c r="B85" s="29" t="s">
        <v>384</v>
      </c>
      <c r="C85" s="167" t="s">
        <v>100</v>
      </c>
      <c r="D85" s="167" t="s">
        <v>100</v>
      </c>
      <c r="E85" s="167">
        <v>8.4166666666666696</v>
      </c>
      <c r="F85" s="167">
        <v>9.5217391304347796</v>
      </c>
      <c r="G85" s="167">
        <v>10.1612903225806</v>
      </c>
      <c r="H85" s="167" t="s">
        <v>100</v>
      </c>
      <c r="I85" s="167" t="s">
        <v>100</v>
      </c>
      <c r="J85" s="167">
        <v>8.4000000000000039</v>
      </c>
      <c r="K85" s="167">
        <v>8.6689655172413804</v>
      </c>
      <c r="L85" s="167">
        <v>9.2297297297297298</v>
      </c>
      <c r="M85" s="167">
        <v>9.7285714285714278</v>
      </c>
      <c r="N85" s="167">
        <v>10.464150943396234</v>
      </c>
      <c r="O85" s="167">
        <v>10.882681564245791</v>
      </c>
      <c r="P85" s="167">
        <v>10.744360902255636</v>
      </c>
      <c r="Q85" s="167">
        <v>10.962500000000002</v>
      </c>
      <c r="R85" s="167">
        <v>10.926020408163271</v>
      </c>
      <c r="S85" s="167">
        <v>11.535714285714286</v>
      </c>
      <c r="T85" s="167">
        <v>11.229629629629644</v>
      </c>
      <c r="U85" s="164">
        <f t="shared" si="45"/>
        <v>2.5606641123882632</v>
      </c>
      <c r="V85" s="164">
        <f t="shared" si="46"/>
        <v>0.48526872737400772</v>
      </c>
      <c r="W85" s="164">
        <f t="shared" si="47"/>
        <v>-0.30608465608464286</v>
      </c>
    </row>
    <row r="86" spans="1:23" ht="15" customHeight="1" x14ac:dyDescent="0.2">
      <c r="A86" s="34"/>
      <c r="B86" s="29" t="s">
        <v>531</v>
      </c>
      <c r="C86" s="167" t="s">
        <v>100</v>
      </c>
      <c r="D86" s="167" t="s">
        <v>100</v>
      </c>
      <c r="E86" s="167">
        <v>0.41666666666666963</v>
      </c>
      <c r="F86" s="167">
        <v>1.5217391304347796</v>
      </c>
      <c r="G86" s="167">
        <v>0.16129032258059972</v>
      </c>
      <c r="H86" s="167" t="s">
        <v>100</v>
      </c>
      <c r="I86" s="167" t="s">
        <v>100</v>
      </c>
      <c r="J86" s="167">
        <v>0.34285714285714697</v>
      </c>
      <c r="K86" s="167">
        <v>0.62758620689655231</v>
      </c>
      <c r="L86" s="167">
        <v>0.93918918918918948</v>
      </c>
      <c r="M86" s="167">
        <v>1.6380952380952376</v>
      </c>
      <c r="N86" s="167">
        <v>2.3283018867924596</v>
      </c>
      <c r="O86" s="167">
        <v>2.759776536312831</v>
      </c>
      <c r="P86" s="167">
        <v>2.5939849624060116</v>
      </c>
      <c r="Q86" s="167">
        <v>2.6750000000000025</v>
      </c>
      <c r="R86" s="167">
        <v>2.3801020408163325</v>
      </c>
      <c r="S86" s="167">
        <v>2.4285714285714288</v>
      </c>
      <c r="T86" s="167">
        <v>2.114814814814828</v>
      </c>
      <c r="U86" s="164">
        <f t="shared" si="45"/>
        <v>1.4872286079182757</v>
      </c>
      <c r="V86" s="164">
        <f t="shared" si="46"/>
        <v>-0.47917014759118359</v>
      </c>
      <c r="W86" s="164">
        <f t="shared" si="47"/>
        <v>-0.3137566137566008</v>
      </c>
    </row>
    <row r="87" spans="1:23" ht="15" customHeight="1" x14ac:dyDescent="0.2">
      <c r="A87" s="34" t="s">
        <v>293</v>
      </c>
      <c r="B87" s="29" t="s">
        <v>384</v>
      </c>
      <c r="C87" s="167">
        <v>8.8333333333333304</v>
      </c>
      <c r="D87" s="167">
        <v>7.5</v>
      </c>
      <c r="E87" s="167">
        <v>8.186915887850466</v>
      </c>
      <c r="F87" s="167">
        <v>9.5</v>
      </c>
      <c r="G87" s="167">
        <v>9.7113402061855663</v>
      </c>
      <c r="H87" s="167">
        <v>9.4285714285714288</v>
      </c>
      <c r="I87" s="167">
        <v>9.9673913043478315</v>
      </c>
      <c r="J87" s="167">
        <v>9.6363636363636314</v>
      </c>
      <c r="K87" s="167">
        <v>9.1088435374149661</v>
      </c>
      <c r="L87" s="167">
        <v>9.2566371681415927</v>
      </c>
      <c r="M87" s="167">
        <v>8.2048192771084345</v>
      </c>
      <c r="N87" s="167">
        <v>9.057863501483677</v>
      </c>
      <c r="O87" s="167">
        <v>9.2298263534218563</v>
      </c>
      <c r="P87" s="167">
        <v>9.4916151809355682</v>
      </c>
      <c r="Q87" s="167">
        <v>9.1011826544021037</v>
      </c>
      <c r="R87" s="167">
        <v>9.6019417475728215</v>
      </c>
      <c r="S87" s="167">
        <v>9.9306010928961754</v>
      </c>
      <c r="T87" s="167">
        <v>9.8149623727312978</v>
      </c>
      <c r="U87" s="164">
        <f t="shared" si="45"/>
        <v>0.70611883531633168</v>
      </c>
      <c r="V87" s="164">
        <f t="shared" si="46"/>
        <v>0.32334719179572957</v>
      </c>
      <c r="W87" s="164">
        <f t="shared" si="47"/>
        <v>-0.11563872016487764</v>
      </c>
    </row>
    <row r="88" spans="1:23" ht="15" customHeight="1" x14ac:dyDescent="0.2">
      <c r="A88" s="34"/>
      <c r="B88" s="29" t="s">
        <v>531</v>
      </c>
      <c r="C88" s="167">
        <v>-0.16666666666666963</v>
      </c>
      <c r="D88" s="167">
        <v>1.1428571428571432</v>
      </c>
      <c r="E88" s="167">
        <v>1.3177570093457929</v>
      </c>
      <c r="F88" s="167">
        <v>2.2674418604651159</v>
      </c>
      <c r="G88" s="167">
        <v>1.8041237113402051</v>
      </c>
      <c r="H88" s="167">
        <v>1.408163265306122</v>
      </c>
      <c r="I88" s="167">
        <v>1.9673913043478315</v>
      </c>
      <c r="J88" s="167">
        <v>1.6060606060606002</v>
      </c>
      <c r="K88" s="167">
        <v>0.98639455782312879</v>
      </c>
      <c r="L88" s="167">
        <v>1.159292035398229</v>
      </c>
      <c r="M88" s="167">
        <v>0.16265060240963969</v>
      </c>
      <c r="N88" s="167">
        <v>0.93620178041542701</v>
      </c>
      <c r="O88" s="167">
        <v>1.1174668028600578</v>
      </c>
      <c r="P88" s="167">
        <v>1.4598411297440421</v>
      </c>
      <c r="Q88" s="167">
        <v>1.0446780551905395</v>
      </c>
      <c r="R88" s="167">
        <v>1.5177993527508153</v>
      </c>
      <c r="S88" s="167">
        <v>1.8251366120218577</v>
      </c>
      <c r="T88" s="167">
        <v>1.71137671536078</v>
      </c>
      <c r="U88" s="164">
        <f t="shared" si="45"/>
        <v>0.72498215753765116</v>
      </c>
      <c r="V88" s="164">
        <f t="shared" si="46"/>
        <v>0.25153558561673783</v>
      </c>
      <c r="W88" s="164">
        <f t="shared" si="47"/>
        <v>-0.11375989666107778</v>
      </c>
    </row>
    <row r="89" spans="1:23" ht="15" customHeight="1" x14ac:dyDescent="0.2">
      <c r="A89" s="34" t="s">
        <v>491</v>
      </c>
      <c r="B89" s="29" t="s">
        <v>384</v>
      </c>
      <c r="C89" s="167">
        <v>11.6748768472906</v>
      </c>
      <c r="D89" s="167">
        <v>10.527777777777787</v>
      </c>
      <c r="E89" s="167">
        <v>11.393805309734514</v>
      </c>
      <c r="F89" s="167">
        <v>11.378947368421052</v>
      </c>
      <c r="G89" s="167">
        <v>12.090909090909104</v>
      </c>
      <c r="H89" s="167">
        <v>14.700000000000003</v>
      </c>
      <c r="I89" s="167">
        <v>12.290322580645158</v>
      </c>
      <c r="J89" s="167">
        <v>11.521739130434787</v>
      </c>
      <c r="K89" s="167">
        <v>11.810916179337235</v>
      </c>
      <c r="L89" s="167">
        <v>11.997524752475247</v>
      </c>
      <c r="M89" s="167">
        <v>12.047846889952151</v>
      </c>
      <c r="N89" s="167">
        <v>12.758865248226948</v>
      </c>
      <c r="O89" s="167">
        <v>13.169117647058821</v>
      </c>
      <c r="P89" s="167">
        <v>12.235880398671092</v>
      </c>
      <c r="Q89" s="167">
        <v>13.142857142857148</v>
      </c>
      <c r="R89" s="167">
        <v>11.29192546583851</v>
      </c>
      <c r="S89" s="167">
        <v>12.800970873786412</v>
      </c>
      <c r="T89" s="167">
        <v>12.220994475138134</v>
      </c>
      <c r="U89" s="164">
        <f t="shared" si="45"/>
        <v>0.41007829580089883</v>
      </c>
      <c r="V89" s="164">
        <f t="shared" si="46"/>
        <v>-1.4885923532958145E-2</v>
      </c>
      <c r="W89" s="164">
        <f t="shared" si="47"/>
        <v>-0.57997639864827732</v>
      </c>
    </row>
    <row r="90" spans="1:23" ht="15" customHeight="1" x14ac:dyDescent="0.2">
      <c r="A90" s="34"/>
      <c r="B90" s="29" t="s">
        <v>531</v>
      </c>
      <c r="C90" s="167">
        <v>3.6748768472905997</v>
      </c>
      <c r="D90" s="167">
        <v>2.4444444444444535</v>
      </c>
      <c r="E90" s="167">
        <v>1.4778761061946906</v>
      </c>
      <c r="F90" s="167">
        <v>1.594736842105263</v>
      </c>
      <c r="G90" s="167">
        <v>3.0909090909091042</v>
      </c>
      <c r="H90" s="167">
        <v>4.9714285714285751</v>
      </c>
      <c r="I90" s="167">
        <v>3.0645161290322545</v>
      </c>
      <c r="J90" s="167">
        <v>2.3236714975845452</v>
      </c>
      <c r="K90" s="167">
        <v>2.2534113060428886</v>
      </c>
      <c r="L90" s="167">
        <v>2.5346534653465334</v>
      </c>
      <c r="M90" s="167">
        <v>2.3014354066985625</v>
      </c>
      <c r="N90" s="167">
        <v>3.0827423167848682</v>
      </c>
      <c r="O90" s="167">
        <v>3.393382352941174</v>
      </c>
      <c r="P90" s="167">
        <v>2.6112956810631189</v>
      </c>
      <c r="Q90" s="167">
        <v>3.2619047619047663</v>
      </c>
      <c r="R90" s="167">
        <v>1.6180124223602483</v>
      </c>
      <c r="S90" s="167">
        <v>2.3689320388349557</v>
      </c>
      <c r="T90" s="167">
        <v>1.7679558011049856</v>
      </c>
      <c r="U90" s="164">
        <f t="shared" si="45"/>
        <v>-0.48545550493790302</v>
      </c>
      <c r="V90" s="164">
        <f t="shared" si="46"/>
        <v>-0.84333987995813331</v>
      </c>
      <c r="W90" s="164">
        <f t="shared" si="47"/>
        <v>-0.60097623772997011</v>
      </c>
    </row>
    <row r="91" spans="1:23" ht="15" customHeight="1" x14ac:dyDescent="0.2">
      <c r="A91" s="196" t="s">
        <v>71</v>
      </c>
      <c r="B91" s="197"/>
      <c r="C91" s="166"/>
      <c r="D91" s="166"/>
      <c r="E91" s="166"/>
      <c r="F91" s="166"/>
      <c r="G91" s="166"/>
      <c r="H91" s="166"/>
      <c r="I91" s="166"/>
      <c r="J91" s="166"/>
      <c r="K91" s="166"/>
      <c r="L91" s="166"/>
      <c r="M91" s="166"/>
      <c r="N91" s="166"/>
      <c r="O91" s="166"/>
      <c r="P91" s="166"/>
      <c r="Q91" s="166"/>
      <c r="R91" s="166"/>
      <c r="S91" s="166"/>
      <c r="T91" s="166"/>
      <c r="U91" s="165"/>
      <c r="V91" s="165"/>
      <c r="W91" s="165"/>
    </row>
    <row r="92" spans="1:23" ht="15" customHeight="1" x14ac:dyDescent="0.2">
      <c r="A92" s="34" t="s">
        <v>489</v>
      </c>
      <c r="B92" s="29" t="s">
        <v>384</v>
      </c>
      <c r="C92" s="167">
        <v>14.322565785685496</v>
      </c>
      <c r="D92" s="167">
        <v>14.032252756294223</v>
      </c>
      <c r="E92" s="167">
        <v>13.820359281437126</v>
      </c>
      <c r="F92" s="167">
        <v>13.902583798882681</v>
      </c>
      <c r="G92" s="167">
        <v>13.551917545541707</v>
      </c>
      <c r="H92" s="167">
        <v>13.538185523168247</v>
      </c>
      <c r="I92" s="167">
        <v>13.377012132265483</v>
      </c>
      <c r="J92" s="167">
        <v>13.342143638352169</v>
      </c>
      <c r="K92" s="167">
        <v>13.321121387699284</v>
      </c>
      <c r="L92" s="167">
        <v>13.305737764002018</v>
      </c>
      <c r="M92" s="167">
        <v>13.290118657246206</v>
      </c>
      <c r="N92" s="167">
        <v>13.246464253276242</v>
      </c>
      <c r="O92" s="167">
        <v>13.088426734402287</v>
      </c>
      <c r="P92" s="167">
        <v>12.925633871163411</v>
      </c>
      <c r="Q92" s="167">
        <v>13.086109023043624</v>
      </c>
      <c r="R92" s="167">
        <v>12.938676079445177</v>
      </c>
      <c r="S92" s="167">
        <v>12.762929192192621</v>
      </c>
      <c r="T92" s="167">
        <v>12.699167598459436</v>
      </c>
      <c r="U92" s="164">
        <f t="shared" ref="U92:U101" si="48">IFERROR((T92-K92),"n/a")</f>
        <v>-0.62195378923984812</v>
      </c>
      <c r="V92" s="164">
        <f t="shared" ref="V92:V101" si="49">IFERROR((T92-P92),"n/a")</f>
        <v>-0.22646627270397524</v>
      </c>
      <c r="W92" s="164">
        <f t="shared" ref="W92:W101" si="50">IFERROR((T92-S92),"n/a")</f>
        <v>-6.3761593733184796E-2</v>
      </c>
    </row>
    <row r="93" spans="1:23" ht="15" customHeight="1" x14ac:dyDescent="0.2">
      <c r="A93" s="34"/>
      <c r="B93" s="29" t="s">
        <v>531</v>
      </c>
      <c r="C93" s="167">
        <v>3.9491564461334718</v>
      </c>
      <c r="D93" s="167">
        <v>3.7520157972683883</v>
      </c>
      <c r="E93" s="167">
        <v>3.6731037924151693</v>
      </c>
      <c r="F93" s="167">
        <v>3.769602952913008</v>
      </c>
      <c r="G93" s="167">
        <v>3.5469798657718137</v>
      </c>
      <c r="H93" s="167">
        <v>3.5903694515814664</v>
      </c>
      <c r="I93" s="167">
        <v>3.5007533106018549</v>
      </c>
      <c r="J93" s="167">
        <v>3.5027342325920525</v>
      </c>
      <c r="K93" s="167">
        <v>3.4406736963328175</v>
      </c>
      <c r="L93" s="167">
        <v>3.4340085057305547</v>
      </c>
      <c r="M93" s="167">
        <v>3.4054291606098506</v>
      </c>
      <c r="N93" s="167">
        <v>3.4269170883612308</v>
      </c>
      <c r="O93" s="167">
        <v>3.3684076837593278</v>
      </c>
      <c r="P93" s="167">
        <v>3.2898216668688587</v>
      </c>
      <c r="Q93" s="167">
        <v>3.3994919515798738</v>
      </c>
      <c r="R93" s="167">
        <v>3.2110169280867034</v>
      </c>
      <c r="S93" s="167">
        <v>3.0185686470057469</v>
      </c>
      <c r="T93" s="167">
        <v>2.9324636600819982</v>
      </c>
      <c r="U93" s="164">
        <f t="shared" si="48"/>
        <v>-0.50821003625081929</v>
      </c>
      <c r="V93" s="164">
        <f t="shared" si="49"/>
        <v>-0.35735800678686047</v>
      </c>
      <c r="W93" s="164">
        <f t="shared" si="50"/>
        <v>-8.6104986923748683E-2</v>
      </c>
    </row>
    <row r="94" spans="1:23" ht="15" customHeight="1" x14ac:dyDescent="0.2">
      <c r="A94" s="34" t="s">
        <v>490</v>
      </c>
      <c r="B94" s="29" t="s">
        <v>384</v>
      </c>
      <c r="C94" s="167">
        <v>12.318920916481892</v>
      </c>
      <c r="D94" s="167">
        <v>12.491717171717172</v>
      </c>
      <c r="E94" s="167">
        <v>11.921286789869953</v>
      </c>
      <c r="F94" s="167">
        <v>11.977770720863768</v>
      </c>
      <c r="G94" s="167">
        <v>11.353677621283255</v>
      </c>
      <c r="H94" s="167">
        <v>11.439952718676123</v>
      </c>
      <c r="I94" s="167">
        <v>11.364383561643834</v>
      </c>
      <c r="J94" s="167">
        <v>11.451691607026675</v>
      </c>
      <c r="K94" s="167">
        <v>11.358528635728698</v>
      </c>
      <c r="L94" s="167">
        <v>11.330806340454858</v>
      </c>
      <c r="M94" s="167">
        <v>11.357637527766888</v>
      </c>
      <c r="N94" s="167">
        <v>11.433317908375752</v>
      </c>
      <c r="O94" s="167">
        <v>11.624087591240876</v>
      </c>
      <c r="P94" s="167">
        <v>11.573760279092948</v>
      </c>
      <c r="Q94" s="167">
        <v>11.857272727272729</v>
      </c>
      <c r="R94" s="167">
        <v>11.657350800582243</v>
      </c>
      <c r="S94" s="167">
        <v>11.721868606501479</v>
      </c>
      <c r="T94" s="167">
        <v>11.466642668586513</v>
      </c>
      <c r="U94" s="164">
        <f t="shared" si="48"/>
        <v>0.10811403285781473</v>
      </c>
      <c r="V94" s="164">
        <f t="shared" si="49"/>
        <v>-0.10711761050643531</v>
      </c>
      <c r="W94" s="164">
        <f t="shared" si="50"/>
        <v>-0.25522593791496639</v>
      </c>
    </row>
    <row r="95" spans="1:23" ht="15" customHeight="1" x14ac:dyDescent="0.2">
      <c r="A95" s="34"/>
      <c r="B95" s="29" t="s">
        <v>531</v>
      </c>
      <c r="C95" s="167">
        <v>3.3725055432372493</v>
      </c>
      <c r="D95" s="167">
        <v>3.4832323232323237</v>
      </c>
      <c r="E95" s="167">
        <v>3.0841889117043131</v>
      </c>
      <c r="F95" s="167">
        <v>3.2334074309304555</v>
      </c>
      <c r="G95" s="167">
        <v>2.7673448095983311</v>
      </c>
      <c r="H95" s="167">
        <v>2.7784869976359339</v>
      </c>
      <c r="I95" s="167">
        <v>2.7595363540569</v>
      </c>
      <c r="J95" s="167">
        <v>2.8550748210800254</v>
      </c>
      <c r="K95" s="167">
        <v>2.9186714263541838</v>
      </c>
      <c r="L95" s="167">
        <v>2.9619572708476909</v>
      </c>
      <c r="M95" s="167">
        <v>3.0294002352018818</v>
      </c>
      <c r="N95" s="167">
        <v>3.1141138361869505</v>
      </c>
      <c r="O95" s="167">
        <v>3.3268248175182489</v>
      </c>
      <c r="P95" s="167">
        <v>3.2478195863443808</v>
      </c>
      <c r="Q95" s="167">
        <v>3.5774545454545468</v>
      </c>
      <c r="R95" s="167">
        <v>3.3639010189228546</v>
      </c>
      <c r="S95" s="167">
        <v>3.4147533530347829</v>
      </c>
      <c r="T95" s="167">
        <v>3.1935445164386849</v>
      </c>
      <c r="U95" s="164">
        <f t="shared" si="48"/>
        <v>0.27487309008450111</v>
      </c>
      <c r="V95" s="164">
        <f t="shared" si="49"/>
        <v>-5.4275069905695972E-2</v>
      </c>
      <c r="W95" s="164">
        <f t="shared" si="50"/>
        <v>-0.22120883659609802</v>
      </c>
    </row>
    <row r="96" spans="1:23" ht="15" customHeight="1" x14ac:dyDescent="0.2">
      <c r="A96" s="34" t="s">
        <v>292</v>
      </c>
      <c r="B96" s="29" t="s">
        <v>384</v>
      </c>
      <c r="C96" s="167" t="s">
        <v>100</v>
      </c>
      <c r="D96" s="167" t="s">
        <v>100</v>
      </c>
      <c r="E96" s="167">
        <v>8.75</v>
      </c>
      <c r="F96" s="167">
        <v>10.1666666666667</v>
      </c>
      <c r="G96" s="167">
        <v>10.625</v>
      </c>
      <c r="H96" s="167" t="s">
        <v>100</v>
      </c>
      <c r="I96" s="167">
        <v>7</v>
      </c>
      <c r="J96" s="167">
        <v>8.375</v>
      </c>
      <c r="K96" s="167">
        <v>8.4509803921568629</v>
      </c>
      <c r="L96" s="167">
        <v>9.192982456140351</v>
      </c>
      <c r="M96" s="167">
        <v>9.9809523809523828</v>
      </c>
      <c r="N96" s="167">
        <v>10.18571428571429</v>
      </c>
      <c r="O96" s="167">
        <v>10.36423841059603</v>
      </c>
      <c r="P96" s="167">
        <v>10.285714285714288</v>
      </c>
      <c r="Q96" s="167">
        <v>11.168316831683159</v>
      </c>
      <c r="R96" s="167">
        <v>11.231292517006821</v>
      </c>
      <c r="S96" s="167">
        <v>11.649006622516549</v>
      </c>
      <c r="T96" s="167">
        <v>11.160000000000016</v>
      </c>
      <c r="U96" s="164">
        <f t="shared" si="48"/>
        <v>2.7090196078431532</v>
      </c>
      <c r="V96" s="164">
        <f t="shared" si="49"/>
        <v>0.87428571428572788</v>
      </c>
      <c r="W96" s="164">
        <f t="shared" si="50"/>
        <v>-0.48900662251653237</v>
      </c>
    </row>
    <row r="97" spans="1:23" ht="15" customHeight="1" x14ac:dyDescent="0.2">
      <c r="A97" s="34"/>
      <c r="B97" s="29" t="s">
        <v>531</v>
      </c>
      <c r="C97" s="167" t="s">
        <v>100</v>
      </c>
      <c r="D97" s="167" t="s">
        <v>100</v>
      </c>
      <c r="E97" s="167">
        <v>0.75</v>
      </c>
      <c r="F97" s="167">
        <v>2.1666666666666998</v>
      </c>
      <c r="G97" s="167">
        <v>0.625</v>
      </c>
      <c r="H97" s="167" t="s">
        <v>100</v>
      </c>
      <c r="I97" s="167">
        <v>-1</v>
      </c>
      <c r="J97" s="167">
        <v>0.29166666666666607</v>
      </c>
      <c r="K97" s="167">
        <v>0.41176470588235325</v>
      </c>
      <c r="L97" s="167">
        <v>1.0701754385964914</v>
      </c>
      <c r="M97" s="167">
        <v>1.9714285714285733</v>
      </c>
      <c r="N97" s="167">
        <v>2.1642857142857181</v>
      </c>
      <c r="O97" s="167">
        <v>2.1523178807947065</v>
      </c>
      <c r="P97" s="167">
        <v>2.120879120879124</v>
      </c>
      <c r="Q97" s="167">
        <v>3.0099009900990001</v>
      </c>
      <c r="R97" s="167">
        <v>2.7687074829932161</v>
      </c>
      <c r="S97" s="167">
        <v>2.8344370860927075</v>
      </c>
      <c r="T97" s="167">
        <v>2.016000000000016</v>
      </c>
      <c r="U97" s="164">
        <f t="shared" si="48"/>
        <v>1.6042352941176627</v>
      </c>
      <c r="V97" s="164">
        <f t="shared" si="49"/>
        <v>-0.104879120879108</v>
      </c>
      <c r="W97" s="164">
        <f t="shared" si="50"/>
        <v>-0.8184370860926915</v>
      </c>
    </row>
    <row r="98" spans="1:23" ht="15" customHeight="1" x14ac:dyDescent="0.2">
      <c r="A98" s="34" t="s">
        <v>293</v>
      </c>
      <c r="B98" s="29" t="s">
        <v>384</v>
      </c>
      <c r="C98" s="167">
        <v>8.6</v>
      </c>
      <c r="D98" s="167">
        <v>7.6086956521739104</v>
      </c>
      <c r="E98" s="167">
        <v>8.220779220779221</v>
      </c>
      <c r="F98" s="167">
        <v>9.1481481481481453</v>
      </c>
      <c r="G98" s="167">
        <v>10.043478260869568</v>
      </c>
      <c r="H98" s="167">
        <v>10.756756756756756</v>
      </c>
      <c r="I98" s="167">
        <v>9.4126984126984166</v>
      </c>
      <c r="J98" s="167">
        <v>8.7603305785123968</v>
      </c>
      <c r="K98" s="167">
        <v>8.8437499999999964</v>
      </c>
      <c r="L98" s="167">
        <v>8.9959514170040524</v>
      </c>
      <c r="M98" s="167">
        <v>8.1801566579634457</v>
      </c>
      <c r="N98" s="167">
        <v>8.7898627243928189</v>
      </c>
      <c r="O98" s="167">
        <v>9.136898395721925</v>
      </c>
      <c r="P98" s="167">
        <v>9.5221153846153879</v>
      </c>
      <c r="Q98" s="167">
        <v>9.1374159820761793</v>
      </c>
      <c r="R98" s="167">
        <v>9.3670807453416156</v>
      </c>
      <c r="S98" s="167">
        <v>9.6478953356086468</v>
      </c>
      <c r="T98" s="167">
        <v>9.5772316950852545</v>
      </c>
      <c r="U98" s="164">
        <f t="shared" si="48"/>
        <v>0.73348169508525807</v>
      </c>
      <c r="V98" s="164">
        <f t="shared" si="49"/>
        <v>5.5116310469866647E-2</v>
      </c>
      <c r="W98" s="164">
        <f t="shared" si="50"/>
        <v>-7.0663640523392246E-2</v>
      </c>
    </row>
    <row r="99" spans="1:23" ht="15" customHeight="1" x14ac:dyDescent="0.2">
      <c r="A99" s="34"/>
      <c r="B99" s="29" t="s">
        <v>531</v>
      </c>
      <c r="C99" s="167">
        <v>-0.40000000000000036</v>
      </c>
      <c r="D99" s="167">
        <v>1.3043478260869543</v>
      </c>
      <c r="E99" s="167">
        <v>1.558441558441559</v>
      </c>
      <c r="F99" s="167">
        <v>2.2098765432098739</v>
      </c>
      <c r="G99" s="167">
        <v>2.2318840579710173</v>
      </c>
      <c r="H99" s="167">
        <v>2.8378378378378368</v>
      </c>
      <c r="I99" s="167">
        <v>1.4761904761904798</v>
      </c>
      <c r="J99" s="167">
        <v>0.80165289256198324</v>
      </c>
      <c r="K99" s="167">
        <v>0.75624999999999609</v>
      </c>
      <c r="L99" s="167">
        <v>0.90688259109312064</v>
      </c>
      <c r="M99" s="167">
        <v>0.13315926892950358</v>
      </c>
      <c r="N99" s="167">
        <v>0.65786694825765579</v>
      </c>
      <c r="O99" s="167">
        <v>1.009625668449198</v>
      </c>
      <c r="P99" s="167">
        <v>1.4682692307692342</v>
      </c>
      <c r="Q99" s="167">
        <v>1.0687079910380906</v>
      </c>
      <c r="R99" s="167">
        <v>1.3186335403726712</v>
      </c>
      <c r="S99" s="167">
        <v>1.590443686006827</v>
      </c>
      <c r="T99" s="167">
        <v>1.5150451354062167</v>
      </c>
      <c r="U99" s="164">
        <f t="shared" si="48"/>
        <v>0.75879513540622057</v>
      </c>
      <c r="V99" s="164">
        <f t="shared" si="49"/>
        <v>4.6775904636982446E-2</v>
      </c>
      <c r="W99" s="164">
        <f t="shared" si="50"/>
        <v>-7.5398550600610292E-2</v>
      </c>
    </row>
    <row r="100" spans="1:23" ht="15" customHeight="1" x14ac:dyDescent="0.2">
      <c r="A100" s="34" t="s">
        <v>491</v>
      </c>
      <c r="B100" s="29" t="s">
        <v>384</v>
      </c>
      <c r="C100" s="167">
        <v>12.1315789473684</v>
      </c>
      <c r="D100" s="167">
        <v>14.111111111111144</v>
      </c>
      <c r="E100" s="167">
        <v>11.431818181818176</v>
      </c>
      <c r="F100" s="167">
        <v>11.928571428571429</v>
      </c>
      <c r="G100" s="167">
        <v>12.864583333333329</v>
      </c>
      <c r="H100" s="167">
        <v>14.666666666666659</v>
      </c>
      <c r="I100" s="167">
        <v>12.105263157894736</v>
      </c>
      <c r="J100" s="167">
        <v>12.74666666666667</v>
      </c>
      <c r="K100" s="167">
        <v>13.677966101694915</v>
      </c>
      <c r="L100" s="167">
        <v>13.324218749999993</v>
      </c>
      <c r="M100" s="167">
        <v>11.690909090909084</v>
      </c>
      <c r="N100" s="167">
        <v>13.141065830721006</v>
      </c>
      <c r="O100" s="167">
        <v>13.2279792746114</v>
      </c>
      <c r="P100" s="167">
        <v>11.930327868852462</v>
      </c>
      <c r="Q100" s="167">
        <v>12.338461538461543</v>
      </c>
      <c r="R100" s="167">
        <v>12.014150943396235</v>
      </c>
      <c r="S100" s="167">
        <v>12.37962962962963</v>
      </c>
      <c r="T100" s="167">
        <v>12.215053763440871</v>
      </c>
      <c r="U100" s="164">
        <f t="shared" si="48"/>
        <v>-1.4629123382540445</v>
      </c>
      <c r="V100" s="164">
        <f t="shared" si="49"/>
        <v>0.28472589458840858</v>
      </c>
      <c r="W100" s="164">
        <f t="shared" si="50"/>
        <v>-0.16457586618875908</v>
      </c>
    </row>
    <row r="101" spans="1:23" ht="15" customHeight="1" x14ac:dyDescent="0.2">
      <c r="A101" s="34"/>
      <c r="B101" s="29" t="s">
        <v>531</v>
      </c>
      <c r="C101" s="167">
        <v>4.1315789473683999</v>
      </c>
      <c r="D101" s="167">
        <v>6.0000000000000338</v>
      </c>
      <c r="E101" s="167">
        <v>1.6742424242424185</v>
      </c>
      <c r="F101" s="167">
        <v>2.4196428571428577</v>
      </c>
      <c r="G101" s="167">
        <v>3.8437499999999947</v>
      </c>
      <c r="H101" s="167">
        <v>4.666666666666659</v>
      </c>
      <c r="I101" s="167">
        <v>2.5789473684210513</v>
      </c>
      <c r="J101" s="167">
        <v>3.4800000000000022</v>
      </c>
      <c r="K101" s="167">
        <v>4.3672316384180796</v>
      </c>
      <c r="L101" s="167">
        <v>3.8046874999999929</v>
      </c>
      <c r="M101" s="167">
        <v>2.1309090909090838</v>
      </c>
      <c r="N101" s="167">
        <v>3.7586206896551744</v>
      </c>
      <c r="O101" s="167">
        <v>3.7668393782383429</v>
      </c>
      <c r="P101" s="167">
        <v>2.8073770491803316</v>
      </c>
      <c r="Q101" s="167">
        <v>3.123076923076928</v>
      </c>
      <c r="R101" s="167">
        <v>2.7122641509434047</v>
      </c>
      <c r="S101" s="167">
        <v>2.8796296296296298</v>
      </c>
      <c r="T101" s="167">
        <v>2.3763440860215166</v>
      </c>
      <c r="U101" s="164">
        <f t="shared" si="48"/>
        <v>-1.990887552396563</v>
      </c>
      <c r="V101" s="164">
        <f t="shared" si="49"/>
        <v>-0.43103296315881501</v>
      </c>
      <c r="W101" s="164">
        <f t="shared" si="50"/>
        <v>-0.50328554360811317</v>
      </c>
    </row>
    <row r="102" spans="1:23" ht="15" customHeight="1" x14ac:dyDescent="0.2">
      <c r="A102" s="158" t="s">
        <v>502</v>
      </c>
      <c r="B102" s="158"/>
      <c r="C102" s="161"/>
      <c r="D102" s="161"/>
      <c r="E102" s="161"/>
      <c r="F102" s="161"/>
      <c r="G102" s="161"/>
      <c r="H102" s="161"/>
      <c r="I102" s="161"/>
      <c r="J102" s="161"/>
      <c r="K102" s="161"/>
      <c r="L102" s="161"/>
      <c r="M102" s="161"/>
      <c r="N102" s="161"/>
      <c r="O102" s="161"/>
      <c r="P102" s="161"/>
      <c r="Q102" s="161"/>
      <c r="R102" s="161"/>
      <c r="S102" s="161"/>
      <c r="T102" s="161"/>
      <c r="U102" s="162"/>
      <c r="V102" s="162"/>
      <c r="W102" s="162"/>
    </row>
    <row r="103" spans="1:23" ht="15" customHeight="1" x14ac:dyDescent="0.2">
      <c r="A103" s="44"/>
      <c r="B103" s="44"/>
      <c r="C103" s="44"/>
      <c r="D103" s="44"/>
      <c r="E103" s="44"/>
      <c r="F103" s="44"/>
      <c r="G103" s="44"/>
      <c r="H103" s="44"/>
      <c r="I103" s="44"/>
      <c r="J103" s="44"/>
      <c r="K103" s="44"/>
      <c r="L103" s="44"/>
      <c r="M103" s="44"/>
      <c r="N103" s="44"/>
      <c r="O103" s="44"/>
      <c r="P103" s="44"/>
      <c r="Q103" s="44"/>
      <c r="R103" s="44"/>
      <c r="S103" s="44"/>
      <c r="T103" s="44"/>
    </row>
    <row r="104" spans="1:23" ht="15" customHeight="1" x14ac:dyDescent="0.25">
      <c r="A104" s="54" t="s">
        <v>562</v>
      </c>
      <c r="B104" s="54"/>
      <c r="C104" s="54"/>
      <c r="D104" s="54"/>
      <c r="E104" s="54"/>
      <c r="F104" s="54"/>
      <c r="G104" s="54"/>
      <c r="H104" s="54"/>
      <c r="I104" s="54"/>
      <c r="J104" s="54"/>
      <c r="K104" s="54"/>
      <c r="L104" s="54"/>
      <c r="M104" s="54"/>
      <c r="N104" s="54"/>
      <c r="O104" s="54"/>
      <c r="P104" s="54"/>
      <c r="Q104" s="54"/>
      <c r="R104" s="54"/>
      <c r="S104" s="54"/>
      <c r="T104" s="54"/>
      <c r="U104" s="66"/>
      <c r="V104" s="66"/>
      <c r="W104" s="66"/>
    </row>
    <row r="105" spans="1:23" ht="46.5" customHeight="1" x14ac:dyDescent="0.2">
      <c r="A105" s="56" t="s">
        <v>367</v>
      </c>
      <c r="B105" s="147" t="s">
        <v>530</v>
      </c>
      <c r="C105" s="15">
        <v>2007</v>
      </c>
      <c r="D105" s="15">
        <v>2008</v>
      </c>
      <c r="E105" s="15">
        <v>2009</v>
      </c>
      <c r="F105" s="15">
        <v>2010</v>
      </c>
      <c r="G105" s="15">
        <v>2011</v>
      </c>
      <c r="H105" s="15">
        <v>2012</v>
      </c>
      <c r="I105" s="15">
        <v>2013</v>
      </c>
      <c r="J105" s="15">
        <v>2014</v>
      </c>
      <c r="K105" s="15">
        <v>2015</v>
      </c>
      <c r="L105" s="15">
        <v>2016</v>
      </c>
      <c r="M105" s="15">
        <v>2017</v>
      </c>
      <c r="N105" s="15">
        <v>2018</v>
      </c>
      <c r="O105" s="15">
        <v>2019</v>
      </c>
      <c r="P105" s="15">
        <v>2020</v>
      </c>
      <c r="Q105" s="15">
        <v>2021</v>
      </c>
      <c r="R105" s="15">
        <v>2022</v>
      </c>
      <c r="S105" s="15">
        <v>2023</v>
      </c>
      <c r="T105" s="15">
        <v>2024</v>
      </c>
      <c r="U105" s="27" t="s">
        <v>469</v>
      </c>
      <c r="V105" s="27" t="s">
        <v>470</v>
      </c>
      <c r="W105" s="27" t="s">
        <v>471</v>
      </c>
    </row>
    <row r="106" spans="1:23" ht="15" customHeight="1" x14ac:dyDescent="0.2">
      <c r="A106" s="196" t="s">
        <v>72</v>
      </c>
      <c r="B106" s="197"/>
      <c r="C106" s="166"/>
      <c r="D106" s="166"/>
      <c r="E106" s="166"/>
      <c r="F106" s="166"/>
      <c r="G106" s="166"/>
      <c r="H106" s="166"/>
      <c r="I106" s="166"/>
      <c r="J106" s="166"/>
      <c r="K106" s="166"/>
      <c r="L106" s="166"/>
      <c r="M106" s="166"/>
      <c r="N106" s="166"/>
      <c r="O106" s="166"/>
      <c r="P106" s="166"/>
      <c r="Q106" s="166"/>
      <c r="R106" s="166"/>
      <c r="S106" s="166"/>
      <c r="T106" s="166"/>
      <c r="U106" s="165"/>
      <c r="V106" s="165"/>
      <c r="W106" s="165"/>
    </row>
    <row r="107" spans="1:23" ht="15" customHeight="1" x14ac:dyDescent="0.2">
      <c r="A107" s="34" t="s">
        <v>8</v>
      </c>
      <c r="B107" s="29" t="s">
        <v>384</v>
      </c>
      <c r="C107" s="167">
        <v>12.435802469135805</v>
      </c>
      <c r="D107" s="167">
        <v>12.541694024950758</v>
      </c>
      <c r="E107" s="167">
        <v>12.266235864297254</v>
      </c>
      <c r="F107" s="167">
        <v>12.203252032520325</v>
      </c>
      <c r="G107" s="167">
        <v>11.81949360196025</v>
      </c>
      <c r="H107" s="167">
        <v>11.59986366734833</v>
      </c>
      <c r="I107" s="167">
        <v>11.506259780907667</v>
      </c>
      <c r="J107" s="167">
        <v>11.367213663764231</v>
      </c>
      <c r="K107" s="167">
        <v>11.218303293971411</v>
      </c>
      <c r="L107" s="167">
        <v>11.064286730194851</v>
      </c>
      <c r="M107" s="167">
        <v>10.980611581001948</v>
      </c>
      <c r="N107" s="167">
        <v>10.934486897379477</v>
      </c>
      <c r="O107" s="167">
        <v>10.674060324825986</v>
      </c>
      <c r="P107" s="167">
        <v>10.882007233273058</v>
      </c>
      <c r="Q107" s="167">
        <v>10.975571927103527</v>
      </c>
      <c r="R107" s="167">
        <v>10.761986301369863</v>
      </c>
      <c r="S107" s="167">
        <v>10.770298627925747</v>
      </c>
      <c r="T107" s="167">
        <v>10.660346248969496</v>
      </c>
      <c r="U107" s="164">
        <f t="shared" ref="U107:U128" si="51">IFERROR((T107-K107),"n/a")</f>
        <v>-0.55795704500191512</v>
      </c>
      <c r="V107" s="164">
        <f t="shared" ref="V107:V128" si="52">IFERROR((T107-P107),"n/a")</f>
        <v>-0.22166098430356129</v>
      </c>
      <c r="W107" s="164">
        <f t="shared" ref="W107:W128" si="53">IFERROR((T107-S107),"n/a")</f>
        <v>-0.1099523789562511</v>
      </c>
    </row>
    <row r="108" spans="1:23" ht="15" customHeight="1" x14ac:dyDescent="0.2">
      <c r="A108" s="34"/>
      <c r="B108" s="29" t="s">
        <v>531</v>
      </c>
      <c r="C108" s="167">
        <v>2.9459876543209891</v>
      </c>
      <c r="D108" s="167">
        <v>3.065003282994093</v>
      </c>
      <c r="E108" s="167">
        <v>2.9224555735056548</v>
      </c>
      <c r="F108" s="167">
        <v>2.9623607347184588</v>
      </c>
      <c r="G108" s="167">
        <v>2.6825483256193845</v>
      </c>
      <c r="H108" s="167">
        <v>2.5650988411724605</v>
      </c>
      <c r="I108" s="167">
        <v>2.5009780907668215</v>
      </c>
      <c r="J108" s="167">
        <v>2.4261553918285301</v>
      </c>
      <c r="K108" s="167">
        <v>2.3682411435674329</v>
      </c>
      <c r="L108" s="167">
        <v>2.2961171952780539</v>
      </c>
      <c r="M108" s="167">
        <v>2.2468445022771597</v>
      </c>
      <c r="N108" s="167">
        <v>2.3281656331266269</v>
      </c>
      <c r="O108" s="167">
        <v>2.1373549883990712</v>
      </c>
      <c r="P108" s="167">
        <v>2.2350813743218829</v>
      </c>
      <c r="Q108" s="167">
        <v>2.3784412563008903</v>
      </c>
      <c r="R108" s="167">
        <v>2.1856015485407969</v>
      </c>
      <c r="S108" s="167">
        <v>2.1324455205811148</v>
      </c>
      <c r="T108" s="167">
        <v>2.0388293487221762</v>
      </c>
      <c r="U108" s="164">
        <f t="shared" ref="U108:U126" si="54">IFERROR((T108-K108),"n/a")</f>
        <v>-0.32941179484525662</v>
      </c>
      <c r="V108" s="164">
        <f t="shared" ref="V108:V126" si="55">IFERROR((T108-P108),"n/a")</f>
        <v>-0.19625202559970667</v>
      </c>
      <c r="W108" s="164">
        <f t="shared" ref="W108:W126" si="56">IFERROR((T108-S108),"n/a")</f>
        <v>-9.3616171858938557E-2</v>
      </c>
    </row>
    <row r="109" spans="1:23" ht="15" customHeight="1" x14ac:dyDescent="0.2">
      <c r="A109" s="34" t="s">
        <v>9</v>
      </c>
      <c r="B109" s="29" t="s">
        <v>384</v>
      </c>
      <c r="C109" s="167">
        <v>16.421965317919074</v>
      </c>
      <c r="D109" s="167">
        <v>15.790028763183125</v>
      </c>
      <c r="E109" s="167">
        <v>15.847058823529411</v>
      </c>
      <c r="F109" s="167">
        <v>16.002079002079007</v>
      </c>
      <c r="G109" s="167">
        <v>16.091915836101869</v>
      </c>
      <c r="H109" s="167">
        <v>15.764196342637154</v>
      </c>
      <c r="I109" s="167">
        <v>15.895072992700733</v>
      </c>
      <c r="J109" s="167">
        <v>15.615241635687736</v>
      </c>
      <c r="K109" s="167">
        <v>15.685958254269456</v>
      </c>
      <c r="L109" s="167">
        <v>15.589641434262951</v>
      </c>
      <c r="M109" s="167">
        <v>15.144016227180535</v>
      </c>
      <c r="N109" s="167">
        <v>14.599999999999994</v>
      </c>
      <c r="O109" s="167">
        <v>14.530530530530534</v>
      </c>
      <c r="P109" s="167">
        <v>14.338896020539154</v>
      </c>
      <c r="Q109" s="167">
        <v>14.209817893903404</v>
      </c>
      <c r="R109" s="167">
        <v>13.687457627118642</v>
      </c>
      <c r="S109" s="167">
        <v>13.511265164644712</v>
      </c>
      <c r="T109" s="167">
        <v>13.313683071930775</v>
      </c>
      <c r="U109" s="164">
        <f t="shared" si="54"/>
        <v>-2.3722751823386812</v>
      </c>
      <c r="V109" s="164">
        <f t="shared" si="55"/>
        <v>-1.0252129486083792</v>
      </c>
      <c r="W109" s="164">
        <f t="shared" si="56"/>
        <v>-0.19758209271393667</v>
      </c>
    </row>
    <row r="110" spans="1:23" ht="15" customHeight="1" x14ac:dyDescent="0.2">
      <c r="A110" s="34"/>
      <c r="B110" s="29" t="s">
        <v>531</v>
      </c>
      <c r="C110" s="167">
        <v>6.1109826589595375</v>
      </c>
      <c r="D110" s="167">
        <v>5.3633748801534029</v>
      </c>
      <c r="E110" s="167">
        <v>5.6843137254901954</v>
      </c>
      <c r="F110" s="167">
        <v>5.8565488565488621</v>
      </c>
      <c r="G110" s="167">
        <v>5.953488372093009</v>
      </c>
      <c r="H110" s="167">
        <v>5.6823869104908606</v>
      </c>
      <c r="I110" s="167">
        <v>5.7116788321167906</v>
      </c>
      <c r="J110" s="167">
        <v>5.5511152416356921</v>
      </c>
      <c r="K110" s="167">
        <v>5.5692599620493421</v>
      </c>
      <c r="L110" s="167">
        <v>5.4452191235059786</v>
      </c>
      <c r="M110" s="167">
        <v>5.0983772819472684</v>
      </c>
      <c r="N110" s="167">
        <v>4.6836956521739079</v>
      </c>
      <c r="O110" s="167">
        <v>4.7757757757757791</v>
      </c>
      <c r="P110" s="167">
        <v>4.5982028241335069</v>
      </c>
      <c r="Q110" s="167">
        <v>4.477434679334916</v>
      </c>
      <c r="R110" s="167">
        <v>4.0101694915254207</v>
      </c>
      <c r="S110" s="167">
        <v>3.8336221837088367</v>
      </c>
      <c r="T110" s="167">
        <v>3.6608977825851827</v>
      </c>
      <c r="U110" s="164">
        <f t="shared" si="54"/>
        <v>-1.9083621794641594</v>
      </c>
      <c r="V110" s="164">
        <f t="shared" si="55"/>
        <v>-0.93730504154832417</v>
      </c>
      <c r="W110" s="164">
        <f t="shared" si="56"/>
        <v>-0.17272440112365395</v>
      </c>
    </row>
    <row r="111" spans="1:23" ht="15" customHeight="1" x14ac:dyDescent="0.2">
      <c r="A111" s="34" t="s">
        <v>10</v>
      </c>
      <c r="B111" s="29" t="s">
        <v>384</v>
      </c>
      <c r="C111" s="167">
        <v>13.271708683473394</v>
      </c>
      <c r="D111" s="167">
        <v>13.077981651376142</v>
      </c>
      <c r="E111" s="167">
        <v>12.88937198067633</v>
      </c>
      <c r="F111" s="167">
        <v>12.822245875465677</v>
      </c>
      <c r="G111" s="167">
        <v>12.602140077821014</v>
      </c>
      <c r="H111" s="167">
        <v>12.478855721393039</v>
      </c>
      <c r="I111" s="167">
        <v>12.604463959019393</v>
      </c>
      <c r="J111" s="167">
        <v>12.41144624903326</v>
      </c>
      <c r="K111" s="167">
        <v>12.453196347031964</v>
      </c>
      <c r="L111" s="167">
        <v>12.387447698744774</v>
      </c>
      <c r="M111" s="167">
        <v>12.22579453067258</v>
      </c>
      <c r="N111" s="167">
        <v>12.377551020408161</v>
      </c>
      <c r="O111" s="167">
        <v>12.282778462803126</v>
      </c>
      <c r="P111" s="167">
        <v>12.117303370786518</v>
      </c>
      <c r="Q111" s="167">
        <v>12.041896024464831</v>
      </c>
      <c r="R111" s="167">
        <v>11.991038924670965</v>
      </c>
      <c r="S111" s="167">
        <v>11.524897959183672</v>
      </c>
      <c r="T111" s="167">
        <v>11.451581975071909</v>
      </c>
      <c r="U111" s="164">
        <f t="shared" si="54"/>
        <v>-1.0016143719600556</v>
      </c>
      <c r="V111" s="164">
        <f t="shared" si="55"/>
        <v>-0.66572139571460909</v>
      </c>
      <c r="W111" s="164">
        <f t="shared" si="56"/>
        <v>-7.3315984111763655E-2</v>
      </c>
    </row>
    <row r="112" spans="1:23" ht="15" customHeight="1" x14ac:dyDescent="0.2">
      <c r="A112" s="34"/>
      <c r="B112" s="29" t="s">
        <v>531</v>
      </c>
      <c r="C112" s="167">
        <v>3.2280112044817972</v>
      </c>
      <c r="D112" s="167">
        <v>3.2454128440366929</v>
      </c>
      <c r="E112" s="167">
        <v>3.182608695652176</v>
      </c>
      <c r="F112" s="167">
        <v>2.9819052687599825</v>
      </c>
      <c r="G112" s="167">
        <v>3.2427042801556443</v>
      </c>
      <c r="H112" s="167">
        <v>3.2114427860696555</v>
      </c>
      <c r="I112" s="167">
        <v>3.2883278448591291</v>
      </c>
      <c r="J112" s="167">
        <v>3.1183294663573129</v>
      </c>
      <c r="K112" s="167">
        <v>3.2108066971080671</v>
      </c>
      <c r="L112" s="167">
        <v>3.0949790794979126</v>
      </c>
      <c r="M112" s="167">
        <v>2.9866962305986711</v>
      </c>
      <c r="N112" s="167">
        <v>3.1675824175824161</v>
      </c>
      <c r="O112" s="167">
        <v>3.0156185778873841</v>
      </c>
      <c r="P112" s="167">
        <v>2.8067415730337082</v>
      </c>
      <c r="Q112" s="167">
        <v>2.7455657492354728</v>
      </c>
      <c r="R112" s="167">
        <v>2.6642397087650558</v>
      </c>
      <c r="S112" s="167">
        <v>2.337959183673469</v>
      </c>
      <c r="T112" s="167">
        <v>2.2488015340364331</v>
      </c>
      <c r="U112" s="164">
        <f t="shared" si="54"/>
        <v>-0.96200516307163397</v>
      </c>
      <c r="V112" s="164">
        <f t="shared" si="55"/>
        <v>-0.55794003899727507</v>
      </c>
      <c r="W112" s="164">
        <f t="shared" si="56"/>
        <v>-8.9157649637035874E-2</v>
      </c>
    </row>
    <row r="113" spans="1:23" ht="15" customHeight="1" x14ac:dyDescent="0.2">
      <c r="A113" s="34" t="s">
        <v>11</v>
      </c>
      <c r="B113" s="29" t="s">
        <v>384</v>
      </c>
      <c r="C113" s="167">
        <v>15.710648148148151</v>
      </c>
      <c r="D113" s="167">
        <v>15.02123552123552</v>
      </c>
      <c r="E113" s="167">
        <v>15.247126436781608</v>
      </c>
      <c r="F113" s="167">
        <v>14.870488322717623</v>
      </c>
      <c r="G113" s="167">
        <v>14.661670235546037</v>
      </c>
      <c r="H113" s="167">
        <v>14.749999999999996</v>
      </c>
      <c r="I113" s="167">
        <v>14.765363128491622</v>
      </c>
      <c r="J113" s="167">
        <v>15.399260628465804</v>
      </c>
      <c r="K113" s="167">
        <v>15.023529411764704</v>
      </c>
      <c r="L113" s="167">
        <v>15.216666666666663</v>
      </c>
      <c r="M113" s="167">
        <v>15.262008733624452</v>
      </c>
      <c r="N113" s="167">
        <v>15.366990291262141</v>
      </c>
      <c r="O113" s="167">
        <v>15.081081081081075</v>
      </c>
      <c r="P113" s="167">
        <v>14.575829383886253</v>
      </c>
      <c r="Q113" s="167">
        <v>14.67748478701826</v>
      </c>
      <c r="R113" s="167">
        <v>14.786795048143048</v>
      </c>
      <c r="S113" s="167">
        <v>14.119182746878549</v>
      </c>
      <c r="T113" s="167">
        <v>14.039344262295083</v>
      </c>
      <c r="U113" s="164">
        <f t="shared" si="54"/>
        <v>-0.98418514946962077</v>
      </c>
      <c r="V113" s="164">
        <f t="shared" si="55"/>
        <v>-0.5364851215911699</v>
      </c>
      <c r="W113" s="164">
        <f t="shared" si="56"/>
        <v>-7.983848458346543E-2</v>
      </c>
    </row>
    <row r="114" spans="1:23" ht="15" customHeight="1" x14ac:dyDescent="0.2">
      <c r="A114" s="34"/>
      <c r="B114" s="29" t="s">
        <v>531</v>
      </c>
      <c r="C114" s="167">
        <v>5.2800925925925952</v>
      </c>
      <c r="D114" s="167">
        <v>4.9594594594594579</v>
      </c>
      <c r="E114" s="167">
        <v>5.3314176245210714</v>
      </c>
      <c r="F114" s="167">
        <v>5.1762208067940563</v>
      </c>
      <c r="G114" s="167">
        <v>4.8629550321199133</v>
      </c>
      <c r="H114" s="167">
        <v>4.9462962962962926</v>
      </c>
      <c r="I114" s="167">
        <v>5.0968342644320312</v>
      </c>
      <c r="J114" s="167">
        <v>5.4953789279112755</v>
      </c>
      <c r="K114" s="167">
        <v>5.1529411764705859</v>
      </c>
      <c r="L114" s="167">
        <v>5.12083333333333</v>
      </c>
      <c r="M114" s="167">
        <v>5.2139737991266344</v>
      </c>
      <c r="N114" s="167">
        <v>5.2893203883495197</v>
      </c>
      <c r="O114" s="167">
        <v>5.0135135135135069</v>
      </c>
      <c r="P114" s="167">
        <v>4.6990521327014196</v>
      </c>
      <c r="Q114" s="167">
        <v>5.0000000000000053</v>
      </c>
      <c r="R114" s="167">
        <v>5.0151306740027461</v>
      </c>
      <c r="S114" s="167">
        <v>4.3132803632236119</v>
      </c>
      <c r="T114" s="167">
        <v>3.9366120218579255</v>
      </c>
      <c r="U114" s="164">
        <f t="shared" si="54"/>
        <v>-1.2163291546126604</v>
      </c>
      <c r="V114" s="164">
        <f t="shared" si="55"/>
        <v>-0.76244011084349417</v>
      </c>
      <c r="W114" s="164">
        <f t="shared" si="56"/>
        <v>-0.37666834136568639</v>
      </c>
    </row>
    <row r="115" spans="1:23" ht="15" customHeight="1" x14ac:dyDescent="0.2">
      <c r="A115" s="34" t="s">
        <v>12</v>
      </c>
      <c r="B115" s="29" t="s">
        <v>384</v>
      </c>
      <c r="C115" s="167">
        <v>12.399253731343283</v>
      </c>
      <c r="D115" s="167">
        <v>12.153545614377808</v>
      </c>
      <c r="E115" s="167">
        <v>12.166543438077634</v>
      </c>
      <c r="F115" s="167">
        <v>12.178020691001368</v>
      </c>
      <c r="G115" s="167">
        <v>11.888394446422215</v>
      </c>
      <c r="H115" s="167">
        <v>11.655349135169763</v>
      </c>
      <c r="I115" s="167">
        <v>11.627962085308059</v>
      </c>
      <c r="J115" s="167">
        <v>11.538843418757548</v>
      </c>
      <c r="K115" s="167">
        <v>11.41735267215471</v>
      </c>
      <c r="L115" s="167">
        <v>11.34336489817097</v>
      </c>
      <c r="M115" s="167">
        <v>11.148773378673793</v>
      </c>
      <c r="N115" s="167">
        <v>11.318567069725393</v>
      </c>
      <c r="O115" s="167">
        <v>11.4116413214473</v>
      </c>
      <c r="P115" s="167">
        <v>11.236235955056181</v>
      </c>
      <c r="Q115" s="167">
        <v>11.177618553785239</v>
      </c>
      <c r="R115" s="167">
        <v>11.046283309957925</v>
      </c>
      <c r="S115" s="167">
        <v>11.06023138744149</v>
      </c>
      <c r="T115" s="167">
        <v>10.880650378820125</v>
      </c>
      <c r="U115" s="164">
        <f t="shared" si="54"/>
        <v>-0.53670229333458508</v>
      </c>
      <c r="V115" s="164">
        <f t="shared" si="55"/>
        <v>-0.3555855762360558</v>
      </c>
      <c r="W115" s="164">
        <f t="shared" si="56"/>
        <v>-0.17958100862136561</v>
      </c>
    </row>
    <row r="116" spans="1:23" ht="15" customHeight="1" x14ac:dyDescent="0.2">
      <c r="A116" s="34"/>
      <c r="B116" s="29" t="s">
        <v>531</v>
      </c>
      <c r="C116" s="167">
        <v>2.358416252072967</v>
      </c>
      <c r="D116" s="167">
        <v>2.2310998241844118</v>
      </c>
      <c r="E116" s="167">
        <v>2.2761552680221815</v>
      </c>
      <c r="F116" s="167">
        <v>2.4544212375561205</v>
      </c>
      <c r="G116" s="167">
        <v>2.2888928444286218</v>
      </c>
      <c r="H116" s="167">
        <v>2.1181934657270975</v>
      </c>
      <c r="I116" s="167">
        <v>2.1786137440758324</v>
      </c>
      <c r="J116" s="167">
        <v>2.1720112706292767</v>
      </c>
      <c r="K116" s="167">
        <v>2.0482163857310844</v>
      </c>
      <c r="L116" s="167">
        <v>1.9770398235828264</v>
      </c>
      <c r="M116" s="167">
        <v>1.8692008744231252</v>
      </c>
      <c r="N116" s="167">
        <v>1.998982935924964</v>
      </c>
      <c r="O116" s="167">
        <v>1.9088883062401685</v>
      </c>
      <c r="P116" s="167">
        <v>1.8483146067415746</v>
      </c>
      <c r="Q116" s="167">
        <v>1.7611954369755853</v>
      </c>
      <c r="R116" s="167">
        <v>1.6846072931276304</v>
      </c>
      <c r="S116" s="167">
        <v>1.6481497836262466</v>
      </c>
      <c r="T116" s="167">
        <v>1.5233676683408532</v>
      </c>
      <c r="U116" s="164">
        <f t="shared" si="54"/>
        <v>-0.5248487173902312</v>
      </c>
      <c r="V116" s="164">
        <f t="shared" si="55"/>
        <v>-0.32494693840072131</v>
      </c>
      <c r="W116" s="164">
        <f t="shared" si="56"/>
        <v>-0.1247821152853934</v>
      </c>
    </row>
    <row r="117" spans="1:23" ht="15" customHeight="1" x14ac:dyDescent="0.2">
      <c r="A117" s="34" t="s">
        <v>13</v>
      </c>
      <c r="B117" s="29" t="s">
        <v>384</v>
      </c>
      <c r="C117" s="167">
        <v>17.536266349583826</v>
      </c>
      <c r="D117" s="167">
        <v>16.813241106719367</v>
      </c>
      <c r="E117" s="167">
        <v>15.731191222570526</v>
      </c>
      <c r="F117" s="167">
        <v>16.379644588045245</v>
      </c>
      <c r="G117" s="167">
        <v>15.922824302134645</v>
      </c>
      <c r="H117" s="167">
        <v>16.601018675721562</v>
      </c>
      <c r="I117" s="167">
        <v>16.796650717703344</v>
      </c>
      <c r="J117" s="167">
        <v>16.655313351498641</v>
      </c>
      <c r="K117" s="167">
        <v>16.65910652920962</v>
      </c>
      <c r="L117" s="167">
        <v>16.582145071295717</v>
      </c>
      <c r="M117" s="167">
        <v>16.92544316996872</v>
      </c>
      <c r="N117" s="167">
        <v>16.846237731733918</v>
      </c>
      <c r="O117" s="167">
        <v>16.532488114104591</v>
      </c>
      <c r="P117" s="167">
        <v>16.481838398813927</v>
      </c>
      <c r="Q117" s="167">
        <v>16.635930993456277</v>
      </c>
      <c r="R117" s="167">
        <v>16.520855057351405</v>
      </c>
      <c r="S117" s="167">
        <v>16.176240208877282</v>
      </c>
      <c r="T117" s="167">
        <v>16.203137570394212</v>
      </c>
      <c r="U117" s="164">
        <f t="shared" si="54"/>
        <v>-0.45596895881540789</v>
      </c>
      <c r="V117" s="164">
        <f t="shared" si="55"/>
        <v>-0.27870082841971566</v>
      </c>
      <c r="W117" s="164">
        <f t="shared" si="56"/>
        <v>2.6897361516930118E-2</v>
      </c>
    </row>
    <row r="118" spans="1:23" ht="15" customHeight="1" x14ac:dyDescent="0.2">
      <c r="A118" s="34"/>
      <c r="B118" s="29" t="s">
        <v>531</v>
      </c>
      <c r="C118" s="167">
        <v>6.6349583828775245</v>
      </c>
      <c r="D118" s="167">
        <v>6.4397233201581017</v>
      </c>
      <c r="E118" s="167">
        <v>5.5415360501567328</v>
      </c>
      <c r="F118" s="167">
        <v>6.0008077544426612</v>
      </c>
      <c r="G118" s="167">
        <v>5.6477832512315249</v>
      </c>
      <c r="H118" s="167">
        <v>6.2410865874363335</v>
      </c>
      <c r="I118" s="167">
        <v>6.3468899521531039</v>
      </c>
      <c r="J118" s="167">
        <v>6.1743869209809308</v>
      </c>
      <c r="K118" s="167">
        <v>6.1917525773195852</v>
      </c>
      <c r="L118" s="167">
        <v>6.0266584004959647</v>
      </c>
      <c r="M118" s="167">
        <v>6.3696558915537036</v>
      </c>
      <c r="N118" s="167">
        <v>6.2693565976008756</v>
      </c>
      <c r="O118" s="167">
        <v>6.0496566296883216</v>
      </c>
      <c r="P118" s="167">
        <v>5.9977761304670043</v>
      </c>
      <c r="Q118" s="167">
        <v>6.1522903033908403</v>
      </c>
      <c r="R118" s="167">
        <v>6.0985401459853978</v>
      </c>
      <c r="S118" s="167">
        <v>5.6932114882506504</v>
      </c>
      <c r="T118" s="167">
        <v>5.7598551890587331</v>
      </c>
      <c r="U118" s="164">
        <f t="shared" si="54"/>
        <v>-0.43189738826085211</v>
      </c>
      <c r="V118" s="164">
        <f t="shared" si="55"/>
        <v>-0.23792094140827125</v>
      </c>
      <c r="W118" s="164">
        <f t="shared" si="56"/>
        <v>6.6643700808082684E-2</v>
      </c>
    </row>
    <row r="119" spans="1:23" ht="15" customHeight="1" x14ac:dyDescent="0.2">
      <c r="A119" s="34" t="s">
        <v>14</v>
      </c>
      <c r="B119" s="29" t="s">
        <v>384</v>
      </c>
      <c r="C119" s="167">
        <v>10.844617092119865</v>
      </c>
      <c r="D119" s="167">
        <v>10.63926084627745</v>
      </c>
      <c r="E119" s="167">
        <v>10.918384430260542</v>
      </c>
      <c r="F119" s="167">
        <v>10.983881799865681</v>
      </c>
      <c r="G119" s="167">
        <v>10.93762781186094</v>
      </c>
      <c r="H119" s="167">
        <v>10.891193776802632</v>
      </c>
      <c r="I119" s="167">
        <v>10.675408081348676</v>
      </c>
      <c r="J119" s="167">
        <v>10.682245386192754</v>
      </c>
      <c r="K119" s="167">
        <v>10.715442715442716</v>
      </c>
      <c r="L119" s="167">
        <v>10.560611478634007</v>
      </c>
      <c r="M119" s="167">
        <v>10.450477538026176</v>
      </c>
      <c r="N119" s="167">
        <v>10.585070182900893</v>
      </c>
      <c r="O119" s="167">
        <v>10.582648812872735</v>
      </c>
      <c r="P119" s="167">
        <v>10.650920005219888</v>
      </c>
      <c r="Q119" s="167">
        <v>10.736842105263158</v>
      </c>
      <c r="R119" s="167">
        <v>10.684576410981501</v>
      </c>
      <c r="S119" s="167">
        <v>10.691196613124143</v>
      </c>
      <c r="T119" s="167">
        <v>10.623740510697031</v>
      </c>
      <c r="U119" s="164">
        <f t="shared" si="54"/>
        <v>-9.1702204745685023E-2</v>
      </c>
      <c r="V119" s="164">
        <f t="shared" si="55"/>
        <v>-2.7179494522856729E-2</v>
      </c>
      <c r="W119" s="164">
        <f t="shared" si="56"/>
        <v>-6.7456102427112086E-2</v>
      </c>
    </row>
    <row r="120" spans="1:23" ht="15" customHeight="1" x14ac:dyDescent="0.2">
      <c r="A120" s="34"/>
      <c r="B120" s="29" t="s">
        <v>531</v>
      </c>
      <c r="C120" s="167">
        <v>1.5300283635466752</v>
      </c>
      <c r="D120" s="167">
        <v>1.4816550615961432</v>
      </c>
      <c r="E120" s="167">
        <v>1.5880506435073762</v>
      </c>
      <c r="F120" s="167">
        <v>1.8863091240525751</v>
      </c>
      <c r="G120" s="167">
        <v>1.7599182004089968</v>
      </c>
      <c r="H120" s="167">
        <v>1.806422658821182</v>
      </c>
      <c r="I120" s="167">
        <v>1.7933279814467937</v>
      </c>
      <c r="J120" s="167">
        <v>1.8473171565276818</v>
      </c>
      <c r="K120" s="167">
        <v>1.9520429520429534</v>
      </c>
      <c r="L120" s="167">
        <v>1.8101197925978898</v>
      </c>
      <c r="M120" s="167">
        <v>1.7544216483905188</v>
      </c>
      <c r="N120" s="167">
        <v>1.8743088047639294</v>
      </c>
      <c r="O120" s="167">
        <v>1.7833914706875209</v>
      </c>
      <c r="P120" s="167">
        <v>1.871460263604332</v>
      </c>
      <c r="Q120" s="167">
        <v>1.9054895302773058</v>
      </c>
      <c r="R120" s="167">
        <v>1.6857546836337924</v>
      </c>
      <c r="S120" s="167">
        <v>1.5279541775619467</v>
      </c>
      <c r="T120" s="167">
        <v>1.3766735679779138</v>
      </c>
      <c r="U120" s="164">
        <f t="shared" si="54"/>
        <v>-0.57536938406503957</v>
      </c>
      <c r="V120" s="164">
        <f t="shared" si="55"/>
        <v>-0.49478669562641819</v>
      </c>
      <c r="W120" s="164">
        <f t="shared" si="56"/>
        <v>-0.15128060958403289</v>
      </c>
    </row>
    <row r="121" spans="1:23" ht="15" customHeight="1" x14ac:dyDescent="0.2">
      <c r="A121" s="34" t="s">
        <v>15</v>
      </c>
      <c r="B121" s="29" t="s">
        <v>384</v>
      </c>
      <c r="C121" s="167">
        <v>12.329588014981271</v>
      </c>
      <c r="D121" s="167">
        <v>12.081794195250657</v>
      </c>
      <c r="E121" s="167">
        <v>11.510416666666664</v>
      </c>
      <c r="F121" s="167">
        <v>11.637681159420296</v>
      </c>
      <c r="G121" s="167">
        <v>11.113300492610835</v>
      </c>
      <c r="H121" s="167">
        <v>12.102713178294577</v>
      </c>
      <c r="I121" s="167">
        <v>11.445175438596491</v>
      </c>
      <c r="J121" s="167">
        <v>11.28671328671328</v>
      </c>
      <c r="K121" s="167">
        <v>11.557069846678028</v>
      </c>
      <c r="L121" s="167">
        <v>11.277397260273977</v>
      </c>
      <c r="M121" s="167">
        <v>11.381598793363494</v>
      </c>
      <c r="N121" s="167">
        <v>11.409246575342467</v>
      </c>
      <c r="O121" s="167">
        <v>11.001658374792706</v>
      </c>
      <c r="P121" s="167">
        <v>10.783960720130931</v>
      </c>
      <c r="Q121" s="167">
        <v>11.331884057971012</v>
      </c>
      <c r="R121" s="167">
        <v>11.238235294117644</v>
      </c>
      <c r="S121" s="167">
        <v>11.387222946544973</v>
      </c>
      <c r="T121" s="167">
        <v>11.014598540145988</v>
      </c>
      <c r="U121" s="164">
        <f t="shared" si="54"/>
        <v>-0.54247130653203968</v>
      </c>
      <c r="V121" s="164">
        <f t="shared" si="55"/>
        <v>0.2306378200150565</v>
      </c>
      <c r="W121" s="164">
        <f t="shared" si="56"/>
        <v>-0.37262440639898564</v>
      </c>
    </row>
    <row r="122" spans="1:23" ht="15" customHeight="1" x14ac:dyDescent="0.2">
      <c r="A122" s="34"/>
      <c r="B122" s="29" t="s">
        <v>531</v>
      </c>
      <c r="C122" s="167">
        <v>3.1535580524344535</v>
      </c>
      <c r="D122" s="167">
        <v>2.8100263852242708</v>
      </c>
      <c r="E122" s="167">
        <v>2.5546874999999982</v>
      </c>
      <c r="F122" s="167">
        <v>2.6932367149758516</v>
      </c>
      <c r="G122" s="167">
        <v>2.2881773399014751</v>
      </c>
      <c r="H122" s="167">
        <v>3.1492248062015538</v>
      </c>
      <c r="I122" s="167">
        <v>2.7785087719298254</v>
      </c>
      <c r="J122" s="167">
        <v>2.4405594405594329</v>
      </c>
      <c r="K122" s="167">
        <v>2.8364565587734276</v>
      </c>
      <c r="L122" s="167">
        <v>2.6147260273972641</v>
      </c>
      <c r="M122" s="167">
        <v>2.6515837104072357</v>
      </c>
      <c r="N122" s="167">
        <v>2.7380136986301373</v>
      </c>
      <c r="O122" s="167">
        <v>2.3515754560530713</v>
      </c>
      <c r="P122" s="167">
        <v>2.0703764320785574</v>
      </c>
      <c r="Q122" s="167">
        <v>2.8086956521739097</v>
      </c>
      <c r="R122" s="167">
        <v>2.6455882352941149</v>
      </c>
      <c r="S122" s="167">
        <v>2.5671447196870858</v>
      </c>
      <c r="T122" s="167">
        <v>2.3448905109489075</v>
      </c>
      <c r="U122" s="164">
        <f t="shared" si="54"/>
        <v>-0.49156604782452007</v>
      </c>
      <c r="V122" s="164">
        <f t="shared" si="55"/>
        <v>0.27451407887035018</v>
      </c>
      <c r="W122" s="164">
        <f t="shared" si="56"/>
        <v>-0.22225420873817825</v>
      </c>
    </row>
    <row r="123" spans="1:23" ht="15" customHeight="1" x14ac:dyDescent="0.2">
      <c r="A123" s="34" t="s">
        <v>16</v>
      </c>
      <c r="B123" s="29" t="s">
        <v>384</v>
      </c>
      <c r="C123" s="167">
        <v>12.735499544488306</v>
      </c>
      <c r="D123" s="167">
        <v>12.540090771558246</v>
      </c>
      <c r="E123" s="167">
        <v>12.616194865042791</v>
      </c>
      <c r="F123" s="167">
        <v>12.693126022913257</v>
      </c>
      <c r="G123" s="167">
        <v>12.84157541504768</v>
      </c>
      <c r="H123" s="167">
        <v>12.735644310474758</v>
      </c>
      <c r="I123" s="167">
        <v>12.853730637341847</v>
      </c>
      <c r="J123" s="167">
        <v>12.757827348204462</v>
      </c>
      <c r="K123" s="167">
        <v>12.855167327371623</v>
      </c>
      <c r="L123" s="167">
        <v>12.933668424522082</v>
      </c>
      <c r="M123" s="167">
        <v>13.008730587962605</v>
      </c>
      <c r="N123" s="167">
        <v>13.119340994046794</v>
      </c>
      <c r="O123" s="167">
        <v>13.110421223453045</v>
      </c>
      <c r="P123" s="167">
        <v>13.906817772980752</v>
      </c>
      <c r="Q123" s="167">
        <v>13.540491991417596</v>
      </c>
      <c r="R123" s="167">
        <v>13.115223966585051</v>
      </c>
      <c r="S123" s="167">
        <v>12.810736054909594</v>
      </c>
      <c r="T123" s="167">
        <v>12.571420363134914</v>
      </c>
      <c r="U123" s="164">
        <f t="shared" si="54"/>
        <v>-0.28374696423670898</v>
      </c>
      <c r="V123" s="164">
        <f t="shared" si="55"/>
        <v>-1.3353974098458377</v>
      </c>
      <c r="W123" s="164">
        <f t="shared" si="56"/>
        <v>-0.23931569177467971</v>
      </c>
    </row>
    <row r="124" spans="1:23" ht="15" customHeight="1" x14ac:dyDescent="0.2">
      <c r="A124" s="34"/>
      <c r="B124" s="29" t="s">
        <v>531</v>
      </c>
      <c r="C124" s="167">
        <v>2.0558761008199191</v>
      </c>
      <c r="D124" s="167">
        <v>1.8343419062027237</v>
      </c>
      <c r="E124" s="167">
        <v>1.946894886987053</v>
      </c>
      <c r="F124" s="167">
        <v>2.0077741407528631</v>
      </c>
      <c r="G124" s="167">
        <v>2.2216531261038437</v>
      </c>
      <c r="H124" s="167">
        <v>2.1849284099472523</v>
      </c>
      <c r="I124" s="167">
        <v>2.3692798864845699</v>
      </c>
      <c r="J124" s="167">
        <v>2.301690507152145</v>
      </c>
      <c r="K124" s="167">
        <v>2.3349313174149522</v>
      </c>
      <c r="L124" s="167">
        <v>2.4030158206987462</v>
      </c>
      <c r="M124" s="167">
        <v>2.5295526539442168</v>
      </c>
      <c r="N124" s="167">
        <v>2.5940744842863079</v>
      </c>
      <c r="O124" s="167">
        <v>2.7252522401749815</v>
      </c>
      <c r="P124" s="167">
        <v>3.646339269652815</v>
      </c>
      <c r="Q124" s="167">
        <v>3.123746320043912</v>
      </c>
      <c r="R124" s="167">
        <v>2.7390657256709403</v>
      </c>
      <c r="S124" s="167">
        <v>2.4160221277467606</v>
      </c>
      <c r="T124" s="167">
        <v>2.1266375545851552</v>
      </c>
      <c r="U124" s="164">
        <f t="shared" si="54"/>
        <v>-0.20829376282979695</v>
      </c>
      <c r="V124" s="164">
        <f t="shared" si="55"/>
        <v>-1.5197017150676597</v>
      </c>
      <c r="W124" s="164">
        <f t="shared" si="56"/>
        <v>-0.28938457316160537</v>
      </c>
    </row>
    <row r="125" spans="1:23" ht="15" customHeight="1" x14ac:dyDescent="0.2">
      <c r="A125" s="34" t="s">
        <v>17</v>
      </c>
      <c r="B125" s="29" t="s">
        <v>384</v>
      </c>
      <c r="C125" s="167">
        <v>14.998142989786443</v>
      </c>
      <c r="D125" s="167">
        <v>14.797989949748743</v>
      </c>
      <c r="E125" s="167">
        <v>14.408933217692974</v>
      </c>
      <c r="F125" s="167">
        <v>14.12431941923775</v>
      </c>
      <c r="G125" s="167">
        <v>13.472101133391456</v>
      </c>
      <c r="H125" s="167">
        <v>13.158175988599929</v>
      </c>
      <c r="I125" s="167">
        <v>12.868506975363609</v>
      </c>
      <c r="J125" s="167">
        <v>12.892427080545893</v>
      </c>
      <c r="K125" s="167">
        <v>12.677628300946687</v>
      </c>
      <c r="L125" s="167">
        <v>12.49619771863118</v>
      </c>
      <c r="M125" s="167">
        <v>12.252407407407407</v>
      </c>
      <c r="N125" s="167">
        <v>12.259229405126552</v>
      </c>
      <c r="O125" s="167">
        <v>12.464345497154335</v>
      </c>
      <c r="P125" s="167">
        <v>12.650107066381157</v>
      </c>
      <c r="Q125" s="167">
        <v>12.943103157183861</v>
      </c>
      <c r="R125" s="167">
        <v>13.019756838905774</v>
      </c>
      <c r="S125" s="167">
        <v>12.956327372764786</v>
      </c>
      <c r="T125" s="167">
        <v>12.844125560538114</v>
      </c>
      <c r="U125" s="164">
        <f t="shared" si="54"/>
        <v>0.16649725959142714</v>
      </c>
      <c r="V125" s="164">
        <f t="shared" si="55"/>
        <v>0.19401849415695693</v>
      </c>
      <c r="W125" s="164">
        <f t="shared" si="56"/>
        <v>-0.11220181222667236</v>
      </c>
    </row>
    <row r="126" spans="1:23" ht="15" customHeight="1" x14ac:dyDescent="0.2">
      <c r="A126" s="169"/>
      <c r="B126" s="29" t="s">
        <v>531</v>
      </c>
      <c r="C126" s="167">
        <v>4.4596100278551525</v>
      </c>
      <c r="D126" s="167">
        <v>4.437688442211055</v>
      </c>
      <c r="E126" s="167">
        <v>4.2372072853425831</v>
      </c>
      <c r="F126" s="167">
        <v>4.0816696914700543</v>
      </c>
      <c r="G126" s="167">
        <v>3.748038360941587</v>
      </c>
      <c r="H126" s="167">
        <v>3.5137157107231918</v>
      </c>
      <c r="I126" s="167">
        <v>3.3365983971504889</v>
      </c>
      <c r="J126" s="167">
        <v>3.3588439925073601</v>
      </c>
      <c r="K126" s="167">
        <v>3.2264573991031398</v>
      </c>
      <c r="L126" s="167">
        <v>3.2163075623151673</v>
      </c>
      <c r="M126" s="167">
        <v>3.0062962962962967</v>
      </c>
      <c r="N126" s="167">
        <v>3.1183298403998077</v>
      </c>
      <c r="O126" s="167">
        <v>3.2450619350518917</v>
      </c>
      <c r="P126" s="167">
        <v>3.2498929336188436</v>
      </c>
      <c r="Q126" s="167">
        <v>3.5684619280769905</v>
      </c>
      <c r="R126" s="167">
        <v>3.5199257007767635</v>
      </c>
      <c r="S126" s="167">
        <v>3.3455983493810173</v>
      </c>
      <c r="T126" s="167">
        <v>3.1668161434977549</v>
      </c>
      <c r="U126" s="164">
        <f t="shared" si="54"/>
        <v>-5.9641255605384913E-2</v>
      </c>
      <c r="V126" s="164">
        <f t="shared" si="55"/>
        <v>-8.3076790121088706E-2</v>
      </c>
      <c r="W126" s="164">
        <f t="shared" si="56"/>
        <v>-0.17878220588326244</v>
      </c>
    </row>
    <row r="127" spans="1:23" ht="15" customHeight="1" x14ac:dyDescent="0.2">
      <c r="A127" s="196" t="s">
        <v>71</v>
      </c>
      <c r="B127" s="197"/>
      <c r="C127" s="166"/>
      <c r="D127" s="166"/>
      <c r="E127" s="166"/>
      <c r="F127" s="166"/>
      <c r="G127" s="166"/>
      <c r="H127" s="166"/>
      <c r="I127" s="166"/>
      <c r="J127" s="166"/>
      <c r="K127" s="166"/>
      <c r="L127" s="166"/>
      <c r="M127" s="166"/>
      <c r="N127" s="166"/>
      <c r="O127" s="166"/>
      <c r="P127" s="166"/>
      <c r="Q127" s="166"/>
      <c r="R127" s="166"/>
      <c r="S127" s="166"/>
      <c r="T127" s="166"/>
      <c r="U127" s="165"/>
      <c r="V127" s="165"/>
      <c r="W127" s="165"/>
    </row>
    <row r="128" spans="1:23" ht="15" customHeight="1" x14ac:dyDescent="0.2">
      <c r="A128" s="34" t="s">
        <v>8</v>
      </c>
      <c r="B128" s="29" t="s">
        <v>384</v>
      </c>
      <c r="C128" s="167">
        <v>12.611818478615737</v>
      </c>
      <c r="D128" s="167">
        <v>12.889528973229414</v>
      </c>
      <c r="E128" s="167">
        <v>12.726239669421485</v>
      </c>
      <c r="F128" s="167">
        <v>12.690345495640946</v>
      </c>
      <c r="G128" s="167">
        <v>12.317225022235395</v>
      </c>
      <c r="H128" s="167">
        <v>12.242871954380508</v>
      </c>
      <c r="I128" s="167">
        <v>11.9969696969697</v>
      </c>
      <c r="J128" s="167">
        <v>11.830823391355372</v>
      </c>
      <c r="K128" s="167">
        <v>11.824157613699136</v>
      </c>
      <c r="L128" s="167">
        <v>11.61037834085387</v>
      </c>
      <c r="M128" s="167">
        <v>11.584232365145226</v>
      </c>
      <c r="N128" s="167">
        <v>11.338261087446753</v>
      </c>
      <c r="O128" s="167">
        <v>11.198187011051779</v>
      </c>
      <c r="P128" s="167">
        <v>11.477085441665464</v>
      </c>
      <c r="Q128" s="167">
        <v>11.496737441740031</v>
      </c>
      <c r="R128" s="167">
        <v>11.296117936117939</v>
      </c>
      <c r="S128" s="167">
        <v>11.33095754570809</v>
      </c>
      <c r="T128" s="167">
        <v>11.197505197505198</v>
      </c>
      <c r="U128" s="164">
        <f t="shared" si="51"/>
        <v>-0.62665241619393797</v>
      </c>
      <c r="V128" s="164">
        <f t="shared" si="52"/>
        <v>-0.27958024416026639</v>
      </c>
      <c r="W128" s="164">
        <f t="shared" si="53"/>
        <v>-0.13345234820289242</v>
      </c>
    </row>
    <row r="129" spans="1:23" ht="15" customHeight="1" x14ac:dyDescent="0.2">
      <c r="A129" s="34"/>
      <c r="B129" s="29" t="s">
        <v>531</v>
      </c>
      <c r="C129" s="167">
        <v>3.077701599738818</v>
      </c>
      <c r="D129" s="167">
        <v>3.3517451711284316</v>
      </c>
      <c r="E129" s="167">
        <v>3.2982093663911822</v>
      </c>
      <c r="F129" s="167">
        <v>3.2531482079431733</v>
      </c>
      <c r="G129" s="167">
        <v>3.012451823302694</v>
      </c>
      <c r="H129" s="167">
        <v>2.9888543286677027</v>
      </c>
      <c r="I129" s="167">
        <v>2.8240093240093262</v>
      </c>
      <c r="J129" s="167">
        <v>2.720711910815572</v>
      </c>
      <c r="K129" s="167">
        <v>2.7586079911618491</v>
      </c>
      <c r="L129" s="167">
        <v>2.6431794515793126</v>
      </c>
      <c r="M129" s="167">
        <v>2.5639834024896242</v>
      </c>
      <c r="N129" s="167">
        <v>2.5047607116011008</v>
      </c>
      <c r="O129" s="167">
        <v>2.475226623618525</v>
      </c>
      <c r="P129" s="167">
        <v>2.5852248084429679</v>
      </c>
      <c r="Q129" s="167">
        <v>2.6709476954945615</v>
      </c>
      <c r="R129" s="167">
        <v>2.5008353808353849</v>
      </c>
      <c r="S129" s="167">
        <v>2.4424129738663378</v>
      </c>
      <c r="T129" s="167">
        <v>2.338669438669438</v>
      </c>
      <c r="U129" s="164">
        <f>IFERROR((T129-K129),"n/a")</f>
        <v>-0.41993855249241108</v>
      </c>
      <c r="V129" s="164">
        <f>IFERROR((T129-P129),"n/a")</f>
        <v>-0.24655536977352988</v>
      </c>
      <c r="W129" s="164">
        <f>IFERROR((T129-S129),"n/a")</f>
        <v>-0.10374353519689983</v>
      </c>
    </row>
    <row r="130" spans="1:23" ht="15" customHeight="1" x14ac:dyDescent="0.2">
      <c r="A130" s="34" t="s">
        <v>9</v>
      </c>
      <c r="B130" s="29" t="s">
        <v>384</v>
      </c>
      <c r="C130" s="167">
        <v>16.926070038910503</v>
      </c>
      <c r="D130" s="167">
        <v>16.339945897204693</v>
      </c>
      <c r="E130" s="167">
        <v>15.606167400881064</v>
      </c>
      <c r="F130" s="167">
        <v>15.846014492753616</v>
      </c>
      <c r="G130" s="167">
        <v>15.734390485629328</v>
      </c>
      <c r="H130" s="167">
        <v>15.578199052132694</v>
      </c>
      <c r="I130" s="167">
        <v>15.590425531914894</v>
      </c>
      <c r="J130" s="167">
        <v>15.35664335664335</v>
      </c>
      <c r="K130" s="167">
        <v>15.557034220532319</v>
      </c>
      <c r="L130" s="167">
        <v>15.514257620452305</v>
      </c>
      <c r="M130" s="167">
        <v>15.092708333333331</v>
      </c>
      <c r="N130" s="167">
        <v>14.390588235294121</v>
      </c>
      <c r="O130" s="167">
        <v>14.142701525054463</v>
      </c>
      <c r="P130" s="167">
        <v>13.475065616797901</v>
      </c>
      <c r="Q130" s="167">
        <v>13.750248756218909</v>
      </c>
      <c r="R130" s="167">
        <v>13.536764705882346</v>
      </c>
      <c r="S130" s="167">
        <v>13.658119658119666</v>
      </c>
      <c r="T130" s="167">
        <v>13.427492447129913</v>
      </c>
      <c r="U130" s="164">
        <f t="shared" ref="U130:U147" si="57">IFERROR((T130-K130),"n/a")</f>
        <v>-2.1295417734024067</v>
      </c>
      <c r="V130" s="164">
        <f t="shared" ref="V130:V147" si="58">IFERROR((T130-P130),"n/a")</f>
        <v>-4.7573169667987969E-2</v>
      </c>
      <c r="W130" s="164">
        <f t="shared" ref="W130:W147" si="59">IFERROR((T130-S130),"n/a")</f>
        <v>-0.23062721098975381</v>
      </c>
    </row>
    <row r="131" spans="1:23" ht="15" customHeight="1" x14ac:dyDescent="0.2">
      <c r="A131" s="34"/>
      <c r="B131" s="29" t="s">
        <v>531</v>
      </c>
      <c r="C131" s="167">
        <v>6.6118677042801526</v>
      </c>
      <c r="D131" s="167">
        <v>6.0189359783588863</v>
      </c>
      <c r="E131" s="167">
        <v>5.5612334801762184</v>
      </c>
      <c r="F131" s="167">
        <v>5.8849637681159344</v>
      </c>
      <c r="G131" s="167">
        <v>5.7066402378592596</v>
      </c>
      <c r="H131" s="167">
        <v>5.5526066350710828</v>
      </c>
      <c r="I131" s="167">
        <v>5.5797872340425538</v>
      </c>
      <c r="J131" s="167">
        <v>5.4335664335664262</v>
      </c>
      <c r="K131" s="167">
        <v>5.6986692015209126</v>
      </c>
      <c r="L131" s="167">
        <v>5.6194690265486678</v>
      </c>
      <c r="M131" s="167">
        <v>5.2687499999999972</v>
      </c>
      <c r="N131" s="167">
        <v>4.8305882352941207</v>
      </c>
      <c r="O131" s="167">
        <v>4.7015250544662273</v>
      </c>
      <c r="P131" s="167">
        <v>4.1286089238845154</v>
      </c>
      <c r="Q131" s="167">
        <v>4.3542288557213968</v>
      </c>
      <c r="R131" s="167">
        <v>4.1135620915032618</v>
      </c>
      <c r="S131" s="167">
        <v>4.1880341880341962</v>
      </c>
      <c r="T131" s="167">
        <v>3.9690332326284015</v>
      </c>
      <c r="U131" s="164">
        <f t="shared" si="57"/>
        <v>-1.7296359688925111</v>
      </c>
      <c r="V131" s="164">
        <f t="shared" si="58"/>
        <v>-0.15957569125611393</v>
      </c>
      <c r="W131" s="164">
        <f t="shared" si="59"/>
        <v>-0.21900095540579478</v>
      </c>
    </row>
    <row r="132" spans="1:23" ht="15" customHeight="1" x14ac:dyDescent="0.2">
      <c r="A132" s="34" t="s">
        <v>10</v>
      </c>
      <c r="B132" s="29" t="s">
        <v>384</v>
      </c>
      <c r="C132" s="167">
        <v>14.236316806181589</v>
      </c>
      <c r="D132" s="167">
        <v>13.94639438417358</v>
      </c>
      <c r="E132" s="167">
        <v>13.745494265428732</v>
      </c>
      <c r="F132" s="167">
        <v>14.220741599073001</v>
      </c>
      <c r="G132" s="167">
        <v>13.549578059071729</v>
      </c>
      <c r="H132" s="167">
        <v>13.475675675675674</v>
      </c>
      <c r="I132" s="167">
        <v>13.511183597390492</v>
      </c>
      <c r="J132" s="167">
        <v>13.328627069133402</v>
      </c>
      <c r="K132" s="167">
        <v>13.127889818002952</v>
      </c>
      <c r="L132" s="167">
        <v>13.354525862068966</v>
      </c>
      <c r="M132" s="167">
        <v>13.378843147472644</v>
      </c>
      <c r="N132" s="167">
        <v>12.94196199280945</v>
      </c>
      <c r="O132" s="167">
        <v>12.958829902491875</v>
      </c>
      <c r="P132" s="167">
        <v>12.673457159976035</v>
      </c>
      <c r="Q132" s="167">
        <v>12.869214437367303</v>
      </c>
      <c r="R132" s="167">
        <v>12.498798076923078</v>
      </c>
      <c r="S132" s="167">
        <v>12.122230428360414</v>
      </c>
      <c r="T132" s="167">
        <v>12.13102119460501</v>
      </c>
      <c r="U132" s="164">
        <f t="shared" si="57"/>
        <v>-0.99686862339794224</v>
      </c>
      <c r="V132" s="164">
        <f t="shared" si="58"/>
        <v>-0.54243596537102512</v>
      </c>
      <c r="W132" s="164">
        <f t="shared" si="59"/>
        <v>8.790766244596071E-3</v>
      </c>
    </row>
    <row r="133" spans="1:23" ht="15" customHeight="1" x14ac:dyDescent="0.2">
      <c r="A133" s="34"/>
      <c r="B133" s="29" t="s">
        <v>531</v>
      </c>
      <c r="C133" s="167">
        <v>3.8119768190598897</v>
      </c>
      <c r="D133" s="167">
        <v>3.7319719208679007</v>
      </c>
      <c r="E133" s="167">
        <v>3.8470780993992406</v>
      </c>
      <c r="F133" s="167">
        <v>4.0266512166859787</v>
      </c>
      <c r="G133" s="167">
        <v>3.9066455696202524</v>
      </c>
      <c r="H133" s="167">
        <v>3.9227027027027006</v>
      </c>
      <c r="I133" s="167">
        <v>3.9217148182665404</v>
      </c>
      <c r="J133" s="167">
        <v>3.9011684518013663</v>
      </c>
      <c r="K133" s="167">
        <v>3.6940482046237104</v>
      </c>
      <c r="L133" s="167">
        <v>3.8405172413793114</v>
      </c>
      <c r="M133" s="167">
        <v>3.9244398124022943</v>
      </c>
      <c r="N133" s="167">
        <v>3.611196712891628</v>
      </c>
      <c r="O133" s="167">
        <v>3.5877573131094262</v>
      </c>
      <c r="P133" s="167">
        <v>3.2786099460754965</v>
      </c>
      <c r="Q133" s="167">
        <v>3.4870488322717605</v>
      </c>
      <c r="R133" s="167">
        <v>3.1518429487179507</v>
      </c>
      <c r="S133" s="167">
        <v>2.8197932053175787</v>
      </c>
      <c r="T133" s="167">
        <v>2.7722543352601168</v>
      </c>
      <c r="U133" s="164">
        <f t="shared" si="57"/>
        <v>-0.92179386936359364</v>
      </c>
      <c r="V133" s="164">
        <f t="shared" si="58"/>
        <v>-0.50635561081537972</v>
      </c>
      <c r="W133" s="164">
        <f t="shared" si="59"/>
        <v>-4.7538870057461935E-2</v>
      </c>
    </row>
    <row r="134" spans="1:23" ht="15" customHeight="1" x14ac:dyDescent="0.2">
      <c r="A134" s="34" t="s">
        <v>11</v>
      </c>
      <c r="B134" s="29" t="s">
        <v>384</v>
      </c>
      <c r="C134" s="167">
        <v>15.343347639484977</v>
      </c>
      <c r="D134" s="167">
        <v>14.910679611650488</v>
      </c>
      <c r="E134" s="167">
        <v>15.109704641350209</v>
      </c>
      <c r="F134" s="167">
        <v>15.280434782608701</v>
      </c>
      <c r="G134" s="167">
        <v>14.924406047516197</v>
      </c>
      <c r="H134" s="167">
        <v>15.032075471698109</v>
      </c>
      <c r="I134" s="167">
        <v>14.972399150743106</v>
      </c>
      <c r="J134" s="167">
        <v>15.135714285714286</v>
      </c>
      <c r="K134" s="167">
        <v>15.300373134328355</v>
      </c>
      <c r="L134" s="167">
        <v>15.4</v>
      </c>
      <c r="M134" s="167">
        <v>15.293286219081272</v>
      </c>
      <c r="N134" s="167">
        <v>15.123728813559323</v>
      </c>
      <c r="O134" s="167">
        <v>15.142424242424243</v>
      </c>
      <c r="P134" s="167">
        <v>14.381761978361666</v>
      </c>
      <c r="Q134" s="167">
        <v>14.666232073011734</v>
      </c>
      <c r="R134" s="167">
        <v>14.486868686868688</v>
      </c>
      <c r="S134" s="167">
        <v>14.145132743362831</v>
      </c>
      <c r="T134" s="167">
        <v>14.208443271767809</v>
      </c>
      <c r="U134" s="164">
        <f t="shared" si="57"/>
        <v>-1.091929862560546</v>
      </c>
      <c r="V134" s="164">
        <f t="shared" si="58"/>
        <v>-0.17331870659385729</v>
      </c>
      <c r="W134" s="164">
        <f t="shared" si="59"/>
        <v>6.3310528404977973E-2</v>
      </c>
    </row>
    <row r="135" spans="1:23" ht="15" customHeight="1" x14ac:dyDescent="0.2">
      <c r="A135" s="34"/>
      <c r="B135" s="29" t="s">
        <v>531</v>
      </c>
      <c r="C135" s="167">
        <v>5.3154506437768223</v>
      </c>
      <c r="D135" s="167">
        <v>4.9708737864077701</v>
      </c>
      <c r="E135" s="167">
        <v>5.1940928270042175</v>
      </c>
      <c r="F135" s="167">
        <v>5.4021739130434838</v>
      </c>
      <c r="G135" s="167">
        <v>5.0453563714902785</v>
      </c>
      <c r="H135" s="167">
        <v>5.1452830188679197</v>
      </c>
      <c r="I135" s="167">
        <v>5.269639065817417</v>
      </c>
      <c r="J135" s="167">
        <v>5.1196428571428569</v>
      </c>
      <c r="K135" s="167">
        <v>5.2444029850746237</v>
      </c>
      <c r="L135" s="167">
        <v>5.2927272727272729</v>
      </c>
      <c r="M135" s="167">
        <v>5.2173144876325086</v>
      </c>
      <c r="N135" s="167">
        <v>5.0220338983050858</v>
      </c>
      <c r="O135" s="167">
        <v>5.2439393939393941</v>
      </c>
      <c r="P135" s="167">
        <v>4.6738794435857773</v>
      </c>
      <c r="Q135" s="167">
        <v>4.9908735332464147</v>
      </c>
      <c r="R135" s="167">
        <v>4.7494949494949505</v>
      </c>
      <c r="S135" s="167">
        <v>4.4079646017699101</v>
      </c>
      <c r="T135" s="167">
        <v>4.3333333333333321</v>
      </c>
      <c r="U135" s="164">
        <f t="shared" si="57"/>
        <v>-0.91106965174129151</v>
      </c>
      <c r="V135" s="164">
        <f t="shared" si="58"/>
        <v>-0.34054611025244519</v>
      </c>
      <c r="W135" s="164">
        <f t="shared" si="59"/>
        <v>-7.4631268436577969E-2</v>
      </c>
    </row>
    <row r="136" spans="1:23" ht="15" customHeight="1" x14ac:dyDescent="0.2">
      <c r="A136" s="34" t="s">
        <v>12</v>
      </c>
      <c r="B136" s="29" t="s">
        <v>384</v>
      </c>
      <c r="C136" s="167">
        <v>13.154572564612328</v>
      </c>
      <c r="D136" s="167">
        <v>12.866753472222221</v>
      </c>
      <c r="E136" s="167">
        <v>12.61916461916462</v>
      </c>
      <c r="F136" s="167">
        <v>12.826216908625106</v>
      </c>
      <c r="G136" s="167">
        <v>12.392501912777353</v>
      </c>
      <c r="H136" s="167">
        <v>12.342057433660488</v>
      </c>
      <c r="I136" s="167">
        <v>12.219551282051279</v>
      </c>
      <c r="J136" s="167">
        <v>12.141711229946525</v>
      </c>
      <c r="K136" s="167">
        <v>11.905725853094275</v>
      </c>
      <c r="L136" s="167">
        <v>11.834389140271494</v>
      </c>
      <c r="M136" s="167">
        <v>11.576482830385016</v>
      </c>
      <c r="N136" s="167">
        <v>11.98150629857947</v>
      </c>
      <c r="O136" s="167">
        <v>12.14631369200114</v>
      </c>
      <c r="P136" s="167">
        <v>11.724929267525935</v>
      </c>
      <c r="Q136" s="167">
        <v>11.816259808195293</v>
      </c>
      <c r="R136" s="167">
        <v>11.734470158343484</v>
      </c>
      <c r="S136" s="167">
        <v>11.543214704732108</v>
      </c>
      <c r="T136" s="167">
        <v>11.52890528905289</v>
      </c>
      <c r="U136" s="164">
        <f t="shared" si="57"/>
        <v>-0.37682056404138464</v>
      </c>
      <c r="V136" s="164">
        <f t="shared" si="58"/>
        <v>-0.19602397847304509</v>
      </c>
      <c r="W136" s="164">
        <f t="shared" si="59"/>
        <v>-1.4309415679218063E-2</v>
      </c>
    </row>
    <row r="137" spans="1:23" ht="15" customHeight="1" x14ac:dyDescent="0.2">
      <c r="A137" s="34"/>
      <c r="B137" s="29" t="s">
        <v>531</v>
      </c>
      <c r="C137" s="167">
        <v>3.1212723658051722</v>
      </c>
      <c r="D137" s="167">
        <v>2.9509548611111107</v>
      </c>
      <c r="E137" s="167">
        <v>2.8374283374283387</v>
      </c>
      <c r="F137" s="167">
        <v>3.1093082835183594</v>
      </c>
      <c r="G137" s="167">
        <v>2.858071920428463</v>
      </c>
      <c r="H137" s="167">
        <v>2.8782260996001465</v>
      </c>
      <c r="I137" s="167">
        <v>2.7964743589743559</v>
      </c>
      <c r="J137" s="167">
        <v>2.7727272727272734</v>
      </c>
      <c r="K137" s="167">
        <v>2.5292076344707937</v>
      </c>
      <c r="L137" s="167">
        <v>2.4835595776772248</v>
      </c>
      <c r="M137" s="167">
        <v>2.3111342351716964</v>
      </c>
      <c r="N137" s="167">
        <v>2.571428571428573</v>
      </c>
      <c r="O137" s="167">
        <v>2.6068886991175653</v>
      </c>
      <c r="P137" s="167">
        <v>2.3599497013517752</v>
      </c>
      <c r="Q137" s="167">
        <v>2.3842632955536178</v>
      </c>
      <c r="R137" s="167">
        <v>2.2819732034104749</v>
      </c>
      <c r="S137" s="167">
        <v>2.0739147438404384</v>
      </c>
      <c r="T137" s="167">
        <v>2.0606806068060681</v>
      </c>
      <c r="U137" s="164">
        <f t="shared" si="57"/>
        <v>-0.46852702766472554</v>
      </c>
      <c r="V137" s="164">
        <f t="shared" si="58"/>
        <v>-0.29926909454570705</v>
      </c>
      <c r="W137" s="164">
        <f t="shared" si="59"/>
        <v>-1.3234137034370264E-2</v>
      </c>
    </row>
    <row r="138" spans="1:23" ht="15" customHeight="1" x14ac:dyDescent="0.2">
      <c r="A138" s="34" t="s">
        <v>13</v>
      </c>
      <c r="B138" s="29" t="s">
        <v>384</v>
      </c>
      <c r="C138" s="167">
        <v>17.681159420289866</v>
      </c>
      <c r="D138" s="167">
        <v>17.159378036929066</v>
      </c>
      <c r="E138" s="167">
        <v>16.255760368663594</v>
      </c>
      <c r="F138" s="167">
        <v>16.828894269572231</v>
      </c>
      <c r="G138" s="167">
        <v>16.299030574198358</v>
      </c>
      <c r="H138" s="167">
        <v>16.900090009000905</v>
      </c>
      <c r="I138" s="167">
        <v>16.962510187449062</v>
      </c>
      <c r="J138" s="167">
        <v>16.677357280307891</v>
      </c>
      <c r="K138" s="167">
        <v>16.679638637943007</v>
      </c>
      <c r="L138" s="167">
        <v>16.715473145780049</v>
      </c>
      <c r="M138" s="167">
        <v>17.045356371490286</v>
      </c>
      <c r="N138" s="167">
        <v>17.100879765395902</v>
      </c>
      <c r="O138" s="167">
        <v>16.83654407472272</v>
      </c>
      <c r="P138" s="167">
        <v>16.777075098814237</v>
      </c>
      <c r="Q138" s="167">
        <v>16.71873015873016</v>
      </c>
      <c r="R138" s="167">
        <v>16.42785129174543</v>
      </c>
      <c r="S138" s="167">
        <v>16.380905991232339</v>
      </c>
      <c r="T138" s="167">
        <v>16.182748538011694</v>
      </c>
      <c r="U138" s="164">
        <f t="shared" si="57"/>
        <v>-0.4968900999313135</v>
      </c>
      <c r="V138" s="164">
        <f t="shared" si="58"/>
        <v>-0.59432656080254276</v>
      </c>
      <c r="W138" s="164">
        <f t="shared" si="59"/>
        <v>-0.19815745322064515</v>
      </c>
    </row>
    <row r="139" spans="1:23" ht="15" customHeight="1" x14ac:dyDescent="0.2">
      <c r="A139" s="34"/>
      <c r="B139" s="29" t="s">
        <v>531</v>
      </c>
      <c r="C139" s="167">
        <v>6.7330917874396246</v>
      </c>
      <c r="D139" s="167">
        <v>6.7521865889212922</v>
      </c>
      <c r="E139" s="167">
        <v>5.9900153609831026</v>
      </c>
      <c r="F139" s="167">
        <v>6.4019370460048375</v>
      </c>
      <c r="G139" s="167">
        <v>5.9500372856077544</v>
      </c>
      <c r="H139" s="167">
        <v>6.5202520252025256</v>
      </c>
      <c r="I139" s="167">
        <v>6.5362673186634073</v>
      </c>
      <c r="J139" s="167">
        <v>6.2206542655548454</v>
      </c>
      <c r="K139" s="167">
        <v>6.2084781097984632</v>
      </c>
      <c r="L139" s="167">
        <v>6.1687979539641926</v>
      </c>
      <c r="M139" s="167">
        <v>6.511339092872575</v>
      </c>
      <c r="N139" s="167">
        <v>6.5683284457478077</v>
      </c>
      <c r="O139" s="167">
        <v>6.3508464681844838</v>
      </c>
      <c r="P139" s="167">
        <v>6.3343873517786644</v>
      </c>
      <c r="Q139" s="167">
        <v>6.2711111111111126</v>
      </c>
      <c r="R139" s="167">
        <v>6.0226843100189011</v>
      </c>
      <c r="S139" s="167">
        <v>5.9288845591816823</v>
      </c>
      <c r="T139" s="167">
        <v>5.7334307992202707</v>
      </c>
      <c r="U139" s="164">
        <f t="shared" si="57"/>
        <v>-0.47504731057819249</v>
      </c>
      <c r="V139" s="164">
        <f t="shared" si="58"/>
        <v>-0.60095655255839375</v>
      </c>
      <c r="W139" s="164">
        <f t="shared" si="59"/>
        <v>-0.19545375996141168</v>
      </c>
    </row>
    <row r="140" spans="1:23" ht="15" customHeight="1" x14ac:dyDescent="0.2">
      <c r="A140" s="34" t="s">
        <v>14</v>
      </c>
      <c r="B140" s="29" t="s">
        <v>384</v>
      </c>
      <c r="C140" s="167">
        <v>11.736672051696289</v>
      </c>
      <c r="D140" s="167">
        <v>11.400611620795107</v>
      </c>
      <c r="E140" s="167">
        <v>11.480659670164918</v>
      </c>
      <c r="F140" s="167">
        <v>11.546590600380332</v>
      </c>
      <c r="G140" s="167">
        <v>11.549067982456139</v>
      </c>
      <c r="H140" s="167">
        <v>11.764781162016893</v>
      </c>
      <c r="I140" s="167">
        <v>11.506057546693588</v>
      </c>
      <c r="J140" s="167">
        <v>11.708294930875576</v>
      </c>
      <c r="K140" s="167">
        <v>11.670125482625483</v>
      </c>
      <c r="L140" s="167">
        <v>11.790767686904164</v>
      </c>
      <c r="M140" s="167">
        <v>11.904865452568631</v>
      </c>
      <c r="N140" s="167">
        <v>11.94200127469726</v>
      </c>
      <c r="O140" s="167">
        <v>11.895287958115183</v>
      </c>
      <c r="P140" s="167">
        <v>11.768115942028984</v>
      </c>
      <c r="Q140" s="167">
        <v>11.98408057179987</v>
      </c>
      <c r="R140" s="167">
        <v>11.612012987012985</v>
      </c>
      <c r="S140" s="167">
        <v>11.706009913258981</v>
      </c>
      <c r="T140" s="167">
        <v>11.502470007057163</v>
      </c>
      <c r="U140" s="164">
        <f t="shared" si="57"/>
        <v>-0.16765547556832061</v>
      </c>
      <c r="V140" s="164">
        <f t="shared" si="58"/>
        <v>-0.26564593497182187</v>
      </c>
      <c r="W140" s="164">
        <f t="shared" si="59"/>
        <v>-0.20353990620181861</v>
      </c>
    </row>
    <row r="141" spans="1:23" ht="15" customHeight="1" x14ac:dyDescent="0.2">
      <c r="A141" s="34"/>
      <c r="B141" s="29" t="s">
        <v>531</v>
      </c>
      <c r="C141" s="167">
        <v>2.1445880452342525</v>
      </c>
      <c r="D141" s="167">
        <v>1.896788990825689</v>
      </c>
      <c r="E141" s="167">
        <v>1.9619190404797617</v>
      </c>
      <c r="F141" s="167">
        <v>2.2455854387394734</v>
      </c>
      <c r="G141" s="167">
        <v>2.1359649122807003</v>
      </c>
      <c r="H141" s="167">
        <v>2.3596109546966986</v>
      </c>
      <c r="I141" s="167">
        <v>2.2175668854114079</v>
      </c>
      <c r="J141" s="167">
        <v>2.4988479262672811</v>
      </c>
      <c r="K141" s="167">
        <v>2.4524613899613907</v>
      </c>
      <c r="L141" s="167">
        <v>2.5494229804315101</v>
      </c>
      <c r="M141" s="167">
        <v>2.6876868714324527</v>
      </c>
      <c r="N141" s="167">
        <v>2.7307202039515612</v>
      </c>
      <c r="O141" s="167">
        <v>2.6159531875577464</v>
      </c>
      <c r="P141" s="167">
        <v>2.5533259011519878</v>
      </c>
      <c r="Q141" s="167">
        <v>2.7082521117608831</v>
      </c>
      <c r="R141" s="167">
        <v>2.2535714285714263</v>
      </c>
      <c r="S141" s="167">
        <v>2.243804213135066</v>
      </c>
      <c r="T141" s="167">
        <v>1.9816513761467878</v>
      </c>
      <c r="U141" s="164">
        <f t="shared" si="57"/>
        <v>-0.47081001381460297</v>
      </c>
      <c r="V141" s="164">
        <f t="shared" si="58"/>
        <v>-0.5716745250052</v>
      </c>
      <c r="W141" s="164">
        <f t="shared" si="59"/>
        <v>-0.26215283698827818</v>
      </c>
    </row>
    <row r="142" spans="1:23" ht="15" customHeight="1" x14ac:dyDescent="0.2">
      <c r="A142" s="34" t="s">
        <v>15</v>
      </c>
      <c r="B142" s="29" t="s">
        <v>384</v>
      </c>
      <c r="C142" s="167">
        <v>12.216783216783226</v>
      </c>
      <c r="D142" s="167">
        <v>12.41975308641975</v>
      </c>
      <c r="E142" s="167">
        <v>11.698689956331874</v>
      </c>
      <c r="F142" s="167">
        <v>12.360323886639682</v>
      </c>
      <c r="G142" s="167">
        <v>11.848958333333329</v>
      </c>
      <c r="H142" s="167">
        <v>12.382716049382712</v>
      </c>
      <c r="I142" s="167">
        <v>12.031872509960165</v>
      </c>
      <c r="J142" s="167">
        <v>11.672597864768685</v>
      </c>
      <c r="K142" s="167">
        <v>11.934472934472938</v>
      </c>
      <c r="L142" s="167">
        <v>11.599999999999993</v>
      </c>
      <c r="M142" s="167">
        <v>12.002949852507371</v>
      </c>
      <c r="N142" s="167">
        <v>11.628865979381436</v>
      </c>
      <c r="O142" s="167">
        <v>11.705056179775282</v>
      </c>
      <c r="P142" s="167">
        <v>11.406593406593409</v>
      </c>
      <c r="Q142" s="167">
        <v>11.853333333333328</v>
      </c>
      <c r="R142" s="167">
        <v>11.661577608142494</v>
      </c>
      <c r="S142" s="167">
        <v>11.562982005141395</v>
      </c>
      <c r="T142" s="167">
        <v>11.589341692789965</v>
      </c>
      <c r="U142" s="164">
        <f t="shared" si="57"/>
        <v>-0.3451312416829726</v>
      </c>
      <c r="V142" s="164">
        <f t="shared" si="58"/>
        <v>0.18274828619655636</v>
      </c>
      <c r="W142" s="164">
        <f t="shared" si="59"/>
        <v>2.6359687648570329E-2</v>
      </c>
    </row>
    <row r="143" spans="1:23" ht="15" customHeight="1" x14ac:dyDescent="0.2">
      <c r="A143" s="34"/>
      <c r="B143" s="29" t="s">
        <v>531</v>
      </c>
      <c r="C143" s="167">
        <v>3.0000000000000089</v>
      </c>
      <c r="D143" s="167">
        <v>3.1543209876543177</v>
      </c>
      <c r="E143" s="167">
        <v>2.729257641921393</v>
      </c>
      <c r="F143" s="167">
        <v>3.2995951417004115</v>
      </c>
      <c r="G143" s="167">
        <v>2.9062499999999947</v>
      </c>
      <c r="H143" s="167">
        <v>3.4238683127571967</v>
      </c>
      <c r="I143" s="167">
        <v>3.2828685258964203</v>
      </c>
      <c r="J143" s="167">
        <v>2.9430604982206425</v>
      </c>
      <c r="K143" s="167">
        <v>3.1424501424501461</v>
      </c>
      <c r="L143" s="167">
        <v>2.8156249999999918</v>
      </c>
      <c r="M143" s="167">
        <v>3.2949852507374597</v>
      </c>
      <c r="N143" s="167">
        <v>2.9037800687285156</v>
      </c>
      <c r="O143" s="167">
        <v>3.1235955056179776</v>
      </c>
      <c r="P143" s="167">
        <v>2.6886446886446915</v>
      </c>
      <c r="Q143" s="167">
        <v>3.2666666666666622</v>
      </c>
      <c r="R143" s="167">
        <v>2.9770992366412212</v>
      </c>
      <c r="S143" s="167">
        <v>2.7583547557840689</v>
      </c>
      <c r="T143" s="167">
        <v>2.9592476489028172</v>
      </c>
      <c r="U143" s="164">
        <f t="shared" si="57"/>
        <v>-0.18320249354732887</v>
      </c>
      <c r="V143" s="164">
        <f t="shared" si="58"/>
        <v>0.27060296025812569</v>
      </c>
      <c r="W143" s="164">
        <f t="shared" si="59"/>
        <v>0.20089289311874836</v>
      </c>
    </row>
    <row r="144" spans="1:23" ht="15" customHeight="1" x14ac:dyDescent="0.2">
      <c r="A144" s="34" t="s">
        <v>16</v>
      </c>
      <c r="B144" s="29" t="s">
        <v>384</v>
      </c>
      <c r="C144" s="167">
        <v>13.708835341365463</v>
      </c>
      <c r="D144" s="167">
        <v>13.483443708609276</v>
      </c>
      <c r="E144" s="167">
        <v>13.582909460834191</v>
      </c>
      <c r="F144" s="167">
        <v>13.61202938475666</v>
      </c>
      <c r="G144" s="167">
        <v>13.670663469224621</v>
      </c>
      <c r="H144" s="167">
        <v>13.699640287769784</v>
      </c>
      <c r="I144" s="167">
        <v>13.727272727272723</v>
      </c>
      <c r="J144" s="167">
        <v>13.661376953124996</v>
      </c>
      <c r="K144" s="167">
        <v>13.670835299669655</v>
      </c>
      <c r="L144" s="167">
        <v>13.772053795304309</v>
      </c>
      <c r="M144" s="167">
        <v>13.859952961299982</v>
      </c>
      <c r="N144" s="167">
        <v>14.040488301119026</v>
      </c>
      <c r="O144" s="167">
        <v>14.027839869945133</v>
      </c>
      <c r="P144" s="167">
        <v>14.620425996723105</v>
      </c>
      <c r="Q144" s="167">
        <v>14.519265776699029</v>
      </c>
      <c r="R144" s="167">
        <v>13.916015347449196</v>
      </c>
      <c r="S144" s="167">
        <v>13.555198285101824</v>
      </c>
      <c r="T144" s="167">
        <v>13.40288624787776</v>
      </c>
      <c r="U144" s="164">
        <f t="shared" si="57"/>
        <v>-0.26794905179189499</v>
      </c>
      <c r="V144" s="164">
        <f t="shared" si="58"/>
        <v>-1.2175397488453452</v>
      </c>
      <c r="W144" s="164">
        <f t="shared" si="59"/>
        <v>-0.15231203722406406</v>
      </c>
    </row>
    <row r="145" spans="1:23" ht="15" customHeight="1" x14ac:dyDescent="0.2">
      <c r="A145" s="34"/>
      <c r="B145" s="29" t="s">
        <v>531</v>
      </c>
      <c r="C145" s="167">
        <v>2.2603748326639899</v>
      </c>
      <c r="D145" s="167">
        <v>1.9238410596026529</v>
      </c>
      <c r="E145" s="167">
        <v>2.0254323499491456</v>
      </c>
      <c r="F145" s="167">
        <v>2.1271808999081756</v>
      </c>
      <c r="G145" s="167">
        <v>2.320543565147883</v>
      </c>
      <c r="H145" s="167">
        <v>2.4010791366906474</v>
      </c>
      <c r="I145" s="167">
        <v>2.5422999713220484</v>
      </c>
      <c r="J145" s="167">
        <v>2.6215820312499964</v>
      </c>
      <c r="K145" s="167">
        <v>2.556866446436997</v>
      </c>
      <c r="L145" s="167">
        <v>2.6578527467517681</v>
      </c>
      <c r="M145" s="167">
        <v>2.7896087235407343</v>
      </c>
      <c r="N145" s="167">
        <v>2.9041709053916609</v>
      </c>
      <c r="O145" s="167">
        <v>3.0188985978459666</v>
      </c>
      <c r="P145" s="167">
        <v>3.9503003823047536</v>
      </c>
      <c r="Q145" s="167">
        <v>3.4827063106796121</v>
      </c>
      <c r="R145" s="167">
        <v>3.0029842262327691</v>
      </c>
      <c r="S145" s="167">
        <v>2.6608482621344383</v>
      </c>
      <c r="T145" s="167">
        <v>2.451782682512734</v>
      </c>
      <c r="U145" s="164">
        <f t="shared" si="57"/>
        <v>-0.105083763924263</v>
      </c>
      <c r="V145" s="164">
        <f t="shared" si="58"/>
        <v>-1.4985176997920195</v>
      </c>
      <c r="W145" s="164">
        <f t="shared" si="59"/>
        <v>-0.20906557962170425</v>
      </c>
    </row>
    <row r="146" spans="1:23" ht="15" customHeight="1" x14ac:dyDescent="0.2">
      <c r="A146" s="34" t="s">
        <v>17</v>
      </c>
      <c r="B146" s="29" t="s">
        <v>384</v>
      </c>
      <c r="C146" s="167">
        <v>14.85770695247497</v>
      </c>
      <c r="D146" s="167">
        <v>14.628882915173236</v>
      </c>
      <c r="E146" s="167">
        <v>14.201270345375148</v>
      </c>
      <c r="F146" s="167">
        <v>14.219065829008469</v>
      </c>
      <c r="G146" s="167">
        <v>13.456763315876868</v>
      </c>
      <c r="H146" s="167">
        <v>13.485483320050097</v>
      </c>
      <c r="I146" s="167">
        <v>13.205959069020867</v>
      </c>
      <c r="J146" s="167">
        <v>13.091637323943662</v>
      </c>
      <c r="K146" s="167">
        <v>13.117559646660613</v>
      </c>
      <c r="L146" s="167">
        <v>12.895032802249297</v>
      </c>
      <c r="M146" s="167">
        <v>12.618775397754666</v>
      </c>
      <c r="N146" s="167">
        <v>12.591335941866964</v>
      </c>
      <c r="O146" s="167">
        <v>12.528772896741774</v>
      </c>
      <c r="P146" s="167">
        <v>12.494628709547468</v>
      </c>
      <c r="Q146" s="167">
        <v>12.58330593264127</v>
      </c>
      <c r="R146" s="167">
        <v>12.659480456421461</v>
      </c>
      <c r="S146" s="167">
        <v>12.549211841599385</v>
      </c>
      <c r="T146" s="167">
        <v>12.43436600139013</v>
      </c>
      <c r="U146" s="164">
        <f t="shared" si="57"/>
        <v>-0.68319364527048343</v>
      </c>
      <c r="V146" s="164">
        <f t="shared" si="58"/>
        <v>-6.0262708157338807E-2</v>
      </c>
      <c r="W146" s="164">
        <f t="shared" si="59"/>
        <v>-0.11484584020925581</v>
      </c>
    </row>
    <row r="147" spans="1:23" ht="15" customHeight="1" x14ac:dyDescent="0.2">
      <c r="A147" s="34"/>
      <c r="B147" s="29" t="s">
        <v>531</v>
      </c>
      <c r="C147" s="167">
        <v>4.573543928923991</v>
      </c>
      <c r="D147" s="167">
        <v>4.3993428912783727</v>
      </c>
      <c r="E147" s="167">
        <v>4.1935953420669563</v>
      </c>
      <c r="F147" s="167">
        <v>4.2724665391969427</v>
      </c>
      <c r="G147" s="167">
        <v>3.8140247796653473</v>
      </c>
      <c r="H147" s="167">
        <v>3.8451554138676993</v>
      </c>
      <c r="I147" s="167">
        <v>3.712279293739968</v>
      </c>
      <c r="J147" s="167">
        <v>3.6805457746478876</v>
      </c>
      <c r="K147" s="167">
        <v>3.716585486667217</v>
      </c>
      <c r="L147" s="167">
        <v>3.6269915651358939</v>
      </c>
      <c r="M147" s="167">
        <v>3.3631792823197184</v>
      </c>
      <c r="N147" s="167">
        <v>3.5128004471771934</v>
      </c>
      <c r="O147" s="167">
        <v>3.5507645755660029</v>
      </c>
      <c r="P147" s="167">
        <v>3.3532966295152402</v>
      </c>
      <c r="Q147" s="167">
        <v>3.6408004133590115</v>
      </c>
      <c r="R147" s="167">
        <v>3.5860160233066267</v>
      </c>
      <c r="S147" s="167">
        <v>3.3918685121107277</v>
      </c>
      <c r="T147" s="167">
        <v>3.2486346936749069</v>
      </c>
      <c r="U147" s="164">
        <f t="shared" si="57"/>
        <v>-0.46795079299231013</v>
      </c>
      <c r="V147" s="164">
        <f t="shared" si="58"/>
        <v>-0.10466193584033334</v>
      </c>
      <c r="W147" s="164">
        <f t="shared" si="59"/>
        <v>-0.14323381843582084</v>
      </c>
    </row>
    <row r="148" spans="1:23" ht="12.75" x14ac:dyDescent="0.2">
      <c r="A148" s="44"/>
      <c r="B148" s="44"/>
      <c r="C148" s="44"/>
      <c r="D148" s="44"/>
      <c r="E148" s="44"/>
      <c r="F148" s="44"/>
      <c r="G148" s="44"/>
      <c r="H148" s="44"/>
      <c r="I148" s="44"/>
      <c r="J148" s="44"/>
      <c r="K148" s="44"/>
      <c r="L148" s="44"/>
      <c r="M148" s="44"/>
      <c r="N148" s="44"/>
      <c r="O148" s="44"/>
      <c r="P148" s="44"/>
      <c r="Q148" s="44"/>
      <c r="R148" s="44"/>
      <c r="S148" s="44"/>
      <c r="T148" s="44"/>
    </row>
    <row r="149" spans="1:23" ht="15.75" x14ac:dyDescent="0.25">
      <c r="A149" s="54" t="s">
        <v>579</v>
      </c>
      <c r="B149" s="54"/>
      <c r="C149" s="54"/>
      <c r="D149" s="54"/>
      <c r="E149" s="54"/>
      <c r="F149" s="54"/>
      <c r="G149" s="54"/>
      <c r="H149" s="54"/>
      <c r="I149" s="54"/>
      <c r="J149" s="54"/>
      <c r="K149" s="54"/>
      <c r="L149" s="54"/>
      <c r="M149" s="54"/>
      <c r="N149" s="54"/>
      <c r="O149" s="54"/>
      <c r="P149" s="54"/>
      <c r="Q149" s="54"/>
      <c r="R149" s="54"/>
      <c r="S149" s="54"/>
      <c r="T149" s="54"/>
      <c r="U149" s="66"/>
      <c r="V149" s="66"/>
      <c r="W149" s="66"/>
    </row>
    <row r="150" spans="1:23" ht="38.25" x14ac:dyDescent="0.2">
      <c r="A150" s="56" t="s">
        <v>581</v>
      </c>
      <c r="B150" s="147" t="s">
        <v>530</v>
      </c>
      <c r="C150" s="15">
        <v>2007</v>
      </c>
      <c r="D150" s="15">
        <v>2008</v>
      </c>
      <c r="E150" s="15">
        <v>2009</v>
      </c>
      <c r="F150" s="15">
        <v>2010</v>
      </c>
      <c r="G150" s="15">
        <v>2011</v>
      </c>
      <c r="H150" s="15">
        <v>2012</v>
      </c>
      <c r="I150" s="15">
        <v>2013</v>
      </c>
      <c r="J150" s="15">
        <v>2014</v>
      </c>
      <c r="K150" s="15">
        <v>2015</v>
      </c>
      <c r="L150" s="15">
        <v>2016</v>
      </c>
      <c r="M150" s="15">
        <v>2017</v>
      </c>
      <c r="N150" s="15">
        <v>2018</v>
      </c>
      <c r="O150" s="15">
        <v>2019</v>
      </c>
      <c r="P150" s="15">
        <v>2020</v>
      </c>
      <c r="Q150" s="15">
        <v>2021</v>
      </c>
      <c r="R150" s="15">
        <v>2022</v>
      </c>
      <c r="S150" s="15">
        <v>2023</v>
      </c>
      <c r="T150" s="15">
        <v>2024</v>
      </c>
      <c r="U150" s="27" t="s">
        <v>469</v>
      </c>
      <c r="V150" s="27" t="s">
        <v>470</v>
      </c>
      <c r="W150" s="27" t="s">
        <v>471</v>
      </c>
    </row>
    <row r="151" spans="1:23" ht="15" customHeight="1" x14ac:dyDescent="0.2">
      <c r="A151" s="196" t="s">
        <v>72</v>
      </c>
      <c r="B151" s="197"/>
      <c r="C151" s="166"/>
      <c r="D151" s="166"/>
      <c r="E151" s="166"/>
      <c r="F151" s="166"/>
      <c r="G151" s="166"/>
      <c r="H151" s="166"/>
      <c r="I151" s="166"/>
      <c r="J151" s="166"/>
      <c r="K151" s="166"/>
      <c r="L151" s="166"/>
      <c r="M151" s="166"/>
      <c r="N151" s="166"/>
      <c r="O151" s="166"/>
      <c r="P151" s="166"/>
      <c r="Q151" s="166"/>
      <c r="R151" s="166"/>
      <c r="S151" s="166"/>
      <c r="T151" s="166"/>
      <c r="U151" s="165"/>
      <c r="V151" s="165"/>
      <c r="W151" s="165"/>
    </row>
    <row r="152" spans="1:23" ht="15" customHeight="1" x14ac:dyDescent="0.2">
      <c r="A152" s="34" t="s">
        <v>480</v>
      </c>
      <c r="B152" s="29" t="s">
        <v>384</v>
      </c>
      <c r="C152" s="167">
        <v>13.268944676894469</v>
      </c>
      <c r="D152" s="167">
        <v>13.274024526198438</v>
      </c>
      <c r="E152" s="167">
        <v>13.025705857564267</v>
      </c>
      <c r="F152" s="167">
        <v>13.103946297803091</v>
      </c>
      <c r="G152" s="167">
        <v>12.649294449670743</v>
      </c>
      <c r="H152" s="167">
        <v>12.416393979057593</v>
      </c>
      <c r="I152" s="167">
        <v>12.357870235670639</v>
      </c>
      <c r="J152" s="167">
        <v>12.222165863555666</v>
      </c>
      <c r="K152" s="167">
        <v>12.079956321281241</v>
      </c>
      <c r="L152" s="167">
        <v>11.993793638479442</v>
      </c>
      <c r="M152" s="167">
        <v>12.0473752885677</v>
      </c>
      <c r="N152" s="167">
        <v>11.820808296979175</v>
      </c>
      <c r="O152" s="167">
        <v>11.587207911316694</v>
      </c>
      <c r="P152" s="167">
        <v>11.573016481410502</v>
      </c>
      <c r="Q152" s="167">
        <v>11.575250153154991</v>
      </c>
      <c r="R152" s="167">
        <v>11.455529163367641</v>
      </c>
      <c r="S152" s="167">
        <v>11.565663337132131</v>
      </c>
      <c r="T152" s="167">
        <v>11.557658628586825</v>
      </c>
      <c r="U152" s="164">
        <f t="shared" ref="U152:U171" si="60">IFERROR((T152-K152),"n/a")</f>
        <v>-0.52229769269441562</v>
      </c>
      <c r="V152" s="164">
        <f t="shared" ref="V152:V171" si="61">IFERROR((T152-P152),"n/a")</f>
        <v>-1.535785282367641E-2</v>
      </c>
      <c r="W152" s="164">
        <f t="shared" ref="W152:W171" si="62">IFERROR((T152-S152),"n/a")</f>
        <v>-8.004708545305661E-3</v>
      </c>
    </row>
    <row r="153" spans="1:23" ht="15" customHeight="1" x14ac:dyDescent="0.2">
      <c r="A153" s="34"/>
      <c r="B153" s="29" t="s">
        <v>531</v>
      </c>
      <c r="C153" s="167">
        <v>3.4951185495118562</v>
      </c>
      <c r="D153" s="167">
        <v>3.5797101449275353</v>
      </c>
      <c r="E153" s="167">
        <v>3.4605983986514985</v>
      </c>
      <c r="F153" s="167">
        <v>3.5569568755085434</v>
      </c>
      <c r="G153" s="167">
        <v>3.2517403574788322</v>
      </c>
      <c r="H153" s="167">
        <v>3.1176374345549753</v>
      </c>
      <c r="I153" s="167">
        <v>3.0833575792842556</v>
      </c>
      <c r="J153" s="167">
        <v>2.992264773015469</v>
      </c>
      <c r="K153" s="167">
        <v>2.9173744236835706</v>
      </c>
      <c r="L153" s="167">
        <v>2.8854039676382577</v>
      </c>
      <c r="M153" s="167">
        <v>2.9350597209675797</v>
      </c>
      <c r="N153" s="167">
        <v>2.8742283315499222</v>
      </c>
      <c r="O153" s="167">
        <v>2.6990988117074757</v>
      </c>
      <c r="P153" s="167">
        <v>2.6635684170180145</v>
      </c>
      <c r="Q153" s="167">
        <v>2.6969573208086572</v>
      </c>
      <c r="R153" s="167">
        <v>2.5704011612562656</v>
      </c>
      <c r="S153" s="167">
        <v>2.5674733525507811</v>
      </c>
      <c r="T153" s="167">
        <v>2.5502492253805737</v>
      </c>
      <c r="U153" s="164">
        <f t="shared" si="60"/>
        <v>-0.36712519830299684</v>
      </c>
      <c r="V153" s="164">
        <f t="shared" si="61"/>
        <v>-0.11331919163744075</v>
      </c>
      <c r="W153" s="164">
        <f t="shared" si="62"/>
        <v>-1.7224127170207382E-2</v>
      </c>
    </row>
    <row r="154" spans="1:23" ht="15" customHeight="1" x14ac:dyDescent="0.2">
      <c r="A154" s="34" t="s">
        <v>481</v>
      </c>
      <c r="B154" s="29" t="s">
        <v>384</v>
      </c>
      <c r="C154" s="167">
        <v>16.421965317919074</v>
      </c>
      <c r="D154" s="167">
        <v>15.790028763183125</v>
      </c>
      <c r="E154" s="167">
        <v>15.847058823529411</v>
      </c>
      <c r="F154" s="167">
        <v>16.002079002079007</v>
      </c>
      <c r="G154" s="167">
        <v>16.091915836101869</v>
      </c>
      <c r="H154" s="167">
        <v>15.764196342637154</v>
      </c>
      <c r="I154" s="167">
        <v>15.895072992700733</v>
      </c>
      <c r="J154" s="167">
        <v>15.615241635687736</v>
      </c>
      <c r="K154" s="167">
        <v>15.685958254269456</v>
      </c>
      <c r="L154" s="167">
        <v>15.589641434262951</v>
      </c>
      <c r="M154" s="167">
        <v>15.144016227180535</v>
      </c>
      <c r="N154" s="167">
        <v>14.599999999999994</v>
      </c>
      <c r="O154" s="167">
        <v>14.530530530530534</v>
      </c>
      <c r="P154" s="167">
        <v>14.338896020539154</v>
      </c>
      <c r="Q154" s="167">
        <v>14.209817893903404</v>
      </c>
      <c r="R154" s="167">
        <v>13.687457627118642</v>
      </c>
      <c r="S154" s="167">
        <v>13.511265164644712</v>
      </c>
      <c r="T154" s="167">
        <v>13.313683071930775</v>
      </c>
      <c r="U154" s="164">
        <f t="shared" si="60"/>
        <v>-2.3722751823386812</v>
      </c>
      <c r="V154" s="164">
        <f t="shared" si="61"/>
        <v>-1.0252129486083792</v>
      </c>
      <c r="W154" s="164">
        <f t="shared" si="62"/>
        <v>-0.19758209271393667</v>
      </c>
    </row>
    <row r="155" spans="1:23" ht="15" customHeight="1" x14ac:dyDescent="0.2">
      <c r="A155" s="34"/>
      <c r="B155" s="29" t="s">
        <v>531</v>
      </c>
      <c r="C155" s="167">
        <v>6.1109826589595375</v>
      </c>
      <c r="D155" s="167">
        <v>5.3633748801534029</v>
      </c>
      <c r="E155" s="167">
        <v>5.6843137254901954</v>
      </c>
      <c r="F155" s="167">
        <v>5.8565488565488621</v>
      </c>
      <c r="G155" s="167">
        <v>5.953488372093009</v>
      </c>
      <c r="H155" s="167">
        <v>5.6823869104908606</v>
      </c>
      <c r="I155" s="167">
        <v>5.7116788321167906</v>
      </c>
      <c r="J155" s="167">
        <v>5.5511152416356921</v>
      </c>
      <c r="K155" s="167">
        <v>5.5692599620493421</v>
      </c>
      <c r="L155" s="167">
        <v>5.4452191235059786</v>
      </c>
      <c r="M155" s="167">
        <v>5.0983772819472684</v>
      </c>
      <c r="N155" s="167">
        <v>4.6836956521739079</v>
      </c>
      <c r="O155" s="167">
        <v>4.7757757757757791</v>
      </c>
      <c r="P155" s="167">
        <v>4.5982028241335069</v>
      </c>
      <c r="Q155" s="167">
        <v>4.477434679334916</v>
      </c>
      <c r="R155" s="167">
        <v>4.0101694915254207</v>
      </c>
      <c r="S155" s="167">
        <v>3.8336221837088367</v>
      </c>
      <c r="T155" s="167">
        <v>3.6608977825851827</v>
      </c>
      <c r="U155" s="164">
        <f t="shared" si="60"/>
        <v>-1.9083621794641594</v>
      </c>
      <c r="V155" s="164">
        <f t="shared" si="61"/>
        <v>-0.93730504154832417</v>
      </c>
      <c r="W155" s="164">
        <f t="shared" si="62"/>
        <v>-0.17272440112365395</v>
      </c>
    </row>
    <row r="156" spans="1:23" ht="15" customHeight="1" x14ac:dyDescent="0.2">
      <c r="A156" s="34" t="s">
        <v>482</v>
      </c>
      <c r="B156" s="29" t="s">
        <v>384</v>
      </c>
      <c r="C156" s="167">
        <v>11.939601494396015</v>
      </c>
      <c r="D156" s="167">
        <v>11.75174825174825</v>
      </c>
      <c r="E156" s="167">
        <v>11.497664763881682</v>
      </c>
      <c r="F156" s="167">
        <v>11.540199684708357</v>
      </c>
      <c r="G156" s="167">
        <v>11.376394052044613</v>
      </c>
      <c r="H156" s="167">
        <v>11.498613861386142</v>
      </c>
      <c r="I156" s="167">
        <v>11.637660485021399</v>
      </c>
      <c r="J156" s="167">
        <v>11.551221290557789</v>
      </c>
      <c r="K156" s="167">
        <v>11.539362870743316</v>
      </c>
      <c r="L156" s="167">
        <v>11.37530266343826</v>
      </c>
      <c r="M156" s="167">
        <v>11.395644283121596</v>
      </c>
      <c r="N156" s="167">
        <v>11.553792569659439</v>
      </c>
      <c r="O156" s="167">
        <v>11.238927265339299</v>
      </c>
      <c r="P156" s="167">
        <v>10.924902891670262</v>
      </c>
      <c r="Q156" s="167">
        <v>11.234668335419276</v>
      </c>
      <c r="R156" s="167">
        <v>11.128424153166423</v>
      </c>
      <c r="S156" s="167">
        <v>10.865659340659338</v>
      </c>
      <c r="T156" s="167">
        <v>10.71657052962769</v>
      </c>
      <c r="U156" s="164">
        <f t="shared" si="60"/>
        <v>-0.82279234111562616</v>
      </c>
      <c r="V156" s="164">
        <f t="shared" si="61"/>
        <v>-0.20833236204257233</v>
      </c>
      <c r="W156" s="164">
        <f t="shared" si="62"/>
        <v>-0.14908881103164795</v>
      </c>
    </row>
    <row r="157" spans="1:23" ht="15" customHeight="1" x14ac:dyDescent="0.2">
      <c r="A157" s="34"/>
      <c r="B157" s="29" t="s">
        <v>531</v>
      </c>
      <c r="C157" s="167">
        <v>2.6295143212951437</v>
      </c>
      <c r="D157" s="167">
        <v>2.5629370629370616</v>
      </c>
      <c r="E157" s="167">
        <v>2.6107939802802296</v>
      </c>
      <c r="F157" s="167">
        <v>2.4650551760378363</v>
      </c>
      <c r="G157" s="167">
        <v>2.6477695167286281</v>
      </c>
      <c r="H157" s="167">
        <v>2.8000000000000025</v>
      </c>
      <c r="I157" s="167">
        <v>2.9350927246790306</v>
      </c>
      <c r="J157" s="167">
        <v>2.8224571636893963</v>
      </c>
      <c r="K157" s="167">
        <v>2.8978396191871099</v>
      </c>
      <c r="L157" s="167">
        <v>2.6937046004842653</v>
      </c>
      <c r="M157" s="167">
        <v>2.770235934664246</v>
      </c>
      <c r="N157" s="167">
        <v>2.9551083591331242</v>
      </c>
      <c r="O157" s="167">
        <v>2.6196668021129685</v>
      </c>
      <c r="P157" s="167">
        <v>2.3461372464393602</v>
      </c>
      <c r="Q157" s="167">
        <v>2.5966833541927432</v>
      </c>
      <c r="R157" s="167">
        <v>2.4612665684830652</v>
      </c>
      <c r="S157" s="167">
        <v>2.1967032967032942</v>
      </c>
      <c r="T157" s="167">
        <v>2.0474567383324622</v>
      </c>
      <c r="U157" s="164">
        <f t="shared" si="60"/>
        <v>-0.85038288085464764</v>
      </c>
      <c r="V157" s="164">
        <f t="shared" si="61"/>
        <v>-0.29868050810689795</v>
      </c>
      <c r="W157" s="164">
        <f t="shared" si="62"/>
        <v>-0.14924655837083201</v>
      </c>
    </row>
    <row r="158" spans="1:23" ht="15" customHeight="1" x14ac:dyDescent="0.2">
      <c r="A158" s="34" t="s">
        <v>483</v>
      </c>
      <c r="B158" s="29" t="s">
        <v>384</v>
      </c>
      <c r="C158" s="167">
        <v>15.784017278617712</v>
      </c>
      <c r="D158" s="167">
        <v>15.037383177570092</v>
      </c>
      <c r="E158" s="167">
        <v>15.291208791208792</v>
      </c>
      <c r="F158" s="167">
        <v>14.982071713147411</v>
      </c>
      <c r="G158" s="167">
        <v>14.729292929292928</v>
      </c>
      <c r="H158" s="167">
        <v>14.464114832535879</v>
      </c>
      <c r="I158" s="167">
        <v>14.561128526645771</v>
      </c>
      <c r="J158" s="167">
        <v>15.038709677419357</v>
      </c>
      <c r="K158" s="167">
        <v>14.957295373665477</v>
      </c>
      <c r="L158" s="167">
        <v>14.985663082437272</v>
      </c>
      <c r="M158" s="167">
        <v>15.21875</v>
      </c>
      <c r="N158" s="167">
        <v>15.297391304347832</v>
      </c>
      <c r="O158" s="167">
        <v>15.107794361525702</v>
      </c>
      <c r="P158" s="167">
        <v>14.610337972166992</v>
      </c>
      <c r="Q158" s="167">
        <v>14.582191780821921</v>
      </c>
      <c r="R158" s="167">
        <v>14.661157024793386</v>
      </c>
      <c r="S158" s="167">
        <v>14.172139303482588</v>
      </c>
      <c r="T158" s="167">
        <v>14.032710280373831</v>
      </c>
      <c r="U158" s="164">
        <f t="shared" si="60"/>
        <v>-0.92458509329164684</v>
      </c>
      <c r="V158" s="164">
        <f t="shared" si="61"/>
        <v>-0.57762769179316109</v>
      </c>
      <c r="W158" s="164">
        <f t="shared" si="62"/>
        <v>-0.13942902310875738</v>
      </c>
    </row>
    <row r="159" spans="1:23" ht="15" customHeight="1" x14ac:dyDescent="0.2">
      <c r="A159" s="34"/>
      <c r="B159" s="29" t="s">
        <v>531</v>
      </c>
      <c r="C159" s="167">
        <v>5.3866090712743002</v>
      </c>
      <c r="D159" s="167">
        <v>4.9551401869158873</v>
      </c>
      <c r="E159" s="167">
        <v>5.3498168498168504</v>
      </c>
      <c r="F159" s="167">
        <v>5.2330677290836665</v>
      </c>
      <c r="G159" s="167">
        <v>4.8989898989898979</v>
      </c>
      <c r="H159" s="167">
        <v>4.6172248803827696</v>
      </c>
      <c r="I159" s="167">
        <v>4.8307210031347996</v>
      </c>
      <c r="J159" s="167">
        <v>5.1129032258064537</v>
      </c>
      <c r="K159" s="167">
        <v>5.0444839857651225</v>
      </c>
      <c r="L159" s="167">
        <v>4.8763440860215006</v>
      </c>
      <c r="M159" s="167">
        <v>5.15625</v>
      </c>
      <c r="N159" s="167">
        <v>5.2069565217391354</v>
      </c>
      <c r="O159" s="167">
        <v>5.0331674958540606</v>
      </c>
      <c r="P159" s="167">
        <v>4.7057654075546651</v>
      </c>
      <c r="Q159" s="167">
        <v>4.8441780821917835</v>
      </c>
      <c r="R159" s="167">
        <v>4.8476977567886639</v>
      </c>
      <c r="S159" s="167">
        <v>4.3343283582089569</v>
      </c>
      <c r="T159" s="167">
        <v>3.9336448598130822</v>
      </c>
      <c r="U159" s="164">
        <f t="shared" si="60"/>
        <v>-1.1108391259520403</v>
      </c>
      <c r="V159" s="164">
        <f t="shared" si="61"/>
        <v>-0.7721205477415829</v>
      </c>
      <c r="W159" s="164">
        <f t="shared" si="62"/>
        <v>-0.40068349839587469</v>
      </c>
    </row>
    <row r="160" spans="1:23" ht="15" customHeight="1" x14ac:dyDescent="0.2">
      <c r="A160" s="34" t="s">
        <v>484</v>
      </c>
      <c r="B160" s="29" t="s">
        <v>384</v>
      </c>
      <c r="C160" s="167">
        <v>13.587047619047619</v>
      </c>
      <c r="D160" s="167">
        <v>13.037581699346415</v>
      </c>
      <c r="E160" s="167">
        <v>12.963112213267205</v>
      </c>
      <c r="F160" s="167">
        <v>13.172799422799429</v>
      </c>
      <c r="G160" s="167">
        <v>12.893839192481726</v>
      </c>
      <c r="H160" s="167">
        <v>12.878635907723167</v>
      </c>
      <c r="I160" s="167">
        <v>12.726742400982502</v>
      </c>
      <c r="J160" s="167">
        <v>12.674895895300416</v>
      </c>
      <c r="K160" s="167">
        <v>12.594374120956399</v>
      </c>
      <c r="L160" s="167">
        <v>12.349814232637899</v>
      </c>
      <c r="M160" s="167">
        <v>12.2948294829483</v>
      </c>
      <c r="N160" s="167">
        <v>12.285714285714286</v>
      </c>
      <c r="O160" s="167">
        <v>12.025641025641022</v>
      </c>
      <c r="P160" s="167">
        <v>11.86134453781513</v>
      </c>
      <c r="Q160" s="167">
        <v>12.001265365148228</v>
      </c>
      <c r="R160" s="167">
        <v>11.774832156997762</v>
      </c>
      <c r="S160" s="167">
        <v>11.678844237794751</v>
      </c>
      <c r="T160" s="167">
        <v>11.519892110586651</v>
      </c>
      <c r="U160" s="164">
        <f t="shared" si="60"/>
        <v>-1.0744820103697474</v>
      </c>
      <c r="V160" s="164">
        <f t="shared" si="61"/>
        <v>-0.34145242722847868</v>
      </c>
      <c r="W160" s="164">
        <f t="shared" si="62"/>
        <v>-0.15895212720809937</v>
      </c>
    </row>
    <row r="161" spans="1:23" ht="15" customHeight="1" x14ac:dyDescent="0.2">
      <c r="A161" s="34"/>
      <c r="B161" s="29" t="s">
        <v>531</v>
      </c>
      <c r="C161" s="167">
        <v>2.9721904761904749</v>
      </c>
      <c r="D161" s="167">
        <v>2.692483660130728</v>
      </c>
      <c r="E161" s="167">
        <v>2.6404215747055186</v>
      </c>
      <c r="F161" s="167">
        <v>3.0003607503607554</v>
      </c>
      <c r="G161" s="167">
        <v>2.6599373477201524</v>
      </c>
      <c r="H161" s="167">
        <v>2.7037780006686702</v>
      </c>
      <c r="I161" s="167">
        <v>2.6257291986490667</v>
      </c>
      <c r="J161" s="167">
        <v>2.6350386674598454</v>
      </c>
      <c r="K161" s="167">
        <v>2.4624472573839657</v>
      </c>
      <c r="L161" s="167">
        <v>2.1929122606459011</v>
      </c>
      <c r="M161" s="167">
        <v>2.1815181518151867</v>
      </c>
      <c r="N161" s="167">
        <v>2.0789799455310725</v>
      </c>
      <c r="O161" s="167">
        <v>1.9807692307692264</v>
      </c>
      <c r="P161" s="167">
        <v>1.9094012605042057</v>
      </c>
      <c r="Q161" s="167">
        <v>2.0193420101229211</v>
      </c>
      <c r="R161" s="167">
        <v>1.8058185574109142</v>
      </c>
      <c r="S161" s="167">
        <v>1.7160411823314501</v>
      </c>
      <c r="T161" s="167">
        <v>1.5777140930546221</v>
      </c>
      <c r="U161" s="164">
        <f t="shared" si="60"/>
        <v>-0.88473316432934368</v>
      </c>
      <c r="V161" s="164">
        <f t="shared" si="61"/>
        <v>-0.3316871674495836</v>
      </c>
      <c r="W161" s="164">
        <f t="shared" si="62"/>
        <v>-0.13832708927682802</v>
      </c>
    </row>
    <row r="162" spans="1:23" ht="15" customHeight="1" x14ac:dyDescent="0.2">
      <c r="A162" s="34" t="s">
        <v>14</v>
      </c>
      <c r="B162" s="29" t="s">
        <v>384</v>
      </c>
      <c r="C162" s="167">
        <v>10.837100160553289</v>
      </c>
      <c r="D162" s="167">
        <v>10.633959731543625</v>
      </c>
      <c r="E162" s="167">
        <v>10.911455043166983</v>
      </c>
      <c r="F162" s="167">
        <v>10.979986529394784</v>
      </c>
      <c r="G162" s="167">
        <v>10.937519173739647</v>
      </c>
      <c r="H162" s="167">
        <v>10.885577115423084</v>
      </c>
      <c r="I162" s="167">
        <v>10.673316039001699</v>
      </c>
      <c r="J162" s="167">
        <v>10.680739916074334</v>
      </c>
      <c r="K162" s="167">
        <v>10.711938663745892</v>
      </c>
      <c r="L162" s="167">
        <v>10.558060475934871</v>
      </c>
      <c r="M162" s="167">
        <v>10.443499822883457</v>
      </c>
      <c r="N162" s="167">
        <v>10.583501862692922</v>
      </c>
      <c r="O162" s="167">
        <v>10.578436900868388</v>
      </c>
      <c r="P162" s="167">
        <v>10.653090623363017</v>
      </c>
      <c r="Q162" s="167">
        <v>10.735146824493512</v>
      </c>
      <c r="R162" s="167">
        <v>10.682549065973046</v>
      </c>
      <c r="S162" s="167">
        <v>10.692452357071213</v>
      </c>
      <c r="T162" s="167">
        <v>10.624547731700527</v>
      </c>
      <c r="U162" s="164">
        <f t="shared" si="60"/>
        <v>-8.7390932045364522E-2</v>
      </c>
      <c r="V162" s="164">
        <f t="shared" si="61"/>
        <v>-2.8542891662489467E-2</v>
      </c>
      <c r="W162" s="164">
        <f t="shared" si="62"/>
        <v>-6.7904625370685423E-2</v>
      </c>
    </row>
    <row r="163" spans="1:23" ht="15" customHeight="1" x14ac:dyDescent="0.2">
      <c r="A163" s="34"/>
      <c r="B163" s="29" t="s">
        <v>531</v>
      </c>
      <c r="C163" s="167">
        <v>1.5235272323082611</v>
      </c>
      <c r="D163" s="167">
        <v>1.478389261744967</v>
      </c>
      <c r="E163" s="167">
        <v>1.5852811118130141</v>
      </c>
      <c r="F163" s="167">
        <v>1.8849225440200126</v>
      </c>
      <c r="G163" s="167">
        <v>1.75989364965743</v>
      </c>
      <c r="H163" s="167">
        <v>1.803360672134426</v>
      </c>
      <c r="I163" s="167">
        <v>1.793630915108686</v>
      </c>
      <c r="J163" s="167">
        <v>1.8480774171448147</v>
      </c>
      <c r="K163" s="167">
        <v>1.9511683096020445</v>
      </c>
      <c r="L163" s="167">
        <v>1.8083735909822867</v>
      </c>
      <c r="M163" s="167">
        <v>1.7492029755579157</v>
      </c>
      <c r="N163" s="167">
        <v>1.8739755188930278</v>
      </c>
      <c r="O163" s="167">
        <v>1.781436788090673</v>
      </c>
      <c r="P163" s="167">
        <v>1.8746726034573076</v>
      </c>
      <c r="Q163" s="167">
        <v>1.9063282494878209</v>
      </c>
      <c r="R163" s="167">
        <v>1.6846772286592593</v>
      </c>
      <c r="S163" s="167">
        <v>1.5277081243731185</v>
      </c>
      <c r="T163" s="167">
        <v>1.3737823545783456</v>
      </c>
      <c r="U163" s="164">
        <f t="shared" si="60"/>
        <v>-0.57738595502369883</v>
      </c>
      <c r="V163" s="164">
        <f t="shared" si="61"/>
        <v>-0.50089024887896194</v>
      </c>
      <c r="W163" s="164">
        <f t="shared" si="62"/>
        <v>-0.1539257697947729</v>
      </c>
    </row>
    <row r="164" spans="1:23" ht="15" customHeight="1" x14ac:dyDescent="0.2">
      <c r="A164" s="34" t="s">
        <v>485</v>
      </c>
      <c r="B164" s="29" t="s">
        <v>384</v>
      </c>
      <c r="C164" s="167">
        <v>15.899449724862432</v>
      </c>
      <c r="D164" s="167">
        <v>15.917241379310346</v>
      </c>
      <c r="E164" s="167">
        <v>15.432994250331715</v>
      </c>
      <c r="F164" s="167">
        <v>15.121751684311839</v>
      </c>
      <c r="G164" s="167">
        <v>15.037206931702343</v>
      </c>
      <c r="H164" s="167">
        <v>14.7767032967033</v>
      </c>
      <c r="I164" s="167">
        <v>14.526666666666667</v>
      </c>
      <c r="J164" s="167">
        <v>14.404294032023289</v>
      </c>
      <c r="K164" s="167">
        <v>14.423118087763108</v>
      </c>
      <c r="L164" s="167">
        <v>14.49366244162775</v>
      </c>
      <c r="M164" s="167">
        <v>14.034362259755387</v>
      </c>
      <c r="N164" s="167">
        <v>13.904698344901227</v>
      </c>
      <c r="O164" s="167">
        <v>13.77196029776675</v>
      </c>
      <c r="P164" s="167">
        <v>13.62255307416598</v>
      </c>
      <c r="Q164" s="167">
        <v>13.568022440392706</v>
      </c>
      <c r="R164" s="167">
        <v>13.595318352059925</v>
      </c>
      <c r="S164" s="167">
        <v>13.455736477634288</v>
      </c>
      <c r="T164" s="167">
        <v>13.348627303497555</v>
      </c>
      <c r="U164" s="164">
        <f t="shared" si="60"/>
        <v>-1.0744907842655529</v>
      </c>
      <c r="V164" s="164">
        <f t="shared" si="61"/>
        <v>-0.27392577066842527</v>
      </c>
      <c r="W164" s="164">
        <f t="shared" si="62"/>
        <v>-0.10710917413673293</v>
      </c>
    </row>
    <row r="165" spans="1:23" ht="15" customHeight="1" x14ac:dyDescent="0.2">
      <c r="A165" s="34"/>
      <c r="B165" s="29" t="s">
        <v>531</v>
      </c>
      <c r="C165" s="167">
        <v>4.6888444222111065</v>
      </c>
      <c r="D165" s="167">
        <v>4.997347480106102</v>
      </c>
      <c r="E165" s="167">
        <v>4.5891198584697079</v>
      </c>
      <c r="F165" s="167">
        <v>4.4311838306063525</v>
      </c>
      <c r="G165" s="167">
        <v>4.4729867482161048</v>
      </c>
      <c r="H165" s="167">
        <v>4.294505494505497</v>
      </c>
      <c r="I165" s="167">
        <v>4.0658823529411769</v>
      </c>
      <c r="J165" s="167">
        <v>3.9657933042212505</v>
      </c>
      <c r="K165" s="167">
        <v>3.9193721013200111</v>
      </c>
      <c r="L165" s="167">
        <v>4.0823882588392237</v>
      </c>
      <c r="M165" s="167">
        <v>3.6642399534071046</v>
      </c>
      <c r="N165" s="167">
        <v>3.7015483182060862</v>
      </c>
      <c r="O165" s="167">
        <v>3.6409429280397028</v>
      </c>
      <c r="P165" s="167">
        <v>3.4367245657568262</v>
      </c>
      <c r="Q165" s="167">
        <v>3.5586054898817867</v>
      </c>
      <c r="R165" s="167">
        <v>3.5323970037453183</v>
      </c>
      <c r="S165" s="167">
        <v>3.3717012914093196</v>
      </c>
      <c r="T165" s="167">
        <v>3.2190673185408034</v>
      </c>
      <c r="U165" s="164">
        <f t="shared" si="60"/>
        <v>-0.70030478277920771</v>
      </c>
      <c r="V165" s="164">
        <f t="shared" si="61"/>
        <v>-0.21765724721602275</v>
      </c>
      <c r="W165" s="164">
        <f t="shared" si="62"/>
        <v>-0.15263397286851621</v>
      </c>
    </row>
    <row r="166" spans="1:23" ht="15" customHeight="1" x14ac:dyDescent="0.2">
      <c r="A166" s="34" t="s">
        <v>486</v>
      </c>
      <c r="B166" s="29" t="s">
        <v>384</v>
      </c>
      <c r="C166" s="167">
        <v>12.242833742833742</v>
      </c>
      <c r="D166" s="167">
        <v>12.153627041397643</v>
      </c>
      <c r="E166" s="167">
        <v>12.289588215600938</v>
      </c>
      <c r="F166" s="167">
        <v>12.331829495955196</v>
      </c>
      <c r="G166" s="167">
        <v>12.403771043771044</v>
      </c>
      <c r="H166" s="167">
        <v>12.232552852921119</v>
      </c>
      <c r="I166" s="167">
        <v>12.37542979277019</v>
      </c>
      <c r="J166" s="167">
        <v>12.287755260501593</v>
      </c>
      <c r="K166" s="167">
        <v>12.33521412037037</v>
      </c>
      <c r="L166" s="167">
        <v>12.438978054372749</v>
      </c>
      <c r="M166" s="167">
        <v>12.4560554057367</v>
      </c>
      <c r="N166" s="167">
        <v>12.593502245384487</v>
      </c>
      <c r="O166" s="167">
        <v>12.782155272305909</v>
      </c>
      <c r="P166" s="167">
        <v>12.996286336278651</v>
      </c>
      <c r="Q166" s="167">
        <v>13.089990190642729</v>
      </c>
      <c r="R166" s="167">
        <v>12.705322809147946</v>
      </c>
      <c r="S166" s="167">
        <v>12.473459798120432</v>
      </c>
      <c r="T166" s="167">
        <v>12.170040866175018</v>
      </c>
      <c r="U166" s="164">
        <f t="shared" si="60"/>
        <v>-0.16517325419535211</v>
      </c>
      <c r="V166" s="164">
        <f t="shared" si="61"/>
        <v>-0.82624547010363258</v>
      </c>
      <c r="W166" s="164">
        <f t="shared" si="62"/>
        <v>-0.30341893194541392</v>
      </c>
    </row>
    <row r="167" spans="1:23" ht="15" customHeight="1" x14ac:dyDescent="0.2">
      <c r="A167" s="34"/>
      <c r="B167" s="29" t="s">
        <v>531</v>
      </c>
      <c r="C167" s="167">
        <v>1.972153972153972</v>
      </c>
      <c r="D167" s="167">
        <v>1.7850360805165195</v>
      </c>
      <c r="E167" s="167">
        <v>1.896049548041514</v>
      </c>
      <c r="F167" s="167">
        <v>1.9835096453018046</v>
      </c>
      <c r="G167" s="167">
        <v>2.1434343434343432</v>
      </c>
      <c r="H167" s="167">
        <v>2.0336440100022735</v>
      </c>
      <c r="I167" s="167">
        <v>2.2121550041817688</v>
      </c>
      <c r="J167" s="167">
        <v>2.1701995496544768</v>
      </c>
      <c r="K167" s="167">
        <v>2.1913339120370363</v>
      </c>
      <c r="L167" s="167">
        <v>2.2707500818866695</v>
      </c>
      <c r="M167" s="167">
        <v>2.3525986761461137</v>
      </c>
      <c r="N167" s="167">
        <v>2.4591118256916342</v>
      </c>
      <c r="O167" s="167">
        <v>2.6109654205037494</v>
      </c>
      <c r="P167" s="167">
        <v>3.1301062876168508</v>
      </c>
      <c r="Q167" s="167">
        <v>2.8977267880752358</v>
      </c>
      <c r="R167" s="167">
        <v>2.5805707346690951</v>
      </c>
      <c r="S167" s="167">
        <v>2.3179168116950919</v>
      </c>
      <c r="T167" s="167">
        <v>2.0328808304758308</v>
      </c>
      <c r="U167" s="164">
        <f t="shared" si="60"/>
        <v>-0.15845308156120552</v>
      </c>
      <c r="V167" s="164">
        <f t="shared" si="61"/>
        <v>-1.09722545714102</v>
      </c>
      <c r="W167" s="164">
        <f t="shared" si="62"/>
        <v>-0.2850359812192611</v>
      </c>
    </row>
    <row r="168" spans="1:23" ht="15" customHeight="1" x14ac:dyDescent="0.2">
      <c r="A168" s="34" t="s">
        <v>487</v>
      </c>
      <c r="B168" s="29" t="s">
        <v>384</v>
      </c>
      <c r="C168" s="167">
        <v>11.652380952380955</v>
      </c>
      <c r="D168" s="167">
        <v>11.477192982456144</v>
      </c>
      <c r="E168" s="167">
        <v>10.8989898989899</v>
      </c>
      <c r="F168" s="167">
        <v>11.151048951048946</v>
      </c>
      <c r="G168" s="167">
        <v>10.376136363636361</v>
      </c>
      <c r="H168" s="167">
        <v>10.602094240837699</v>
      </c>
      <c r="I168" s="167">
        <v>10.483333333333338</v>
      </c>
      <c r="J168" s="167">
        <v>10.728445747800588</v>
      </c>
      <c r="K168" s="167">
        <v>10.526768642447417</v>
      </c>
      <c r="L168" s="167">
        <v>10.304731355252606</v>
      </c>
      <c r="M168" s="167">
        <v>10.260556464811781</v>
      </c>
      <c r="N168" s="167">
        <v>10.477443609022556</v>
      </c>
      <c r="O168" s="167">
        <v>10.521605884155685</v>
      </c>
      <c r="P168" s="167">
        <v>10.792712949286065</v>
      </c>
      <c r="Q168" s="167">
        <v>10.977482465854562</v>
      </c>
      <c r="R168" s="167">
        <v>10.77424076106842</v>
      </c>
      <c r="S168" s="167">
        <v>10.589991220368747</v>
      </c>
      <c r="T168" s="167">
        <v>10.412835685025032</v>
      </c>
      <c r="U168" s="164">
        <f t="shared" si="60"/>
        <v>-0.11393295742238507</v>
      </c>
      <c r="V168" s="164">
        <f t="shared" si="61"/>
        <v>-0.37987726426103308</v>
      </c>
      <c r="W168" s="164">
        <f t="shared" si="62"/>
        <v>-0.17715553534371509</v>
      </c>
    </row>
    <row r="169" spans="1:23" ht="15" customHeight="1" x14ac:dyDescent="0.2">
      <c r="A169" s="34"/>
      <c r="B169" s="29" t="s">
        <v>531</v>
      </c>
      <c r="C169" s="167">
        <v>2.5825396825396858</v>
      </c>
      <c r="D169" s="167">
        <v>2.6508771929824597</v>
      </c>
      <c r="E169" s="167">
        <v>2.2712842712842711</v>
      </c>
      <c r="F169" s="167">
        <v>2.3706293706293646</v>
      </c>
      <c r="G169" s="167">
        <v>2.1170454545454511</v>
      </c>
      <c r="H169" s="167">
        <v>2.2687609075043653</v>
      </c>
      <c r="I169" s="167">
        <v>2.2000000000000046</v>
      </c>
      <c r="J169" s="167">
        <v>2.4199413489736088</v>
      </c>
      <c r="K169" s="167">
        <v>2.3035372848948352</v>
      </c>
      <c r="L169" s="167">
        <v>2.1928628708901368</v>
      </c>
      <c r="M169" s="167">
        <v>2.134533551554826</v>
      </c>
      <c r="N169" s="167">
        <v>2.3672643146327346</v>
      </c>
      <c r="O169" s="167">
        <v>2.397793441618143</v>
      </c>
      <c r="P169" s="167">
        <v>2.6474643032988663</v>
      </c>
      <c r="Q169" s="167">
        <v>2.8615725359911437</v>
      </c>
      <c r="R169" s="167">
        <v>2.6706915477497226</v>
      </c>
      <c r="S169" s="167">
        <v>2.4701492537313463</v>
      </c>
      <c r="T169" s="167">
        <v>2.2958579881656771</v>
      </c>
      <c r="U169" s="164">
        <f t="shared" si="60"/>
        <v>-7.6792967291581249E-3</v>
      </c>
      <c r="V169" s="164">
        <f t="shared" si="61"/>
        <v>-0.35160631513318918</v>
      </c>
      <c r="W169" s="164">
        <f t="shared" si="62"/>
        <v>-0.17429126556566921</v>
      </c>
    </row>
    <row r="170" spans="1:23" ht="15" customHeight="1" x14ac:dyDescent="0.2">
      <c r="A170" s="34" t="s">
        <v>488</v>
      </c>
      <c r="B170" s="29" t="s">
        <v>384</v>
      </c>
      <c r="C170" s="167">
        <v>14.477876106194691</v>
      </c>
      <c r="D170" s="167">
        <v>13.909090909090912</v>
      </c>
      <c r="E170" s="167">
        <v>14.176470588235292</v>
      </c>
      <c r="F170" s="167">
        <v>14.059055118110228</v>
      </c>
      <c r="G170" s="167">
        <v>12.665529010238906</v>
      </c>
      <c r="H170" s="167">
        <v>12.496527777777779</v>
      </c>
      <c r="I170" s="167">
        <v>12.650793650793648</v>
      </c>
      <c r="J170" s="167">
        <v>12.456097560975607</v>
      </c>
      <c r="K170" s="167">
        <v>12.661016949152545</v>
      </c>
      <c r="L170" s="167">
        <v>12.7027027027027</v>
      </c>
      <c r="M170" s="167">
        <v>12.375</v>
      </c>
      <c r="N170" s="167">
        <v>12.103015075376884</v>
      </c>
      <c r="O170" s="167">
        <v>11.80056179775281</v>
      </c>
      <c r="P170" s="167">
        <v>11.51</v>
      </c>
      <c r="Q170" s="167">
        <v>11.651302605210422</v>
      </c>
      <c r="R170" s="167">
        <v>11.163841807909606</v>
      </c>
      <c r="S170" s="167">
        <v>11.239332096474953</v>
      </c>
      <c r="T170" s="167">
        <v>11.091228070175436</v>
      </c>
      <c r="U170" s="164">
        <f t="shared" si="60"/>
        <v>-1.5697888789771088</v>
      </c>
      <c r="V170" s="164">
        <f t="shared" si="61"/>
        <v>-0.41877192982456357</v>
      </c>
      <c r="W170" s="164">
        <f t="shared" si="62"/>
        <v>-0.14810402629951724</v>
      </c>
    </row>
    <row r="171" spans="1:23" ht="15" customHeight="1" x14ac:dyDescent="0.2">
      <c r="A171" s="169"/>
      <c r="B171" s="29" t="s">
        <v>531</v>
      </c>
      <c r="C171" s="167">
        <v>4.8584070796460175</v>
      </c>
      <c r="D171" s="167">
        <v>3.821818181818184</v>
      </c>
      <c r="E171" s="167">
        <v>4.4901960784313708</v>
      </c>
      <c r="F171" s="167">
        <v>4.3464566929133781</v>
      </c>
      <c r="G171" s="167">
        <v>3.5324232081911244</v>
      </c>
      <c r="H171" s="167">
        <v>3.4131944444444446</v>
      </c>
      <c r="I171" s="167">
        <v>3.6428571428571406</v>
      </c>
      <c r="J171" s="167">
        <v>3.4999999999999964</v>
      </c>
      <c r="K171" s="167">
        <v>3.8502824858757094</v>
      </c>
      <c r="L171" s="167">
        <v>3.8810810810810779</v>
      </c>
      <c r="M171" s="167">
        <v>3.4914772727272734</v>
      </c>
      <c r="N171" s="167">
        <v>3.3718592964824126</v>
      </c>
      <c r="O171" s="167">
        <v>3.2921348314606753</v>
      </c>
      <c r="P171" s="167">
        <v>2.7899999999999991</v>
      </c>
      <c r="Q171" s="167">
        <v>3.0521042084168339</v>
      </c>
      <c r="R171" s="167">
        <v>2.5649717514124308</v>
      </c>
      <c r="S171" s="167">
        <v>2.4805194805194812</v>
      </c>
      <c r="T171" s="167">
        <v>2.2877192982456123</v>
      </c>
      <c r="U171" s="164">
        <f t="shared" si="60"/>
        <v>-1.5625631876300972</v>
      </c>
      <c r="V171" s="164">
        <f t="shared" si="61"/>
        <v>-0.50228070175438688</v>
      </c>
      <c r="W171" s="164">
        <f t="shared" si="62"/>
        <v>-0.19280018227386897</v>
      </c>
    </row>
    <row r="172" spans="1:23" ht="15" customHeight="1" x14ac:dyDescent="0.2">
      <c r="A172" s="196" t="s">
        <v>71</v>
      </c>
      <c r="B172" s="197"/>
      <c r="C172" s="166"/>
      <c r="D172" s="166"/>
      <c r="E172" s="166"/>
      <c r="F172" s="166"/>
      <c r="G172" s="166"/>
      <c r="H172" s="166"/>
      <c r="I172" s="166"/>
      <c r="J172" s="166"/>
      <c r="K172" s="166"/>
      <c r="L172" s="166"/>
      <c r="M172" s="166"/>
      <c r="N172" s="166"/>
      <c r="O172" s="166"/>
      <c r="P172" s="166"/>
      <c r="Q172" s="166"/>
      <c r="R172" s="166"/>
      <c r="S172" s="166"/>
      <c r="T172" s="166"/>
      <c r="U172" s="165"/>
      <c r="V172" s="165"/>
      <c r="W172" s="165"/>
    </row>
    <row r="173" spans="1:23" ht="15" customHeight="1" x14ac:dyDescent="0.2">
      <c r="A173" s="34" t="s">
        <v>480</v>
      </c>
      <c r="B173" s="29" t="s">
        <v>384</v>
      </c>
      <c r="C173" s="167">
        <v>13.524451939291739</v>
      </c>
      <c r="D173" s="167">
        <v>13.661601270129283</v>
      </c>
      <c r="E173" s="167">
        <v>13.56499780412824</v>
      </c>
      <c r="F173" s="167">
        <v>13.64590443686007</v>
      </c>
      <c r="G173" s="167">
        <v>13.199999999999994</v>
      </c>
      <c r="H173" s="167">
        <v>13.033363719234275</v>
      </c>
      <c r="I173" s="167">
        <v>12.883542188805345</v>
      </c>
      <c r="J173" s="167">
        <v>12.804621848739497</v>
      </c>
      <c r="K173" s="167">
        <v>12.634555540522257</v>
      </c>
      <c r="L173" s="167">
        <v>12.538016209957544</v>
      </c>
      <c r="M173" s="167">
        <v>12.592501175364363</v>
      </c>
      <c r="N173" s="167">
        <v>12.468901997309322</v>
      </c>
      <c r="O173" s="167">
        <v>12.322765668995723</v>
      </c>
      <c r="P173" s="167">
        <v>12.32754643680952</v>
      </c>
      <c r="Q173" s="167">
        <v>12.29968567579704</v>
      </c>
      <c r="R173" s="167">
        <v>12.11553784860558</v>
      </c>
      <c r="S173" s="167">
        <v>12.283059636992224</v>
      </c>
      <c r="T173" s="167">
        <v>12.174525413349663</v>
      </c>
      <c r="U173" s="164">
        <f t="shared" ref="U173" si="63">IFERROR((T173-K173),"n/a")</f>
        <v>-0.46003012717259395</v>
      </c>
      <c r="V173" s="164">
        <f t="shared" ref="V173" si="64">IFERROR((T173-P173),"n/a")</f>
        <v>-0.15302102345985702</v>
      </c>
      <c r="W173" s="164">
        <f t="shared" ref="W173" si="65">IFERROR((T173-S173),"n/a")</f>
        <v>-0.10853422364256105</v>
      </c>
    </row>
    <row r="174" spans="1:23" ht="15" customHeight="1" x14ac:dyDescent="0.2">
      <c r="A174" s="34"/>
      <c r="B174" s="29" t="s">
        <v>531</v>
      </c>
      <c r="C174" s="167">
        <v>3.7152493375090359</v>
      </c>
      <c r="D174" s="167">
        <v>3.9299160807439346</v>
      </c>
      <c r="E174" s="167">
        <v>3.9152393500219596</v>
      </c>
      <c r="F174" s="167">
        <v>3.9528583617747461</v>
      </c>
      <c r="G174" s="167">
        <v>3.6563953488372025</v>
      </c>
      <c r="H174" s="167">
        <v>3.5852324521422059</v>
      </c>
      <c r="I174" s="167">
        <v>3.4658312447786113</v>
      </c>
      <c r="J174" s="167">
        <v>3.4063025210084046</v>
      </c>
      <c r="K174" s="167">
        <v>3.2969828169395203</v>
      </c>
      <c r="L174" s="167">
        <v>3.2511256914962026</v>
      </c>
      <c r="M174" s="167">
        <v>3.2606958157028689</v>
      </c>
      <c r="N174" s="167">
        <v>3.2822104936355139</v>
      </c>
      <c r="O174" s="167">
        <v>3.2044008760037528</v>
      </c>
      <c r="P174" s="167">
        <v>3.1651086560641026</v>
      </c>
      <c r="Q174" s="167">
        <v>3.1709923664122179</v>
      </c>
      <c r="R174" s="167">
        <v>2.9859229747675986</v>
      </c>
      <c r="S174" s="167">
        <v>3.0241140881590347</v>
      </c>
      <c r="T174" s="167">
        <v>2.9251159128685149</v>
      </c>
      <c r="U174" s="164">
        <f>IFERROR((T174-K174),"n/a")</f>
        <v>-0.37186690407100542</v>
      </c>
      <c r="V174" s="164">
        <f>IFERROR((T174-P174),"n/a")</f>
        <v>-0.23999274319558772</v>
      </c>
      <c r="W174" s="164">
        <f>IFERROR((T174-S174),"n/a")</f>
        <v>-9.8998175290519796E-2</v>
      </c>
    </row>
    <row r="175" spans="1:23" ht="15" customHeight="1" x14ac:dyDescent="0.2">
      <c r="A175" s="34" t="s">
        <v>481</v>
      </c>
      <c r="B175" s="29" t="s">
        <v>384</v>
      </c>
      <c r="C175" s="167">
        <v>16.926070038910503</v>
      </c>
      <c r="D175" s="167">
        <v>16.339945897204693</v>
      </c>
      <c r="E175" s="167">
        <v>15.606167400881064</v>
      </c>
      <c r="F175" s="167">
        <v>15.846014492753616</v>
      </c>
      <c r="G175" s="167">
        <v>15.734390485629328</v>
      </c>
      <c r="H175" s="167">
        <v>15.578199052132694</v>
      </c>
      <c r="I175" s="167">
        <v>15.590425531914894</v>
      </c>
      <c r="J175" s="167">
        <v>15.35664335664335</v>
      </c>
      <c r="K175" s="167">
        <v>15.557034220532319</v>
      </c>
      <c r="L175" s="167">
        <v>15.514257620452305</v>
      </c>
      <c r="M175" s="167">
        <v>15.092708333333331</v>
      </c>
      <c r="N175" s="167">
        <v>14.390588235294121</v>
      </c>
      <c r="O175" s="167">
        <v>14.142701525054463</v>
      </c>
      <c r="P175" s="167">
        <v>13.475065616797901</v>
      </c>
      <c r="Q175" s="167">
        <v>13.750248756218909</v>
      </c>
      <c r="R175" s="167">
        <v>13.536764705882346</v>
      </c>
      <c r="S175" s="167">
        <v>13.658119658119666</v>
      </c>
      <c r="T175" s="167">
        <v>13.427492447129913</v>
      </c>
      <c r="U175" s="164">
        <f t="shared" ref="U175:U192" si="66">IFERROR((T175-K175),"n/a")</f>
        <v>-2.1295417734024067</v>
      </c>
      <c r="V175" s="164">
        <f t="shared" ref="V175:V192" si="67">IFERROR((T175-P175),"n/a")</f>
        <v>-4.7573169667987969E-2</v>
      </c>
      <c r="W175" s="164">
        <f t="shared" ref="W175:W192" si="68">IFERROR((T175-S175),"n/a")</f>
        <v>-0.23062721098975381</v>
      </c>
    </row>
    <row r="176" spans="1:23" ht="15" customHeight="1" x14ac:dyDescent="0.2">
      <c r="A176" s="34"/>
      <c r="B176" s="29" t="s">
        <v>531</v>
      </c>
      <c r="C176" s="167">
        <v>6.6118677042801526</v>
      </c>
      <c r="D176" s="167">
        <v>6.0189359783588863</v>
      </c>
      <c r="E176" s="167">
        <v>5.5612334801762184</v>
      </c>
      <c r="F176" s="167">
        <v>5.8849637681159344</v>
      </c>
      <c r="G176" s="167">
        <v>5.7066402378592596</v>
      </c>
      <c r="H176" s="167">
        <v>5.5526066350710828</v>
      </c>
      <c r="I176" s="167">
        <v>5.5797872340425538</v>
      </c>
      <c r="J176" s="167">
        <v>5.4335664335664262</v>
      </c>
      <c r="K176" s="167">
        <v>5.6986692015209126</v>
      </c>
      <c r="L176" s="167">
        <v>5.6194690265486678</v>
      </c>
      <c r="M176" s="167">
        <v>5.2687499999999972</v>
      </c>
      <c r="N176" s="167">
        <v>4.8305882352941207</v>
      </c>
      <c r="O176" s="167">
        <v>4.7015250544662273</v>
      </c>
      <c r="P176" s="167">
        <v>4.1286089238845154</v>
      </c>
      <c r="Q176" s="167">
        <v>4.3542288557213968</v>
      </c>
      <c r="R176" s="167">
        <v>4.1135620915032618</v>
      </c>
      <c r="S176" s="167">
        <v>4.1880341880341962</v>
      </c>
      <c r="T176" s="167">
        <v>3.9690332326284015</v>
      </c>
      <c r="U176" s="164">
        <f t="shared" si="66"/>
        <v>-1.7296359688925111</v>
      </c>
      <c r="V176" s="164">
        <f t="shared" si="67"/>
        <v>-0.15957569125611393</v>
      </c>
      <c r="W176" s="164">
        <f t="shared" si="68"/>
        <v>-0.21900095540579478</v>
      </c>
    </row>
    <row r="177" spans="1:23" ht="15" customHeight="1" x14ac:dyDescent="0.2">
      <c r="A177" s="34" t="s">
        <v>482</v>
      </c>
      <c r="B177" s="29" t="s">
        <v>384</v>
      </c>
      <c r="C177" s="167">
        <v>12.090132827324478</v>
      </c>
      <c r="D177" s="167">
        <v>11.945169712793728</v>
      </c>
      <c r="E177" s="167">
        <v>11.741268709907343</v>
      </c>
      <c r="F177" s="167">
        <v>12.152223059532778</v>
      </c>
      <c r="G177" s="167">
        <v>11.69210866752911</v>
      </c>
      <c r="H177" s="167">
        <v>11.78002528445006</v>
      </c>
      <c r="I177" s="167">
        <v>11.9029810298103</v>
      </c>
      <c r="J177" s="167">
        <v>11.845420857596613</v>
      </c>
      <c r="K177" s="167">
        <v>11.843096234309625</v>
      </c>
      <c r="L177" s="167">
        <v>11.843731431966724</v>
      </c>
      <c r="M177" s="167">
        <v>11.948430493273543</v>
      </c>
      <c r="N177" s="167">
        <v>11.617401003904067</v>
      </c>
      <c r="O177" s="167">
        <v>11.613777526821005</v>
      </c>
      <c r="P177" s="167">
        <v>11.051104100946375</v>
      </c>
      <c r="Q177" s="167">
        <v>11.602068345323742</v>
      </c>
      <c r="R177" s="167">
        <v>11.351515151515155</v>
      </c>
      <c r="S177" s="167">
        <v>11.02138613861386</v>
      </c>
      <c r="T177" s="167">
        <v>11.018827556696618</v>
      </c>
      <c r="U177" s="164">
        <f t="shared" si="66"/>
        <v>-0.82426867761300748</v>
      </c>
      <c r="V177" s="164">
        <f t="shared" si="67"/>
        <v>-3.2276544249757677E-2</v>
      </c>
      <c r="W177" s="164">
        <f t="shared" si="68"/>
        <v>-2.5585819172420088E-3</v>
      </c>
    </row>
    <row r="178" spans="1:23" ht="15" customHeight="1" x14ac:dyDescent="0.2">
      <c r="A178" s="34"/>
      <c r="B178" s="29" t="s">
        <v>531</v>
      </c>
      <c r="C178" s="167">
        <v>2.8415559772296017</v>
      </c>
      <c r="D178" s="167">
        <v>2.787641427328106</v>
      </c>
      <c r="E178" s="167">
        <v>2.9672131147541005</v>
      </c>
      <c r="F178" s="167">
        <v>3.0934438583270509</v>
      </c>
      <c r="G178" s="167">
        <v>3.0498059508408826</v>
      </c>
      <c r="H178" s="167">
        <v>3.1725663716814125</v>
      </c>
      <c r="I178" s="167">
        <v>3.3018970189701928</v>
      </c>
      <c r="J178" s="167">
        <v>3.2398094229751209</v>
      </c>
      <c r="K178" s="167">
        <v>3.2824267782426801</v>
      </c>
      <c r="L178" s="167">
        <v>3.2341057635175261</v>
      </c>
      <c r="M178" s="167">
        <v>3.3873318385650233</v>
      </c>
      <c r="N178" s="167">
        <v>3.1472392638036766</v>
      </c>
      <c r="O178" s="167">
        <v>3.1016374929418404</v>
      </c>
      <c r="P178" s="167">
        <v>2.6347003154574171</v>
      </c>
      <c r="Q178" s="167">
        <v>3.0422661870503607</v>
      </c>
      <c r="R178" s="167">
        <v>2.7852813852813885</v>
      </c>
      <c r="S178" s="167">
        <v>2.4356435643564343</v>
      </c>
      <c r="T178" s="167">
        <v>2.4347454000855784</v>
      </c>
      <c r="U178" s="164">
        <f t="shared" si="66"/>
        <v>-0.84768137815710176</v>
      </c>
      <c r="V178" s="164">
        <f t="shared" si="67"/>
        <v>-0.19995491537183874</v>
      </c>
      <c r="W178" s="164">
        <f t="shared" si="68"/>
        <v>-8.9816427085587236E-4</v>
      </c>
    </row>
    <row r="179" spans="1:23" ht="15" customHeight="1" x14ac:dyDescent="0.2">
      <c r="A179" s="34" t="s">
        <v>483</v>
      </c>
      <c r="B179" s="29" t="s">
        <v>384</v>
      </c>
      <c r="C179" s="167">
        <v>15.441717791411042</v>
      </c>
      <c r="D179" s="167">
        <v>14.960600375234526</v>
      </c>
      <c r="E179" s="167">
        <v>15.13306451612903</v>
      </c>
      <c r="F179" s="167">
        <v>15.324267782426784</v>
      </c>
      <c r="G179" s="167">
        <v>15.070422535211266</v>
      </c>
      <c r="H179" s="167">
        <v>14.928446771378702</v>
      </c>
      <c r="I179" s="167">
        <v>14.812030075187975</v>
      </c>
      <c r="J179" s="167">
        <v>14.925233644859814</v>
      </c>
      <c r="K179" s="167">
        <v>15.304999999999996</v>
      </c>
      <c r="L179" s="167">
        <v>15.348460291734197</v>
      </c>
      <c r="M179" s="167">
        <v>15.264659270998415</v>
      </c>
      <c r="N179" s="167">
        <v>15.133126934984521</v>
      </c>
      <c r="O179" s="167">
        <v>15.099455040871934</v>
      </c>
      <c r="P179" s="167">
        <v>14.473251028806581</v>
      </c>
      <c r="Q179" s="167">
        <v>14.651711924439194</v>
      </c>
      <c r="R179" s="167">
        <v>14.540372670807454</v>
      </c>
      <c r="S179" s="167">
        <v>14.256038647342995</v>
      </c>
      <c r="T179" s="167">
        <v>14.351894818252127</v>
      </c>
      <c r="U179" s="164">
        <f t="shared" si="66"/>
        <v>-0.95310518174786907</v>
      </c>
      <c r="V179" s="164">
        <f t="shared" si="67"/>
        <v>-0.12135621055445434</v>
      </c>
      <c r="W179" s="164">
        <f t="shared" si="68"/>
        <v>9.5856170909131677E-2</v>
      </c>
    </row>
    <row r="180" spans="1:23" ht="15" customHeight="1" x14ac:dyDescent="0.2">
      <c r="A180" s="34"/>
      <c r="B180" s="29" t="s">
        <v>531</v>
      </c>
      <c r="C180" s="167">
        <v>5.3496932515337416</v>
      </c>
      <c r="D180" s="167">
        <v>4.9887429643527241</v>
      </c>
      <c r="E180" s="167">
        <v>5.1935483870967722</v>
      </c>
      <c r="F180" s="167">
        <v>5.4079497907949854</v>
      </c>
      <c r="G180" s="167">
        <v>5.1428571428571406</v>
      </c>
      <c r="H180" s="167">
        <v>4.9947643979057528</v>
      </c>
      <c r="I180" s="167">
        <v>5.0563909774436144</v>
      </c>
      <c r="J180" s="167">
        <v>4.8894080996884739</v>
      </c>
      <c r="K180" s="167">
        <v>5.1916666666666629</v>
      </c>
      <c r="L180" s="167">
        <v>5.2042139384116695</v>
      </c>
      <c r="M180" s="167">
        <v>5.1695721077654504</v>
      </c>
      <c r="N180" s="167">
        <v>5.0030959752321991</v>
      </c>
      <c r="O180" s="167">
        <v>5.1662125340599445</v>
      </c>
      <c r="P180" s="167">
        <v>4.718792866941012</v>
      </c>
      <c r="Q180" s="167">
        <v>4.9409681227863018</v>
      </c>
      <c r="R180" s="167">
        <v>4.7409050576752438</v>
      </c>
      <c r="S180" s="167">
        <v>4.4645732689210949</v>
      </c>
      <c r="T180" s="167">
        <v>4.4276875483372002</v>
      </c>
      <c r="U180" s="164">
        <f t="shared" si="66"/>
        <v>-0.76397911832946264</v>
      </c>
      <c r="V180" s="164">
        <f t="shared" si="67"/>
        <v>-0.29110531860381172</v>
      </c>
      <c r="W180" s="164">
        <f t="shared" si="68"/>
        <v>-3.688572058389461E-2</v>
      </c>
    </row>
    <row r="181" spans="1:23" ht="15" customHeight="1" x14ac:dyDescent="0.2">
      <c r="A181" s="34" t="s">
        <v>484</v>
      </c>
      <c r="B181" s="29" t="s">
        <v>384</v>
      </c>
      <c r="C181" s="167">
        <v>14.203519510329</v>
      </c>
      <c r="D181" s="167">
        <v>13.944755244755244</v>
      </c>
      <c r="E181" s="167">
        <v>13.475378787878787</v>
      </c>
      <c r="F181" s="167">
        <v>13.813232253618194</v>
      </c>
      <c r="G181" s="167">
        <v>13.441549766199069</v>
      </c>
      <c r="H181" s="167">
        <v>13.525691699604742</v>
      </c>
      <c r="I181" s="167">
        <v>13.309059633027521</v>
      </c>
      <c r="J181" s="167">
        <v>13.158273381294965</v>
      </c>
      <c r="K181" s="167">
        <v>12.945990180032734</v>
      </c>
      <c r="L181" s="167">
        <v>13.022935779816512</v>
      </c>
      <c r="M181" s="167">
        <v>12.924628450106155</v>
      </c>
      <c r="N181" s="167">
        <v>12.856797290759557</v>
      </c>
      <c r="O181" s="167">
        <v>12.720984215413186</v>
      </c>
      <c r="P181" s="167">
        <v>12.442895442359246</v>
      </c>
      <c r="Q181" s="167">
        <v>12.52098674521355</v>
      </c>
      <c r="R181" s="167">
        <v>12.467365573216098</v>
      </c>
      <c r="S181" s="167">
        <v>12.136507936507934</v>
      </c>
      <c r="T181" s="167">
        <v>12.163166953528401</v>
      </c>
      <c r="U181" s="164">
        <f t="shared" si="66"/>
        <v>-0.78282322650433223</v>
      </c>
      <c r="V181" s="164">
        <f t="shared" si="67"/>
        <v>-0.27972848883084467</v>
      </c>
      <c r="W181" s="164">
        <f t="shared" si="68"/>
        <v>2.6659017020467246E-2</v>
      </c>
    </row>
    <row r="182" spans="1:23" ht="15" customHeight="1" x14ac:dyDescent="0.2">
      <c r="A182" s="34"/>
      <c r="B182" s="29" t="s">
        <v>531</v>
      </c>
      <c r="C182" s="167">
        <v>3.7084927314460625</v>
      </c>
      <c r="D182" s="167">
        <v>3.6335664335664326</v>
      </c>
      <c r="E182" s="167">
        <v>3.2424242424242422</v>
      </c>
      <c r="F182" s="167">
        <v>3.7422467263955888</v>
      </c>
      <c r="G182" s="167">
        <v>3.3386773547094233</v>
      </c>
      <c r="H182" s="167">
        <v>3.4901185770750978</v>
      </c>
      <c r="I182" s="167">
        <v>3.3124999999999982</v>
      </c>
      <c r="J182" s="167">
        <v>3.2014388489208638</v>
      </c>
      <c r="K182" s="167">
        <v>2.949809056192036</v>
      </c>
      <c r="L182" s="167">
        <v>3.0183486238532087</v>
      </c>
      <c r="M182" s="167">
        <v>2.9028662420382148</v>
      </c>
      <c r="N182" s="167">
        <v>2.7919690372520591</v>
      </c>
      <c r="O182" s="167">
        <v>2.7260909935004651</v>
      </c>
      <c r="P182" s="167">
        <v>2.5447721179624629</v>
      </c>
      <c r="Q182" s="167">
        <v>2.6167157584683363</v>
      </c>
      <c r="R182" s="167">
        <v>2.5623943185661151</v>
      </c>
      <c r="S182" s="167">
        <v>2.2549206349206319</v>
      </c>
      <c r="T182" s="167">
        <v>2.288468158347678</v>
      </c>
      <c r="U182" s="164">
        <f t="shared" si="66"/>
        <v>-0.66134089784435801</v>
      </c>
      <c r="V182" s="164">
        <f t="shared" si="67"/>
        <v>-0.25630395961478492</v>
      </c>
      <c r="W182" s="164">
        <f t="shared" si="68"/>
        <v>3.3547523427046144E-2</v>
      </c>
    </row>
    <row r="183" spans="1:23" ht="15" customHeight="1" x14ac:dyDescent="0.2">
      <c r="A183" s="34" t="s">
        <v>14</v>
      </c>
      <c r="B183" s="29" t="s">
        <v>384</v>
      </c>
      <c r="C183" s="167">
        <v>11.757600657354153</v>
      </c>
      <c r="D183" s="167">
        <v>11.387927720107651</v>
      </c>
      <c r="E183" s="167">
        <v>11.460425007699413</v>
      </c>
      <c r="F183" s="167">
        <v>11.560739922694642</v>
      </c>
      <c r="G183" s="167">
        <v>11.563224737713968</v>
      </c>
      <c r="H183" s="167">
        <v>11.77835859905907</v>
      </c>
      <c r="I183" s="167">
        <v>11.525773195876289</v>
      </c>
      <c r="J183" s="167">
        <v>11.714486968772013</v>
      </c>
      <c r="K183" s="167">
        <v>11.665682656826569</v>
      </c>
      <c r="L183" s="167">
        <v>11.786259541984732</v>
      </c>
      <c r="M183" s="167">
        <v>11.907799442896934</v>
      </c>
      <c r="N183" s="167">
        <v>11.98165137614679</v>
      </c>
      <c r="O183" s="167">
        <v>11.949547218628721</v>
      </c>
      <c r="P183" s="167">
        <v>11.816021464162514</v>
      </c>
      <c r="Q183" s="167">
        <v>12.046296296296296</v>
      </c>
      <c r="R183" s="167">
        <v>11.670264623955427</v>
      </c>
      <c r="S183" s="167">
        <v>11.805500331345259</v>
      </c>
      <c r="T183" s="167">
        <v>11.618335251246643</v>
      </c>
      <c r="U183" s="164">
        <f t="shared" si="66"/>
        <v>-4.734740557992545E-2</v>
      </c>
      <c r="V183" s="164">
        <f t="shared" si="67"/>
        <v>-0.19768621291587074</v>
      </c>
      <c r="W183" s="164">
        <f t="shared" si="68"/>
        <v>-0.18716508009861599</v>
      </c>
    </row>
    <row r="184" spans="1:23" ht="15" customHeight="1" x14ac:dyDescent="0.2">
      <c r="A184" s="34"/>
      <c r="B184" s="29" t="s">
        <v>531</v>
      </c>
      <c r="C184" s="167">
        <v>2.1585866885784757</v>
      </c>
      <c r="D184" s="167">
        <v>1.8869665513264131</v>
      </c>
      <c r="E184" s="167">
        <v>1.9461040960886962</v>
      </c>
      <c r="F184" s="167">
        <v>2.2636664826062933</v>
      </c>
      <c r="G184" s="167">
        <v>2.1479845389287657</v>
      </c>
      <c r="H184" s="167">
        <v>2.3719289074751693</v>
      </c>
      <c r="I184" s="167">
        <v>2.2368556701030933</v>
      </c>
      <c r="J184" s="167">
        <v>2.5088048837755341</v>
      </c>
      <c r="K184" s="167">
        <v>2.4526445264452654</v>
      </c>
      <c r="L184" s="167">
        <v>2.5470737913486001</v>
      </c>
      <c r="M184" s="167">
        <v>2.6947075208913631</v>
      </c>
      <c r="N184" s="167">
        <v>2.7722804718217571</v>
      </c>
      <c r="O184" s="167">
        <v>2.665912031047867</v>
      </c>
      <c r="P184" s="167">
        <v>2.5879647374472974</v>
      </c>
      <c r="Q184" s="167">
        <v>2.7503429355281206</v>
      </c>
      <c r="R184" s="167">
        <v>2.2855153203342571</v>
      </c>
      <c r="S184" s="167">
        <v>2.2948972829688508</v>
      </c>
      <c r="T184" s="167">
        <v>2.0310701956271568</v>
      </c>
      <c r="U184" s="164">
        <f t="shared" si="66"/>
        <v>-0.42157433081810858</v>
      </c>
      <c r="V184" s="164">
        <f t="shared" si="67"/>
        <v>-0.55689454182014053</v>
      </c>
      <c r="W184" s="164">
        <f t="shared" si="68"/>
        <v>-0.26382708734169391</v>
      </c>
    </row>
    <row r="185" spans="1:23" ht="15" customHeight="1" x14ac:dyDescent="0.2">
      <c r="A185" s="34" t="s">
        <v>485</v>
      </c>
      <c r="B185" s="29" t="s">
        <v>384</v>
      </c>
      <c r="C185" s="167">
        <v>15.691423670668955</v>
      </c>
      <c r="D185" s="167">
        <v>15.38954529180093</v>
      </c>
      <c r="E185" s="167">
        <v>14.971569250317662</v>
      </c>
      <c r="F185" s="167">
        <v>15.073937153419596</v>
      </c>
      <c r="G185" s="167">
        <v>14.360952536290981</v>
      </c>
      <c r="H185" s="167">
        <v>14.308772978628006</v>
      </c>
      <c r="I185" s="167">
        <v>14.039545033725698</v>
      </c>
      <c r="J185" s="167">
        <v>13.949981700622178</v>
      </c>
      <c r="K185" s="167">
        <v>13.966775092936803</v>
      </c>
      <c r="L185" s="167">
        <v>13.745709123757905</v>
      </c>
      <c r="M185" s="167">
        <v>13.364864864864865</v>
      </c>
      <c r="N185" s="167">
        <v>13.201668109213941</v>
      </c>
      <c r="O185" s="167">
        <v>12.926419466975666</v>
      </c>
      <c r="P185" s="167">
        <v>12.898829285339856</v>
      </c>
      <c r="Q185" s="167">
        <v>12.895552282768778</v>
      </c>
      <c r="R185" s="167">
        <v>13.020697167755991</v>
      </c>
      <c r="S185" s="167">
        <v>12.877443117685498</v>
      </c>
      <c r="T185" s="167">
        <v>12.743140760836056</v>
      </c>
      <c r="U185" s="164">
        <f t="shared" si="66"/>
        <v>-1.2236343321007475</v>
      </c>
      <c r="V185" s="164">
        <f t="shared" si="67"/>
        <v>-0.1556885245038</v>
      </c>
      <c r="W185" s="164">
        <f t="shared" si="68"/>
        <v>-0.13430235684944236</v>
      </c>
    </row>
    <row r="186" spans="1:23" ht="15" customHeight="1" x14ac:dyDescent="0.2">
      <c r="A186" s="34"/>
      <c r="B186" s="29" t="s">
        <v>531</v>
      </c>
      <c r="C186" s="167">
        <v>4.9190394511149247</v>
      </c>
      <c r="D186" s="167">
        <v>4.7468671679197989</v>
      </c>
      <c r="E186" s="167">
        <v>4.4923761118170269</v>
      </c>
      <c r="F186" s="167">
        <v>4.6647622248361653</v>
      </c>
      <c r="G186" s="167">
        <v>4.2061653890066886</v>
      </c>
      <c r="H186" s="167">
        <v>4.2137199222836639</v>
      </c>
      <c r="I186" s="167">
        <v>4.0412643830181203</v>
      </c>
      <c r="J186" s="167">
        <v>4.0745394656581677</v>
      </c>
      <c r="K186" s="167">
        <v>4.0259061338289968</v>
      </c>
      <c r="L186" s="167">
        <v>3.9184733514001806</v>
      </c>
      <c r="M186" s="167">
        <v>3.6145752895752903</v>
      </c>
      <c r="N186" s="167">
        <v>3.709497206703908</v>
      </c>
      <c r="O186" s="167">
        <v>3.6297074159907297</v>
      </c>
      <c r="P186" s="167">
        <v>3.448278874716058</v>
      </c>
      <c r="Q186" s="167">
        <v>3.7207658321060375</v>
      </c>
      <c r="R186" s="167">
        <v>3.7126603727910918</v>
      </c>
      <c r="S186" s="167">
        <v>3.5142874116319138</v>
      </c>
      <c r="T186" s="167">
        <v>3.3924409643011284</v>
      </c>
      <c r="U186" s="164">
        <f t="shared" si="66"/>
        <v>-0.63346516952786835</v>
      </c>
      <c r="V186" s="164">
        <f t="shared" si="67"/>
        <v>-5.5837910414929581E-2</v>
      </c>
      <c r="W186" s="164">
        <f t="shared" si="68"/>
        <v>-0.12184644733078542</v>
      </c>
    </row>
    <row r="187" spans="1:23" ht="15" customHeight="1" x14ac:dyDescent="0.2">
      <c r="A187" s="34" t="s">
        <v>486</v>
      </c>
      <c r="B187" s="29" t="s">
        <v>384</v>
      </c>
      <c r="C187" s="167">
        <v>13.409170052234474</v>
      </c>
      <c r="D187" s="167">
        <v>13.292337725719866</v>
      </c>
      <c r="E187" s="167">
        <v>13.365942028985515</v>
      </c>
      <c r="F187" s="167">
        <v>13.445738045738047</v>
      </c>
      <c r="G187" s="167">
        <v>13.401058201058204</v>
      </c>
      <c r="H187" s="167">
        <v>13.390600190536679</v>
      </c>
      <c r="I187" s="167">
        <v>13.426629040533603</v>
      </c>
      <c r="J187" s="167">
        <v>13.3258547008547</v>
      </c>
      <c r="K187" s="167">
        <v>13.32989478027646</v>
      </c>
      <c r="L187" s="167">
        <v>13.333995628849596</v>
      </c>
      <c r="M187" s="167">
        <v>13.35350781533988</v>
      </c>
      <c r="N187" s="167">
        <v>13.607998590556731</v>
      </c>
      <c r="O187" s="167">
        <v>13.807144179159726</v>
      </c>
      <c r="P187" s="167">
        <v>13.854978354978357</v>
      </c>
      <c r="Q187" s="167">
        <v>14.202292184479424</v>
      </c>
      <c r="R187" s="167">
        <v>13.588227799719709</v>
      </c>
      <c r="S187" s="167">
        <v>13.307585825027685</v>
      </c>
      <c r="T187" s="167">
        <v>13.148813146682897</v>
      </c>
      <c r="U187" s="164">
        <f t="shared" si="66"/>
        <v>-0.18108163359356233</v>
      </c>
      <c r="V187" s="164">
        <f t="shared" si="67"/>
        <v>-0.70616520829545948</v>
      </c>
      <c r="W187" s="164">
        <f t="shared" si="68"/>
        <v>-0.15877267834478737</v>
      </c>
    </row>
    <row r="188" spans="1:23" ht="15" customHeight="1" x14ac:dyDescent="0.2">
      <c r="A188" s="34"/>
      <c r="B188" s="29" t="s">
        <v>531</v>
      </c>
      <c r="C188" s="167">
        <v>2.2507254788160171</v>
      </c>
      <c r="D188" s="167">
        <v>1.9843826256710617</v>
      </c>
      <c r="E188" s="167">
        <v>2.0489130434782687</v>
      </c>
      <c r="F188" s="167">
        <v>2.1642411642411652</v>
      </c>
      <c r="G188" s="167">
        <v>2.3118165784832474</v>
      </c>
      <c r="H188" s="167">
        <v>2.3489996824388708</v>
      </c>
      <c r="I188" s="167">
        <v>2.4733196511031252</v>
      </c>
      <c r="J188" s="167">
        <v>2.5617521367521352</v>
      </c>
      <c r="K188" s="167">
        <v>2.5062925520940791</v>
      </c>
      <c r="L188" s="167">
        <v>2.5251341148420465</v>
      </c>
      <c r="M188" s="167">
        <v>2.6475826972010204</v>
      </c>
      <c r="N188" s="167">
        <v>2.8104298801973222</v>
      </c>
      <c r="O188" s="167">
        <v>2.9879696464926901</v>
      </c>
      <c r="P188" s="167">
        <v>3.5467532467532479</v>
      </c>
      <c r="Q188" s="167">
        <v>3.3539077602872123</v>
      </c>
      <c r="R188" s="167">
        <v>2.8919607593323988</v>
      </c>
      <c r="S188" s="167">
        <v>2.6083887043189371</v>
      </c>
      <c r="T188" s="167">
        <v>2.4044430919050512</v>
      </c>
      <c r="U188" s="164">
        <f t="shared" si="66"/>
        <v>-0.10184946018902785</v>
      </c>
      <c r="V188" s="164">
        <f t="shared" si="67"/>
        <v>-1.1423101548481966</v>
      </c>
      <c r="W188" s="164">
        <f t="shared" si="68"/>
        <v>-0.20394561241388587</v>
      </c>
    </row>
    <row r="189" spans="1:23" ht="15" customHeight="1" x14ac:dyDescent="0.2">
      <c r="A189" s="34" t="s">
        <v>487</v>
      </c>
      <c r="B189" s="29" t="s">
        <v>384</v>
      </c>
      <c r="C189" s="167">
        <v>11.418353576248311</v>
      </c>
      <c r="D189" s="167">
        <v>11.785060975609758</v>
      </c>
      <c r="E189" s="167">
        <v>11.30460448642267</v>
      </c>
      <c r="F189" s="167">
        <v>11.14585635359116</v>
      </c>
      <c r="G189" s="167">
        <v>10.833005893909624</v>
      </c>
      <c r="H189" s="167">
        <v>10.641093474426809</v>
      </c>
      <c r="I189" s="167">
        <v>10.73239436619718</v>
      </c>
      <c r="J189" s="167">
        <v>10.768047337278107</v>
      </c>
      <c r="K189" s="167">
        <v>10.754607177497576</v>
      </c>
      <c r="L189" s="167">
        <v>10.691230959242491</v>
      </c>
      <c r="M189" s="167">
        <v>10.572847682119205</v>
      </c>
      <c r="N189" s="167">
        <v>10.473154362416107</v>
      </c>
      <c r="O189" s="167">
        <v>10.740331491712707</v>
      </c>
      <c r="P189" s="167">
        <v>11.086785009861938</v>
      </c>
      <c r="Q189" s="167">
        <v>11.224438902743138</v>
      </c>
      <c r="R189" s="167">
        <v>10.950164744645798</v>
      </c>
      <c r="S189" s="167">
        <v>10.75955734406439</v>
      </c>
      <c r="T189" s="167">
        <v>10.439723320158103</v>
      </c>
      <c r="U189" s="164">
        <f t="shared" si="66"/>
        <v>-0.31488385733947233</v>
      </c>
      <c r="V189" s="164">
        <f t="shared" si="67"/>
        <v>-0.64706168970383438</v>
      </c>
      <c r="W189" s="164">
        <f t="shared" si="68"/>
        <v>-0.3198340239062869</v>
      </c>
    </row>
    <row r="190" spans="1:23" ht="15" customHeight="1" x14ac:dyDescent="0.2">
      <c r="A190" s="34"/>
      <c r="B190" s="29" t="s">
        <v>531</v>
      </c>
      <c r="C190" s="167">
        <v>2.5910931174089047</v>
      </c>
      <c r="D190" s="167">
        <v>2.9070121951219523</v>
      </c>
      <c r="E190" s="167">
        <v>2.7237308146399073</v>
      </c>
      <c r="F190" s="167">
        <v>2.413259668508287</v>
      </c>
      <c r="G190" s="167">
        <v>2.4950884086443974</v>
      </c>
      <c r="H190" s="167">
        <v>2.261022927689595</v>
      </c>
      <c r="I190" s="167">
        <v>2.4352783366867854</v>
      </c>
      <c r="J190" s="167">
        <v>2.4254437869822496</v>
      </c>
      <c r="K190" s="167">
        <v>2.5310378273520868</v>
      </c>
      <c r="L190" s="167">
        <v>2.5697818032112014</v>
      </c>
      <c r="M190" s="167">
        <v>2.4157468727005149</v>
      </c>
      <c r="N190" s="167">
        <v>2.3487136465324383</v>
      </c>
      <c r="O190" s="167">
        <v>2.5880908532842231</v>
      </c>
      <c r="P190" s="167">
        <v>2.9107495069033575</v>
      </c>
      <c r="Q190" s="167">
        <v>3.0881130507065624</v>
      </c>
      <c r="R190" s="167">
        <v>2.7833607907742994</v>
      </c>
      <c r="S190" s="167">
        <v>2.5885311871227401</v>
      </c>
      <c r="T190" s="167">
        <v>2.2766798418972343</v>
      </c>
      <c r="U190" s="164">
        <f t="shared" si="66"/>
        <v>-0.25435798545485255</v>
      </c>
      <c r="V190" s="164">
        <f t="shared" si="67"/>
        <v>-0.63406966500612327</v>
      </c>
      <c r="W190" s="164">
        <f t="shared" si="68"/>
        <v>-0.31185134522550584</v>
      </c>
    </row>
    <row r="191" spans="1:23" ht="15" customHeight="1" x14ac:dyDescent="0.2">
      <c r="A191" s="34" t="s">
        <v>488</v>
      </c>
      <c r="B191" s="29" t="s">
        <v>384</v>
      </c>
      <c r="C191" s="167">
        <v>13.584824624194708</v>
      </c>
      <c r="D191" s="167">
        <v>13.45278450363196</v>
      </c>
      <c r="E191" s="167">
        <v>13.237722419928826</v>
      </c>
      <c r="F191" s="167">
        <v>13.387713310580203</v>
      </c>
      <c r="G191" s="167">
        <v>12.635953608247423</v>
      </c>
      <c r="H191" s="167">
        <v>12.998921832884101</v>
      </c>
      <c r="I191" s="167">
        <v>12.684290030211478</v>
      </c>
      <c r="J191" s="167">
        <v>12.38020618556701</v>
      </c>
      <c r="K191" s="167">
        <v>12.489484536082475</v>
      </c>
      <c r="L191" s="167">
        <v>12.529649052037112</v>
      </c>
      <c r="M191" s="167">
        <v>12.379451494064677</v>
      </c>
      <c r="N191" s="167">
        <v>12.27203192550715</v>
      </c>
      <c r="O191" s="167">
        <v>12.322913202527436</v>
      </c>
      <c r="P191" s="167">
        <v>11.816725283313797</v>
      </c>
      <c r="Q191" s="167">
        <v>11.79281405717283</v>
      </c>
      <c r="R191" s="167">
        <v>11.518253765636969</v>
      </c>
      <c r="S191" s="167">
        <v>11.560850439882699</v>
      </c>
      <c r="T191" s="167">
        <v>11.563618533954397</v>
      </c>
      <c r="U191" s="164">
        <f t="shared" si="66"/>
        <v>-0.92586600212807824</v>
      </c>
      <c r="V191" s="164">
        <f t="shared" si="67"/>
        <v>-0.25310674935940014</v>
      </c>
      <c r="W191" s="164">
        <f t="shared" si="68"/>
        <v>2.7680940716976465E-3</v>
      </c>
    </row>
    <row r="192" spans="1:23" ht="15" customHeight="1" x14ac:dyDescent="0.2">
      <c r="A192" s="169"/>
      <c r="B192" s="29" t="s">
        <v>531</v>
      </c>
      <c r="C192" s="167">
        <v>4.0200429491768119</v>
      </c>
      <c r="D192" s="167">
        <v>3.7780468119451154</v>
      </c>
      <c r="E192" s="167">
        <v>3.924555160142349</v>
      </c>
      <c r="F192" s="167">
        <v>3.9058020477815685</v>
      </c>
      <c r="G192" s="167">
        <v>3.5902061855670109</v>
      </c>
      <c r="H192" s="167">
        <v>3.8280323450134812</v>
      </c>
      <c r="I192" s="167">
        <v>3.7401812688821732</v>
      </c>
      <c r="J192" s="167">
        <v>3.5076288659793811</v>
      </c>
      <c r="K192" s="167">
        <v>3.6890721649484544</v>
      </c>
      <c r="L192" s="167">
        <v>3.8164582492940706</v>
      </c>
      <c r="M192" s="167">
        <v>3.6786737617683194</v>
      </c>
      <c r="N192" s="167">
        <v>3.6561356834053882</v>
      </c>
      <c r="O192" s="167">
        <v>3.7938144329896915</v>
      </c>
      <c r="P192" s="167">
        <v>3.0988667448221996</v>
      </c>
      <c r="Q192" s="167">
        <v>3.2536060844479415</v>
      </c>
      <c r="R192" s="167">
        <v>2.9262190451876453</v>
      </c>
      <c r="S192" s="167">
        <v>2.7991202346041071</v>
      </c>
      <c r="T192" s="167">
        <v>2.6094631037018843</v>
      </c>
      <c r="U192" s="164">
        <f t="shared" si="66"/>
        <v>-1.0796090612465701</v>
      </c>
      <c r="V192" s="164">
        <f t="shared" si="67"/>
        <v>-0.48940364112031531</v>
      </c>
      <c r="W192" s="164">
        <f t="shared" si="68"/>
        <v>-0.1896571309022228</v>
      </c>
    </row>
    <row r="193" spans="1:23" ht="15" customHeight="1" x14ac:dyDescent="0.2">
      <c r="A193" s="44"/>
      <c r="B193" s="44"/>
      <c r="C193" s="44"/>
      <c r="D193" s="44"/>
      <c r="E193" s="44"/>
      <c r="F193" s="44"/>
      <c r="G193" s="44"/>
      <c r="H193" s="44"/>
      <c r="I193" s="44"/>
      <c r="J193" s="44"/>
      <c r="K193" s="44"/>
      <c r="L193" s="44"/>
      <c r="M193" s="44"/>
      <c r="N193" s="44"/>
      <c r="O193" s="44"/>
      <c r="P193" s="44"/>
      <c r="Q193" s="44"/>
      <c r="R193" s="44"/>
      <c r="S193" s="44"/>
      <c r="T193" s="44"/>
    </row>
    <row r="194" spans="1:23" ht="15" customHeight="1" x14ac:dyDescent="0.25">
      <c r="A194" s="54" t="s">
        <v>563</v>
      </c>
      <c r="B194" s="54"/>
      <c r="C194" s="66"/>
      <c r="D194" s="66"/>
      <c r="E194" s="66"/>
      <c r="F194" s="66"/>
      <c r="G194" s="66"/>
      <c r="H194" s="66"/>
      <c r="I194" s="66"/>
      <c r="J194" s="66"/>
      <c r="K194" s="66"/>
      <c r="L194" s="66"/>
      <c r="M194" s="66"/>
      <c r="N194" s="66"/>
      <c r="O194" s="66"/>
      <c r="P194" s="66"/>
      <c r="Q194" s="66"/>
      <c r="R194" s="66"/>
      <c r="S194" s="66"/>
      <c r="T194" s="66"/>
      <c r="U194" s="66"/>
      <c r="V194" s="66"/>
      <c r="W194" s="66"/>
    </row>
    <row r="195" spans="1:23" ht="46.5" customHeight="1" x14ac:dyDescent="0.2">
      <c r="A195" s="56" t="s">
        <v>368</v>
      </c>
      <c r="B195" s="147" t="s">
        <v>530</v>
      </c>
      <c r="C195" s="15">
        <v>2007</v>
      </c>
      <c r="D195" s="15">
        <v>2008</v>
      </c>
      <c r="E195" s="15">
        <v>2009</v>
      </c>
      <c r="F195" s="15">
        <v>2010</v>
      </c>
      <c r="G195" s="15">
        <v>2011</v>
      </c>
      <c r="H195" s="15">
        <v>2012</v>
      </c>
      <c r="I195" s="15">
        <v>2013</v>
      </c>
      <c r="J195" s="15">
        <v>2014</v>
      </c>
      <c r="K195" s="15">
        <v>2015</v>
      </c>
      <c r="L195" s="15">
        <v>2016</v>
      </c>
      <c r="M195" s="15">
        <v>2017</v>
      </c>
      <c r="N195" s="15">
        <v>2018</v>
      </c>
      <c r="O195" s="15">
        <v>2019</v>
      </c>
      <c r="P195" s="15">
        <v>2020</v>
      </c>
      <c r="Q195" s="15">
        <v>2021</v>
      </c>
      <c r="R195" s="15">
        <v>2022</v>
      </c>
      <c r="S195" s="15">
        <v>2023</v>
      </c>
      <c r="T195" s="15">
        <v>2024</v>
      </c>
      <c r="U195" s="27" t="s">
        <v>469</v>
      </c>
      <c r="V195" s="27" t="s">
        <v>470</v>
      </c>
      <c r="W195" s="27" t="s">
        <v>471</v>
      </c>
    </row>
    <row r="196" spans="1:23" ht="15" customHeight="1" x14ac:dyDescent="0.2">
      <c r="A196" s="196" t="s">
        <v>72</v>
      </c>
      <c r="B196" s="197"/>
      <c r="C196" s="166"/>
      <c r="D196" s="166"/>
      <c r="E196" s="166"/>
      <c r="F196" s="166"/>
      <c r="G196" s="166"/>
      <c r="H196" s="166"/>
      <c r="I196" s="166"/>
      <c r="J196" s="166"/>
      <c r="K196" s="166"/>
      <c r="L196" s="166"/>
      <c r="M196" s="166"/>
      <c r="N196" s="166"/>
      <c r="O196" s="166"/>
      <c r="P196" s="166"/>
      <c r="Q196" s="166"/>
      <c r="R196" s="166"/>
      <c r="S196" s="166"/>
      <c r="T196" s="166"/>
      <c r="U196" s="165"/>
      <c r="V196" s="165"/>
      <c r="W196" s="165"/>
    </row>
    <row r="197" spans="1:23" ht="15" customHeight="1" x14ac:dyDescent="0.2">
      <c r="A197" s="34" t="s">
        <v>1</v>
      </c>
      <c r="B197" s="29" t="s">
        <v>384</v>
      </c>
      <c r="C197" s="167">
        <v>6.6456469251526773</v>
      </c>
      <c r="D197" s="167">
        <v>6.0564523654007649</v>
      </c>
      <c r="E197" s="167">
        <v>5.9978560144436921</v>
      </c>
      <c r="F197" s="167">
        <v>6.5795487416835403</v>
      </c>
      <c r="G197" s="167">
        <v>6.4475369247844272</v>
      </c>
      <c r="H197" s="167">
        <v>6.4402533832421538</v>
      </c>
      <c r="I197" s="167">
        <v>6.549724128650249</v>
      </c>
      <c r="J197" s="167">
        <v>6.563632605250465</v>
      </c>
      <c r="K197" s="167">
        <v>6.4758226997985222</v>
      </c>
      <c r="L197" s="167">
        <v>6.4103060360469337</v>
      </c>
      <c r="M197" s="167">
        <v>6.2616361506688856</v>
      </c>
      <c r="N197" s="167">
        <v>6.4737558435410376</v>
      </c>
      <c r="O197" s="167">
        <v>6.3273041474654379</v>
      </c>
      <c r="P197" s="167">
        <v>6.3866976024748645</v>
      </c>
      <c r="Q197" s="167">
        <v>6.6495474422861793</v>
      </c>
      <c r="R197" s="167">
        <v>6.4763698276751622</v>
      </c>
      <c r="S197" s="167">
        <v>6.3912979925940361</v>
      </c>
      <c r="T197" s="167">
        <v>6.2230092182698815</v>
      </c>
      <c r="U197" s="164">
        <f t="shared" ref="U197" si="69">IFERROR((T197-K197),"n/a")</f>
        <v>-0.25281348152864069</v>
      </c>
      <c r="V197" s="164">
        <f t="shared" ref="V197" si="70">IFERROR((T197-P197),"n/a")</f>
        <v>-0.163688384204983</v>
      </c>
      <c r="W197" s="164">
        <f t="shared" ref="W197" si="71">IFERROR((T197-S197),"n/a")</f>
        <v>-0.16828877432415457</v>
      </c>
    </row>
    <row r="198" spans="1:23" ht="15" customHeight="1" x14ac:dyDescent="0.2">
      <c r="A198" s="34"/>
      <c r="B198" s="29" t="s">
        <v>531</v>
      </c>
      <c r="C198" s="167">
        <v>1.5544666950717225</v>
      </c>
      <c r="D198" s="167">
        <v>1.039936549407483</v>
      </c>
      <c r="E198" s="167">
        <v>0.93432633716993863</v>
      </c>
      <c r="F198" s="167">
        <v>1.4503905120046277</v>
      </c>
      <c r="G198" s="167">
        <v>1.4682831042431479</v>
      </c>
      <c r="H198" s="167">
        <v>1.4285919953930319</v>
      </c>
      <c r="I198" s="167">
        <v>1.543062844839187</v>
      </c>
      <c r="J198" s="167">
        <v>1.5291807345138837</v>
      </c>
      <c r="K198" s="167">
        <v>1.4457353928811276</v>
      </c>
      <c r="L198" s="167">
        <v>1.4213741381395915</v>
      </c>
      <c r="M198" s="167">
        <v>1.3325319030885883</v>
      </c>
      <c r="N198" s="167">
        <v>1.5053553464702052</v>
      </c>
      <c r="O198" s="167">
        <v>1.4483870967741934</v>
      </c>
      <c r="P198" s="167">
        <v>1.4659706109822119</v>
      </c>
      <c r="Q198" s="167">
        <v>1.7936031729889148</v>
      </c>
      <c r="R198" s="167">
        <v>1.6385305953977918</v>
      </c>
      <c r="S198" s="167">
        <v>1.5423406743324888</v>
      </c>
      <c r="T198" s="167">
        <v>1.4098224050830686</v>
      </c>
      <c r="U198" s="164">
        <f t="shared" ref="U198:U209" si="72">IFERROR((T198-K198),"n/a")</f>
        <v>-3.5912987798059071E-2</v>
      </c>
      <c r="V198" s="164">
        <f t="shared" ref="V198:V209" si="73">IFERROR((T198-P198),"n/a")</f>
        <v>-5.6148205899143377E-2</v>
      </c>
      <c r="W198" s="164">
        <f t="shared" ref="W198:W209" si="74">IFERROR((T198-S198),"n/a")</f>
        <v>-0.13251826924942023</v>
      </c>
    </row>
    <row r="199" spans="1:23" ht="15" customHeight="1" x14ac:dyDescent="0.2">
      <c r="A199" s="34" t="s">
        <v>2</v>
      </c>
      <c r="B199" s="29" t="s">
        <v>384</v>
      </c>
      <c r="C199" s="167">
        <v>6.4500965872504832</v>
      </c>
      <c r="D199" s="167">
        <v>6.2075374290139393</v>
      </c>
      <c r="E199" s="167">
        <v>6.3138344037493495</v>
      </c>
      <c r="F199" s="167">
        <v>6.2931759379042687</v>
      </c>
      <c r="G199" s="167">
        <v>6.2602096527626117</v>
      </c>
      <c r="H199" s="167">
        <v>6.1797199170124477</v>
      </c>
      <c r="I199" s="167">
        <v>6.4606854117478711</v>
      </c>
      <c r="J199" s="167">
        <v>6.1730281399327476</v>
      </c>
      <c r="K199" s="167">
        <v>5.9950591918598963</v>
      </c>
      <c r="L199" s="167">
        <v>5.9924680811977584</v>
      </c>
      <c r="M199" s="167">
        <v>5.9148363764664369</v>
      </c>
      <c r="N199" s="167">
        <v>6.1323895715709069</v>
      </c>
      <c r="O199" s="167">
        <v>5.8476178525118163</v>
      </c>
      <c r="P199" s="167">
        <v>6.0861571043511749</v>
      </c>
      <c r="Q199" s="167">
        <v>6.1589483004196017</v>
      </c>
      <c r="R199" s="167">
        <v>6.1405768957514324</v>
      </c>
      <c r="S199" s="167">
        <v>6.0400513243515714</v>
      </c>
      <c r="T199" s="167">
        <v>5.9107034697585883</v>
      </c>
      <c r="U199" s="164">
        <f t="shared" si="72"/>
        <v>-8.4355722101308039E-2</v>
      </c>
      <c r="V199" s="164">
        <f t="shared" si="73"/>
        <v>-0.17545363459258656</v>
      </c>
      <c r="W199" s="164">
        <f t="shared" si="74"/>
        <v>-0.12934785459298315</v>
      </c>
    </row>
    <row r="200" spans="1:23" ht="15" customHeight="1" x14ac:dyDescent="0.2">
      <c r="A200" s="34"/>
      <c r="B200" s="29" t="s">
        <v>531</v>
      </c>
      <c r="C200" s="167">
        <v>1.0289761751448809</v>
      </c>
      <c r="D200" s="167">
        <v>0.92152813629323749</v>
      </c>
      <c r="E200" s="167">
        <v>1.2268703350112835</v>
      </c>
      <c r="F200" s="167">
        <v>1.0268434670116422</v>
      </c>
      <c r="G200" s="167">
        <v>1.2560602751692507</v>
      </c>
      <c r="H200" s="167">
        <v>1.2004668049792526</v>
      </c>
      <c r="I200" s="167">
        <v>1.468269299563568</v>
      </c>
      <c r="J200" s="167">
        <v>1.1730871335024489</v>
      </c>
      <c r="K200" s="167">
        <v>1.0304764700127187</v>
      </c>
      <c r="L200" s="167">
        <v>1.0418388904197666</v>
      </c>
      <c r="M200" s="167">
        <v>1.0119520155243888</v>
      </c>
      <c r="N200" s="167">
        <v>1.2174941879774162</v>
      </c>
      <c r="O200" s="167">
        <v>0.8882754005103104</v>
      </c>
      <c r="P200" s="167">
        <v>1.1304871005005781</v>
      </c>
      <c r="Q200" s="167">
        <v>1.2545713515802435</v>
      </c>
      <c r="R200" s="167">
        <v>1.2143702931842935</v>
      </c>
      <c r="S200" s="167">
        <v>1.1670332691778933</v>
      </c>
      <c r="T200" s="167">
        <v>1.0289867612702261</v>
      </c>
      <c r="U200" s="164">
        <f t="shared" si="72"/>
        <v>-1.4897087424925459E-3</v>
      </c>
      <c r="V200" s="164">
        <f t="shared" si="73"/>
        <v>-0.10150033923035195</v>
      </c>
      <c r="W200" s="164">
        <f t="shared" si="74"/>
        <v>-0.13804650790766715</v>
      </c>
    </row>
    <row r="201" spans="1:23" ht="15" customHeight="1" x14ac:dyDescent="0.2">
      <c r="A201" s="34" t="s">
        <v>3</v>
      </c>
      <c r="B201" s="29" t="s">
        <v>384</v>
      </c>
      <c r="C201" s="167">
        <v>8.1458333333333339</v>
      </c>
      <c r="D201" s="167">
        <v>7.5697674418604652</v>
      </c>
      <c r="E201" s="167">
        <v>7.4425064599483202</v>
      </c>
      <c r="F201" s="167">
        <v>7.4710474951203647</v>
      </c>
      <c r="G201" s="167">
        <v>7.5086705202312141</v>
      </c>
      <c r="H201" s="167">
        <v>6.9779195289499505</v>
      </c>
      <c r="I201" s="167">
        <v>6.8896969696969697</v>
      </c>
      <c r="J201" s="167">
        <v>6.830292745014849</v>
      </c>
      <c r="K201" s="167">
        <v>6.8481824661439772</v>
      </c>
      <c r="L201" s="167">
        <v>6.6559274319674699</v>
      </c>
      <c r="M201" s="167">
        <v>6.4970218398411648</v>
      </c>
      <c r="N201" s="167">
        <v>6.0875688916105331</v>
      </c>
      <c r="O201" s="167">
        <v>6.0429610046265694</v>
      </c>
      <c r="P201" s="167">
        <v>5.9237199582027165</v>
      </c>
      <c r="Q201" s="167">
        <v>6.1274843838727993</v>
      </c>
      <c r="R201" s="167">
        <v>6.1443134756291808</v>
      </c>
      <c r="S201" s="167">
        <v>5.8829431438127093</v>
      </c>
      <c r="T201" s="167">
        <v>5.595201827875095</v>
      </c>
      <c r="U201" s="164">
        <f t="shared" si="72"/>
        <v>-1.2529806382688822</v>
      </c>
      <c r="V201" s="164">
        <f t="shared" si="73"/>
        <v>-0.32851813032762145</v>
      </c>
      <c r="W201" s="164">
        <f t="shared" si="74"/>
        <v>-0.28774131593761432</v>
      </c>
    </row>
    <row r="202" spans="1:23" ht="15" customHeight="1" x14ac:dyDescent="0.2">
      <c r="A202" s="34"/>
      <c r="B202" s="29" t="s">
        <v>531</v>
      </c>
      <c r="C202" s="167">
        <v>2.151041666666667</v>
      </c>
      <c r="D202" s="167">
        <v>1.689624329159213</v>
      </c>
      <c r="E202" s="167">
        <v>1.9250645994832043</v>
      </c>
      <c r="F202" s="167">
        <v>2.0780741704619388</v>
      </c>
      <c r="G202" s="167">
        <v>2.0956968529222868</v>
      </c>
      <c r="H202" s="167">
        <v>1.8631010794896952</v>
      </c>
      <c r="I202" s="167">
        <v>1.7927272727272729</v>
      </c>
      <c r="J202" s="167">
        <v>1.983453542638947</v>
      </c>
      <c r="K202" s="167">
        <v>1.9258731290092657</v>
      </c>
      <c r="L202" s="167">
        <v>1.5983734751329379</v>
      </c>
      <c r="M202" s="167">
        <v>1.6551952349437462</v>
      </c>
      <c r="N202" s="167">
        <v>1.3187385180649116</v>
      </c>
      <c r="O202" s="167">
        <v>1.319894249834765</v>
      </c>
      <c r="P202" s="167">
        <v>1.2849181469871125</v>
      </c>
      <c r="Q202" s="167">
        <v>1.4835320840431567</v>
      </c>
      <c r="R202" s="167">
        <v>1.4864606562599549</v>
      </c>
      <c r="S202" s="167">
        <v>1.2824228911185438</v>
      </c>
      <c r="T202" s="167">
        <v>1.0011424219345013</v>
      </c>
      <c r="U202" s="164">
        <f t="shared" si="72"/>
        <v>-0.92473070707476435</v>
      </c>
      <c r="V202" s="164">
        <f t="shared" si="73"/>
        <v>-0.28377572505261117</v>
      </c>
      <c r="W202" s="164">
        <f t="shared" si="74"/>
        <v>-0.28128046918404248</v>
      </c>
    </row>
    <row r="203" spans="1:23" ht="15" customHeight="1" x14ac:dyDescent="0.2">
      <c r="A203" s="196" t="s">
        <v>71</v>
      </c>
      <c r="B203" s="197"/>
      <c r="C203" s="166"/>
      <c r="D203" s="166"/>
      <c r="E203" s="166"/>
      <c r="F203" s="166"/>
      <c r="G203" s="166"/>
      <c r="H203" s="166"/>
      <c r="I203" s="166"/>
      <c r="J203" s="166"/>
      <c r="K203" s="166"/>
      <c r="L203" s="166"/>
      <c r="M203" s="166"/>
      <c r="N203" s="166"/>
      <c r="O203" s="166"/>
      <c r="P203" s="166"/>
      <c r="Q203" s="166"/>
      <c r="R203" s="166"/>
      <c r="S203" s="166"/>
      <c r="T203" s="166"/>
      <c r="U203" s="165"/>
      <c r="V203" s="165"/>
      <c r="W203" s="165"/>
    </row>
    <row r="204" spans="1:23" ht="15" customHeight="1" x14ac:dyDescent="0.2">
      <c r="A204" s="34" t="s">
        <v>1</v>
      </c>
      <c r="B204" s="29" t="s">
        <v>384</v>
      </c>
      <c r="C204" s="167">
        <v>7.2808683853459977</v>
      </c>
      <c r="D204" s="167">
        <v>6.9319063130138048</v>
      </c>
      <c r="E204" s="167">
        <v>6.74685650887574</v>
      </c>
      <c r="F204" s="167">
        <v>7.0839333470479326</v>
      </c>
      <c r="G204" s="167">
        <v>6.9066059225512531</v>
      </c>
      <c r="H204" s="167">
        <v>6.909789343246592</v>
      </c>
      <c r="I204" s="167">
        <v>6.9942561746122918</v>
      </c>
      <c r="J204" s="167">
        <v>6.9524619922850013</v>
      </c>
      <c r="K204" s="167">
        <v>6.7714228974282591</v>
      </c>
      <c r="L204" s="167">
        <v>6.6663796073027903</v>
      </c>
      <c r="M204" s="167">
        <v>6.5597665241696808</v>
      </c>
      <c r="N204" s="167">
        <v>6.8351280796214713</v>
      </c>
      <c r="O204" s="167">
        <v>6.8079551176005175</v>
      </c>
      <c r="P204" s="167">
        <v>6.8818141690576029</v>
      </c>
      <c r="Q204" s="167">
        <v>7.2046653919694075</v>
      </c>
      <c r="R204" s="167">
        <v>7.102411388727484</v>
      </c>
      <c r="S204" s="167">
        <v>7.1002446747265404</v>
      </c>
      <c r="T204" s="167">
        <v>6.694138929088278</v>
      </c>
      <c r="U204" s="164">
        <f t="shared" si="72"/>
        <v>-7.728396833998108E-2</v>
      </c>
      <c r="V204" s="164">
        <f t="shared" si="73"/>
        <v>-0.18767523996932489</v>
      </c>
      <c r="W204" s="164">
        <f t="shared" si="74"/>
        <v>-0.40610574563826241</v>
      </c>
    </row>
    <row r="205" spans="1:23" ht="15" customHeight="1" x14ac:dyDescent="0.2">
      <c r="A205" s="34"/>
      <c r="B205" s="29" t="s">
        <v>531</v>
      </c>
      <c r="C205" s="167">
        <v>2.3207986043806947</v>
      </c>
      <c r="D205" s="167">
        <v>1.8974716922599661</v>
      </c>
      <c r="E205" s="167">
        <v>1.8267381656804735</v>
      </c>
      <c r="F205" s="167">
        <v>2.1250771446204482</v>
      </c>
      <c r="G205" s="167">
        <v>2.0723234624145785</v>
      </c>
      <c r="H205" s="167">
        <v>2.0531598513011149</v>
      </c>
      <c r="I205" s="167">
        <v>2.1587593337162554</v>
      </c>
      <c r="J205" s="167">
        <v>2.1607669616519178</v>
      </c>
      <c r="K205" s="167">
        <v>2.0305828616820571</v>
      </c>
      <c r="L205" s="167">
        <v>2.0170513262142613</v>
      </c>
      <c r="M205" s="167">
        <v>1.9797763893456093</v>
      </c>
      <c r="N205" s="167">
        <v>2.2117800620003258</v>
      </c>
      <c r="O205" s="167">
        <v>2.3002949003812123</v>
      </c>
      <c r="P205" s="167">
        <v>2.3293974839991165</v>
      </c>
      <c r="Q205" s="167">
        <v>2.6603441682600382</v>
      </c>
      <c r="R205" s="167">
        <v>2.5544015107495639</v>
      </c>
      <c r="S205" s="167">
        <v>2.571171560161198</v>
      </c>
      <c r="T205" s="167">
        <v>2.1769175108538352</v>
      </c>
      <c r="U205" s="164">
        <f t="shared" si="72"/>
        <v>0.14633464917177808</v>
      </c>
      <c r="V205" s="164">
        <f t="shared" si="73"/>
        <v>-0.15247997314528128</v>
      </c>
      <c r="W205" s="164">
        <f t="shared" si="74"/>
        <v>-0.39425404930736274</v>
      </c>
    </row>
    <row r="206" spans="1:23" ht="15" customHeight="1" x14ac:dyDescent="0.2">
      <c r="A206" s="34" t="s">
        <v>2</v>
      </c>
      <c r="B206" s="29" t="s">
        <v>384</v>
      </c>
      <c r="C206" s="167">
        <v>6.7790432801822327</v>
      </c>
      <c r="D206" s="167">
        <v>6.794574824748552</v>
      </c>
      <c r="E206" s="167">
        <v>6.7779472651993897</v>
      </c>
      <c r="F206" s="167">
        <v>6.7794996679211863</v>
      </c>
      <c r="G206" s="167">
        <v>6.67304625199362</v>
      </c>
      <c r="H206" s="167">
        <v>6.5999194738961213</v>
      </c>
      <c r="I206" s="167">
        <v>6.7747141896435776</v>
      </c>
      <c r="J206" s="167">
        <v>6.5025806451612906</v>
      </c>
      <c r="K206" s="167">
        <v>6.2671111111111113</v>
      </c>
      <c r="L206" s="167">
        <v>6.2737823834196895</v>
      </c>
      <c r="M206" s="167">
        <v>6.3663741663741664</v>
      </c>
      <c r="N206" s="167">
        <v>6.8535449596641964</v>
      </c>
      <c r="O206" s="167">
        <v>6.3898115058510268</v>
      </c>
      <c r="P206" s="167">
        <v>6.5323102523805119</v>
      </c>
      <c r="Q206" s="167">
        <v>6.766007232503723</v>
      </c>
      <c r="R206" s="167">
        <v>6.7103131328867427</v>
      </c>
      <c r="S206" s="167">
        <v>6.4783927217589081</v>
      </c>
      <c r="T206" s="167">
        <v>6.2340898049829967</v>
      </c>
      <c r="U206" s="164">
        <f t="shared" si="72"/>
        <v>-3.3021306128114603E-2</v>
      </c>
      <c r="V206" s="164">
        <f t="shared" si="73"/>
        <v>-0.29822044739751519</v>
      </c>
      <c r="W206" s="164">
        <f t="shared" si="74"/>
        <v>-0.24430291677591143</v>
      </c>
    </row>
    <row r="207" spans="1:23" ht="15" customHeight="1" x14ac:dyDescent="0.2">
      <c r="A207" s="34"/>
      <c r="B207" s="29" t="s">
        <v>531</v>
      </c>
      <c r="C207" s="167">
        <v>1.1213797591929717</v>
      </c>
      <c r="D207" s="167">
        <v>1.3142334654068879</v>
      </c>
      <c r="E207" s="167">
        <v>1.6827195467422094</v>
      </c>
      <c r="F207" s="167">
        <v>1.4126632720832406</v>
      </c>
      <c r="G207" s="167">
        <v>1.7086124401913869</v>
      </c>
      <c r="H207" s="167">
        <v>1.665011407864716</v>
      </c>
      <c r="I207" s="167">
        <v>1.8088993499215418</v>
      </c>
      <c r="J207" s="167">
        <v>1.5332718894009219</v>
      </c>
      <c r="K207" s="167">
        <v>1.3258518518518523</v>
      </c>
      <c r="L207" s="167">
        <v>1.3439032815198626</v>
      </c>
      <c r="M207" s="167">
        <v>1.4678834678834676</v>
      </c>
      <c r="N207" s="167">
        <v>1.9473994884239527</v>
      </c>
      <c r="O207" s="167">
        <v>1.4484619157732466</v>
      </c>
      <c r="P207" s="167">
        <v>1.6044189701395952</v>
      </c>
      <c r="Q207" s="167">
        <v>1.8564135290363755</v>
      </c>
      <c r="R207" s="167">
        <v>1.7828322168562085</v>
      </c>
      <c r="S207" s="167">
        <v>1.6056861258529187</v>
      </c>
      <c r="T207" s="167">
        <v>1.349295579151919</v>
      </c>
      <c r="U207" s="164">
        <f t="shared" si="72"/>
        <v>2.3443727300066719E-2</v>
      </c>
      <c r="V207" s="164">
        <f t="shared" si="73"/>
        <v>-0.25512339098767622</v>
      </c>
      <c r="W207" s="164">
        <f t="shared" si="74"/>
        <v>-0.2563905467009997</v>
      </c>
    </row>
    <row r="208" spans="1:23" ht="15" customHeight="1" x14ac:dyDescent="0.2">
      <c r="A208" s="34" t="s">
        <v>3</v>
      </c>
      <c r="B208" s="29" t="s">
        <v>384</v>
      </c>
      <c r="C208" s="167">
        <v>9.2951672862453538</v>
      </c>
      <c r="D208" s="167">
        <v>8.571653543307086</v>
      </c>
      <c r="E208" s="167">
        <v>8.3222016079158951</v>
      </c>
      <c r="F208" s="167">
        <v>8.4076696165191755</v>
      </c>
      <c r="G208" s="167">
        <v>8.2369607211848042</v>
      </c>
      <c r="H208" s="167">
        <v>7.8334314302530901</v>
      </c>
      <c r="I208" s="167">
        <v>7.7714021286441479</v>
      </c>
      <c r="J208" s="167">
        <v>7.6841878500646272</v>
      </c>
      <c r="K208" s="167">
        <v>7.7091549295774646</v>
      </c>
      <c r="L208" s="167">
        <v>7.2514326647564467</v>
      </c>
      <c r="M208" s="167">
        <v>7.2691349234603058</v>
      </c>
      <c r="N208" s="167">
        <v>7.1835781041388502</v>
      </c>
      <c r="O208" s="167">
        <v>6.9469122426868921</v>
      </c>
      <c r="P208" s="167">
        <v>6.8780487804878048</v>
      </c>
      <c r="Q208" s="167">
        <v>6.8435839028094154</v>
      </c>
      <c r="R208" s="167">
        <v>7.0612244897959187</v>
      </c>
      <c r="S208" s="167">
        <v>6.5688545688545688</v>
      </c>
      <c r="T208" s="167">
        <v>6.1263693270735526</v>
      </c>
      <c r="U208" s="164">
        <f t="shared" si="72"/>
        <v>-1.582785602503912</v>
      </c>
      <c r="V208" s="164">
        <f t="shared" si="73"/>
        <v>-0.75167945341425213</v>
      </c>
      <c r="W208" s="164">
        <f t="shared" si="74"/>
        <v>-0.44248524178101611</v>
      </c>
    </row>
    <row r="209" spans="1:23" ht="15" customHeight="1" x14ac:dyDescent="0.2">
      <c r="A209" s="34"/>
      <c r="B209" s="29" t="s">
        <v>531</v>
      </c>
      <c r="C209" s="167">
        <v>3.1368029739776961</v>
      </c>
      <c r="D209" s="167">
        <v>2.4196850393700782</v>
      </c>
      <c r="E209" s="167">
        <v>2.7903525046382205</v>
      </c>
      <c r="F209" s="167">
        <v>2.9457227138643081</v>
      </c>
      <c r="G209" s="167">
        <v>2.7591757887958792</v>
      </c>
      <c r="H209" s="167">
        <v>2.5673925838728664</v>
      </c>
      <c r="I209" s="167">
        <v>2.6339657565941712</v>
      </c>
      <c r="J209" s="167">
        <v>2.6169754416199913</v>
      </c>
      <c r="K209" s="167">
        <v>2.4676056338028172</v>
      </c>
      <c r="L209" s="167">
        <v>2.080587392550143</v>
      </c>
      <c r="M209" s="167">
        <v>2.2573869704521181</v>
      </c>
      <c r="N209" s="167">
        <v>2.0774365821094776</v>
      </c>
      <c r="O209" s="167">
        <v>2.0382809678584346</v>
      </c>
      <c r="P209" s="167">
        <v>2.0355518809425384</v>
      </c>
      <c r="Q209" s="167">
        <v>2.0542900531511012</v>
      </c>
      <c r="R209" s="167">
        <v>2.5024118738404457</v>
      </c>
      <c r="S209" s="167">
        <v>2.1003861003861006</v>
      </c>
      <c r="T209" s="167">
        <v>1.6928794992175273</v>
      </c>
      <c r="U209" s="164">
        <f t="shared" si="72"/>
        <v>-0.77472613458528983</v>
      </c>
      <c r="V209" s="164">
        <f t="shared" si="73"/>
        <v>-0.34267238172501102</v>
      </c>
      <c r="W209" s="164">
        <f t="shared" si="74"/>
        <v>-0.40750660116857329</v>
      </c>
    </row>
    <row r="210" spans="1:23" ht="15" customHeight="1" x14ac:dyDescent="0.2">
      <c r="A210" s="55"/>
      <c r="B210" s="55"/>
      <c r="C210" s="55"/>
      <c r="D210" s="55"/>
      <c r="E210" s="55"/>
      <c r="F210" s="55"/>
      <c r="G210" s="55"/>
      <c r="H210" s="55"/>
      <c r="I210" s="55"/>
      <c r="J210" s="55"/>
      <c r="K210" s="55"/>
      <c r="L210" s="55"/>
      <c r="M210" s="55"/>
      <c r="N210" s="55"/>
      <c r="O210" s="55"/>
      <c r="P210" s="55"/>
      <c r="Q210" s="55"/>
      <c r="R210" s="55"/>
      <c r="S210" s="55"/>
      <c r="T210" s="55"/>
      <c r="U210" s="68"/>
      <c r="V210" s="68"/>
      <c r="W210" s="68"/>
    </row>
    <row r="211" spans="1:23" ht="15" customHeight="1" x14ac:dyDescent="0.25">
      <c r="A211" s="54" t="s">
        <v>564</v>
      </c>
      <c r="B211" s="54"/>
      <c r="C211" s="54"/>
      <c r="D211" s="54"/>
      <c r="E211" s="54"/>
      <c r="F211" s="54"/>
      <c r="G211" s="54"/>
      <c r="H211" s="54"/>
      <c r="I211" s="54"/>
      <c r="J211" s="54"/>
      <c r="K211" s="54"/>
      <c r="L211" s="54"/>
      <c r="M211" s="54"/>
      <c r="N211" s="54"/>
      <c r="O211" s="54"/>
      <c r="P211" s="54"/>
      <c r="Q211" s="54"/>
      <c r="R211" s="54"/>
      <c r="S211" s="54"/>
      <c r="T211" s="54"/>
      <c r="U211" s="66"/>
      <c r="V211" s="66"/>
      <c r="W211" s="66"/>
    </row>
    <row r="212" spans="1:23" ht="44.25" customHeight="1" x14ac:dyDescent="0.2">
      <c r="A212" s="56" t="s">
        <v>369</v>
      </c>
      <c r="B212" s="147" t="s">
        <v>530</v>
      </c>
      <c r="C212" s="15">
        <v>2007</v>
      </c>
      <c r="D212" s="15">
        <v>2008</v>
      </c>
      <c r="E212" s="15">
        <v>2009</v>
      </c>
      <c r="F212" s="15">
        <v>2010</v>
      </c>
      <c r="G212" s="15">
        <v>2011</v>
      </c>
      <c r="H212" s="15">
        <v>2012</v>
      </c>
      <c r="I212" s="15">
        <v>2013</v>
      </c>
      <c r="J212" s="15">
        <v>2014</v>
      </c>
      <c r="K212" s="15">
        <v>2015</v>
      </c>
      <c r="L212" s="15">
        <v>2016</v>
      </c>
      <c r="M212" s="15">
        <v>2017</v>
      </c>
      <c r="N212" s="15">
        <v>2018</v>
      </c>
      <c r="O212" s="15">
        <v>2019</v>
      </c>
      <c r="P212" s="15">
        <v>2020</v>
      </c>
      <c r="Q212" s="15">
        <v>2021</v>
      </c>
      <c r="R212" s="15">
        <v>2022</v>
      </c>
      <c r="S212" s="15">
        <v>2023</v>
      </c>
      <c r="T212" s="15">
        <v>2024</v>
      </c>
      <c r="U212" s="27" t="s">
        <v>469</v>
      </c>
      <c r="V212" s="27" t="s">
        <v>470</v>
      </c>
      <c r="W212" s="27" t="s">
        <v>471</v>
      </c>
    </row>
    <row r="213" spans="1:23" ht="15" customHeight="1" x14ac:dyDescent="0.2">
      <c r="A213" s="196" t="s">
        <v>72</v>
      </c>
      <c r="B213" s="197"/>
      <c r="C213" s="166"/>
      <c r="D213" s="166"/>
      <c r="E213" s="166"/>
      <c r="F213" s="166"/>
      <c r="G213" s="166"/>
      <c r="H213" s="166"/>
      <c r="I213" s="166"/>
      <c r="J213" s="166"/>
      <c r="K213" s="166"/>
      <c r="L213" s="166"/>
      <c r="M213" s="166"/>
      <c r="N213" s="166"/>
      <c r="O213" s="166"/>
      <c r="P213" s="166"/>
      <c r="Q213" s="166"/>
      <c r="R213" s="166"/>
      <c r="S213" s="166"/>
      <c r="T213" s="166"/>
      <c r="U213" s="165"/>
      <c r="V213" s="165"/>
      <c r="W213" s="165"/>
    </row>
    <row r="214" spans="1:23" ht="15" customHeight="1" x14ac:dyDescent="0.2">
      <c r="A214" s="34" t="s">
        <v>18</v>
      </c>
      <c r="B214" s="29" t="s">
        <v>384</v>
      </c>
      <c r="C214" s="167">
        <v>6.7057566616390147</v>
      </c>
      <c r="D214" s="167">
        <v>6.1057087769301699</v>
      </c>
      <c r="E214" s="167">
        <v>6.1274113540327022</v>
      </c>
      <c r="F214" s="167">
        <v>6.5362814292015878</v>
      </c>
      <c r="G214" s="167">
        <v>6.3984814588841434</v>
      </c>
      <c r="H214" s="167">
        <v>6.3554783203236287</v>
      </c>
      <c r="I214" s="167">
        <v>6.5529827522548656</v>
      </c>
      <c r="J214" s="167">
        <v>6.3624211853720052</v>
      </c>
      <c r="K214" s="167">
        <v>6.2126721267212668</v>
      </c>
      <c r="L214" s="167">
        <v>6.1872246696035242</v>
      </c>
      <c r="M214" s="167">
        <v>6.0791169451073985</v>
      </c>
      <c r="N214" s="167">
        <v>6.2693150790293428</v>
      </c>
      <c r="O214" s="167">
        <v>6.0230220020399239</v>
      </c>
      <c r="P214" s="167">
        <v>6.2036754176610982</v>
      </c>
      <c r="Q214" s="167">
        <v>6.3899639888264392</v>
      </c>
      <c r="R214" s="167">
        <v>6.3525461452856975</v>
      </c>
      <c r="S214" s="167">
        <v>6.2405158476519906</v>
      </c>
      <c r="T214" s="167">
        <v>6.053002852517154</v>
      </c>
      <c r="U214" s="164">
        <f t="shared" ref="U214" si="75">IFERROR((T214-K214),"n/a")</f>
        <v>-0.15966927420411281</v>
      </c>
      <c r="V214" s="164">
        <f t="shared" ref="V214" si="76">IFERROR((T214-P214),"n/a")</f>
        <v>-0.15067256514394423</v>
      </c>
      <c r="W214" s="164">
        <f t="shared" ref="W214" si="77">IFERROR((T214-S214),"n/a")</f>
        <v>-0.18751299513483666</v>
      </c>
    </row>
    <row r="215" spans="1:23" ht="15" customHeight="1" x14ac:dyDescent="0.2">
      <c r="A215" s="34"/>
      <c r="B215" s="29" t="s">
        <v>531</v>
      </c>
      <c r="C215" s="167">
        <v>1.4837858220211162</v>
      </c>
      <c r="D215" s="167">
        <v>0.98616816162293564</v>
      </c>
      <c r="E215" s="167">
        <v>1.0356421091309933</v>
      </c>
      <c r="F215" s="167">
        <v>1.3381120423467134</v>
      </c>
      <c r="G215" s="167">
        <v>1.4125144058029964</v>
      </c>
      <c r="H215" s="167">
        <v>1.3667597287903828</v>
      </c>
      <c r="I215" s="167">
        <v>1.5634263410517431</v>
      </c>
      <c r="J215" s="167">
        <v>1.3626733921815894</v>
      </c>
      <c r="K215" s="167">
        <v>1.2177571775717757</v>
      </c>
      <c r="L215" s="167">
        <v>1.2155786944333196</v>
      </c>
      <c r="M215" s="167">
        <v>1.1618536197295146</v>
      </c>
      <c r="N215" s="167">
        <v>1.3277314156058919</v>
      </c>
      <c r="O215" s="167">
        <v>1.1148185924522798</v>
      </c>
      <c r="P215" s="167">
        <v>1.2744630071599046</v>
      </c>
      <c r="Q215" s="167">
        <v>1.5200080772725739</v>
      </c>
      <c r="R215" s="167">
        <v>1.4737326835258449</v>
      </c>
      <c r="S215" s="167">
        <v>1.3724856186787981</v>
      </c>
      <c r="T215" s="167">
        <v>1.1891912728394116</v>
      </c>
      <c r="U215" s="164">
        <f t="shared" ref="U215:U234" si="78">IFERROR((T215-K215),"n/a")</f>
        <v>-2.8565904732364089E-2</v>
      </c>
      <c r="V215" s="164">
        <f t="shared" ref="V215:V234" si="79">IFERROR((T215-P215),"n/a")</f>
        <v>-8.5271734320492953E-2</v>
      </c>
      <c r="W215" s="164">
        <f t="shared" ref="W215:W234" si="80">IFERROR((T215-S215),"n/a")</f>
        <v>-0.18329434583938653</v>
      </c>
    </row>
    <row r="216" spans="1:23" ht="15" customHeight="1" x14ac:dyDescent="0.2">
      <c r="A216" s="34" t="s">
        <v>20</v>
      </c>
      <c r="B216" s="29" t="s">
        <v>384</v>
      </c>
      <c r="C216" s="167">
        <v>6.7596306908627826</v>
      </c>
      <c r="D216" s="167">
        <v>6.5190283400809719</v>
      </c>
      <c r="E216" s="167">
        <v>6.5002916585650397</v>
      </c>
      <c r="F216" s="167">
        <v>6.5883768276883217</v>
      </c>
      <c r="G216" s="167">
        <v>6.5171760887205838</v>
      </c>
      <c r="H216" s="167">
        <v>6.3651620973626599</v>
      </c>
      <c r="I216" s="167">
        <v>6.4704491725768323</v>
      </c>
      <c r="J216" s="167">
        <v>6.3888513259710011</v>
      </c>
      <c r="K216" s="167">
        <v>6.2590906001495279</v>
      </c>
      <c r="L216" s="167">
        <v>6.203889102810936</v>
      </c>
      <c r="M216" s="167">
        <v>6.087085729052264</v>
      </c>
      <c r="N216" s="167">
        <v>6.2489573110893035</v>
      </c>
      <c r="O216" s="167">
        <v>6.0505405584665386</v>
      </c>
      <c r="P216" s="167">
        <v>6.1303952059470532</v>
      </c>
      <c r="Q216" s="167">
        <v>6.2405055524878827</v>
      </c>
      <c r="R216" s="167">
        <v>6.1798727588201272</v>
      </c>
      <c r="S216" s="167">
        <v>6.0916641033528149</v>
      </c>
      <c r="T216" s="167">
        <v>6.0075739644970412</v>
      </c>
      <c r="U216" s="164">
        <f t="shared" si="78"/>
        <v>-0.25151663565248672</v>
      </c>
      <c r="V216" s="164">
        <f t="shared" si="79"/>
        <v>-0.12282124145001205</v>
      </c>
      <c r="W216" s="164">
        <f t="shared" si="80"/>
        <v>-8.4090138855773766E-2</v>
      </c>
    </row>
    <row r="217" spans="1:23" ht="15" customHeight="1" x14ac:dyDescent="0.2">
      <c r="A217" s="34"/>
      <c r="B217" s="29" t="s">
        <v>531</v>
      </c>
      <c r="C217" s="167">
        <v>1.400191021967526</v>
      </c>
      <c r="D217" s="167">
        <v>1.2904183535762481</v>
      </c>
      <c r="E217" s="167">
        <v>1.3344351545790394</v>
      </c>
      <c r="F217" s="167">
        <v>1.3473995928188049</v>
      </c>
      <c r="G217" s="167">
        <v>1.4457668379767377</v>
      </c>
      <c r="H217" s="167">
        <v>1.3308662566454705</v>
      </c>
      <c r="I217" s="167">
        <v>1.4507767646065517</v>
      </c>
      <c r="J217" s="167">
        <v>1.3711216287281189</v>
      </c>
      <c r="K217" s="167">
        <v>1.2776456195201522</v>
      </c>
      <c r="L217" s="167">
        <v>1.2336670517263508</v>
      </c>
      <c r="M217" s="167">
        <v>1.185347890690613</v>
      </c>
      <c r="N217" s="167">
        <v>1.3231108930323847</v>
      </c>
      <c r="O217" s="167">
        <v>1.1268820057040525</v>
      </c>
      <c r="P217" s="167">
        <v>1.219221724948798</v>
      </c>
      <c r="Q217" s="167">
        <v>1.3784281244248113</v>
      </c>
      <c r="R217" s="167">
        <v>1.3303932909196066</v>
      </c>
      <c r="S217" s="167">
        <v>1.2253921870193789</v>
      </c>
      <c r="T217" s="167">
        <v>1.1562919132149903</v>
      </c>
      <c r="U217" s="164">
        <f t="shared" si="78"/>
        <v>-0.12135370630516196</v>
      </c>
      <c r="V217" s="164">
        <f t="shared" si="79"/>
        <v>-6.2929811733807739E-2</v>
      </c>
      <c r="W217" s="164">
        <f t="shared" si="80"/>
        <v>-6.9100273804388657E-2</v>
      </c>
    </row>
    <row r="218" spans="1:23" ht="15" customHeight="1" x14ac:dyDescent="0.2">
      <c r="A218" s="34" t="s">
        <v>292</v>
      </c>
      <c r="B218" s="29" t="s">
        <v>384</v>
      </c>
      <c r="C218" s="167" t="s">
        <v>100</v>
      </c>
      <c r="D218" s="167" t="s">
        <v>100</v>
      </c>
      <c r="E218" s="167">
        <v>5.666666666666667</v>
      </c>
      <c r="F218" s="167">
        <v>5.7142857142857144</v>
      </c>
      <c r="G218" s="167">
        <v>6.0877192982456121</v>
      </c>
      <c r="H218" s="167">
        <v>6.1714285714285735</v>
      </c>
      <c r="I218" s="167">
        <v>6.4337349397590362</v>
      </c>
      <c r="J218" s="167">
        <v>6.6899224806201554</v>
      </c>
      <c r="K218" s="167">
        <v>6.1118012422360248</v>
      </c>
      <c r="L218" s="167">
        <v>6.2506963788300833</v>
      </c>
      <c r="M218" s="167">
        <v>5.9129662522202491</v>
      </c>
      <c r="N218" s="167">
        <v>5.545866364665911</v>
      </c>
      <c r="O218" s="167">
        <v>5.8755980861244028</v>
      </c>
      <c r="P218" s="167">
        <v>5.8665207877461718</v>
      </c>
      <c r="Q218" s="167">
        <v>6.2349206349206332</v>
      </c>
      <c r="R218" s="167">
        <v>5.9264705882352944</v>
      </c>
      <c r="S218" s="167">
        <v>6.4125412541254123</v>
      </c>
      <c r="T218" s="167">
        <v>6.6584158415841586</v>
      </c>
      <c r="U218" s="164">
        <f t="shared" si="78"/>
        <v>0.54661459934813372</v>
      </c>
      <c r="V218" s="164">
        <f t="shared" si="79"/>
        <v>0.79189505383798675</v>
      </c>
      <c r="W218" s="164">
        <f t="shared" si="80"/>
        <v>0.24587458745874624</v>
      </c>
    </row>
    <row r="219" spans="1:23" ht="15" customHeight="1" x14ac:dyDescent="0.2">
      <c r="A219" s="34"/>
      <c r="B219" s="29" t="s">
        <v>531</v>
      </c>
      <c r="C219" s="167" t="s">
        <v>100</v>
      </c>
      <c r="D219" s="167" t="s">
        <v>100</v>
      </c>
      <c r="E219" s="167">
        <v>0.66666666666666696</v>
      </c>
      <c r="F219" s="167">
        <v>1</v>
      </c>
      <c r="G219" s="167">
        <v>1.1228070175438578</v>
      </c>
      <c r="H219" s="167">
        <v>1.2285714285714304</v>
      </c>
      <c r="I219" s="167">
        <v>1.3493975903614457</v>
      </c>
      <c r="J219" s="167">
        <v>1.6744186046511631</v>
      </c>
      <c r="K219" s="167">
        <v>1.1086956521739131</v>
      </c>
      <c r="L219" s="167">
        <v>1.2367688022284122</v>
      </c>
      <c r="M219" s="167">
        <v>1.2131438721136769</v>
      </c>
      <c r="N219" s="167">
        <v>1.0226500566251406</v>
      </c>
      <c r="O219" s="167">
        <v>0.8732057416267951</v>
      </c>
      <c r="P219" s="167">
        <v>0.84463894967177389</v>
      </c>
      <c r="Q219" s="167">
        <v>1.1587301587301573</v>
      </c>
      <c r="R219" s="167">
        <v>0.89950980392156854</v>
      </c>
      <c r="S219" s="167">
        <v>1.4653465346534649</v>
      </c>
      <c r="T219" s="167">
        <v>1.7920792079207919</v>
      </c>
      <c r="U219" s="164">
        <f t="shared" si="78"/>
        <v>0.68338355574687881</v>
      </c>
      <c r="V219" s="164">
        <f t="shared" si="79"/>
        <v>0.94744025824901801</v>
      </c>
      <c r="W219" s="164">
        <f t="shared" si="80"/>
        <v>0.32673267326732702</v>
      </c>
    </row>
    <row r="220" spans="1:23" ht="15" customHeight="1" x14ac:dyDescent="0.2">
      <c r="A220" s="34" t="s">
        <v>293</v>
      </c>
      <c r="B220" s="29" t="s">
        <v>384</v>
      </c>
      <c r="C220" s="167">
        <v>6.375</v>
      </c>
      <c r="D220" s="167">
        <v>5.916666666666667</v>
      </c>
      <c r="E220" s="167">
        <v>6.3863636363636367</v>
      </c>
      <c r="F220" s="167">
        <v>6.2676056338028179</v>
      </c>
      <c r="G220" s="167">
        <v>6.2588235294117647</v>
      </c>
      <c r="H220" s="167">
        <v>6.1938775510204085</v>
      </c>
      <c r="I220" s="167">
        <v>6.6747967479674806</v>
      </c>
      <c r="J220" s="167">
        <v>6.5096153846153859</v>
      </c>
      <c r="K220" s="167">
        <v>5.9688473520249259</v>
      </c>
      <c r="L220" s="167">
        <v>6.6089385474860372</v>
      </c>
      <c r="M220" s="167">
        <v>6.3600917431192663</v>
      </c>
      <c r="N220" s="167">
        <v>6.8538135593220337</v>
      </c>
      <c r="O220" s="167">
        <v>6.6704089815557337</v>
      </c>
      <c r="P220" s="167">
        <v>6.4160387513455328</v>
      </c>
      <c r="Q220" s="167">
        <v>6.6709090909090909</v>
      </c>
      <c r="R220" s="167">
        <v>6.3270884520884518</v>
      </c>
      <c r="S220" s="167">
        <v>6.1821218074656192</v>
      </c>
      <c r="T220" s="167">
        <v>5.9238204456094365</v>
      </c>
      <c r="U220" s="164">
        <f t="shared" si="78"/>
        <v>-4.5026906415489343E-2</v>
      </c>
      <c r="V220" s="164">
        <f t="shared" si="79"/>
        <v>-0.49221830573609626</v>
      </c>
      <c r="W220" s="164">
        <f t="shared" si="80"/>
        <v>-0.25830136185618269</v>
      </c>
    </row>
    <row r="221" spans="1:23" ht="15" customHeight="1" x14ac:dyDescent="0.2">
      <c r="A221" s="34"/>
      <c r="B221" s="29" t="s">
        <v>531</v>
      </c>
      <c r="C221" s="167">
        <v>0.125</v>
      </c>
      <c r="D221" s="167">
        <v>0.91666666666666696</v>
      </c>
      <c r="E221" s="167">
        <v>1.3863636363636367</v>
      </c>
      <c r="F221" s="167">
        <v>1.0422535211267618</v>
      </c>
      <c r="G221" s="167">
        <v>0.9764705882352942</v>
      </c>
      <c r="H221" s="167">
        <v>1.2244897959183678</v>
      </c>
      <c r="I221" s="167">
        <v>1.7073170731707323</v>
      </c>
      <c r="J221" s="167">
        <v>1.5192307692307709</v>
      </c>
      <c r="K221" s="167">
        <v>0.96884735202492589</v>
      </c>
      <c r="L221" s="167">
        <v>1.6089385474860372</v>
      </c>
      <c r="M221" s="167">
        <v>1.3784403669724776</v>
      </c>
      <c r="N221" s="167">
        <v>1.9565677966101696</v>
      </c>
      <c r="O221" s="167">
        <v>1.7947072975140337</v>
      </c>
      <c r="P221" s="167">
        <v>1.5290635091496236</v>
      </c>
      <c r="Q221" s="167">
        <v>1.8145454545454545</v>
      </c>
      <c r="R221" s="167">
        <v>1.4705159705159705</v>
      </c>
      <c r="S221" s="167">
        <v>1.5039292730844798</v>
      </c>
      <c r="T221" s="167">
        <v>1.2403342070773267</v>
      </c>
      <c r="U221" s="164">
        <f t="shared" si="78"/>
        <v>0.27148685505240078</v>
      </c>
      <c r="V221" s="164">
        <f t="shared" si="79"/>
        <v>-0.28872930207229697</v>
      </c>
      <c r="W221" s="164">
        <f t="shared" si="80"/>
        <v>-0.2635950660071531</v>
      </c>
    </row>
    <row r="222" spans="1:23" ht="15" customHeight="1" x14ac:dyDescent="0.2">
      <c r="A222" s="34" t="s">
        <v>19</v>
      </c>
      <c r="B222" s="29" t="s">
        <v>384</v>
      </c>
      <c r="C222" s="167">
        <v>6</v>
      </c>
      <c r="D222" s="167">
        <v>5.6984126984126986</v>
      </c>
      <c r="E222" s="167">
        <v>6.5108695652173925</v>
      </c>
      <c r="F222" s="167">
        <v>6.2558139534883708</v>
      </c>
      <c r="G222" s="167">
        <v>7.7375886524822723</v>
      </c>
      <c r="H222" s="167">
        <v>7.9049773755656094</v>
      </c>
      <c r="I222" s="167">
        <v>8.085245901639345</v>
      </c>
      <c r="J222" s="167">
        <v>7.2544247787610612</v>
      </c>
      <c r="K222" s="167">
        <v>7.4285714285714288</v>
      </c>
      <c r="L222" s="167">
        <v>7.6048192771084349</v>
      </c>
      <c r="M222" s="167">
        <v>7.2374581939799301</v>
      </c>
      <c r="N222" s="167">
        <v>6.1176470588235317</v>
      </c>
      <c r="O222" s="167">
        <v>5.9090909090909092</v>
      </c>
      <c r="P222" s="167">
        <v>5.0155038759689914</v>
      </c>
      <c r="Q222" s="167">
        <v>5.1590909090909101</v>
      </c>
      <c r="R222" s="167">
        <v>5.2911392405063298</v>
      </c>
      <c r="S222" s="167">
        <v>4.8139534883720945</v>
      </c>
      <c r="T222" s="167">
        <v>6.8888888888888893</v>
      </c>
      <c r="U222" s="164">
        <f t="shared" si="78"/>
        <v>-0.53968253968253954</v>
      </c>
      <c r="V222" s="164">
        <f t="shared" si="79"/>
        <v>1.8733850129198979</v>
      </c>
      <c r="W222" s="164">
        <f t="shared" si="80"/>
        <v>2.0749354005167948</v>
      </c>
    </row>
    <row r="223" spans="1:23" ht="15" customHeight="1" x14ac:dyDescent="0.2">
      <c r="A223" s="169"/>
      <c r="B223" s="29" t="s">
        <v>531</v>
      </c>
      <c r="C223" s="167">
        <v>1</v>
      </c>
      <c r="D223" s="167">
        <v>0.76190476190476186</v>
      </c>
      <c r="E223" s="167">
        <v>1.3695652173913055</v>
      </c>
      <c r="F223" s="167">
        <v>0.89534883720930125</v>
      </c>
      <c r="G223" s="167">
        <v>2.0638297872340452</v>
      </c>
      <c r="H223" s="167">
        <v>2.7692307692307674</v>
      </c>
      <c r="I223" s="167">
        <v>2.445901639344263</v>
      </c>
      <c r="J223" s="167">
        <v>2.4623893805309729</v>
      </c>
      <c r="K223" s="167">
        <v>2.6232142857142859</v>
      </c>
      <c r="L223" s="167">
        <v>2.3807228915662666</v>
      </c>
      <c r="M223" s="167">
        <v>2.4113712374581908</v>
      </c>
      <c r="N223" s="167">
        <v>1.8991596638655484</v>
      </c>
      <c r="O223" s="167">
        <v>1.7878787878787881</v>
      </c>
      <c r="P223" s="167">
        <v>1.0155038759689914</v>
      </c>
      <c r="Q223" s="167">
        <v>1.1590909090909101</v>
      </c>
      <c r="R223" s="167">
        <v>1.2911392405063298</v>
      </c>
      <c r="S223" s="167">
        <v>0.81395348837209447</v>
      </c>
      <c r="T223" s="167">
        <v>2.4444444444444446</v>
      </c>
      <c r="U223" s="164">
        <f t="shared" si="78"/>
        <v>-0.1787698412698413</v>
      </c>
      <c r="V223" s="164">
        <f t="shared" si="79"/>
        <v>1.4289405684754533</v>
      </c>
      <c r="W223" s="164">
        <f t="shared" si="80"/>
        <v>1.6304909560723502</v>
      </c>
    </row>
    <row r="224" spans="1:23" ht="15" customHeight="1" x14ac:dyDescent="0.2">
      <c r="A224" s="196" t="s">
        <v>71</v>
      </c>
      <c r="B224" s="197"/>
      <c r="C224" s="166"/>
      <c r="D224" s="166"/>
      <c r="E224" s="166"/>
      <c r="F224" s="166"/>
      <c r="G224" s="166"/>
      <c r="H224" s="166"/>
      <c r="I224" s="166"/>
      <c r="J224" s="166"/>
      <c r="K224" s="166"/>
      <c r="L224" s="166"/>
      <c r="M224" s="166"/>
      <c r="N224" s="166"/>
      <c r="O224" s="166"/>
      <c r="P224" s="166"/>
      <c r="Q224" s="166"/>
      <c r="R224" s="166"/>
      <c r="S224" s="166"/>
      <c r="T224" s="166"/>
      <c r="U224" s="165"/>
      <c r="V224" s="165"/>
      <c r="W224" s="165"/>
    </row>
    <row r="225" spans="1:24" ht="15" customHeight="1" x14ac:dyDescent="0.2">
      <c r="A225" s="34" t="s">
        <v>18</v>
      </c>
      <c r="B225" s="29" t="s">
        <v>384</v>
      </c>
      <c r="C225" s="167">
        <v>7.5399286987522283</v>
      </c>
      <c r="D225" s="167">
        <v>7.0907823392718825</v>
      </c>
      <c r="E225" s="167">
        <v>7.0803996194100858</v>
      </c>
      <c r="F225" s="167">
        <v>7.3385971355123027</v>
      </c>
      <c r="G225" s="167">
        <v>7.0110174102285097</v>
      </c>
      <c r="H225" s="167">
        <v>6.947128851540616</v>
      </c>
      <c r="I225" s="167">
        <v>7.1381450032658389</v>
      </c>
      <c r="J225" s="167">
        <v>6.989742027219175</v>
      </c>
      <c r="K225" s="167">
        <v>6.7258368115230383</v>
      </c>
      <c r="L225" s="167">
        <v>6.6071348103642507</v>
      </c>
      <c r="M225" s="167">
        <v>6.6240005868114133</v>
      </c>
      <c r="N225" s="167">
        <v>7.0510779202479918</v>
      </c>
      <c r="O225" s="167">
        <v>6.7165254773043372</v>
      </c>
      <c r="P225" s="167">
        <v>6.8156237701692248</v>
      </c>
      <c r="Q225" s="167">
        <v>7.1546868713960041</v>
      </c>
      <c r="R225" s="167">
        <v>7.1459629406649272</v>
      </c>
      <c r="S225" s="167">
        <v>7.0335168944183835</v>
      </c>
      <c r="T225" s="167">
        <v>6.6342684051099701</v>
      </c>
      <c r="U225" s="164">
        <f t="shared" si="78"/>
        <v>-9.1568406413068182E-2</v>
      </c>
      <c r="V225" s="164">
        <f t="shared" si="79"/>
        <v>-0.18135536505925476</v>
      </c>
      <c r="W225" s="164">
        <f t="shared" si="80"/>
        <v>-0.39924848930841339</v>
      </c>
    </row>
    <row r="226" spans="1:24" ht="15" customHeight="1" x14ac:dyDescent="0.2">
      <c r="A226" s="34"/>
      <c r="B226" s="29" t="s">
        <v>531</v>
      </c>
      <c r="C226" s="167">
        <v>2.1819964349376111</v>
      </c>
      <c r="D226" s="167">
        <v>1.8038729666924871</v>
      </c>
      <c r="E226" s="167">
        <v>2.0038058991436731</v>
      </c>
      <c r="F226" s="167">
        <v>2.1037458685273593</v>
      </c>
      <c r="G226" s="167">
        <v>2.0594396082698587</v>
      </c>
      <c r="H226" s="167">
        <v>2.022642390289449</v>
      </c>
      <c r="I226" s="167">
        <v>2.1957326366209449</v>
      </c>
      <c r="J226" s="167">
        <v>2.0581962218159653</v>
      </c>
      <c r="K226" s="167">
        <v>1.7919633357885267</v>
      </c>
      <c r="L226" s="167">
        <v>1.764551257979722</v>
      </c>
      <c r="M226" s="167">
        <v>1.8613658035648788</v>
      </c>
      <c r="N226" s="167">
        <v>2.2261518951669714</v>
      </c>
      <c r="O226" s="167">
        <v>1.9856492603363263</v>
      </c>
      <c r="P226" s="167">
        <v>2.0676898858717045</v>
      </c>
      <c r="Q226" s="167">
        <v>2.4206115059675479</v>
      </c>
      <c r="R226" s="167">
        <v>2.4478560438825339</v>
      </c>
      <c r="S226" s="167">
        <v>2.3828268407097699</v>
      </c>
      <c r="T226" s="167">
        <v>1.976754905834321</v>
      </c>
      <c r="U226" s="164">
        <f t="shared" si="78"/>
        <v>0.18479157004579427</v>
      </c>
      <c r="V226" s="164">
        <f t="shared" si="79"/>
        <v>-9.0934980037383539E-2</v>
      </c>
      <c r="W226" s="164">
        <f t="shared" si="80"/>
        <v>-0.4060719348754489</v>
      </c>
    </row>
    <row r="227" spans="1:24" ht="15" customHeight="1" x14ac:dyDescent="0.2">
      <c r="A227" s="34" t="s">
        <v>20</v>
      </c>
      <c r="B227" s="29" t="s">
        <v>384</v>
      </c>
      <c r="C227" s="167">
        <v>7.2067222643416731</v>
      </c>
      <c r="D227" s="167">
        <v>7.0769573946018287</v>
      </c>
      <c r="E227" s="167">
        <v>6.8582841925052307</v>
      </c>
      <c r="F227" s="167">
        <v>6.9967672413793105</v>
      </c>
      <c r="G227" s="167">
        <v>6.8808912896691421</v>
      </c>
      <c r="H227" s="167">
        <v>6.7866807859748208</v>
      </c>
      <c r="I227" s="167">
        <v>6.8429394812680115</v>
      </c>
      <c r="J227" s="167">
        <v>6.6717822621672038</v>
      </c>
      <c r="K227" s="167">
        <v>6.5178702211806065</v>
      </c>
      <c r="L227" s="167">
        <v>6.4688085676037481</v>
      </c>
      <c r="M227" s="167">
        <v>6.4633607709295324</v>
      </c>
      <c r="N227" s="167">
        <v>6.7315479655863895</v>
      </c>
      <c r="O227" s="167">
        <v>6.5427071509648131</v>
      </c>
      <c r="P227" s="167">
        <v>6.6581627885244368</v>
      </c>
      <c r="Q227" s="167">
        <v>6.8159044794755737</v>
      </c>
      <c r="R227" s="167">
        <v>6.7978076560760465</v>
      </c>
      <c r="S227" s="167">
        <v>6.637541345093716</v>
      </c>
      <c r="T227" s="167">
        <v>6.2554104811303883</v>
      </c>
      <c r="U227" s="164">
        <f t="shared" si="78"/>
        <v>-0.26245974005021822</v>
      </c>
      <c r="V227" s="164">
        <f t="shared" si="79"/>
        <v>-0.40275230739404844</v>
      </c>
      <c r="W227" s="164">
        <f t="shared" si="80"/>
        <v>-0.38213086396332763</v>
      </c>
    </row>
    <row r="228" spans="1:24" ht="15" customHeight="1" x14ac:dyDescent="0.2">
      <c r="A228" s="34"/>
      <c r="B228" s="29" t="s">
        <v>531</v>
      </c>
      <c r="C228" s="167">
        <v>1.8617639625979274</v>
      </c>
      <c r="D228" s="167">
        <v>1.7619897390140524</v>
      </c>
      <c r="E228" s="167">
        <v>1.7846680616321091</v>
      </c>
      <c r="F228" s="167">
        <v>1.8225574712643677</v>
      </c>
      <c r="G228" s="167">
        <v>1.9243754220121536</v>
      </c>
      <c r="H228" s="167">
        <v>1.8498646899635256</v>
      </c>
      <c r="I228" s="167">
        <v>1.935062439961575</v>
      </c>
      <c r="J228" s="167">
        <v>1.7802272341868752</v>
      </c>
      <c r="K228" s="167">
        <v>1.6517504028123629</v>
      </c>
      <c r="L228" s="167">
        <v>1.6353413654618469</v>
      </c>
      <c r="M228" s="167">
        <v>1.6799839389680793</v>
      </c>
      <c r="N228" s="167">
        <v>1.9385471246523061</v>
      </c>
      <c r="O228" s="167">
        <v>1.7983115777525542</v>
      </c>
      <c r="P228" s="167">
        <v>1.8949630875619103</v>
      </c>
      <c r="Q228" s="167">
        <v>2.0948962072732948</v>
      </c>
      <c r="R228" s="167">
        <v>2.0985698381433586</v>
      </c>
      <c r="S228" s="167">
        <v>1.9534178610804851</v>
      </c>
      <c r="T228" s="167">
        <v>1.559649436594527</v>
      </c>
      <c r="U228" s="164">
        <f t="shared" si="78"/>
        <v>-9.2100966217835811E-2</v>
      </c>
      <c r="V228" s="164">
        <f t="shared" si="79"/>
        <v>-0.3353136509673833</v>
      </c>
      <c r="W228" s="164">
        <f t="shared" si="80"/>
        <v>-0.39376842448595806</v>
      </c>
    </row>
    <row r="229" spans="1:24" ht="15" customHeight="1" x14ac:dyDescent="0.2">
      <c r="A229" s="34" t="s">
        <v>292</v>
      </c>
      <c r="B229" s="29" t="s">
        <v>384</v>
      </c>
      <c r="C229" s="167" t="s">
        <v>100</v>
      </c>
      <c r="D229" s="167" t="s">
        <v>100</v>
      </c>
      <c r="E229" s="167" t="s">
        <v>100</v>
      </c>
      <c r="F229" s="167">
        <v>5.4444444444444455</v>
      </c>
      <c r="G229" s="167">
        <v>5.7307692307692326</v>
      </c>
      <c r="H229" s="167">
        <v>6.1666666666666687</v>
      </c>
      <c r="I229" s="167">
        <v>6.1395348837209305</v>
      </c>
      <c r="J229" s="167">
        <v>6.301886792452831</v>
      </c>
      <c r="K229" s="167">
        <v>6.2592592592592595</v>
      </c>
      <c r="L229" s="167">
        <v>6.2888888888888888</v>
      </c>
      <c r="M229" s="167">
        <v>6.371428571428571</v>
      </c>
      <c r="N229" s="167">
        <v>6.0606060606060606</v>
      </c>
      <c r="O229" s="167">
        <v>5.8832487309644668</v>
      </c>
      <c r="P229" s="167">
        <v>6.1206030150753765</v>
      </c>
      <c r="Q229" s="167">
        <v>5.8590604026845634</v>
      </c>
      <c r="R229" s="167">
        <v>5.915730337078652</v>
      </c>
      <c r="S229" s="167">
        <v>6.1510791366906474</v>
      </c>
      <c r="T229" s="167">
        <v>7.0648148148148149</v>
      </c>
      <c r="U229" s="164">
        <f t="shared" si="78"/>
        <v>0.80555555555555536</v>
      </c>
      <c r="V229" s="164">
        <f t="shared" si="79"/>
        <v>0.94421179973943836</v>
      </c>
      <c r="W229" s="164">
        <f t="shared" si="80"/>
        <v>0.91373567812416745</v>
      </c>
    </row>
    <row r="230" spans="1:24" ht="15" customHeight="1" x14ac:dyDescent="0.2">
      <c r="A230" s="34"/>
      <c r="B230" s="29" t="s">
        <v>531</v>
      </c>
      <c r="C230" s="167" t="s">
        <v>100</v>
      </c>
      <c r="D230" s="167" t="s">
        <v>100</v>
      </c>
      <c r="E230" s="167" t="s">
        <v>100</v>
      </c>
      <c r="F230" s="167">
        <v>0.66666666666666785</v>
      </c>
      <c r="G230" s="167">
        <v>0.76923076923077094</v>
      </c>
      <c r="H230" s="167">
        <v>1.3750000000000018</v>
      </c>
      <c r="I230" s="167">
        <v>1.0232558139534884</v>
      </c>
      <c r="J230" s="167">
        <v>1.2830188679245289</v>
      </c>
      <c r="K230" s="167">
        <v>1.2370370370370374</v>
      </c>
      <c r="L230" s="167">
        <v>1.1333333333333329</v>
      </c>
      <c r="M230" s="167">
        <v>1.3571428571428568</v>
      </c>
      <c r="N230" s="167">
        <v>1.0707070707070709</v>
      </c>
      <c r="O230" s="167">
        <v>0.82233502538071068</v>
      </c>
      <c r="P230" s="167">
        <v>1.0904522613065319</v>
      </c>
      <c r="Q230" s="167">
        <v>0.83221476510067038</v>
      </c>
      <c r="R230" s="167">
        <v>0.88202247191011285</v>
      </c>
      <c r="S230" s="167">
        <v>1.3453237410071939</v>
      </c>
      <c r="T230" s="167">
        <v>2.4907407407407405</v>
      </c>
      <c r="U230" s="164">
        <f t="shared" si="78"/>
        <v>1.2537037037037031</v>
      </c>
      <c r="V230" s="164">
        <f t="shared" si="79"/>
        <v>1.4002884794342085</v>
      </c>
      <c r="W230" s="164">
        <f t="shared" si="80"/>
        <v>1.1454169997335466</v>
      </c>
    </row>
    <row r="231" spans="1:24" ht="15" customHeight="1" x14ac:dyDescent="0.2">
      <c r="A231" s="34" t="s">
        <v>293</v>
      </c>
      <c r="B231" s="29" t="s">
        <v>384</v>
      </c>
      <c r="C231" s="167">
        <v>9</v>
      </c>
      <c r="D231" s="167">
        <v>6.25</v>
      </c>
      <c r="E231" s="167">
        <v>6.2666666666666666</v>
      </c>
      <c r="F231" s="167">
        <v>6.7083333333333313</v>
      </c>
      <c r="G231" s="167">
        <v>7.3030303030303028</v>
      </c>
      <c r="H231" s="167">
        <v>6.0196078431372548</v>
      </c>
      <c r="I231" s="167">
        <v>6.2857142857142883</v>
      </c>
      <c r="J231" s="167">
        <v>6.1499999999999977</v>
      </c>
      <c r="K231" s="167">
        <v>6.1956521739130421</v>
      </c>
      <c r="L231" s="167">
        <v>5.9207920792079225</v>
      </c>
      <c r="M231" s="167">
        <v>6.0236220472440944</v>
      </c>
      <c r="N231" s="167">
        <v>6.8296041308089501</v>
      </c>
      <c r="O231" s="167">
        <v>6.6222509702457959</v>
      </c>
      <c r="P231" s="167">
        <v>6.4827288428324685</v>
      </c>
      <c r="Q231" s="167">
        <v>6.6123207647371203</v>
      </c>
      <c r="R231" s="167">
        <v>6.3019720624486446</v>
      </c>
      <c r="S231" s="167">
        <v>6.2145196506550215</v>
      </c>
      <c r="T231" s="167">
        <v>6.1582013047530282</v>
      </c>
      <c r="U231" s="164">
        <f t="shared" si="78"/>
        <v>-3.7450869160013944E-2</v>
      </c>
      <c r="V231" s="164">
        <f t="shared" si="79"/>
        <v>-0.32452753807944035</v>
      </c>
      <c r="W231" s="164">
        <f t="shared" si="80"/>
        <v>-5.6318345901993361E-2</v>
      </c>
    </row>
    <row r="232" spans="1:24" ht="15" customHeight="1" x14ac:dyDescent="0.2">
      <c r="A232" s="34"/>
      <c r="B232" s="29" t="s">
        <v>531</v>
      </c>
      <c r="C232" s="167">
        <v>4</v>
      </c>
      <c r="D232" s="167">
        <v>1.25</v>
      </c>
      <c r="E232" s="167">
        <v>1.2666666666666666</v>
      </c>
      <c r="F232" s="167">
        <v>1.4999999999999982</v>
      </c>
      <c r="G232" s="167">
        <v>1.6969696969696964</v>
      </c>
      <c r="H232" s="167">
        <v>1.0980392156862742</v>
      </c>
      <c r="I232" s="167">
        <v>1.2857142857142883</v>
      </c>
      <c r="J232" s="167">
        <v>1.1499999999999977</v>
      </c>
      <c r="K232" s="167">
        <v>1.1956521739130421</v>
      </c>
      <c r="L232" s="167">
        <v>0.9141914191419156</v>
      </c>
      <c r="M232" s="167">
        <v>1.0236220472440944</v>
      </c>
      <c r="N232" s="167">
        <v>1.8382099827882961</v>
      </c>
      <c r="O232" s="167">
        <v>1.6675291073738681</v>
      </c>
      <c r="P232" s="167">
        <v>1.527633851468047</v>
      </c>
      <c r="Q232" s="167">
        <v>1.7180031864046716</v>
      </c>
      <c r="R232" s="167">
        <v>1.4092029580936734</v>
      </c>
      <c r="S232" s="167">
        <v>1.4432314410480345</v>
      </c>
      <c r="T232" s="167">
        <v>1.4189189189189184</v>
      </c>
      <c r="U232" s="164">
        <f t="shared" si="78"/>
        <v>0.22326674500587629</v>
      </c>
      <c r="V232" s="164">
        <f t="shared" si="79"/>
        <v>-0.10871493254912856</v>
      </c>
      <c r="W232" s="164">
        <f t="shared" si="80"/>
        <v>-2.4312522129116054E-2</v>
      </c>
    </row>
    <row r="233" spans="1:24" ht="15" customHeight="1" x14ac:dyDescent="0.2">
      <c r="A233" s="34" t="s">
        <v>19</v>
      </c>
      <c r="B233" s="29" t="s">
        <v>384</v>
      </c>
      <c r="C233" s="167">
        <v>7.75</v>
      </c>
      <c r="D233" s="167">
        <v>6.1818181818181808</v>
      </c>
      <c r="E233" s="167">
        <v>6.9722222222222214</v>
      </c>
      <c r="F233" s="167">
        <v>6.7307692307692308</v>
      </c>
      <c r="G233" s="167">
        <v>8.258064516129032</v>
      </c>
      <c r="H233" s="167">
        <v>7.5512820512820502</v>
      </c>
      <c r="I233" s="167">
        <v>8.0769230769230766</v>
      </c>
      <c r="J233" s="167">
        <v>6.3197674418604652</v>
      </c>
      <c r="K233" s="167">
        <v>6.9954337899543368</v>
      </c>
      <c r="L233" s="167">
        <v>6.4946236559139772</v>
      </c>
      <c r="M233" s="167">
        <v>6.8347107438016543</v>
      </c>
      <c r="N233" s="167">
        <v>7.0869565217391308</v>
      </c>
      <c r="O233" s="167">
        <v>5.593220338983051</v>
      </c>
      <c r="P233" s="167">
        <v>5.4342105263157903</v>
      </c>
      <c r="Q233" s="167">
        <v>5.3846153846153824</v>
      </c>
      <c r="R233" s="167">
        <v>5.8412698412698409</v>
      </c>
      <c r="S233" s="167">
        <v>4.904761904761906</v>
      </c>
      <c r="T233" s="167">
        <v>6.4117647058823533</v>
      </c>
      <c r="U233" s="164">
        <f t="shared" si="78"/>
        <v>-0.58366908407198359</v>
      </c>
      <c r="V233" s="164">
        <f t="shared" si="79"/>
        <v>0.97755417956656299</v>
      </c>
      <c r="W233" s="164">
        <f t="shared" si="80"/>
        <v>1.5070028011204473</v>
      </c>
    </row>
    <row r="234" spans="1:24" ht="15" customHeight="1" x14ac:dyDescent="0.2">
      <c r="A234" s="34"/>
      <c r="B234" s="29" t="s">
        <v>531</v>
      </c>
      <c r="C234" s="167">
        <v>2.75</v>
      </c>
      <c r="D234" s="167">
        <v>1.2499999999999991</v>
      </c>
      <c r="E234" s="167">
        <v>2.1111111111111107</v>
      </c>
      <c r="F234" s="167">
        <v>2.1923076923076925</v>
      </c>
      <c r="G234" s="167">
        <v>2.806451612903226</v>
      </c>
      <c r="H234" s="167">
        <v>2.5128205128205119</v>
      </c>
      <c r="I234" s="167">
        <v>2.4153846153846148</v>
      </c>
      <c r="J234" s="167">
        <v>1.6744186046511631</v>
      </c>
      <c r="K234" s="167">
        <v>2.378995433789953</v>
      </c>
      <c r="L234" s="167">
        <v>1.7580645161290311</v>
      </c>
      <c r="M234" s="167">
        <v>2.2561983471074392</v>
      </c>
      <c r="N234" s="167">
        <v>2.63768115942029</v>
      </c>
      <c r="O234" s="167">
        <v>1.4745762711864412</v>
      </c>
      <c r="P234" s="167">
        <v>1.4210526315789478</v>
      </c>
      <c r="Q234" s="167">
        <v>1.3846153846153824</v>
      </c>
      <c r="R234" s="167">
        <v>1.8412698412698409</v>
      </c>
      <c r="S234" s="167">
        <v>0.90476190476190599</v>
      </c>
      <c r="T234" s="167">
        <v>2.1176470588235299</v>
      </c>
      <c r="U234" s="164">
        <f t="shared" si="78"/>
        <v>-0.26134837496642316</v>
      </c>
      <c r="V234" s="164">
        <f t="shared" si="79"/>
        <v>0.69659442724458209</v>
      </c>
      <c r="W234" s="164">
        <f t="shared" si="80"/>
        <v>1.2128851540616239</v>
      </c>
    </row>
    <row r="235" spans="1:24" ht="15" customHeight="1" x14ac:dyDescent="0.2">
      <c r="A235" s="44"/>
      <c r="B235" s="44"/>
      <c r="C235" s="103"/>
      <c r="D235" s="103"/>
      <c r="E235" s="103"/>
      <c r="F235" s="103"/>
      <c r="G235" s="44"/>
      <c r="H235" s="44"/>
      <c r="I235" s="44"/>
      <c r="J235" s="44"/>
      <c r="K235" s="44"/>
      <c r="L235" s="44"/>
      <c r="M235" s="44"/>
      <c r="N235" s="44"/>
      <c r="O235" s="44"/>
      <c r="P235" s="44"/>
      <c r="Q235" s="44"/>
      <c r="R235" s="44"/>
      <c r="S235" s="44"/>
      <c r="T235" s="44"/>
    </row>
    <row r="236" spans="1:24" ht="15" customHeight="1" x14ac:dyDescent="0.25">
      <c r="A236" s="54" t="s">
        <v>565</v>
      </c>
      <c r="B236" s="54"/>
      <c r="C236" s="54"/>
      <c r="D236" s="54"/>
      <c r="E236" s="54"/>
      <c r="F236" s="54"/>
      <c r="G236" s="54"/>
      <c r="H236" s="54"/>
      <c r="I236" s="54"/>
      <c r="J236" s="54"/>
      <c r="K236" s="54"/>
      <c r="L236" s="54"/>
      <c r="M236" s="54"/>
      <c r="N236" s="54"/>
      <c r="O236" s="54"/>
      <c r="P236" s="54"/>
      <c r="Q236" s="54"/>
      <c r="R236" s="54"/>
      <c r="S236" s="54"/>
      <c r="T236" s="54"/>
      <c r="U236" s="66"/>
      <c r="V236" s="66"/>
      <c r="W236" s="66"/>
    </row>
    <row r="237" spans="1:24" ht="49.5" customHeight="1" x14ac:dyDescent="0.2">
      <c r="A237" s="56" t="s">
        <v>367</v>
      </c>
      <c r="B237" s="147" t="s">
        <v>530</v>
      </c>
      <c r="C237" s="15">
        <v>2007</v>
      </c>
      <c r="D237" s="15">
        <v>2008</v>
      </c>
      <c r="E237" s="15">
        <v>2009</v>
      </c>
      <c r="F237" s="15">
        <v>2010</v>
      </c>
      <c r="G237" s="15">
        <v>2011</v>
      </c>
      <c r="H237" s="15">
        <v>2012</v>
      </c>
      <c r="I237" s="15">
        <v>2013</v>
      </c>
      <c r="J237" s="15">
        <v>2014</v>
      </c>
      <c r="K237" s="15">
        <v>2015</v>
      </c>
      <c r="L237" s="15">
        <v>2016</v>
      </c>
      <c r="M237" s="15">
        <v>2017</v>
      </c>
      <c r="N237" s="15">
        <v>2018</v>
      </c>
      <c r="O237" s="15">
        <v>2019</v>
      </c>
      <c r="P237" s="15">
        <v>2020</v>
      </c>
      <c r="Q237" s="15">
        <v>2021</v>
      </c>
      <c r="R237" s="15">
        <v>2022</v>
      </c>
      <c r="S237" s="15">
        <v>2023</v>
      </c>
      <c r="T237" s="15">
        <v>2024</v>
      </c>
      <c r="U237" s="27" t="s">
        <v>469</v>
      </c>
      <c r="V237" s="27" t="s">
        <v>470</v>
      </c>
      <c r="W237" s="27" t="s">
        <v>471</v>
      </c>
    </row>
    <row r="238" spans="1:24" ht="15" customHeight="1" x14ac:dyDescent="0.2">
      <c r="A238" s="196" t="s">
        <v>72</v>
      </c>
      <c r="B238" s="197"/>
      <c r="C238" s="166"/>
      <c r="D238" s="166"/>
      <c r="E238" s="166"/>
      <c r="F238" s="166"/>
      <c r="G238" s="166"/>
      <c r="H238" s="166"/>
      <c r="I238" s="166"/>
      <c r="J238" s="166"/>
      <c r="K238" s="166"/>
      <c r="L238" s="166"/>
      <c r="M238" s="166"/>
      <c r="N238" s="166"/>
      <c r="O238" s="166"/>
      <c r="P238" s="166"/>
      <c r="Q238" s="166"/>
      <c r="R238" s="166"/>
      <c r="S238" s="166"/>
      <c r="T238" s="166"/>
      <c r="U238" s="165"/>
      <c r="V238" s="165"/>
      <c r="W238" s="165"/>
    </row>
    <row r="239" spans="1:24" ht="15" customHeight="1" x14ac:dyDescent="0.2">
      <c r="A239" s="34" t="s">
        <v>8</v>
      </c>
      <c r="B239" s="29" t="s">
        <v>384</v>
      </c>
      <c r="C239" s="167">
        <v>6.8608883405305363</v>
      </c>
      <c r="D239" s="167">
        <v>6.5599662162162158</v>
      </c>
      <c r="E239" s="167">
        <v>6.5187032418952615</v>
      </c>
      <c r="F239" s="167">
        <v>6.6064257028112454</v>
      </c>
      <c r="G239" s="167">
        <v>6.5132804415315624</v>
      </c>
      <c r="H239" s="167">
        <v>6.415570830842797</v>
      </c>
      <c r="I239" s="167">
        <v>6.5001258494840171</v>
      </c>
      <c r="J239" s="167">
        <v>6.280532328347662</v>
      </c>
      <c r="K239" s="167">
        <v>6.0703818590223557</v>
      </c>
      <c r="L239" s="167">
        <v>5.9946910755148739</v>
      </c>
      <c r="M239" s="167">
        <v>5.9232086293981681</v>
      </c>
      <c r="N239" s="167">
        <v>6.2307867904428553</v>
      </c>
      <c r="O239" s="167">
        <v>5.9858378626655435</v>
      </c>
      <c r="P239" s="167">
        <v>6.1375135525840259</v>
      </c>
      <c r="Q239" s="167">
        <v>6.38054205332155</v>
      </c>
      <c r="R239" s="167">
        <v>6.3631466370910239</v>
      </c>
      <c r="S239" s="167">
        <v>6.2914765319426333</v>
      </c>
      <c r="T239" s="167">
        <v>6.1517798286090972</v>
      </c>
      <c r="U239" s="164">
        <f t="shared" ref="U239:U258" si="81">IFERROR((T239-K239),"n/a")</f>
        <v>8.1397969586741503E-2</v>
      </c>
      <c r="V239" s="164">
        <f t="shared" ref="V239:V258" si="82">IFERROR((T239-P239),"n/a")</f>
        <v>1.4266276025071356E-2</v>
      </c>
      <c r="W239" s="164">
        <f t="shared" ref="W239:W258" si="83">IFERROR((T239-S239),"n/a")</f>
        <v>-0.13969670333353612</v>
      </c>
      <c r="X239" s="140"/>
    </row>
    <row r="240" spans="1:24" ht="15" customHeight="1" x14ac:dyDescent="0.2">
      <c r="A240" s="34"/>
      <c r="B240" s="29" t="s">
        <v>531</v>
      </c>
      <c r="C240" s="167">
        <v>1.5080197409006786</v>
      </c>
      <c r="D240" s="167">
        <v>1.4192004504504503</v>
      </c>
      <c r="E240" s="167">
        <v>1.359555656313761</v>
      </c>
      <c r="F240" s="167">
        <v>1.2588130298973681</v>
      </c>
      <c r="G240" s="167">
        <v>1.5074163504656779</v>
      </c>
      <c r="H240" s="167">
        <v>1.4586072922893001</v>
      </c>
      <c r="I240" s="167">
        <v>1.5765164862824061</v>
      </c>
      <c r="J240" s="167">
        <v>1.353904133788717</v>
      </c>
      <c r="K240" s="167">
        <v>1.1849395657289552</v>
      </c>
      <c r="L240" s="167">
        <v>1.1577116704805492</v>
      </c>
      <c r="M240" s="167">
        <v>1.1501583768512971</v>
      </c>
      <c r="N240" s="167">
        <v>1.4273322173185212</v>
      </c>
      <c r="O240" s="167">
        <v>1.2334073336905762</v>
      </c>
      <c r="P240" s="167">
        <v>1.3615829418142393</v>
      </c>
      <c r="Q240" s="167">
        <v>1.6749889527176318</v>
      </c>
      <c r="R240" s="167">
        <v>1.6815337083102273</v>
      </c>
      <c r="S240" s="167">
        <v>1.6357561929595823</v>
      </c>
      <c r="T240" s="167">
        <v>1.4916776532630198</v>
      </c>
      <c r="U240" s="164">
        <f t="shared" si="81"/>
        <v>0.30673808753406462</v>
      </c>
      <c r="V240" s="164">
        <f t="shared" si="82"/>
        <v>0.13009471144878049</v>
      </c>
      <c r="W240" s="164">
        <f t="shared" si="83"/>
        <v>-0.14407853969656248</v>
      </c>
      <c r="X240" s="140"/>
    </row>
    <row r="241" spans="1:24" ht="15" customHeight="1" x14ac:dyDescent="0.2">
      <c r="A241" s="34" t="s">
        <v>9</v>
      </c>
      <c r="B241" s="29" t="s">
        <v>384</v>
      </c>
      <c r="C241" s="167">
        <v>7.4728260869565215</v>
      </c>
      <c r="D241" s="167">
        <v>6.9770114942528734</v>
      </c>
      <c r="E241" s="167">
        <v>6.8603773584905658</v>
      </c>
      <c r="F241" s="167">
        <v>7.215686274509804</v>
      </c>
      <c r="G241" s="167">
        <v>7.0812720848056534</v>
      </c>
      <c r="H241" s="167">
        <v>7.1676136363636367</v>
      </c>
      <c r="I241" s="167">
        <v>7.091145833333333</v>
      </c>
      <c r="J241" s="167">
        <v>6.8875502008032132</v>
      </c>
      <c r="K241" s="167">
        <v>6.8363939899833053</v>
      </c>
      <c r="L241" s="167">
        <v>6.5709570957095709</v>
      </c>
      <c r="M241" s="167">
        <v>6.1723577235772353</v>
      </c>
      <c r="N241" s="167">
        <v>6.5663474692202461</v>
      </c>
      <c r="O241" s="167">
        <v>6.5115431348724178</v>
      </c>
      <c r="P241" s="167">
        <v>6.515548281505728</v>
      </c>
      <c r="Q241" s="167">
        <v>6.6418803418803423</v>
      </c>
      <c r="R241" s="167">
        <v>6.5623318385650222</v>
      </c>
      <c r="S241" s="167">
        <v>6.3207547169811322</v>
      </c>
      <c r="T241" s="167">
        <v>6.4160331720801658</v>
      </c>
      <c r="U241" s="164">
        <f t="shared" si="81"/>
        <v>-0.42036081790313951</v>
      </c>
      <c r="V241" s="164">
        <f t="shared" si="82"/>
        <v>-9.9515109425562187E-2</v>
      </c>
      <c r="W241" s="164">
        <f t="shared" si="83"/>
        <v>9.5278455099033543E-2</v>
      </c>
      <c r="X241" s="140"/>
    </row>
    <row r="242" spans="1:24" ht="15" customHeight="1" x14ac:dyDescent="0.2">
      <c r="A242" s="34"/>
      <c r="B242" s="29" t="s">
        <v>531</v>
      </c>
      <c r="C242" s="167">
        <v>1.9510869565217392</v>
      </c>
      <c r="D242" s="167">
        <v>1.5670498084291182</v>
      </c>
      <c r="E242" s="167">
        <v>1.7547169811320753</v>
      </c>
      <c r="F242" s="167">
        <v>2.132352941176471</v>
      </c>
      <c r="G242" s="167">
        <v>2.0353356890459358</v>
      </c>
      <c r="H242" s="167">
        <v>2.1761363636363642</v>
      </c>
      <c r="I242" s="167">
        <v>2.114583333333333</v>
      </c>
      <c r="J242" s="167">
        <v>1.8915662650602414</v>
      </c>
      <c r="K242" s="167">
        <v>1.8580968280467447</v>
      </c>
      <c r="L242" s="167">
        <v>1.5874587458745877</v>
      </c>
      <c r="M242" s="167">
        <v>1.2390243902439018</v>
      </c>
      <c r="N242" s="167">
        <v>1.5458276333789325</v>
      </c>
      <c r="O242" s="167">
        <v>1.5941676792223571</v>
      </c>
      <c r="P242" s="167">
        <v>1.6350245499181666</v>
      </c>
      <c r="Q242" s="167">
        <v>1.6991452991452993</v>
      </c>
      <c r="R242" s="167">
        <v>1.6852017937219728</v>
      </c>
      <c r="S242" s="167">
        <v>1.4235523747560181</v>
      </c>
      <c r="T242" s="167">
        <v>1.5590877677954387</v>
      </c>
      <c r="U242" s="164">
        <f t="shared" si="81"/>
        <v>-0.29900906025130602</v>
      </c>
      <c r="V242" s="164">
        <f t="shared" si="82"/>
        <v>-7.5936782122727919E-2</v>
      </c>
      <c r="W242" s="164">
        <f t="shared" si="83"/>
        <v>0.13553539303942053</v>
      </c>
      <c r="X242" s="140"/>
    </row>
    <row r="243" spans="1:24" ht="15" customHeight="1" x14ac:dyDescent="0.2">
      <c r="A243" s="34" t="s">
        <v>10</v>
      </c>
      <c r="B243" s="29" t="s">
        <v>384</v>
      </c>
      <c r="C243" s="167">
        <v>6.9768637532133679</v>
      </c>
      <c r="D243" s="167">
        <v>6.4200913242009134</v>
      </c>
      <c r="E243" s="167">
        <v>6.6726190476190474</v>
      </c>
      <c r="F243" s="167">
        <v>6.9440993788819885</v>
      </c>
      <c r="G243" s="167">
        <v>6.5008025682182984</v>
      </c>
      <c r="H243" s="167">
        <v>6.791666666666667</v>
      </c>
      <c r="I243" s="167">
        <v>6.7343941248470012</v>
      </c>
      <c r="J243" s="167">
        <v>6.572241183162685</v>
      </c>
      <c r="K243" s="167">
        <v>6.1836183618361833</v>
      </c>
      <c r="L243" s="167">
        <v>6.1322701688555359</v>
      </c>
      <c r="M243" s="167">
        <v>6.2273858921161827</v>
      </c>
      <c r="N243" s="167">
        <v>6.3077469793887708</v>
      </c>
      <c r="O243" s="167">
        <v>6.0934306569343066</v>
      </c>
      <c r="P243" s="167">
        <v>6.085766423357664</v>
      </c>
      <c r="Q243" s="167">
        <v>6.2342931937172779</v>
      </c>
      <c r="R243" s="167">
        <v>6.1489470980996401</v>
      </c>
      <c r="S243" s="167">
        <v>6.093106535362578</v>
      </c>
      <c r="T243" s="167">
        <v>5.9416003033750471</v>
      </c>
      <c r="U243" s="164">
        <f t="shared" si="81"/>
        <v>-0.24201805846113622</v>
      </c>
      <c r="V243" s="164">
        <f t="shared" si="82"/>
        <v>-0.14416611998261697</v>
      </c>
      <c r="W243" s="164">
        <f t="shared" si="83"/>
        <v>-0.15150623198753088</v>
      </c>
      <c r="X243" s="140"/>
    </row>
    <row r="244" spans="1:24" ht="15" customHeight="1" x14ac:dyDescent="0.2">
      <c r="A244" s="34"/>
      <c r="B244" s="29" t="s">
        <v>531</v>
      </c>
      <c r="C244" s="167">
        <v>1.6786632390745506</v>
      </c>
      <c r="D244" s="167">
        <v>1.3949771689497723</v>
      </c>
      <c r="E244" s="167">
        <v>1.5496031746031749</v>
      </c>
      <c r="F244" s="167">
        <v>1.7287784679089038</v>
      </c>
      <c r="G244" s="167">
        <v>1.5810593900481535</v>
      </c>
      <c r="H244" s="167">
        <v>1.8000000000000007</v>
      </c>
      <c r="I244" s="167">
        <v>1.7711138310893508</v>
      </c>
      <c r="J244" s="167">
        <v>1.5938566552901028</v>
      </c>
      <c r="K244" s="167">
        <v>1.2295229522952296</v>
      </c>
      <c r="L244" s="167">
        <v>1.1782363977485941</v>
      </c>
      <c r="M244" s="167">
        <v>1.2813278008298754</v>
      </c>
      <c r="N244" s="167">
        <v>1.3091684434968025</v>
      </c>
      <c r="O244" s="167">
        <v>1.1124087591240874</v>
      </c>
      <c r="P244" s="167">
        <v>1.0958029197080288</v>
      </c>
      <c r="Q244" s="167">
        <v>1.3134816753926701</v>
      </c>
      <c r="R244" s="167">
        <v>1.2152028762198253</v>
      </c>
      <c r="S244" s="167">
        <v>1.1674127126230971</v>
      </c>
      <c r="T244" s="167">
        <v>1.0140310959423582</v>
      </c>
      <c r="U244" s="164">
        <f t="shared" si="81"/>
        <v>-0.21549185635287138</v>
      </c>
      <c r="V244" s="164">
        <f t="shared" si="82"/>
        <v>-8.1771823765670604E-2</v>
      </c>
      <c r="W244" s="164">
        <f t="shared" si="83"/>
        <v>-0.15338161668073891</v>
      </c>
      <c r="X244" s="140"/>
    </row>
    <row r="245" spans="1:24" ht="15" customHeight="1" x14ac:dyDescent="0.2">
      <c r="A245" s="34" t="s">
        <v>11</v>
      </c>
      <c r="B245" s="29" t="s">
        <v>384</v>
      </c>
      <c r="C245" s="167">
        <v>8.9639639639639572</v>
      </c>
      <c r="D245" s="167">
        <v>8.740000000000002</v>
      </c>
      <c r="E245" s="167">
        <v>8.2886597938144355</v>
      </c>
      <c r="F245" s="167">
        <v>7.9899999999999975</v>
      </c>
      <c r="G245" s="167">
        <v>7.8310810810810807</v>
      </c>
      <c r="H245" s="167">
        <v>7.8838383838383859</v>
      </c>
      <c r="I245" s="167">
        <v>8.204225352112676</v>
      </c>
      <c r="J245" s="167">
        <v>7.831999999999999</v>
      </c>
      <c r="K245" s="167">
        <v>7.4723404255319137</v>
      </c>
      <c r="L245" s="167">
        <v>7.2918149466192173</v>
      </c>
      <c r="M245" s="167">
        <v>7.4910394265232991</v>
      </c>
      <c r="N245" s="167">
        <v>7.9342105263157894</v>
      </c>
      <c r="O245" s="167">
        <v>7.5418502202643189</v>
      </c>
      <c r="P245" s="167">
        <v>7.4866666666666664</v>
      </c>
      <c r="Q245" s="167">
        <v>8.1066666666666656</v>
      </c>
      <c r="R245" s="167">
        <v>7.9658119658119668</v>
      </c>
      <c r="S245" s="167">
        <v>8.5923566878980928</v>
      </c>
      <c r="T245" s="167">
        <v>7.0683760683760672</v>
      </c>
      <c r="U245" s="164">
        <f t="shared" si="81"/>
        <v>-0.40396435715584644</v>
      </c>
      <c r="V245" s="164">
        <f t="shared" si="82"/>
        <v>-0.41829059829059911</v>
      </c>
      <c r="W245" s="164">
        <f t="shared" si="83"/>
        <v>-1.5239806195220256</v>
      </c>
      <c r="X245" s="140"/>
    </row>
    <row r="246" spans="1:24" ht="15" customHeight="1" x14ac:dyDescent="0.2">
      <c r="A246" s="34"/>
      <c r="B246" s="29" t="s">
        <v>531</v>
      </c>
      <c r="C246" s="167">
        <v>3.1261261261261195</v>
      </c>
      <c r="D246" s="167">
        <v>3.0900000000000016</v>
      </c>
      <c r="E246" s="167">
        <v>2.958762886597941</v>
      </c>
      <c r="F246" s="167">
        <v>2.4899999999999975</v>
      </c>
      <c r="G246" s="167">
        <v>2.5337837837837833</v>
      </c>
      <c r="H246" s="167">
        <v>2.4747474747474767</v>
      </c>
      <c r="I246" s="167">
        <v>2.880281690140845</v>
      </c>
      <c r="J246" s="167">
        <v>2.6959999999999988</v>
      </c>
      <c r="K246" s="167">
        <v>2.0978723404255311</v>
      </c>
      <c r="L246" s="167">
        <v>2.0320284697508901</v>
      </c>
      <c r="M246" s="167">
        <v>2.2867383512544821</v>
      </c>
      <c r="N246" s="167">
        <v>2.6184210526315788</v>
      </c>
      <c r="O246" s="167">
        <v>2.255506607929517</v>
      </c>
      <c r="P246" s="167">
        <v>2.3599999999999994</v>
      </c>
      <c r="Q246" s="167">
        <v>3.0044444444444434</v>
      </c>
      <c r="R246" s="167">
        <v>2.8974358974358987</v>
      </c>
      <c r="S246" s="167">
        <v>3.4649681528662457</v>
      </c>
      <c r="T246" s="167">
        <v>2.2307692307692299</v>
      </c>
      <c r="U246" s="164">
        <f t="shared" si="81"/>
        <v>0.13289689034369889</v>
      </c>
      <c r="V246" s="164">
        <f t="shared" si="82"/>
        <v>-0.12923076923076948</v>
      </c>
      <c r="W246" s="164">
        <f t="shared" si="83"/>
        <v>-1.2341989220970158</v>
      </c>
      <c r="X246" s="140"/>
    </row>
    <row r="247" spans="1:24" ht="15" customHeight="1" x14ac:dyDescent="0.2">
      <c r="A247" s="34" t="s">
        <v>12</v>
      </c>
      <c r="B247" s="29" t="s">
        <v>384</v>
      </c>
      <c r="C247" s="167">
        <v>6.532467532467531</v>
      </c>
      <c r="D247" s="167">
        <v>6.3781645569620249</v>
      </c>
      <c r="E247" s="167">
        <v>6.024</v>
      </c>
      <c r="F247" s="167">
        <v>6.4868804664723028</v>
      </c>
      <c r="G247" s="167">
        <v>6.2395929694727101</v>
      </c>
      <c r="H247" s="167">
        <v>6.346381093057607</v>
      </c>
      <c r="I247" s="167">
        <v>6.4851826326671258</v>
      </c>
      <c r="J247" s="167">
        <v>6.2076433121019106</v>
      </c>
      <c r="K247" s="167">
        <v>6.0955555555555563</v>
      </c>
      <c r="L247" s="167">
        <v>6.0898258478460132</v>
      </c>
      <c r="M247" s="167">
        <v>5.8523191094619662</v>
      </c>
      <c r="N247" s="167">
        <v>6.0362369337979098</v>
      </c>
      <c r="O247" s="167">
        <v>5.9246347941567068</v>
      </c>
      <c r="P247" s="167">
        <v>6.1372212692967407</v>
      </c>
      <c r="Q247" s="167">
        <v>6.0072681704260651</v>
      </c>
      <c r="R247" s="167">
        <v>5.9719082983532452</v>
      </c>
      <c r="S247" s="167">
        <v>6.0135284373274436</v>
      </c>
      <c r="T247" s="167">
        <v>5.9421768707482991</v>
      </c>
      <c r="U247" s="164">
        <f t="shared" si="81"/>
        <v>-0.15337868480725714</v>
      </c>
      <c r="V247" s="164">
        <f t="shared" si="82"/>
        <v>-0.19504439854844158</v>
      </c>
      <c r="W247" s="164">
        <f t="shared" si="83"/>
        <v>-7.1351566579144432E-2</v>
      </c>
      <c r="X247" s="140"/>
    </row>
    <row r="248" spans="1:24" ht="15" customHeight="1" x14ac:dyDescent="0.2">
      <c r="A248" s="34"/>
      <c r="B248" s="29" t="s">
        <v>531</v>
      </c>
      <c r="C248" s="167">
        <v>1.3298701298701285</v>
      </c>
      <c r="D248" s="167">
        <v>1.2405063291139236</v>
      </c>
      <c r="E248" s="167">
        <v>0.96133333333333315</v>
      </c>
      <c r="F248" s="167">
        <v>1.3586005830903787</v>
      </c>
      <c r="G248" s="167">
        <v>1.0758556891766879</v>
      </c>
      <c r="H248" s="167">
        <v>1.2267355982274744</v>
      </c>
      <c r="I248" s="167">
        <v>1.3184011026878011</v>
      </c>
      <c r="J248" s="167">
        <v>1.0305732484076433</v>
      </c>
      <c r="K248" s="167">
        <v>0.96666666666666767</v>
      </c>
      <c r="L248" s="167">
        <v>0.93767186067827701</v>
      </c>
      <c r="M248" s="167">
        <v>0.79703153988868269</v>
      </c>
      <c r="N248" s="167">
        <v>1.0010452961672476</v>
      </c>
      <c r="O248" s="167">
        <v>0.89276228419654746</v>
      </c>
      <c r="P248" s="167">
        <v>1.100171526586621</v>
      </c>
      <c r="Q248" s="167">
        <v>1.0553884711779444</v>
      </c>
      <c r="R248" s="167">
        <v>1.0300290603810138</v>
      </c>
      <c r="S248" s="167">
        <v>1.1156819436775267</v>
      </c>
      <c r="T248" s="167">
        <v>1.0974025974025974</v>
      </c>
      <c r="U248" s="164">
        <f t="shared" si="81"/>
        <v>0.13073593073592971</v>
      </c>
      <c r="V248" s="164">
        <f t="shared" si="82"/>
        <v>-2.7689291840236052E-3</v>
      </c>
      <c r="W248" s="164">
        <f t="shared" si="83"/>
        <v>-1.8279346274929331E-2</v>
      </c>
      <c r="X248" s="140"/>
    </row>
    <row r="249" spans="1:24" ht="15" customHeight="1" x14ac:dyDescent="0.2">
      <c r="A249" s="34" t="s">
        <v>13</v>
      </c>
      <c r="B249" s="29" t="s">
        <v>384</v>
      </c>
      <c r="C249" s="167">
        <v>6.4667822068168688</v>
      </c>
      <c r="D249" s="167">
        <v>6.1646226415094336</v>
      </c>
      <c r="E249" s="167">
        <v>6.6603364080303855</v>
      </c>
      <c r="F249" s="167">
        <v>7.2124044180118947</v>
      </c>
      <c r="G249" s="167">
        <v>6.9807046979865772</v>
      </c>
      <c r="H249" s="167">
        <v>6.8514588859416445</v>
      </c>
      <c r="I249" s="167">
        <v>6.9804597701149422</v>
      </c>
      <c r="J249" s="167">
        <v>6.794019933554817</v>
      </c>
      <c r="K249" s="167">
        <v>6.6986301369863011</v>
      </c>
      <c r="L249" s="167">
        <v>6.6988188976377954</v>
      </c>
      <c r="M249" s="167">
        <v>6.28368794326241</v>
      </c>
      <c r="N249" s="167">
        <v>6.4155251141552512</v>
      </c>
      <c r="O249" s="167">
        <v>6.0559610705596105</v>
      </c>
      <c r="P249" s="167">
        <v>6.2136498516320477</v>
      </c>
      <c r="Q249" s="167">
        <v>6.3752455795677809</v>
      </c>
      <c r="R249" s="167">
        <v>6.0096711798839459</v>
      </c>
      <c r="S249" s="167">
        <v>5.9250720461095101</v>
      </c>
      <c r="T249" s="167">
        <v>5.9967105263157894</v>
      </c>
      <c r="U249" s="164">
        <f t="shared" si="81"/>
        <v>-0.70191961067051167</v>
      </c>
      <c r="V249" s="164">
        <f t="shared" si="82"/>
        <v>-0.21693932531625837</v>
      </c>
      <c r="W249" s="164">
        <f t="shared" si="83"/>
        <v>7.1638480206279276E-2</v>
      </c>
    </row>
    <row r="250" spans="1:24" ht="15" customHeight="1" x14ac:dyDescent="0.2">
      <c r="A250" s="34"/>
      <c r="B250" s="29" t="s">
        <v>531</v>
      </c>
      <c r="C250" s="167">
        <v>1.383593298671288</v>
      </c>
      <c r="D250" s="167">
        <v>1.0877358490566031</v>
      </c>
      <c r="E250" s="167">
        <v>1.4688008681497564</v>
      </c>
      <c r="F250" s="167">
        <v>2.0229396771452848</v>
      </c>
      <c r="G250" s="167">
        <v>1.9588926174496644</v>
      </c>
      <c r="H250" s="167">
        <v>1.8373121131741819</v>
      </c>
      <c r="I250" s="167">
        <v>1.9965517241379311</v>
      </c>
      <c r="J250" s="167">
        <v>1.7558139534883717</v>
      </c>
      <c r="K250" s="167">
        <v>1.6281800391389432</v>
      </c>
      <c r="L250" s="167">
        <v>1.6003937007874018</v>
      </c>
      <c r="M250" s="167">
        <v>1.2671394799054356</v>
      </c>
      <c r="N250" s="167">
        <v>1.4292237442922371</v>
      </c>
      <c r="O250" s="167">
        <v>1.107055961070559</v>
      </c>
      <c r="P250" s="167">
        <v>1.275964391691395</v>
      </c>
      <c r="Q250" s="167">
        <v>1.4066797642436155</v>
      </c>
      <c r="R250" s="167">
        <v>1.0386847195357838</v>
      </c>
      <c r="S250" s="167">
        <v>1.0072046109510087</v>
      </c>
      <c r="T250" s="167">
        <v>1.1134868421052628</v>
      </c>
      <c r="U250" s="164">
        <f t="shared" si="81"/>
        <v>-0.51469319703368033</v>
      </c>
      <c r="V250" s="164">
        <f t="shared" si="82"/>
        <v>-0.16247754958613214</v>
      </c>
      <c r="W250" s="164">
        <f t="shared" si="83"/>
        <v>0.10628223115425417</v>
      </c>
    </row>
    <row r="251" spans="1:24" ht="15" customHeight="1" x14ac:dyDescent="0.2">
      <c r="A251" s="34" t="s">
        <v>14</v>
      </c>
      <c r="B251" s="29" t="s">
        <v>384</v>
      </c>
      <c r="C251" s="167">
        <v>6.3223350253807107</v>
      </c>
      <c r="D251" s="167">
        <v>5.8151765589782123</v>
      </c>
      <c r="E251" s="167">
        <v>5.8336106489184694</v>
      </c>
      <c r="F251" s="167">
        <v>6.1005291005291005</v>
      </c>
      <c r="G251" s="167">
        <v>6.158811881188119</v>
      </c>
      <c r="H251" s="167">
        <v>6.1197887715397439</v>
      </c>
      <c r="I251" s="167">
        <v>6.2859556494192184</v>
      </c>
      <c r="J251" s="167">
        <v>6.2667434273651894</v>
      </c>
      <c r="K251" s="167">
        <v>6.1210688965642612</v>
      </c>
      <c r="L251" s="167">
        <v>6.0894378194207839</v>
      </c>
      <c r="M251" s="167">
        <v>5.7909025270758123</v>
      </c>
      <c r="N251" s="167">
        <v>5.7906537347272957</v>
      </c>
      <c r="O251" s="167">
        <v>5.6750390828556538</v>
      </c>
      <c r="P251" s="167">
        <v>5.943666629919524</v>
      </c>
      <c r="Q251" s="167">
        <v>5.9778270509977824</v>
      </c>
      <c r="R251" s="167">
        <v>6.0057198359594217</v>
      </c>
      <c r="S251" s="167">
        <v>6.070483005366726</v>
      </c>
      <c r="T251" s="167">
        <v>5.8806654440660209</v>
      </c>
      <c r="U251" s="164">
        <f t="shared" si="81"/>
        <v>-0.24040345249824036</v>
      </c>
      <c r="V251" s="164">
        <f t="shared" si="82"/>
        <v>-6.3001185853503117E-2</v>
      </c>
      <c r="W251" s="164">
        <f t="shared" si="83"/>
        <v>-0.18981756130070515</v>
      </c>
    </row>
    <row r="252" spans="1:24" ht="15" customHeight="1" x14ac:dyDescent="0.2">
      <c r="A252" s="34"/>
      <c r="B252" s="29" t="s">
        <v>531</v>
      </c>
      <c r="C252" s="167">
        <v>1.3197969543147208</v>
      </c>
      <c r="D252" s="167">
        <v>0.80165289256198413</v>
      </c>
      <c r="E252" s="167">
        <v>0.91014975041597346</v>
      </c>
      <c r="F252" s="167">
        <v>1.1463844797178133</v>
      </c>
      <c r="G252" s="167">
        <v>1.1556435643564358</v>
      </c>
      <c r="H252" s="167">
        <v>1.1170094496942742</v>
      </c>
      <c r="I252" s="167">
        <v>1.2848996832101367</v>
      </c>
      <c r="J252" s="167">
        <v>1.2456342352715417</v>
      </c>
      <c r="K252" s="167">
        <v>1.1088892928558449</v>
      </c>
      <c r="L252" s="167">
        <v>1.0952299829642254</v>
      </c>
      <c r="M252" s="167">
        <v>0.94339350180505388</v>
      </c>
      <c r="N252" s="167">
        <v>0.92580929588109306</v>
      </c>
      <c r="O252" s="167">
        <v>0.73309015112037468</v>
      </c>
      <c r="P252" s="167">
        <v>0.98136919854481341</v>
      </c>
      <c r="Q252" s="167">
        <v>1.1038717380180794</v>
      </c>
      <c r="R252" s="167">
        <v>1.0995035614072961</v>
      </c>
      <c r="S252" s="167">
        <v>1.2177698270721526</v>
      </c>
      <c r="T252" s="167">
        <v>1.074403982184962</v>
      </c>
      <c r="U252" s="164">
        <f t="shared" si="81"/>
        <v>-3.4485310670882896E-2</v>
      </c>
      <c r="V252" s="164">
        <f t="shared" si="82"/>
        <v>9.3034783640148611E-2</v>
      </c>
      <c r="W252" s="164">
        <f t="shared" si="83"/>
        <v>-0.14336584488719062</v>
      </c>
    </row>
    <row r="253" spans="1:24" ht="15" customHeight="1" x14ac:dyDescent="0.2">
      <c r="A253" s="34" t="s">
        <v>15</v>
      </c>
      <c r="B253" s="29" t="s">
        <v>384</v>
      </c>
      <c r="C253" s="167">
        <v>8.5810810810810878</v>
      </c>
      <c r="D253" s="167">
        <v>7.3440860215053716</v>
      </c>
      <c r="E253" s="167">
        <v>7.4367816091954033</v>
      </c>
      <c r="F253" s="167">
        <v>7.9504132231404947</v>
      </c>
      <c r="G253" s="167">
        <v>7.204678362573099</v>
      </c>
      <c r="H253" s="167">
        <v>6.4142857142857146</v>
      </c>
      <c r="I253" s="167">
        <v>6.9716312056737593</v>
      </c>
      <c r="J253" s="167">
        <v>7.1769230769230772</v>
      </c>
      <c r="K253" s="167">
        <v>6.7126436781609211</v>
      </c>
      <c r="L253" s="167">
        <v>6.7826086956521738</v>
      </c>
      <c r="M253" s="167">
        <v>6.6842105263157894</v>
      </c>
      <c r="N253" s="167">
        <v>6.5549132947976876</v>
      </c>
      <c r="O253" s="167">
        <v>6.7735849056603774</v>
      </c>
      <c r="P253" s="167">
        <v>6.2981366459627326</v>
      </c>
      <c r="Q253" s="167">
        <v>6.7769230769230777</v>
      </c>
      <c r="R253" s="167">
        <v>7.1503267973856195</v>
      </c>
      <c r="S253" s="167">
        <v>6.8280254777070066</v>
      </c>
      <c r="T253" s="167">
        <v>6.6823529411764708</v>
      </c>
      <c r="U253" s="164">
        <f t="shared" si="81"/>
        <v>-3.0290736984450284E-2</v>
      </c>
      <c r="V253" s="164">
        <f t="shared" si="82"/>
        <v>0.38421629521373823</v>
      </c>
      <c r="W253" s="164">
        <f t="shared" si="83"/>
        <v>-0.1456725365305358</v>
      </c>
    </row>
    <row r="254" spans="1:24" ht="15" customHeight="1" x14ac:dyDescent="0.2">
      <c r="A254" s="34"/>
      <c r="B254" s="29" t="s">
        <v>531</v>
      </c>
      <c r="C254" s="167">
        <v>1.108108108108115</v>
      </c>
      <c r="D254" s="167">
        <v>1.4408602150537586</v>
      </c>
      <c r="E254" s="167">
        <v>1.5862068965517251</v>
      </c>
      <c r="F254" s="167">
        <v>1.8925619834710732</v>
      </c>
      <c r="G254" s="167">
        <v>1.8771929824561395</v>
      </c>
      <c r="H254" s="167">
        <v>1.1714285714285717</v>
      </c>
      <c r="I254" s="167">
        <v>1.7304964539007095</v>
      </c>
      <c r="J254" s="167">
        <v>1.884615384615385</v>
      </c>
      <c r="K254" s="167">
        <v>1.5804597701149445</v>
      </c>
      <c r="L254" s="167">
        <v>1.5289855072463769</v>
      </c>
      <c r="M254" s="167">
        <v>1.5380116959064329</v>
      </c>
      <c r="N254" s="167">
        <v>1.3236994219653173</v>
      </c>
      <c r="O254" s="167">
        <v>1.5345911949685531</v>
      </c>
      <c r="P254" s="167">
        <v>1.1118012422360248</v>
      </c>
      <c r="Q254" s="167">
        <v>1.5923076923076929</v>
      </c>
      <c r="R254" s="167">
        <v>1.6928104575163383</v>
      </c>
      <c r="S254" s="167">
        <v>1.3757961783439496</v>
      </c>
      <c r="T254" s="167">
        <v>1.4117647058823533</v>
      </c>
      <c r="U254" s="164">
        <f t="shared" si="81"/>
        <v>-0.16869506423259129</v>
      </c>
      <c r="V254" s="164">
        <f t="shared" si="82"/>
        <v>0.29996346364632842</v>
      </c>
      <c r="W254" s="164">
        <f t="shared" si="83"/>
        <v>3.5968527538403627E-2</v>
      </c>
    </row>
    <row r="255" spans="1:24" ht="15" customHeight="1" x14ac:dyDescent="0.2">
      <c r="A255" s="34" t="s">
        <v>16</v>
      </c>
      <c r="B255" s="29" t="s">
        <v>384</v>
      </c>
      <c r="C255" s="167">
        <v>6.3412211510371019</v>
      </c>
      <c r="D255" s="167">
        <v>5.7388382141142582</v>
      </c>
      <c r="E255" s="167">
        <v>5.7556340396905483</v>
      </c>
      <c r="F255" s="167">
        <v>6.2341491616881868</v>
      </c>
      <c r="G255" s="167">
        <v>6.2949560182607724</v>
      </c>
      <c r="H255" s="167">
        <v>6.2163104712510062</v>
      </c>
      <c r="I255" s="167">
        <v>6.5160465308142896</v>
      </c>
      <c r="J255" s="167">
        <v>6.4009281837489187</v>
      </c>
      <c r="K255" s="167">
        <v>6.3506117908787543</v>
      </c>
      <c r="L255" s="167">
        <v>6.287199713158838</v>
      </c>
      <c r="M255" s="167">
        <v>6.1459455359174697</v>
      </c>
      <c r="N255" s="167">
        <v>6.2787354158825739</v>
      </c>
      <c r="O255" s="167">
        <v>6.0790356059396453</v>
      </c>
      <c r="P255" s="167">
        <v>6.2583178793498417</v>
      </c>
      <c r="Q255" s="167">
        <v>6.5657527382060277</v>
      </c>
      <c r="R255" s="167">
        <v>6.3349153097127893</v>
      </c>
      <c r="S255" s="167">
        <v>6.0680231694638351</v>
      </c>
      <c r="T255" s="167">
        <v>5.8920045204124873</v>
      </c>
      <c r="U255" s="164">
        <f t="shared" si="81"/>
        <v>-0.45860727046626693</v>
      </c>
      <c r="V255" s="164">
        <f t="shared" si="82"/>
        <v>-0.36631335893735439</v>
      </c>
      <c r="W255" s="164">
        <f t="shared" si="83"/>
        <v>-0.17601864905134779</v>
      </c>
    </row>
    <row r="256" spans="1:24" ht="15" customHeight="1" x14ac:dyDescent="0.2">
      <c r="A256" s="34"/>
      <c r="B256" s="29" t="s">
        <v>531</v>
      </c>
      <c r="C256" s="167">
        <v>1.2223196026877012</v>
      </c>
      <c r="D256" s="167">
        <v>0.64234277484397495</v>
      </c>
      <c r="E256" s="167">
        <v>0.70030272452068587</v>
      </c>
      <c r="F256" s="167">
        <v>1.0888417806899211</v>
      </c>
      <c r="G256" s="167">
        <v>1.305199866384589</v>
      </c>
      <c r="H256" s="167">
        <v>1.2200661718680141</v>
      </c>
      <c r="I256" s="167">
        <v>1.4750433132579825</v>
      </c>
      <c r="J256" s="167">
        <v>1.3769369936285694</v>
      </c>
      <c r="K256" s="167">
        <v>1.3070819428995177</v>
      </c>
      <c r="L256" s="167">
        <v>1.227321620652563</v>
      </c>
      <c r="M256" s="167">
        <v>1.0994462565425174</v>
      </c>
      <c r="N256" s="167">
        <v>1.2269476853594279</v>
      </c>
      <c r="O256" s="167">
        <v>1.0383202937889191</v>
      </c>
      <c r="P256" s="167">
        <v>1.2354096214683103</v>
      </c>
      <c r="Q256" s="167">
        <v>1.5726966855179327</v>
      </c>
      <c r="R256" s="167">
        <v>1.3157679404304066</v>
      </c>
      <c r="S256" s="167">
        <v>1.067726125055696</v>
      </c>
      <c r="T256" s="167">
        <v>0.88621274191269883</v>
      </c>
      <c r="U256" s="164">
        <f t="shared" si="81"/>
        <v>-0.4208692009868189</v>
      </c>
      <c r="V256" s="164">
        <f t="shared" si="82"/>
        <v>-0.34919687955561152</v>
      </c>
      <c r="W256" s="164">
        <f t="shared" si="83"/>
        <v>-0.18151338314299714</v>
      </c>
    </row>
    <row r="257" spans="1:23" ht="15" customHeight="1" x14ac:dyDescent="0.2">
      <c r="A257" s="34" t="s">
        <v>17</v>
      </c>
      <c r="B257" s="29" t="s">
        <v>384</v>
      </c>
      <c r="C257" s="167">
        <v>8.0602564102564092</v>
      </c>
      <c r="D257" s="167">
        <v>7.788095238095238</v>
      </c>
      <c r="E257" s="167">
        <v>7.1368743615934624</v>
      </c>
      <c r="F257" s="167">
        <v>7.070821529745043</v>
      </c>
      <c r="G257" s="167">
        <v>6.8763837638376382</v>
      </c>
      <c r="H257" s="167">
        <v>6.8042253521126757</v>
      </c>
      <c r="I257" s="167">
        <v>6.8134466198743997</v>
      </c>
      <c r="J257" s="167">
        <v>6.5746807329261525</v>
      </c>
      <c r="K257" s="167">
        <v>6.2992741485203796</v>
      </c>
      <c r="L257" s="167">
        <v>6.4572192513368982</v>
      </c>
      <c r="M257" s="167">
        <v>6.7597046413502113</v>
      </c>
      <c r="N257" s="167">
        <v>7.1725247524752476</v>
      </c>
      <c r="O257" s="167">
        <v>7.1792726102349533</v>
      </c>
      <c r="P257" s="167">
        <v>7.0194902548725633</v>
      </c>
      <c r="Q257" s="167">
        <v>7.1273504273504278</v>
      </c>
      <c r="R257" s="167">
        <v>6.9967492889069485</v>
      </c>
      <c r="S257" s="167">
        <v>6.903700756068444</v>
      </c>
      <c r="T257" s="167">
        <v>6.454419410745234</v>
      </c>
      <c r="U257" s="164">
        <f t="shared" si="81"/>
        <v>0.15514526222485436</v>
      </c>
      <c r="V257" s="164">
        <f t="shared" si="82"/>
        <v>-0.56507084412732933</v>
      </c>
      <c r="W257" s="164">
        <f t="shared" si="83"/>
        <v>-0.44928134532321007</v>
      </c>
    </row>
    <row r="258" spans="1:23" ht="15" customHeight="1" x14ac:dyDescent="0.2">
      <c r="A258" s="169"/>
      <c r="B258" s="29" t="s">
        <v>531</v>
      </c>
      <c r="C258" s="167">
        <v>2.2371794871794863</v>
      </c>
      <c r="D258" s="167">
        <v>2.1369047619047619</v>
      </c>
      <c r="E258" s="167">
        <v>1.8753830439223691</v>
      </c>
      <c r="F258" s="167">
        <v>1.8120868744098209</v>
      </c>
      <c r="G258" s="167">
        <v>1.7398523985239853</v>
      </c>
      <c r="H258" s="167">
        <v>1.7140845070422532</v>
      </c>
      <c r="I258" s="167">
        <v>1.787957148134466</v>
      </c>
      <c r="J258" s="167">
        <v>1.5716268739589117</v>
      </c>
      <c r="K258" s="167">
        <v>1.3722315280104223</v>
      </c>
      <c r="L258" s="167">
        <v>1.5449532085561497</v>
      </c>
      <c r="M258" s="167">
        <v>1.94282700421941</v>
      </c>
      <c r="N258" s="167">
        <v>2.3188118811881191</v>
      </c>
      <c r="O258" s="167">
        <v>2.4093981332475058</v>
      </c>
      <c r="P258" s="167">
        <v>2.2308845577211391</v>
      </c>
      <c r="Q258" s="167">
        <v>2.404700854700855</v>
      </c>
      <c r="R258" s="167">
        <v>2.2998780983340108</v>
      </c>
      <c r="S258" s="167">
        <v>2.233983286908078</v>
      </c>
      <c r="T258" s="167">
        <v>1.7656845753899484</v>
      </c>
      <c r="U258" s="164">
        <f t="shared" si="81"/>
        <v>0.39345304737952613</v>
      </c>
      <c r="V258" s="164">
        <f t="shared" si="82"/>
        <v>-0.46519998233119075</v>
      </c>
      <c r="W258" s="164">
        <f t="shared" si="83"/>
        <v>-0.46829871151812963</v>
      </c>
    </row>
    <row r="259" spans="1:23" ht="15" customHeight="1" x14ac:dyDescent="0.2">
      <c r="A259" s="196" t="s">
        <v>71</v>
      </c>
      <c r="B259" s="197"/>
      <c r="C259" s="166"/>
      <c r="D259" s="166"/>
      <c r="E259" s="166"/>
      <c r="F259" s="166"/>
      <c r="G259" s="166"/>
      <c r="H259" s="166"/>
      <c r="I259" s="166"/>
      <c r="J259" s="166"/>
      <c r="K259" s="166"/>
      <c r="L259" s="166"/>
      <c r="M259" s="166"/>
      <c r="N259" s="166"/>
      <c r="O259" s="166"/>
      <c r="P259" s="166"/>
      <c r="Q259" s="166"/>
      <c r="R259" s="166"/>
      <c r="S259" s="166"/>
      <c r="T259" s="166"/>
      <c r="U259" s="165"/>
      <c r="V259" s="165"/>
      <c r="W259" s="165"/>
    </row>
    <row r="260" spans="1:23" ht="15" customHeight="1" x14ac:dyDescent="0.2">
      <c r="A260" s="34" t="s">
        <v>8</v>
      </c>
      <c r="B260" s="29" t="s">
        <v>384</v>
      </c>
      <c r="C260" s="167">
        <v>7.3203463203463199</v>
      </c>
      <c r="D260" s="167">
        <v>6.8628396143733568</v>
      </c>
      <c r="E260" s="167">
        <v>6.7164735099337749</v>
      </c>
      <c r="F260" s="167">
        <v>6.9097415506958253</v>
      </c>
      <c r="G260" s="167">
        <v>6.6647637170948304</v>
      </c>
      <c r="H260" s="167">
        <v>6.6393261529964098</v>
      </c>
      <c r="I260" s="167">
        <v>6.6362989323843413</v>
      </c>
      <c r="J260" s="167">
        <v>6.3952122854561875</v>
      </c>
      <c r="K260" s="167">
        <v>6.2414070351758797</v>
      </c>
      <c r="L260" s="167">
        <v>6.0826868829337091</v>
      </c>
      <c r="M260" s="167">
        <v>5.990772599311855</v>
      </c>
      <c r="N260" s="167">
        <v>6.4113416320885204</v>
      </c>
      <c r="O260" s="167">
        <v>6.1917154925739197</v>
      </c>
      <c r="P260" s="167">
        <v>6.3393089960886568</v>
      </c>
      <c r="Q260" s="167">
        <v>6.5836002562459965</v>
      </c>
      <c r="R260" s="167">
        <v>6.5830828095107954</v>
      </c>
      <c r="S260" s="167">
        <v>6.4796861866068927</v>
      </c>
      <c r="T260" s="167">
        <v>6.2788114040958369</v>
      </c>
      <c r="U260" s="164">
        <f t="shared" ref="U260" si="84">IFERROR((T260-K260),"n/a")</f>
        <v>3.7404368919957243E-2</v>
      </c>
      <c r="V260" s="164">
        <f t="shared" ref="V260" si="85">IFERROR((T260-P260),"n/a")</f>
        <v>-6.0497591992819899E-2</v>
      </c>
      <c r="W260" s="164">
        <f t="shared" ref="W260" si="86">IFERROR((T260-S260),"n/a")</f>
        <v>-0.20087478251105573</v>
      </c>
    </row>
    <row r="261" spans="1:23" ht="15" customHeight="1" x14ac:dyDescent="0.2">
      <c r="A261" s="34"/>
      <c r="B261" s="29" t="s">
        <v>531</v>
      </c>
      <c r="C261" s="167">
        <v>2.044252044252044</v>
      </c>
      <c r="D261" s="167">
        <v>1.7252410166520598</v>
      </c>
      <c r="E261" s="167">
        <v>1.6531456953642385</v>
      </c>
      <c r="F261" s="167">
        <v>1.6369781312127243</v>
      </c>
      <c r="G261" s="167">
        <v>1.7542023469711383</v>
      </c>
      <c r="H261" s="167">
        <v>1.7459265396299362</v>
      </c>
      <c r="I261" s="167">
        <v>1.7679715302491097</v>
      </c>
      <c r="J261" s="167">
        <v>1.537714543812104</v>
      </c>
      <c r="K261" s="167">
        <v>1.3925628140703523</v>
      </c>
      <c r="L261" s="167">
        <v>1.2972496473906912</v>
      </c>
      <c r="M261" s="167">
        <v>1.2907413199874886</v>
      </c>
      <c r="N261" s="167">
        <v>1.6828492392807748</v>
      </c>
      <c r="O261" s="167">
        <v>1.5019757460144429</v>
      </c>
      <c r="P261" s="167">
        <v>1.6096805736636242</v>
      </c>
      <c r="Q261" s="167">
        <v>1.9004484304932738</v>
      </c>
      <c r="R261" s="167">
        <v>1.9324952172724785</v>
      </c>
      <c r="S261" s="167">
        <v>1.8617259736620904</v>
      </c>
      <c r="T261" s="167">
        <v>1.6565386159817956</v>
      </c>
      <c r="U261" s="164">
        <f>IFERROR((T261-K261),"n/a")</f>
        <v>0.26397580191144332</v>
      </c>
      <c r="V261" s="164">
        <f>IFERROR((T261-P261),"n/a")</f>
        <v>4.6858042318171478E-2</v>
      </c>
      <c r="W261" s="164">
        <f>IFERROR((T261-S261),"n/a")</f>
        <v>-0.20518735768029472</v>
      </c>
    </row>
    <row r="262" spans="1:23" ht="15" customHeight="1" x14ac:dyDescent="0.2">
      <c r="A262" s="34" t="s">
        <v>9</v>
      </c>
      <c r="B262" s="29" t="s">
        <v>384</v>
      </c>
      <c r="C262" s="167">
        <v>7.9053254437869809</v>
      </c>
      <c r="D262" s="167">
        <v>7.0992366412213759</v>
      </c>
      <c r="E262" s="167">
        <v>6.8855721393034823</v>
      </c>
      <c r="F262" s="167">
        <v>7.2761506276150625</v>
      </c>
      <c r="G262" s="167">
        <v>7.1496437054631832</v>
      </c>
      <c r="H262" s="167">
        <v>7.2530864197530862</v>
      </c>
      <c r="I262" s="167">
        <v>7.210855949895616</v>
      </c>
      <c r="J262" s="167">
        <v>7.1404494382022472</v>
      </c>
      <c r="K262" s="167">
        <v>7.117647058823529</v>
      </c>
      <c r="L262" s="167">
        <v>6.7047913446676972</v>
      </c>
      <c r="M262" s="167">
        <v>6.6752655538694992</v>
      </c>
      <c r="N262" s="167">
        <v>6.7612293144208042</v>
      </c>
      <c r="O262" s="167">
        <v>6.5876777251184837</v>
      </c>
      <c r="P262" s="167">
        <v>6.8197767145135568</v>
      </c>
      <c r="Q262" s="167">
        <v>7.127353266888151</v>
      </c>
      <c r="R262" s="167">
        <v>6.8231850117096018</v>
      </c>
      <c r="S262" s="167">
        <v>6.9463414634146341</v>
      </c>
      <c r="T262" s="167">
        <v>6.6402010050251254</v>
      </c>
      <c r="U262" s="164">
        <f t="shared" ref="U262:U279" si="87">IFERROR((T262-K262),"n/a")</f>
        <v>-0.47744605379840355</v>
      </c>
      <c r="V262" s="164">
        <f t="shared" ref="V262:V279" si="88">IFERROR((T262-P262),"n/a")</f>
        <v>-0.17957570948843138</v>
      </c>
      <c r="W262" s="164">
        <f t="shared" ref="W262:W279" si="89">IFERROR((T262-S262),"n/a")</f>
        <v>-0.30614045838950865</v>
      </c>
    </row>
    <row r="263" spans="1:23" ht="15" customHeight="1" x14ac:dyDescent="0.2">
      <c r="A263" s="34"/>
      <c r="B263" s="29" t="s">
        <v>531</v>
      </c>
      <c r="C263" s="167">
        <v>2.4437869822485192</v>
      </c>
      <c r="D263" s="167">
        <v>1.7347328244274829</v>
      </c>
      <c r="E263" s="167">
        <v>1.7985074626865671</v>
      </c>
      <c r="F263" s="167">
        <v>2.3389121338912133</v>
      </c>
      <c r="G263" s="167">
        <v>2.1187648456057007</v>
      </c>
      <c r="H263" s="167">
        <v>2.2448559670781894</v>
      </c>
      <c r="I263" s="167">
        <v>2.1440501043841333</v>
      </c>
      <c r="J263" s="167">
        <v>2.1048689138576782</v>
      </c>
      <c r="K263" s="167">
        <v>2.1647058823529406</v>
      </c>
      <c r="L263" s="167">
        <v>1.7511591962905717</v>
      </c>
      <c r="M263" s="167">
        <v>1.8072837632776935</v>
      </c>
      <c r="N263" s="167">
        <v>1.7600472813238772</v>
      </c>
      <c r="O263" s="167">
        <v>1.7594786729857823</v>
      </c>
      <c r="P263" s="167">
        <v>2.0191387559808618</v>
      </c>
      <c r="Q263" s="167">
        <v>2.2148394241417497</v>
      </c>
      <c r="R263" s="167">
        <v>1.9988290398126463</v>
      </c>
      <c r="S263" s="167">
        <v>2.1219512195121952</v>
      </c>
      <c r="T263" s="167">
        <v>1.8472361809045221</v>
      </c>
      <c r="U263" s="164">
        <f t="shared" si="87"/>
        <v>-0.31746970144841846</v>
      </c>
      <c r="V263" s="164">
        <f t="shared" si="88"/>
        <v>-0.17190257507633966</v>
      </c>
      <c r="W263" s="164">
        <f t="shared" si="89"/>
        <v>-0.2747150386076731</v>
      </c>
    </row>
    <row r="264" spans="1:23" ht="15" customHeight="1" x14ac:dyDescent="0.2">
      <c r="A264" s="34" t="s">
        <v>10</v>
      </c>
      <c r="B264" s="29" t="s">
        <v>384</v>
      </c>
      <c r="C264" s="167">
        <v>7.2656587473002139</v>
      </c>
      <c r="D264" s="167">
        <v>7.0715447154471542</v>
      </c>
      <c r="E264" s="167">
        <v>6.79349593495935</v>
      </c>
      <c r="F264" s="167">
        <v>7.1621621621621623</v>
      </c>
      <c r="G264" s="167">
        <v>6.8953201970443354</v>
      </c>
      <c r="H264" s="167">
        <v>6.9528662420382163</v>
      </c>
      <c r="I264" s="167">
        <v>6.9565217391304346</v>
      </c>
      <c r="J264" s="167">
        <v>7.0857142857142854</v>
      </c>
      <c r="K264" s="167">
        <v>6.7586666666666666</v>
      </c>
      <c r="L264" s="167">
        <v>6.7592592592592595</v>
      </c>
      <c r="M264" s="167">
        <v>6.7987261146496811</v>
      </c>
      <c r="N264" s="167">
        <v>7.2871853546910765</v>
      </c>
      <c r="O264" s="167">
        <v>6.6940397350993379</v>
      </c>
      <c r="P264" s="167">
        <v>6.7049180327868854</v>
      </c>
      <c r="Q264" s="167">
        <v>7.0357142857142856</v>
      </c>
      <c r="R264" s="167">
        <v>7.2850318471337578</v>
      </c>
      <c r="S264" s="167">
        <v>7.1937499999999996</v>
      </c>
      <c r="T264" s="167">
        <v>6.5532846715328468</v>
      </c>
      <c r="U264" s="164">
        <f t="shared" si="87"/>
        <v>-0.20538199513381983</v>
      </c>
      <c r="V264" s="164">
        <f t="shared" si="88"/>
        <v>-0.15163336125403859</v>
      </c>
      <c r="W264" s="164">
        <f t="shared" si="89"/>
        <v>-0.64046532846715287</v>
      </c>
    </row>
    <row r="265" spans="1:23" ht="15" customHeight="1" x14ac:dyDescent="0.2">
      <c r="A265" s="34"/>
      <c r="B265" s="29" t="s">
        <v>531</v>
      </c>
      <c r="C265" s="167">
        <v>1.7192224622030219</v>
      </c>
      <c r="D265" s="167">
        <v>1.7398373983739832</v>
      </c>
      <c r="E265" s="167">
        <v>1.6878048780487811</v>
      </c>
      <c r="F265" s="167">
        <v>1.9243243243243242</v>
      </c>
      <c r="G265" s="167">
        <v>2.0320197044334982</v>
      </c>
      <c r="H265" s="167">
        <v>2.0522292993630575</v>
      </c>
      <c r="I265" s="167">
        <v>2.0611413043478262</v>
      </c>
      <c r="J265" s="167">
        <v>2.209090909090909</v>
      </c>
      <c r="K265" s="167">
        <v>1.8986666666666663</v>
      </c>
      <c r="L265" s="167">
        <v>1.9202279202279202</v>
      </c>
      <c r="M265" s="167">
        <v>1.9732484076433119</v>
      </c>
      <c r="N265" s="167">
        <v>2.4233409610983996</v>
      </c>
      <c r="O265" s="167">
        <v>1.8529801324503312</v>
      </c>
      <c r="P265" s="167">
        <v>1.8565573770491808</v>
      </c>
      <c r="Q265" s="167">
        <v>2.1732804232804233</v>
      </c>
      <c r="R265" s="167">
        <v>2.4729299363057322</v>
      </c>
      <c r="S265" s="167">
        <v>2.4281249999999996</v>
      </c>
      <c r="T265" s="167">
        <v>1.7897810218978103</v>
      </c>
      <c r="U265" s="164">
        <f t="shared" si="87"/>
        <v>-0.10888564476885598</v>
      </c>
      <c r="V265" s="164">
        <f t="shared" si="88"/>
        <v>-6.6776355151370481E-2</v>
      </c>
      <c r="W265" s="164">
        <f t="shared" si="89"/>
        <v>-0.63834397810218935</v>
      </c>
    </row>
    <row r="266" spans="1:23" ht="15" customHeight="1" x14ac:dyDescent="0.2">
      <c r="A266" s="34" t="s">
        <v>11</v>
      </c>
      <c r="B266" s="29" t="s">
        <v>384</v>
      </c>
      <c r="C266" s="167">
        <v>9.4583333333333339</v>
      </c>
      <c r="D266" s="167">
        <v>8.2857142857142865</v>
      </c>
      <c r="E266" s="167">
        <v>8.1707317073170742</v>
      </c>
      <c r="F266" s="167">
        <v>8.4252873563218333</v>
      </c>
      <c r="G266" s="167">
        <v>8.0458715596330279</v>
      </c>
      <c r="H266" s="167">
        <v>7.5754716981132075</v>
      </c>
      <c r="I266" s="167">
        <v>7.8161764705882373</v>
      </c>
      <c r="J266" s="167">
        <v>8.3464566929133852</v>
      </c>
      <c r="K266" s="167">
        <v>7.1428571428571432</v>
      </c>
      <c r="L266" s="167">
        <v>7.1418439716312054</v>
      </c>
      <c r="M266" s="167">
        <v>7.29757785467128</v>
      </c>
      <c r="N266" s="167">
        <v>7.9681274900398407</v>
      </c>
      <c r="O266" s="167">
        <v>7.8849557522123881</v>
      </c>
      <c r="P266" s="167">
        <v>7.6758620689655173</v>
      </c>
      <c r="Q266" s="167">
        <v>8.0549450549450583</v>
      </c>
      <c r="R266" s="167">
        <v>8.0606060606060606</v>
      </c>
      <c r="S266" s="167">
        <v>7.9349593495934956</v>
      </c>
      <c r="T266" s="167">
        <v>7.1415094339622645</v>
      </c>
      <c r="U266" s="164">
        <f t="shared" si="87"/>
        <v>-1.3477088948787852E-3</v>
      </c>
      <c r="V266" s="164">
        <f t="shared" si="88"/>
        <v>-0.53435263500325281</v>
      </c>
      <c r="W266" s="164">
        <f t="shared" si="89"/>
        <v>-0.79344991563123113</v>
      </c>
    </row>
    <row r="267" spans="1:23" ht="15" customHeight="1" x14ac:dyDescent="0.2">
      <c r="A267" s="34"/>
      <c r="B267" s="29" t="s">
        <v>531</v>
      </c>
      <c r="C267" s="167">
        <v>3.5138888888888893</v>
      </c>
      <c r="D267" s="167">
        <v>3.0000000000000009</v>
      </c>
      <c r="E267" s="167">
        <v>2.7195121951219523</v>
      </c>
      <c r="F267" s="167">
        <v>2.977011494252868</v>
      </c>
      <c r="G267" s="167">
        <v>2.8073394495412849</v>
      </c>
      <c r="H267" s="167">
        <v>2.1981132075471699</v>
      </c>
      <c r="I267" s="167">
        <v>2.529411764705884</v>
      </c>
      <c r="J267" s="167">
        <v>3.0944881889763769</v>
      </c>
      <c r="K267" s="167">
        <v>1.980694980694981</v>
      </c>
      <c r="L267" s="167">
        <v>2.0354609929078009</v>
      </c>
      <c r="M267" s="167">
        <v>2.117647058823529</v>
      </c>
      <c r="N267" s="167">
        <v>2.7370517928286855</v>
      </c>
      <c r="O267" s="167">
        <v>2.6902654867256626</v>
      </c>
      <c r="P267" s="167">
        <v>2.6482758620689655</v>
      </c>
      <c r="Q267" s="167">
        <v>3.005494505494509</v>
      </c>
      <c r="R267" s="167">
        <v>2.9696969696969697</v>
      </c>
      <c r="S267" s="167">
        <v>2.9268292682926829</v>
      </c>
      <c r="T267" s="167">
        <v>2.3773584905660377</v>
      </c>
      <c r="U267" s="164">
        <f t="shared" si="87"/>
        <v>0.3966635098710567</v>
      </c>
      <c r="V267" s="164">
        <f t="shared" si="88"/>
        <v>-0.27091737150292783</v>
      </c>
      <c r="W267" s="164">
        <f t="shared" si="89"/>
        <v>-0.54947077772664521</v>
      </c>
    </row>
    <row r="268" spans="1:23" ht="15" customHeight="1" x14ac:dyDescent="0.2">
      <c r="A268" s="34" t="s">
        <v>12</v>
      </c>
      <c r="B268" s="29" t="s">
        <v>384</v>
      </c>
      <c r="C268" s="167">
        <v>6.8226950354609928</v>
      </c>
      <c r="D268" s="167">
        <v>6.4607843137254903</v>
      </c>
      <c r="E268" s="167">
        <v>6.4633204633204633</v>
      </c>
      <c r="F268" s="167">
        <v>6.762096774193548</v>
      </c>
      <c r="G268" s="167">
        <v>6.2532051282051286</v>
      </c>
      <c r="H268" s="167">
        <v>6.4827586206896548</v>
      </c>
      <c r="I268" s="167">
        <v>6.3968668407310707</v>
      </c>
      <c r="J268" s="167">
        <v>6.4789915966386555</v>
      </c>
      <c r="K268" s="167">
        <v>6.2195121951219514</v>
      </c>
      <c r="L268" s="167">
        <v>6.3278350515463915</v>
      </c>
      <c r="M268" s="167">
        <v>6.1006944444444446</v>
      </c>
      <c r="N268" s="167">
        <v>6.2169059011164274</v>
      </c>
      <c r="O268" s="167">
        <v>6.1315789473684212</v>
      </c>
      <c r="P268" s="167">
        <v>6.1677018633540373</v>
      </c>
      <c r="Q268" s="167">
        <v>6.0609756097560972</v>
      </c>
      <c r="R268" s="167">
        <v>6.0617449664429532</v>
      </c>
      <c r="S268" s="167">
        <v>6.0431372549019606</v>
      </c>
      <c r="T268" s="167">
        <v>6.0395778364116097</v>
      </c>
      <c r="U268" s="164">
        <f t="shared" si="87"/>
        <v>-0.17993435871034169</v>
      </c>
      <c r="V268" s="164">
        <f t="shared" si="88"/>
        <v>-0.12812402694242753</v>
      </c>
      <c r="W268" s="164">
        <f t="shared" si="89"/>
        <v>-3.5594184903509074E-3</v>
      </c>
    </row>
    <row r="269" spans="1:23" ht="15" customHeight="1" x14ac:dyDescent="0.2">
      <c r="A269" s="34"/>
      <c r="B269" s="29" t="s">
        <v>531</v>
      </c>
      <c r="C269" s="167">
        <v>1.3049645390070923</v>
      </c>
      <c r="D269" s="167">
        <v>1.416666666666667</v>
      </c>
      <c r="E269" s="167">
        <v>1.416988416988417</v>
      </c>
      <c r="F269" s="167">
        <v>1.560483870967742</v>
      </c>
      <c r="G269" s="167">
        <v>1.25</v>
      </c>
      <c r="H269" s="167">
        <v>1.4244031830238724</v>
      </c>
      <c r="I269" s="167">
        <v>1.365535248041776</v>
      </c>
      <c r="J269" s="167">
        <v>1.4901960784313726</v>
      </c>
      <c r="K269" s="167">
        <v>1.1219512195121952</v>
      </c>
      <c r="L269" s="167">
        <v>1.2185567010309279</v>
      </c>
      <c r="M269" s="167">
        <v>1.057291666666667</v>
      </c>
      <c r="N269" s="167">
        <v>1.2185007974481659</v>
      </c>
      <c r="O269" s="167">
        <v>1.1052631578947372</v>
      </c>
      <c r="P269" s="167">
        <v>1.1568322981366457</v>
      </c>
      <c r="Q269" s="167">
        <v>1.1646341463414629</v>
      </c>
      <c r="R269" s="167">
        <v>1.1704697986577184</v>
      </c>
      <c r="S269" s="167">
        <v>1.2091503267973858</v>
      </c>
      <c r="T269" s="167">
        <v>1.2295514511873353</v>
      </c>
      <c r="U269" s="164">
        <f t="shared" si="87"/>
        <v>0.1076002316751401</v>
      </c>
      <c r="V269" s="164">
        <f t="shared" si="88"/>
        <v>7.2719153050689656E-2</v>
      </c>
      <c r="W269" s="164">
        <f t="shared" si="89"/>
        <v>2.0401124389949565E-2</v>
      </c>
    </row>
    <row r="270" spans="1:23" ht="15" customHeight="1" x14ac:dyDescent="0.2">
      <c r="A270" s="34" t="s">
        <v>13</v>
      </c>
      <c r="B270" s="29" t="s">
        <v>384</v>
      </c>
      <c r="C270" s="167">
        <v>6.519047619047619</v>
      </c>
      <c r="D270" s="167">
        <v>6.4219977553310885</v>
      </c>
      <c r="E270" s="167">
        <v>6.8719211822660098</v>
      </c>
      <c r="F270" s="167">
        <v>7.6849593495935009</v>
      </c>
      <c r="G270" s="167">
        <v>7.2837209302325574</v>
      </c>
      <c r="H270" s="167">
        <v>7.1384615384615389</v>
      </c>
      <c r="I270" s="167">
        <v>7.0259740259740262</v>
      </c>
      <c r="J270" s="167">
        <v>7.1698113207547172</v>
      </c>
      <c r="K270" s="167">
        <v>6.9999999999999982</v>
      </c>
      <c r="L270" s="167">
        <v>6.8848484848484848</v>
      </c>
      <c r="M270" s="167">
        <v>6.3666666666666663</v>
      </c>
      <c r="N270" s="167">
        <v>6.5359999999999996</v>
      </c>
      <c r="O270" s="167">
        <v>5.96875</v>
      </c>
      <c r="P270" s="167">
        <v>6.1040000000000001</v>
      </c>
      <c r="Q270" s="167">
        <v>6.4058823529411768</v>
      </c>
      <c r="R270" s="167">
        <v>6.1072961373390555</v>
      </c>
      <c r="S270" s="167">
        <v>6.0517241379310365</v>
      </c>
      <c r="T270" s="167">
        <v>6.0640394088669964</v>
      </c>
      <c r="U270" s="164">
        <f t="shared" si="87"/>
        <v>-0.93596059113300178</v>
      </c>
      <c r="V270" s="164">
        <f t="shared" si="88"/>
        <v>-3.9960591133003653E-2</v>
      </c>
      <c r="W270" s="164">
        <f t="shared" si="89"/>
        <v>1.2315270935959965E-2</v>
      </c>
    </row>
    <row r="271" spans="1:23" ht="15" customHeight="1" x14ac:dyDescent="0.2">
      <c r="A271" s="34"/>
      <c r="B271" s="29" t="s">
        <v>531</v>
      </c>
      <c r="C271" s="167">
        <v>1.4488095238095235</v>
      </c>
      <c r="D271" s="167">
        <v>1.3681257014590349</v>
      </c>
      <c r="E271" s="167">
        <v>1.6958128078817731</v>
      </c>
      <c r="F271" s="167">
        <v>2.4369918699187041</v>
      </c>
      <c r="G271" s="167">
        <v>2.2093023255813948</v>
      </c>
      <c r="H271" s="167">
        <v>2.0897435897435903</v>
      </c>
      <c r="I271" s="167">
        <v>2.0389610389610393</v>
      </c>
      <c r="J271" s="167">
        <v>2.0896226415094343</v>
      </c>
      <c r="K271" s="167">
        <v>1.9693251533742311</v>
      </c>
      <c r="L271" s="167">
        <v>1.8181818181818183</v>
      </c>
      <c r="M271" s="167">
        <v>1.3533333333333326</v>
      </c>
      <c r="N271" s="167">
        <v>1.5359999999999996</v>
      </c>
      <c r="O271" s="167">
        <v>1</v>
      </c>
      <c r="P271" s="167">
        <v>1.1360000000000001</v>
      </c>
      <c r="Q271" s="167">
        <v>1.4235294117647062</v>
      </c>
      <c r="R271" s="167">
        <v>1.1115879828326181</v>
      </c>
      <c r="S271" s="167">
        <v>1.1250000000000018</v>
      </c>
      <c r="T271" s="167">
        <v>1.1921182266009867</v>
      </c>
      <c r="U271" s="164">
        <f t="shared" si="87"/>
        <v>-0.77720692677324443</v>
      </c>
      <c r="V271" s="164">
        <f t="shared" si="88"/>
        <v>5.6118226600986532E-2</v>
      </c>
      <c r="W271" s="164">
        <f t="shared" si="89"/>
        <v>6.7118226600984876E-2</v>
      </c>
    </row>
    <row r="272" spans="1:23" ht="15" customHeight="1" x14ac:dyDescent="0.2">
      <c r="A272" s="34" t="s">
        <v>14</v>
      </c>
      <c r="B272" s="29" t="s">
        <v>384</v>
      </c>
      <c r="C272" s="167">
        <v>5.9158163265306118</v>
      </c>
      <c r="D272" s="167">
        <v>6.0603448275862073</v>
      </c>
      <c r="E272" s="167">
        <v>6.3955857385398991</v>
      </c>
      <c r="F272" s="167">
        <v>6.7504990019960083</v>
      </c>
      <c r="G272" s="167">
        <v>6.7385159010600715</v>
      </c>
      <c r="H272" s="167">
        <v>6.670542635658915</v>
      </c>
      <c r="I272" s="167">
        <v>7.001719690455718</v>
      </c>
      <c r="J272" s="167">
        <v>6.7631578947368425</v>
      </c>
      <c r="K272" s="167">
        <v>6.6378006872852238</v>
      </c>
      <c r="L272" s="167">
        <v>6.4678961748633883</v>
      </c>
      <c r="M272" s="167">
        <v>6.550591327201051</v>
      </c>
      <c r="N272" s="167">
        <v>6.652733118971061</v>
      </c>
      <c r="O272" s="167">
        <v>6.2881637168141591</v>
      </c>
      <c r="P272" s="167">
        <v>6.6808731808731805</v>
      </c>
      <c r="Q272" s="167">
        <v>6.8898954703832755</v>
      </c>
      <c r="R272" s="167">
        <v>7.0277777777777777</v>
      </c>
      <c r="S272" s="167">
        <v>6.8994003997335112</v>
      </c>
      <c r="T272" s="167">
        <v>6.3598409542743539</v>
      </c>
      <c r="U272" s="164">
        <f t="shared" si="87"/>
        <v>-0.27795973301086985</v>
      </c>
      <c r="V272" s="164">
        <f t="shared" si="88"/>
        <v>-0.32103222659882658</v>
      </c>
      <c r="W272" s="164">
        <f t="shared" si="89"/>
        <v>-0.53955944545915724</v>
      </c>
    </row>
    <row r="273" spans="1:23" ht="15" customHeight="1" x14ac:dyDescent="0.2">
      <c r="A273" s="34"/>
      <c r="B273" s="29" t="s">
        <v>531</v>
      </c>
      <c r="C273" s="167">
        <v>0.80357142857142794</v>
      </c>
      <c r="D273" s="167">
        <v>1.1293103448275863</v>
      </c>
      <c r="E273" s="167">
        <v>1.5721561969439737</v>
      </c>
      <c r="F273" s="167">
        <v>1.8063872255489022</v>
      </c>
      <c r="G273" s="167">
        <v>1.857479387514724</v>
      </c>
      <c r="H273" s="167">
        <v>1.7558139534883725</v>
      </c>
      <c r="I273" s="167">
        <v>2.0877042132416168</v>
      </c>
      <c r="J273" s="167">
        <v>1.8314144736842106</v>
      </c>
      <c r="K273" s="167">
        <v>1.6542955326460484</v>
      </c>
      <c r="L273" s="167">
        <v>1.5259562841530059</v>
      </c>
      <c r="M273" s="167">
        <v>1.5565045992115634</v>
      </c>
      <c r="N273" s="167">
        <v>1.6983922829581992</v>
      </c>
      <c r="O273" s="167">
        <v>1.2732300884955752</v>
      </c>
      <c r="P273" s="167">
        <v>1.7047817047817047</v>
      </c>
      <c r="Q273" s="167">
        <v>1.8871080139372829</v>
      </c>
      <c r="R273" s="167">
        <v>2.028356481481481</v>
      </c>
      <c r="S273" s="167">
        <v>2.0619586942038639</v>
      </c>
      <c r="T273" s="167">
        <v>1.3883366467859508</v>
      </c>
      <c r="U273" s="164">
        <f t="shared" si="87"/>
        <v>-0.26595888586009764</v>
      </c>
      <c r="V273" s="164">
        <f t="shared" si="88"/>
        <v>-0.31644505799575384</v>
      </c>
      <c r="W273" s="164">
        <f t="shared" si="89"/>
        <v>-0.67362204741791309</v>
      </c>
    </row>
    <row r="274" spans="1:23" ht="15" customHeight="1" x14ac:dyDescent="0.2">
      <c r="A274" s="34" t="s">
        <v>15</v>
      </c>
      <c r="B274" s="29" t="s">
        <v>384</v>
      </c>
      <c r="C274" s="167">
        <v>8.518518518518519</v>
      </c>
      <c r="D274" s="167">
        <v>7.1408450704225324</v>
      </c>
      <c r="E274" s="167">
        <v>6.9883720930232558</v>
      </c>
      <c r="F274" s="167">
        <v>7.8513513513513455</v>
      </c>
      <c r="G274" s="167">
        <v>7.44</v>
      </c>
      <c r="H274" s="167">
        <v>7.1529411764705886</v>
      </c>
      <c r="I274" s="167">
        <v>6.9749999999999996</v>
      </c>
      <c r="J274" s="167">
        <v>7.5733333333333333</v>
      </c>
      <c r="K274" s="167">
        <v>6.8144329896907214</v>
      </c>
      <c r="L274" s="167">
        <v>7.0983606557377046</v>
      </c>
      <c r="M274" s="167">
        <v>6.6744186046511631</v>
      </c>
      <c r="N274" s="167">
        <v>6.4805194805194803</v>
      </c>
      <c r="O274" s="167">
        <v>6.3030303030303028</v>
      </c>
      <c r="P274" s="167">
        <v>6.5625</v>
      </c>
      <c r="Q274" s="167">
        <v>7.3614457831325284</v>
      </c>
      <c r="R274" s="167">
        <v>7.0945945945945947</v>
      </c>
      <c r="S274" s="167">
        <v>7.2499999999999973</v>
      </c>
      <c r="T274" s="167">
        <v>6.9298245614035094</v>
      </c>
      <c r="U274" s="164">
        <f t="shared" si="87"/>
        <v>0.11539157171278802</v>
      </c>
      <c r="V274" s="164">
        <f t="shared" si="88"/>
        <v>0.36732456140350944</v>
      </c>
      <c r="W274" s="164">
        <f t="shared" si="89"/>
        <v>-0.32017543859648789</v>
      </c>
    </row>
    <row r="275" spans="1:23" ht="15" customHeight="1" x14ac:dyDescent="0.2">
      <c r="A275" s="34"/>
      <c r="B275" s="29" t="s">
        <v>531</v>
      </c>
      <c r="C275" s="167">
        <v>1.0370370370370372</v>
      </c>
      <c r="D275" s="167">
        <v>1.4929577464788704</v>
      </c>
      <c r="E275" s="167">
        <v>1.3139534883720927</v>
      </c>
      <c r="F275" s="167">
        <v>1.8648648648648587</v>
      </c>
      <c r="G275" s="167">
        <v>1.9800000000000004</v>
      </c>
      <c r="H275" s="167">
        <v>1.8352941176470594</v>
      </c>
      <c r="I275" s="167">
        <v>1.5749999999999993</v>
      </c>
      <c r="J275" s="167">
        <v>2.1466666666666665</v>
      </c>
      <c r="K275" s="167">
        <v>1.7216494845360826</v>
      </c>
      <c r="L275" s="167">
        <v>1.7868852459016393</v>
      </c>
      <c r="M275" s="167">
        <v>1.5</v>
      </c>
      <c r="N275" s="167">
        <v>1.2337662337662332</v>
      </c>
      <c r="O275" s="167">
        <v>1.0202020202020199</v>
      </c>
      <c r="P275" s="167">
        <v>1.4249999999999998</v>
      </c>
      <c r="Q275" s="167">
        <v>2.0481927710843353</v>
      </c>
      <c r="R275" s="167">
        <v>1.6621621621621623</v>
      </c>
      <c r="S275" s="167">
        <v>1.8095238095238066</v>
      </c>
      <c r="T275" s="167">
        <v>1.7017543859649127</v>
      </c>
      <c r="U275" s="164">
        <f t="shared" si="87"/>
        <v>-1.9895098571169889E-2</v>
      </c>
      <c r="V275" s="164">
        <f t="shared" si="88"/>
        <v>0.27675438596491286</v>
      </c>
      <c r="W275" s="164">
        <f t="shared" si="89"/>
        <v>-0.10776942355889396</v>
      </c>
    </row>
    <row r="276" spans="1:23" ht="15" customHeight="1" x14ac:dyDescent="0.2">
      <c r="A276" s="34" t="s">
        <v>16</v>
      </c>
      <c r="B276" s="29" t="s">
        <v>384</v>
      </c>
      <c r="C276" s="167">
        <v>6.4228650137741043</v>
      </c>
      <c r="D276" s="167">
        <v>5.9896519285042329</v>
      </c>
      <c r="E276" s="167">
        <v>5.9386281588447654</v>
      </c>
      <c r="F276" s="167">
        <v>6.2919042189281642</v>
      </c>
      <c r="G276" s="167">
        <v>6.3651208360548663</v>
      </c>
      <c r="H276" s="167">
        <v>6.3498178032274861</v>
      </c>
      <c r="I276" s="167">
        <v>6.5847815875998119</v>
      </c>
      <c r="J276" s="167">
        <v>6.5050366300366305</v>
      </c>
      <c r="K276" s="167">
        <v>6.4936819172113287</v>
      </c>
      <c r="L276" s="167">
        <v>6.4086799276672695</v>
      </c>
      <c r="M276" s="167">
        <v>6.2744907856450052</v>
      </c>
      <c r="N276" s="167">
        <v>6.4083484573502725</v>
      </c>
      <c r="O276" s="167">
        <v>6.0988089986766649</v>
      </c>
      <c r="P276" s="167">
        <v>6.3691803278688521</v>
      </c>
      <c r="Q276" s="167">
        <v>6.6928191489361701</v>
      </c>
      <c r="R276" s="167">
        <v>6.5259042033235586</v>
      </c>
      <c r="S276" s="167">
        <v>6.159896283491789</v>
      </c>
      <c r="T276" s="167">
        <v>5.9711388455538223</v>
      </c>
      <c r="U276" s="164">
        <f t="shared" si="87"/>
        <v>-0.52254307165750635</v>
      </c>
      <c r="V276" s="164">
        <f t="shared" si="88"/>
        <v>-0.39804148231502978</v>
      </c>
      <c r="W276" s="164">
        <f t="shared" si="89"/>
        <v>-0.18875743793796662</v>
      </c>
    </row>
    <row r="277" spans="1:23" ht="15" customHeight="1" x14ac:dyDescent="0.2">
      <c r="A277" s="34"/>
      <c r="B277" s="29" t="s">
        <v>531</v>
      </c>
      <c r="C277" s="167">
        <v>1.3016528925619832</v>
      </c>
      <c r="D277" s="167">
        <v>0.80150517403574728</v>
      </c>
      <c r="E277" s="167">
        <v>0.85559566787003583</v>
      </c>
      <c r="F277" s="167">
        <v>1.169897377423033</v>
      </c>
      <c r="G277" s="167">
        <v>1.3089483997387328</v>
      </c>
      <c r="H277" s="167">
        <v>1.3430504945340971</v>
      </c>
      <c r="I277" s="167">
        <v>1.5237200563644899</v>
      </c>
      <c r="J277" s="167">
        <v>1.4652014652014653</v>
      </c>
      <c r="K277" s="167">
        <v>1.4496732026143784</v>
      </c>
      <c r="L277" s="167">
        <v>1.3440325497287526</v>
      </c>
      <c r="M277" s="167">
        <v>1.2449078564500491</v>
      </c>
      <c r="N277" s="167">
        <v>1.3625226860254083</v>
      </c>
      <c r="O277" s="167">
        <v>1.0542567269519187</v>
      </c>
      <c r="P277" s="167">
        <v>1.3377049180327862</v>
      </c>
      <c r="Q277" s="167">
        <v>1.7034574468085104</v>
      </c>
      <c r="R277" s="167">
        <v>1.5063538611925713</v>
      </c>
      <c r="S277" s="167">
        <v>1.177614520311149</v>
      </c>
      <c r="T277" s="167">
        <v>0.98751950078003148</v>
      </c>
      <c r="U277" s="164">
        <f t="shared" si="87"/>
        <v>-0.4621537018343469</v>
      </c>
      <c r="V277" s="164">
        <f t="shared" si="88"/>
        <v>-0.35018541725275476</v>
      </c>
      <c r="W277" s="164">
        <f t="shared" si="89"/>
        <v>-0.19009501953111752</v>
      </c>
    </row>
    <row r="278" spans="1:23" ht="15" customHeight="1" x14ac:dyDescent="0.2">
      <c r="A278" s="34" t="s">
        <v>17</v>
      </c>
      <c r="B278" s="29" t="s">
        <v>384</v>
      </c>
      <c r="C278" s="167">
        <v>7.8484107579462101</v>
      </c>
      <c r="D278" s="167">
        <v>7.6512255920232652</v>
      </c>
      <c r="E278" s="167">
        <v>7.4362249761677788</v>
      </c>
      <c r="F278" s="167">
        <v>7.3919781221513219</v>
      </c>
      <c r="G278" s="167">
        <v>7.2021037868162692</v>
      </c>
      <c r="H278" s="167">
        <v>7.0692645835808481</v>
      </c>
      <c r="I278" s="167">
        <v>7.2034649079633821</v>
      </c>
      <c r="J278" s="167">
        <v>6.9680516470782985</v>
      </c>
      <c r="K278" s="167">
        <v>6.7205424344666493</v>
      </c>
      <c r="L278" s="167">
        <v>6.6663563907149923</v>
      </c>
      <c r="M278" s="167">
        <v>6.7565139263252467</v>
      </c>
      <c r="N278" s="167">
        <v>7.1611416945907136</v>
      </c>
      <c r="O278" s="167">
        <v>6.9333372942784148</v>
      </c>
      <c r="P278" s="167">
        <v>6.9775203181739585</v>
      </c>
      <c r="Q278" s="167">
        <v>7.2319179327360086</v>
      </c>
      <c r="R278" s="167">
        <v>7.1628626692456479</v>
      </c>
      <c r="S278" s="167">
        <v>7.0041038794485413</v>
      </c>
      <c r="T278" s="167">
        <v>6.5782077021354262</v>
      </c>
      <c r="U278" s="164">
        <f t="shared" si="87"/>
        <v>-0.14233473233122318</v>
      </c>
      <c r="V278" s="164">
        <f t="shared" si="88"/>
        <v>-0.3993126160385323</v>
      </c>
      <c r="W278" s="164">
        <f t="shared" si="89"/>
        <v>-0.42589617731311513</v>
      </c>
    </row>
    <row r="279" spans="1:23" ht="15" customHeight="1" x14ac:dyDescent="0.2">
      <c r="A279" s="34"/>
      <c r="B279" s="29" t="s">
        <v>531</v>
      </c>
      <c r="C279" s="167">
        <v>2.4058679706601467</v>
      </c>
      <c r="D279" s="167">
        <v>2.1815538014125462</v>
      </c>
      <c r="E279" s="167">
        <v>2.3649189704480458</v>
      </c>
      <c r="F279" s="167">
        <v>2.1961713764813124</v>
      </c>
      <c r="G279" s="167">
        <v>2.2518934081346424</v>
      </c>
      <c r="H279" s="167">
        <v>2.1599144588333132</v>
      </c>
      <c r="I279" s="167">
        <v>2.296879614135249</v>
      </c>
      <c r="J279" s="167">
        <v>2.082850521436848</v>
      </c>
      <c r="K279" s="167">
        <v>1.8506358681546846</v>
      </c>
      <c r="L279" s="167">
        <v>1.8653790214672172</v>
      </c>
      <c r="M279" s="167">
        <v>2.0276130578017364</v>
      </c>
      <c r="N279" s="167">
        <v>2.3858305409286746</v>
      </c>
      <c r="O279" s="167">
        <v>2.2664131661814508</v>
      </c>
      <c r="P279" s="167">
        <v>2.2716583088362441</v>
      </c>
      <c r="Q279" s="167">
        <v>2.5603817686014807</v>
      </c>
      <c r="R279" s="167">
        <v>2.5188910380399738</v>
      </c>
      <c r="S279" s="167">
        <v>2.3897403013786471</v>
      </c>
      <c r="T279" s="167">
        <v>1.9628886049765768</v>
      </c>
      <c r="U279" s="164">
        <f t="shared" si="87"/>
        <v>0.11225273682189219</v>
      </c>
      <c r="V279" s="164">
        <f t="shared" si="88"/>
        <v>-0.30876970385966729</v>
      </c>
      <c r="W279" s="164">
        <f t="shared" si="89"/>
        <v>-0.42685169640207032</v>
      </c>
    </row>
    <row r="280" spans="1:23" ht="15" customHeight="1" x14ac:dyDescent="0.2">
      <c r="A280" s="179"/>
      <c r="B280" s="179"/>
      <c r="C280" s="180"/>
      <c r="D280" s="180"/>
      <c r="E280" s="180"/>
      <c r="F280" s="180"/>
      <c r="G280" s="180"/>
      <c r="H280" s="180"/>
      <c r="I280" s="180"/>
      <c r="J280" s="180"/>
      <c r="K280" s="180"/>
      <c r="L280" s="180"/>
      <c r="M280" s="180"/>
      <c r="N280" s="180"/>
      <c r="O280" s="180"/>
      <c r="P280" s="180"/>
      <c r="Q280" s="180"/>
      <c r="R280" s="180"/>
      <c r="S280" s="180"/>
      <c r="T280" s="180"/>
      <c r="U280" s="181"/>
      <c r="V280" s="181"/>
      <c r="W280" s="181"/>
    </row>
    <row r="281" spans="1:23" ht="15" customHeight="1" x14ac:dyDescent="0.25">
      <c r="A281" s="54" t="s">
        <v>580</v>
      </c>
      <c r="B281" s="54"/>
      <c r="C281" s="54"/>
      <c r="D281" s="54"/>
      <c r="E281" s="54"/>
      <c r="F281" s="54"/>
      <c r="G281" s="54"/>
      <c r="H281" s="54"/>
      <c r="I281" s="54"/>
      <c r="J281" s="54"/>
      <c r="K281" s="54"/>
      <c r="L281" s="54"/>
      <c r="M281" s="54"/>
      <c r="N281" s="54"/>
      <c r="O281" s="54"/>
      <c r="P281" s="54"/>
      <c r="Q281" s="54"/>
      <c r="R281" s="54"/>
      <c r="S281" s="54"/>
      <c r="T281" s="54"/>
      <c r="U281" s="66"/>
      <c r="V281" s="66"/>
      <c r="W281" s="66"/>
    </row>
    <row r="282" spans="1:23" ht="38.25" x14ac:dyDescent="0.2">
      <c r="A282" s="56" t="s">
        <v>581</v>
      </c>
      <c r="B282" s="147" t="s">
        <v>530</v>
      </c>
      <c r="C282" s="15">
        <v>2007</v>
      </c>
      <c r="D282" s="15">
        <v>2008</v>
      </c>
      <c r="E282" s="15">
        <v>2009</v>
      </c>
      <c r="F282" s="15">
        <v>2010</v>
      </c>
      <c r="G282" s="15">
        <v>2011</v>
      </c>
      <c r="H282" s="15">
        <v>2012</v>
      </c>
      <c r="I282" s="15">
        <v>2013</v>
      </c>
      <c r="J282" s="15">
        <v>2014</v>
      </c>
      <c r="K282" s="15">
        <v>2015</v>
      </c>
      <c r="L282" s="15">
        <v>2016</v>
      </c>
      <c r="M282" s="15">
        <v>2017</v>
      </c>
      <c r="N282" s="15">
        <v>2018</v>
      </c>
      <c r="O282" s="15">
        <v>2019</v>
      </c>
      <c r="P282" s="15">
        <v>2020</v>
      </c>
      <c r="Q282" s="15">
        <v>2021</v>
      </c>
      <c r="R282" s="15">
        <v>2022</v>
      </c>
      <c r="S282" s="15">
        <v>2023</v>
      </c>
      <c r="T282" s="15">
        <v>2024</v>
      </c>
      <c r="U282" s="27" t="s">
        <v>469</v>
      </c>
      <c r="V282" s="27" t="s">
        <v>470</v>
      </c>
      <c r="W282" s="27" t="s">
        <v>471</v>
      </c>
    </row>
    <row r="283" spans="1:23" ht="15" customHeight="1" x14ac:dyDescent="0.2">
      <c r="A283" s="196" t="s">
        <v>72</v>
      </c>
      <c r="B283" s="197"/>
      <c r="C283" s="166"/>
      <c r="D283" s="166"/>
      <c r="E283" s="166"/>
      <c r="F283" s="166"/>
      <c r="G283" s="166"/>
      <c r="H283" s="166"/>
      <c r="I283" s="166"/>
      <c r="J283" s="166"/>
      <c r="K283" s="166"/>
      <c r="L283" s="166"/>
      <c r="M283" s="166"/>
      <c r="N283" s="166"/>
      <c r="O283" s="166"/>
      <c r="P283" s="166"/>
      <c r="Q283" s="166"/>
      <c r="R283" s="166"/>
      <c r="S283" s="166"/>
      <c r="T283" s="166"/>
      <c r="U283" s="165"/>
      <c r="V283" s="165"/>
      <c r="W283" s="165"/>
    </row>
    <row r="284" spans="1:23" ht="15" customHeight="1" x14ac:dyDescent="0.2">
      <c r="A284" s="34" t="s">
        <v>480</v>
      </c>
      <c r="B284" s="29" t="s">
        <v>384</v>
      </c>
      <c r="C284" s="167">
        <v>6.6178671655753041</v>
      </c>
      <c r="D284" s="167">
        <v>6.3374493927125508</v>
      </c>
      <c r="E284" s="167">
        <v>6.4803831276478174</v>
      </c>
      <c r="F284" s="167">
        <v>6.5988802239552093</v>
      </c>
      <c r="G284" s="167">
        <v>6.4928710304601429</v>
      </c>
      <c r="H284" s="167">
        <v>6.3774962742175854</v>
      </c>
      <c r="I284" s="167">
        <v>6.4480874316939891</v>
      </c>
      <c r="J284" s="167">
        <v>6.2095674967234604</v>
      </c>
      <c r="K284" s="167">
        <v>6.0246491331524945</v>
      </c>
      <c r="L284" s="167">
        <v>5.9349461272616386</v>
      </c>
      <c r="M284" s="167">
        <v>5.9163452981311186</v>
      </c>
      <c r="N284" s="167">
        <v>6.1933333333333334</v>
      </c>
      <c r="O284" s="167">
        <v>5.9642073866128609</v>
      </c>
      <c r="P284" s="167">
        <v>6.1155568535825546</v>
      </c>
      <c r="Q284" s="167">
        <v>6.2841259535789646</v>
      </c>
      <c r="R284" s="167">
        <v>6.2434510505140812</v>
      </c>
      <c r="S284" s="167">
        <v>6.1643575115457754</v>
      </c>
      <c r="T284" s="167">
        <v>6.0512325239146429</v>
      </c>
      <c r="U284" s="164">
        <f t="shared" ref="U284:U303" si="90">IFERROR((T284-K284),"n/a")</f>
        <v>2.658339076214844E-2</v>
      </c>
      <c r="V284" s="164">
        <f t="shared" ref="V284:V303" si="91">IFERROR((T284-P284),"n/a")</f>
        <v>-6.4324329667911684E-2</v>
      </c>
      <c r="W284" s="164">
        <f t="shared" ref="W284:W303" si="92">IFERROR((T284-S284),"n/a")</f>
        <v>-0.11312498763113243</v>
      </c>
    </row>
    <row r="285" spans="1:23" ht="15" customHeight="1" x14ac:dyDescent="0.2">
      <c r="A285" s="34"/>
      <c r="B285" s="29" t="s">
        <v>531</v>
      </c>
      <c r="C285" s="167">
        <v>1.3421421889616463</v>
      </c>
      <c r="D285" s="167">
        <v>1.1789473684210527</v>
      </c>
      <c r="E285" s="167">
        <v>1.3059495303002393</v>
      </c>
      <c r="F285" s="167">
        <v>1.3107378524295141</v>
      </c>
      <c r="G285" s="167">
        <v>1.448476992871031</v>
      </c>
      <c r="H285" s="167">
        <v>1.3889716840536508</v>
      </c>
      <c r="I285" s="167">
        <v>1.490203918432627</v>
      </c>
      <c r="J285" s="167">
        <v>1.2256880733944957</v>
      </c>
      <c r="K285" s="167">
        <v>1.0890435192829342</v>
      </c>
      <c r="L285" s="167">
        <v>1.0362878633868675</v>
      </c>
      <c r="M285" s="167">
        <v>1.0711954909522401</v>
      </c>
      <c r="N285" s="167">
        <v>1.3319480519480518</v>
      </c>
      <c r="O285" s="167">
        <v>1.1472936222475658</v>
      </c>
      <c r="P285" s="167">
        <v>1.3029595015576323</v>
      </c>
      <c r="Q285" s="167">
        <v>1.5262132770654118</v>
      </c>
      <c r="R285" s="167">
        <v>1.4984354045596779</v>
      </c>
      <c r="S285" s="167">
        <v>1.4266956442995564</v>
      </c>
      <c r="T285" s="167">
        <v>1.313649742457689</v>
      </c>
      <c r="U285" s="164">
        <f t="shared" si="90"/>
        <v>0.22460622317475476</v>
      </c>
      <c r="V285" s="164">
        <f t="shared" si="91"/>
        <v>1.0690240900056658E-2</v>
      </c>
      <c r="W285" s="164">
        <f t="shared" si="92"/>
        <v>-0.11304590184186747</v>
      </c>
    </row>
    <row r="286" spans="1:23" ht="15" customHeight="1" x14ac:dyDescent="0.2">
      <c r="A286" s="34" t="s">
        <v>481</v>
      </c>
      <c r="B286" s="29" t="s">
        <v>384</v>
      </c>
      <c r="C286" s="167">
        <v>7.48</v>
      </c>
      <c r="D286" s="167">
        <v>6.9448818897637796</v>
      </c>
      <c r="E286" s="167">
        <v>6.8125</v>
      </c>
      <c r="F286" s="167">
        <v>7.2050000000000001</v>
      </c>
      <c r="G286" s="167">
        <v>7.0797101449275361</v>
      </c>
      <c r="H286" s="167">
        <v>7.1880341880341883</v>
      </c>
      <c r="I286" s="167">
        <v>7.0916230366492146</v>
      </c>
      <c r="J286" s="167">
        <v>6.8832997987927564</v>
      </c>
      <c r="K286" s="167">
        <v>6.8362068965517242</v>
      </c>
      <c r="L286" s="167">
        <v>6.550335570469799</v>
      </c>
      <c r="M286" s="167">
        <v>6.1499176276771008</v>
      </c>
      <c r="N286" s="167">
        <v>6.5506241331484052</v>
      </c>
      <c r="O286" s="167">
        <v>6.5086206896551726</v>
      </c>
      <c r="P286" s="167">
        <v>6.5207986688851918</v>
      </c>
      <c r="Q286" s="167">
        <v>6.641752577319588</v>
      </c>
      <c r="R286" s="167">
        <v>6.5649409627611259</v>
      </c>
      <c r="S286" s="167">
        <v>6.320394736842105</v>
      </c>
      <c r="T286" s="167">
        <v>6.410949410949411</v>
      </c>
      <c r="U286" s="164">
        <f t="shared" si="90"/>
        <v>-0.42525748560231325</v>
      </c>
      <c r="V286" s="164">
        <f t="shared" si="91"/>
        <v>-0.10984925793578082</v>
      </c>
      <c r="W286" s="164">
        <f t="shared" si="92"/>
        <v>9.0554674107305999E-2</v>
      </c>
    </row>
    <row r="287" spans="1:23" ht="15" customHeight="1" x14ac:dyDescent="0.2">
      <c r="A287" s="34"/>
      <c r="B287" s="29" t="s">
        <v>531</v>
      </c>
      <c r="C287" s="167">
        <v>2.0342857142857147</v>
      </c>
      <c r="D287" s="167">
        <v>1.5787401574803148</v>
      </c>
      <c r="E287" s="167">
        <v>1.73828125</v>
      </c>
      <c r="F287" s="167">
        <v>2.16</v>
      </c>
      <c r="G287" s="167">
        <v>2.083333333333333</v>
      </c>
      <c r="H287" s="167">
        <v>2.2022792022792022</v>
      </c>
      <c r="I287" s="167">
        <v>2.1256544502617798</v>
      </c>
      <c r="J287" s="167">
        <v>1.8933601609657948</v>
      </c>
      <c r="K287" s="167">
        <v>1.8517241379310345</v>
      </c>
      <c r="L287" s="167">
        <v>1.5671140939597317</v>
      </c>
      <c r="M287" s="167">
        <v>1.2141680395387153</v>
      </c>
      <c r="N287" s="167">
        <v>1.5242718446601939</v>
      </c>
      <c r="O287" s="167">
        <v>1.5911330049261085</v>
      </c>
      <c r="P287" s="167">
        <v>1.6422628951747091</v>
      </c>
      <c r="Q287" s="167">
        <v>1.6993127147766325</v>
      </c>
      <c r="R287" s="167">
        <v>1.6893732970027244</v>
      </c>
      <c r="S287" s="167">
        <v>1.4243421052631575</v>
      </c>
      <c r="T287" s="167">
        <v>1.5544005544005541</v>
      </c>
      <c r="U287" s="164">
        <f t="shared" si="90"/>
        <v>-0.29732358353048038</v>
      </c>
      <c r="V287" s="164">
        <f t="shared" si="91"/>
        <v>-8.7862340774155001E-2</v>
      </c>
      <c r="W287" s="164">
        <f t="shared" si="92"/>
        <v>0.13005844913739661</v>
      </c>
    </row>
    <row r="288" spans="1:23" ht="15" customHeight="1" x14ac:dyDescent="0.2">
      <c r="A288" s="34" t="s">
        <v>482</v>
      </c>
      <c r="B288" s="29" t="s">
        <v>384</v>
      </c>
      <c r="C288" s="167">
        <v>7.4781144781144793</v>
      </c>
      <c r="D288" s="167">
        <v>6.7915789473684187</v>
      </c>
      <c r="E288" s="167">
        <v>6.9504587155963309</v>
      </c>
      <c r="F288" s="167">
        <v>7.3126338329764478</v>
      </c>
      <c r="G288" s="167">
        <v>6.8102836879432624</v>
      </c>
      <c r="H288" s="167">
        <v>6.81</v>
      </c>
      <c r="I288" s="167">
        <v>6.7307086614173226</v>
      </c>
      <c r="J288" s="167">
        <v>6.9323583180987205</v>
      </c>
      <c r="K288" s="167">
        <v>6.7365771812080526</v>
      </c>
      <c r="L288" s="167">
        <v>6.6877192982456144</v>
      </c>
      <c r="M288" s="167">
        <v>6.692682926829268</v>
      </c>
      <c r="N288" s="167">
        <v>7.1373456790123457</v>
      </c>
      <c r="O288" s="167">
        <v>6.6301587301587306</v>
      </c>
      <c r="P288" s="167">
        <v>6.3687635574837307</v>
      </c>
      <c r="Q288" s="167">
        <v>6.8708053691275168</v>
      </c>
      <c r="R288" s="167">
        <v>6.9829931972789119</v>
      </c>
      <c r="S288" s="167">
        <v>6.9936708860759493</v>
      </c>
      <c r="T288" s="167">
        <v>6.4109195402298846</v>
      </c>
      <c r="U288" s="164">
        <f t="shared" si="90"/>
        <v>-0.32565764097816796</v>
      </c>
      <c r="V288" s="164">
        <f t="shared" si="91"/>
        <v>4.2155982746153953E-2</v>
      </c>
      <c r="W288" s="164">
        <f t="shared" si="92"/>
        <v>-0.58275134584606469</v>
      </c>
    </row>
    <row r="289" spans="1:23" ht="15" customHeight="1" x14ac:dyDescent="0.2">
      <c r="A289" s="34"/>
      <c r="B289" s="29" t="s">
        <v>531</v>
      </c>
      <c r="C289" s="167">
        <v>1.6700336700336713</v>
      </c>
      <c r="D289" s="167">
        <v>1.4694736842105236</v>
      </c>
      <c r="E289" s="167">
        <v>1.5853211009174322</v>
      </c>
      <c r="F289" s="167">
        <v>1.8886509635974331</v>
      </c>
      <c r="G289" s="167">
        <v>1.7606382978723403</v>
      </c>
      <c r="H289" s="167">
        <v>1.7449999999999992</v>
      </c>
      <c r="I289" s="167">
        <v>1.688188976377953</v>
      </c>
      <c r="J289" s="167">
        <v>1.8756855575868379</v>
      </c>
      <c r="K289" s="167">
        <v>1.7348993288590595</v>
      </c>
      <c r="L289" s="167">
        <v>1.666666666666667</v>
      </c>
      <c r="M289" s="167">
        <v>1.7121951219512193</v>
      </c>
      <c r="N289" s="167">
        <v>2.1141975308641978</v>
      </c>
      <c r="O289" s="167">
        <v>1.7095238095238097</v>
      </c>
      <c r="P289" s="167">
        <v>1.5097613882863339</v>
      </c>
      <c r="Q289" s="167">
        <v>2.0553691275167782</v>
      </c>
      <c r="R289" s="167">
        <v>2.0816326530612246</v>
      </c>
      <c r="S289" s="167">
        <v>2.1234177215189876</v>
      </c>
      <c r="T289" s="167">
        <v>1.652298850574712</v>
      </c>
      <c r="U289" s="164">
        <f t="shared" si="90"/>
        <v>-8.2600478284347467E-2</v>
      </c>
      <c r="V289" s="164">
        <f t="shared" si="91"/>
        <v>0.14253746228837816</v>
      </c>
      <c r="W289" s="164">
        <f t="shared" si="92"/>
        <v>-0.47111887094427551</v>
      </c>
    </row>
    <row r="290" spans="1:23" ht="15" customHeight="1" x14ac:dyDescent="0.2">
      <c r="A290" s="34" t="s">
        <v>483</v>
      </c>
      <c r="B290" s="29" t="s">
        <v>384</v>
      </c>
      <c r="C290" s="167">
        <v>8.9285714285714217</v>
      </c>
      <c r="D290" s="167">
        <v>8.603773584905662</v>
      </c>
      <c r="E290" s="167">
        <v>8.2621359223300992</v>
      </c>
      <c r="F290" s="167">
        <v>7.8037383177570074</v>
      </c>
      <c r="G290" s="167">
        <v>7.7243589743589745</v>
      </c>
      <c r="H290" s="167">
        <v>7.9150000000000027</v>
      </c>
      <c r="I290" s="167">
        <v>8.1428571428571423</v>
      </c>
      <c r="J290" s="167">
        <v>7.8031496062992121</v>
      </c>
      <c r="K290" s="167">
        <v>7.4686192468619241</v>
      </c>
      <c r="L290" s="167">
        <v>7.2881944444444446</v>
      </c>
      <c r="M290" s="167">
        <v>7.4475524475524493</v>
      </c>
      <c r="N290" s="167">
        <v>7.8208333333333337</v>
      </c>
      <c r="O290" s="167">
        <v>7.4313725490196099</v>
      </c>
      <c r="P290" s="167">
        <v>7.2114285714285717</v>
      </c>
      <c r="Q290" s="167">
        <v>7.8088235294117627</v>
      </c>
      <c r="R290" s="167">
        <v>7.5850340136054424</v>
      </c>
      <c r="S290" s="167">
        <v>7.7811158798283282</v>
      </c>
      <c r="T290" s="167">
        <v>6.7584541062801931</v>
      </c>
      <c r="U290" s="164">
        <f t="shared" si="90"/>
        <v>-0.71016514058173108</v>
      </c>
      <c r="V290" s="164">
        <f t="shared" si="91"/>
        <v>-0.45297446514837869</v>
      </c>
      <c r="W290" s="164">
        <f t="shared" si="92"/>
        <v>-1.0226617735481351</v>
      </c>
    </row>
    <row r="291" spans="1:23" ht="15" customHeight="1" x14ac:dyDescent="0.2">
      <c r="A291" s="34"/>
      <c r="B291" s="29" t="s">
        <v>531</v>
      </c>
      <c r="C291" s="167">
        <v>3.1071428571428505</v>
      </c>
      <c r="D291" s="167">
        <v>3.0471698113207566</v>
      </c>
      <c r="E291" s="167">
        <v>2.9514563106796139</v>
      </c>
      <c r="F291" s="167">
        <v>2.3457943925233629</v>
      </c>
      <c r="G291" s="167">
        <v>2.4615384615384617</v>
      </c>
      <c r="H291" s="167">
        <v>2.5100000000000025</v>
      </c>
      <c r="I291" s="167">
        <v>2.8367346938775508</v>
      </c>
      <c r="J291" s="167">
        <v>2.6692913385826769</v>
      </c>
      <c r="K291" s="167">
        <v>2.1046025104602508</v>
      </c>
      <c r="L291" s="167">
        <v>2.0381944444444446</v>
      </c>
      <c r="M291" s="167">
        <v>2.2692307692307709</v>
      </c>
      <c r="N291" s="167">
        <v>2.5375000000000005</v>
      </c>
      <c r="O291" s="167">
        <v>2.2078431372549039</v>
      </c>
      <c r="P291" s="167">
        <v>2.1828571428571433</v>
      </c>
      <c r="Q291" s="167">
        <v>2.7610294117647038</v>
      </c>
      <c r="R291" s="167">
        <v>2.5544217687074831</v>
      </c>
      <c r="S291" s="167">
        <v>2.7124463519313329</v>
      </c>
      <c r="T291" s="167">
        <v>1.8647342995169076</v>
      </c>
      <c r="U291" s="164">
        <f t="shared" si="90"/>
        <v>-0.23986821094334321</v>
      </c>
      <c r="V291" s="164">
        <f t="shared" si="91"/>
        <v>-0.31812284334023566</v>
      </c>
      <c r="W291" s="164">
        <f t="shared" si="92"/>
        <v>-0.84771205241442527</v>
      </c>
    </row>
    <row r="292" spans="1:23" ht="15" customHeight="1" x14ac:dyDescent="0.2">
      <c r="A292" s="34" t="s">
        <v>484</v>
      </c>
      <c r="B292" s="29" t="s">
        <v>384</v>
      </c>
      <c r="C292" s="167">
        <v>7.2</v>
      </c>
      <c r="D292" s="167">
        <v>6.6166666666666618</v>
      </c>
      <c r="E292" s="167">
        <v>6.6888888888888891</v>
      </c>
      <c r="F292" s="167">
        <v>5.7647058823529411</v>
      </c>
      <c r="G292" s="167">
        <v>5.8285714285714265</v>
      </c>
      <c r="H292" s="167">
        <v>5.632911392405064</v>
      </c>
      <c r="I292" s="167">
        <v>5.9649122807017552</v>
      </c>
      <c r="J292" s="167">
        <v>6.4081632653061211</v>
      </c>
      <c r="K292" s="167">
        <v>6.3472222222222232</v>
      </c>
      <c r="L292" s="167">
        <v>5.9574468085106398</v>
      </c>
      <c r="M292" s="167">
        <v>6.7627118644067812</v>
      </c>
      <c r="N292" s="167">
        <v>5.7906976744186052</v>
      </c>
      <c r="O292" s="167">
        <v>6.4461538461538446</v>
      </c>
      <c r="P292" s="167">
        <v>6.5555555555555554</v>
      </c>
      <c r="Q292" s="167">
        <v>5.7333333333333334</v>
      </c>
      <c r="R292" s="167">
        <v>6.3521126760563362</v>
      </c>
      <c r="S292" s="167">
        <v>6.349206349206348</v>
      </c>
      <c r="T292" s="167">
        <v>6.1052631578947372</v>
      </c>
      <c r="U292" s="164">
        <f t="shared" si="90"/>
        <v>-0.24195906432748604</v>
      </c>
      <c r="V292" s="164">
        <f t="shared" si="91"/>
        <v>-0.45029239766081819</v>
      </c>
      <c r="W292" s="164">
        <f t="shared" si="92"/>
        <v>-0.2439431913116108</v>
      </c>
    </row>
    <row r="293" spans="1:23" ht="15" customHeight="1" x14ac:dyDescent="0.2">
      <c r="A293" s="34"/>
      <c r="B293" s="29" t="s">
        <v>531</v>
      </c>
      <c r="C293" s="167">
        <v>1</v>
      </c>
      <c r="D293" s="167">
        <v>1.3666666666666618</v>
      </c>
      <c r="E293" s="167">
        <v>1.5333333333333332</v>
      </c>
      <c r="F293" s="167">
        <v>0.76470588235294112</v>
      </c>
      <c r="G293" s="167">
        <v>0.79999999999999805</v>
      </c>
      <c r="H293" s="167">
        <v>0.632911392405064</v>
      </c>
      <c r="I293" s="167">
        <v>0.92982456140350944</v>
      </c>
      <c r="J293" s="167">
        <v>1.4081632653061211</v>
      </c>
      <c r="K293" s="167">
        <v>1.3472222222222232</v>
      </c>
      <c r="L293" s="167">
        <v>0.97872340425532034</v>
      </c>
      <c r="M293" s="167">
        <v>1.7627118644067812</v>
      </c>
      <c r="N293" s="167">
        <v>0.94186046511627985</v>
      </c>
      <c r="O293" s="167">
        <v>1.2461538461538444</v>
      </c>
      <c r="P293" s="167">
        <v>1.1666666666666661</v>
      </c>
      <c r="Q293" s="167">
        <v>0.75555555555555554</v>
      </c>
      <c r="R293" s="167">
        <v>1.4366197183098572</v>
      </c>
      <c r="S293" s="167">
        <v>1.428571428571427</v>
      </c>
      <c r="T293" s="167">
        <v>1.3684210526315796</v>
      </c>
      <c r="U293" s="164">
        <f t="shared" si="90"/>
        <v>2.1198830409356439E-2</v>
      </c>
      <c r="V293" s="164">
        <f t="shared" si="91"/>
        <v>0.20175438596491357</v>
      </c>
      <c r="W293" s="164">
        <f t="shared" si="92"/>
        <v>-6.01503759398474E-2</v>
      </c>
    </row>
    <row r="294" spans="1:23" ht="15" customHeight="1" x14ac:dyDescent="0.2">
      <c r="A294" s="34" t="s">
        <v>14</v>
      </c>
      <c r="B294" s="29" t="s">
        <v>384</v>
      </c>
      <c r="C294" s="167">
        <v>6.3883928571428568</v>
      </c>
      <c r="D294" s="167">
        <v>5.7955133735979292</v>
      </c>
      <c r="E294" s="167">
        <v>5.6769690927218344</v>
      </c>
      <c r="F294" s="167">
        <v>6.0051387461459402</v>
      </c>
      <c r="G294" s="167">
        <v>6.1104157353598572</v>
      </c>
      <c r="H294" s="167">
        <v>6.0340093603744149</v>
      </c>
      <c r="I294" s="167">
        <v>6.2306636155606405</v>
      </c>
      <c r="J294" s="167">
        <v>6.2174543946932008</v>
      </c>
      <c r="K294" s="167">
        <v>6.092559700019736</v>
      </c>
      <c r="L294" s="167">
        <v>6.0530940362684618</v>
      </c>
      <c r="M294" s="167">
        <v>5.7379107253564783</v>
      </c>
      <c r="N294" s="167">
        <v>5.7437927794926855</v>
      </c>
      <c r="O294" s="167">
        <v>5.6391444087332374</v>
      </c>
      <c r="P294" s="167">
        <v>5.9205222171323868</v>
      </c>
      <c r="Q294" s="167">
        <v>5.9320475042414502</v>
      </c>
      <c r="R294" s="167">
        <v>5.9417565842905207</v>
      </c>
      <c r="S294" s="167">
        <v>6.0242346938775508</v>
      </c>
      <c r="T294" s="167">
        <v>5.8526506191735077</v>
      </c>
      <c r="U294" s="164">
        <f t="shared" si="90"/>
        <v>-0.23990908084622831</v>
      </c>
      <c r="V294" s="164">
        <f t="shared" si="91"/>
        <v>-6.7871597958879093E-2</v>
      </c>
      <c r="W294" s="164">
        <f t="shared" si="92"/>
        <v>-0.17158407470404313</v>
      </c>
    </row>
    <row r="295" spans="1:23" ht="15" customHeight="1" x14ac:dyDescent="0.2">
      <c r="A295" s="34"/>
      <c r="B295" s="29" t="s">
        <v>531</v>
      </c>
      <c r="C295" s="167">
        <v>1.3794642857142856</v>
      </c>
      <c r="D295" s="167">
        <v>0.77480586712683319</v>
      </c>
      <c r="E295" s="167">
        <v>0.72781655034895287</v>
      </c>
      <c r="F295" s="167">
        <v>1.0339157245632062</v>
      </c>
      <c r="G295" s="167">
        <v>1.0867232901206973</v>
      </c>
      <c r="H295" s="167">
        <v>1.0190327613104522</v>
      </c>
      <c r="I295" s="167">
        <v>1.2203661327231119</v>
      </c>
      <c r="J295" s="167">
        <v>1.1884328358208958</v>
      </c>
      <c r="K295" s="167">
        <v>1.0742056443655024</v>
      </c>
      <c r="L295" s="167">
        <v>1.0538418395961866</v>
      </c>
      <c r="M295" s="167">
        <v>0.89786112833230014</v>
      </c>
      <c r="N295" s="167">
        <v>0.88511609179975803</v>
      </c>
      <c r="O295" s="167">
        <v>0.70009974509586659</v>
      </c>
      <c r="P295" s="167">
        <v>0.9584287677508021</v>
      </c>
      <c r="Q295" s="167">
        <v>1.063844986159479</v>
      </c>
      <c r="R295" s="167">
        <v>1.0409560273813661</v>
      </c>
      <c r="S295" s="167">
        <v>1.1707908163265301</v>
      </c>
      <c r="T295" s="167">
        <v>1.0563517462084322</v>
      </c>
      <c r="U295" s="164">
        <f t="shared" si="90"/>
        <v>-1.7853898157070169E-2</v>
      </c>
      <c r="V295" s="164">
        <f t="shared" si="91"/>
        <v>9.7922978457630094E-2</v>
      </c>
      <c r="W295" s="164">
        <f t="shared" si="92"/>
        <v>-0.11443907011809795</v>
      </c>
    </row>
    <row r="296" spans="1:23" ht="15" customHeight="1" x14ac:dyDescent="0.2">
      <c r="A296" s="34" t="s">
        <v>485</v>
      </c>
      <c r="B296" s="29" t="s">
        <v>384</v>
      </c>
      <c r="C296" s="167">
        <v>8.1528497409326395</v>
      </c>
      <c r="D296" s="167">
        <v>8.0963172804532562</v>
      </c>
      <c r="E296" s="167">
        <v>7.4972972972972975</v>
      </c>
      <c r="F296" s="167">
        <v>7.4668246445497655</v>
      </c>
      <c r="G296" s="167">
        <v>7.2018867924528305</v>
      </c>
      <c r="H296" s="167">
        <v>7.313274336283186</v>
      </c>
      <c r="I296" s="167">
        <v>7.1761904761904765</v>
      </c>
      <c r="J296" s="167">
        <v>7.2973372781065091</v>
      </c>
      <c r="K296" s="167">
        <v>6.616257088846881</v>
      </c>
      <c r="L296" s="167">
        <v>6.4853675945753038</v>
      </c>
      <c r="M296" s="167">
        <v>6.6823081800887758</v>
      </c>
      <c r="N296" s="167">
        <v>6.9827904118008606</v>
      </c>
      <c r="O296" s="167">
        <v>6.8854229154169166</v>
      </c>
      <c r="P296" s="167">
        <v>6.7365129007036746</v>
      </c>
      <c r="Q296" s="167">
        <v>6.960600375234522</v>
      </c>
      <c r="R296" s="167">
        <v>6.9298850574712647</v>
      </c>
      <c r="S296" s="167">
        <v>6.9063583815028906</v>
      </c>
      <c r="T296" s="167">
        <v>6.5859802847754656</v>
      </c>
      <c r="U296" s="164">
        <f t="shared" si="90"/>
        <v>-3.027680407141542E-2</v>
      </c>
      <c r="V296" s="164">
        <f t="shared" si="91"/>
        <v>-0.15053261592820899</v>
      </c>
      <c r="W296" s="164">
        <f t="shared" si="92"/>
        <v>-0.32037809672742501</v>
      </c>
    </row>
    <row r="297" spans="1:23" ht="15" customHeight="1" x14ac:dyDescent="0.2">
      <c r="A297" s="34"/>
      <c r="B297" s="29" t="s">
        <v>531</v>
      </c>
      <c r="C297" s="167">
        <v>2.4196891191709815</v>
      </c>
      <c r="D297" s="167">
        <v>2.3682719546742197</v>
      </c>
      <c r="E297" s="167">
        <v>2.3027027027027032</v>
      </c>
      <c r="F297" s="167">
        <v>2.222748815165879</v>
      </c>
      <c r="G297" s="167">
        <v>2.1490566037735848</v>
      </c>
      <c r="H297" s="167">
        <v>2.2796460176991156</v>
      </c>
      <c r="I297" s="167">
        <v>2.2126984126984128</v>
      </c>
      <c r="J297" s="167">
        <v>2.2943786982248522</v>
      </c>
      <c r="K297" s="167">
        <v>1.6918714555765595</v>
      </c>
      <c r="L297" s="167">
        <v>1.5952890792291221</v>
      </c>
      <c r="M297" s="167">
        <v>1.8585922637920094</v>
      </c>
      <c r="N297" s="167">
        <v>2.1167793484941608</v>
      </c>
      <c r="O297" s="167">
        <v>2.1175764847030596</v>
      </c>
      <c r="P297" s="167">
        <v>1.9781078967943708</v>
      </c>
      <c r="Q297" s="167">
        <v>2.2782989368355224</v>
      </c>
      <c r="R297" s="167">
        <v>2.2942528735632184</v>
      </c>
      <c r="S297" s="167">
        <v>2.2884393063583817</v>
      </c>
      <c r="T297" s="167">
        <v>1.9654983570646225</v>
      </c>
      <c r="U297" s="164">
        <f t="shared" si="90"/>
        <v>0.27362690148806301</v>
      </c>
      <c r="V297" s="164">
        <f t="shared" si="91"/>
        <v>-1.260953972974832E-2</v>
      </c>
      <c r="W297" s="164">
        <f t="shared" si="92"/>
        <v>-0.32294094929375916</v>
      </c>
    </row>
    <row r="298" spans="1:23" ht="15" customHeight="1" x14ac:dyDescent="0.2">
      <c r="A298" s="34" t="s">
        <v>486</v>
      </c>
      <c r="B298" s="29" t="s">
        <v>384</v>
      </c>
      <c r="C298" s="167">
        <v>6.3500136724090792</v>
      </c>
      <c r="D298" s="167">
        <v>5.7752792031391484</v>
      </c>
      <c r="E298" s="167">
        <v>5.7569758378799687</v>
      </c>
      <c r="F298" s="167">
        <v>6.2544770773638971</v>
      </c>
      <c r="G298" s="167">
        <v>6.2930179714934935</v>
      </c>
      <c r="H298" s="167">
        <v>6.2294301198883231</v>
      </c>
      <c r="I298" s="167">
        <v>6.523473644292757</v>
      </c>
      <c r="J298" s="167">
        <v>6.3849390287385006</v>
      </c>
      <c r="K298" s="167">
        <v>6.3274537315427271</v>
      </c>
      <c r="L298" s="167">
        <v>6.2662181033388347</v>
      </c>
      <c r="M298" s="167">
        <v>6.1025475653015153</v>
      </c>
      <c r="N298" s="167">
        <v>6.2424550479700107</v>
      </c>
      <c r="O298" s="167">
        <v>6.0525657894736842</v>
      </c>
      <c r="P298" s="167">
        <v>6.2342388518708356</v>
      </c>
      <c r="Q298" s="167">
        <v>6.4555759102358596</v>
      </c>
      <c r="R298" s="167">
        <v>6.2716391668920748</v>
      </c>
      <c r="S298" s="167">
        <v>6.0573027556420707</v>
      </c>
      <c r="T298" s="167">
        <v>5.9008938748575197</v>
      </c>
      <c r="U298" s="164">
        <f t="shared" si="90"/>
        <v>-0.42655985668520735</v>
      </c>
      <c r="V298" s="164">
        <f t="shared" si="91"/>
        <v>-0.33334497701331589</v>
      </c>
      <c r="W298" s="164">
        <f t="shared" si="92"/>
        <v>-0.15640888078455095</v>
      </c>
    </row>
    <row r="299" spans="1:23" ht="15" customHeight="1" x14ac:dyDescent="0.2">
      <c r="A299" s="34"/>
      <c r="B299" s="29" t="s">
        <v>531</v>
      </c>
      <c r="C299" s="167">
        <v>1.2294230243368887</v>
      </c>
      <c r="D299" s="167">
        <v>0.6759734379716269</v>
      </c>
      <c r="E299" s="167">
        <v>0.70163678877630531</v>
      </c>
      <c r="F299" s="167">
        <v>1.1128223495702008</v>
      </c>
      <c r="G299" s="167">
        <v>1.2845486469737661</v>
      </c>
      <c r="H299" s="167">
        <v>1.2189193627853507</v>
      </c>
      <c r="I299" s="167">
        <v>1.4661357603337128</v>
      </c>
      <c r="J299" s="167">
        <v>1.3434357840690287</v>
      </c>
      <c r="K299" s="167">
        <v>1.2717979555021044</v>
      </c>
      <c r="L299" s="167">
        <v>1.1918242985908343</v>
      </c>
      <c r="M299" s="167">
        <v>1.0510802966784905</v>
      </c>
      <c r="N299" s="167">
        <v>1.1874960289726157</v>
      </c>
      <c r="O299" s="167">
        <v>1.0109868421052628</v>
      </c>
      <c r="P299" s="167">
        <v>1.2052793439261915</v>
      </c>
      <c r="Q299" s="167">
        <v>1.4696015571330427</v>
      </c>
      <c r="R299" s="167">
        <v>1.2634568569110094</v>
      </c>
      <c r="S299" s="167">
        <v>1.0728754790437378</v>
      </c>
      <c r="T299" s="167">
        <v>0.91799148119263307</v>
      </c>
      <c r="U299" s="164">
        <f t="shared" si="90"/>
        <v>-0.35380647430947132</v>
      </c>
      <c r="V299" s="164">
        <f t="shared" si="91"/>
        <v>-0.28728786273355844</v>
      </c>
      <c r="W299" s="164">
        <f t="shared" si="92"/>
        <v>-0.15488399785110474</v>
      </c>
    </row>
    <row r="300" spans="1:23" ht="15" customHeight="1" x14ac:dyDescent="0.2">
      <c r="A300" s="34" t="s">
        <v>487</v>
      </c>
      <c r="B300" s="29" t="s">
        <v>384</v>
      </c>
      <c r="C300" s="167">
        <v>7.0842266462480854</v>
      </c>
      <c r="D300" s="167">
        <v>6.7114523352527193</v>
      </c>
      <c r="E300" s="167">
        <v>6.8005555555555555</v>
      </c>
      <c r="F300" s="167">
        <v>7.0333723653395781</v>
      </c>
      <c r="G300" s="167">
        <v>6.746031746031746</v>
      </c>
      <c r="H300" s="167">
        <v>6.6849557522123897</v>
      </c>
      <c r="I300" s="167">
        <v>6.8022396950202522</v>
      </c>
      <c r="J300" s="167">
        <v>6.5077186963979416</v>
      </c>
      <c r="K300" s="167">
        <v>6.2279807832289995</v>
      </c>
      <c r="L300" s="167">
        <v>6.3822424892703866</v>
      </c>
      <c r="M300" s="167">
        <v>6.379643844028247</v>
      </c>
      <c r="N300" s="167">
        <v>6.6493943472409152</v>
      </c>
      <c r="O300" s="167">
        <v>6.419367667528336</v>
      </c>
      <c r="P300" s="167">
        <v>6.4943856272056468</v>
      </c>
      <c r="Q300" s="167">
        <v>6.7280660377358492</v>
      </c>
      <c r="R300" s="167">
        <v>6.5788611224907827</v>
      </c>
      <c r="S300" s="167">
        <v>6.442954324586978</v>
      </c>
      <c r="T300" s="167">
        <v>6.1875907111756172</v>
      </c>
      <c r="U300" s="164">
        <f t="shared" si="90"/>
        <v>-4.0390072053382298E-2</v>
      </c>
      <c r="V300" s="164">
        <f t="shared" si="91"/>
        <v>-0.30679491603002962</v>
      </c>
      <c r="W300" s="164">
        <f t="shared" si="92"/>
        <v>-0.25536361341136082</v>
      </c>
    </row>
    <row r="301" spans="1:23" ht="15" customHeight="1" x14ac:dyDescent="0.2">
      <c r="A301" s="34"/>
      <c r="B301" s="29" t="s">
        <v>531</v>
      </c>
      <c r="C301" s="167">
        <v>1.8039816232771821</v>
      </c>
      <c r="D301" s="167">
        <v>1.6820217530390273</v>
      </c>
      <c r="E301" s="167">
        <v>1.6983333333333333</v>
      </c>
      <c r="F301" s="167">
        <v>1.7406323185011709</v>
      </c>
      <c r="G301" s="167">
        <v>1.7976190476190474</v>
      </c>
      <c r="H301" s="167">
        <v>1.7268436578171098</v>
      </c>
      <c r="I301" s="167">
        <v>1.8806290207290921</v>
      </c>
      <c r="J301" s="167">
        <v>1.6136840099104246</v>
      </c>
      <c r="K301" s="167">
        <v>1.3629349250254768</v>
      </c>
      <c r="L301" s="167">
        <v>1.5460032188841204</v>
      </c>
      <c r="M301" s="167">
        <v>1.6532084740558801</v>
      </c>
      <c r="N301" s="167">
        <v>1.893506056527591</v>
      </c>
      <c r="O301" s="167">
        <v>1.7216146351163255</v>
      </c>
      <c r="P301" s="167">
        <v>1.7048444016682716</v>
      </c>
      <c r="Q301" s="167">
        <v>2.0096698113207552</v>
      </c>
      <c r="R301" s="167">
        <v>1.8568209750102422</v>
      </c>
      <c r="S301" s="167">
        <v>1.7683187560738585</v>
      </c>
      <c r="T301" s="167">
        <v>1.4649854862119014</v>
      </c>
      <c r="U301" s="164">
        <f t="shared" si="90"/>
        <v>0.10205056118642464</v>
      </c>
      <c r="V301" s="164">
        <f t="shared" si="91"/>
        <v>-0.23985891545637017</v>
      </c>
      <c r="W301" s="164">
        <f t="shared" si="92"/>
        <v>-0.30333326986195708</v>
      </c>
    </row>
    <row r="302" spans="1:23" ht="15" customHeight="1" x14ac:dyDescent="0.2">
      <c r="A302" s="34" t="s">
        <v>488</v>
      </c>
      <c r="B302" s="29" t="s">
        <v>384</v>
      </c>
      <c r="C302" s="167">
        <v>8.4524886877828038</v>
      </c>
      <c r="D302" s="167">
        <v>8.5549132947976876</v>
      </c>
      <c r="E302" s="167">
        <v>7.5219512195121947</v>
      </c>
      <c r="F302" s="167">
        <v>7.4935897435897436</v>
      </c>
      <c r="G302" s="167">
        <v>7.4434389140271495</v>
      </c>
      <c r="H302" s="167">
        <v>7.959090909090909</v>
      </c>
      <c r="I302" s="167">
        <v>7.1394230769230766</v>
      </c>
      <c r="J302" s="167">
        <v>7.4179104477611943</v>
      </c>
      <c r="K302" s="167">
        <v>7.2654028436018958</v>
      </c>
      <c r="L302" s="167">
        <v>7.2621359223300974</v>
      </c>
      <c r="M302" s="167">
        <v>7.253968253968254</v>
      </c>
      <c r="N302" s="167">
        <v>7.331983805668016</v>
      </c>
      <c r="O302" s="167">
        <v>7.150234741784038</v>
      </c>
      <c r="P302" s="167">
        <v>6.6969696969696972</v>
      </c>
      <c r="Q302" s="167">
        <v>7.0961538461538458</v>
      </c>
      <c r="R302" s="167">
        <v>6.7677595628415297</v>
      </c>
      <c r="S302" s="167">
        <v>6.6224489795918364</v>
      </c>
      <c r="T302" s="167">
        <v>6.3360488798370671</v>
      </c>
      <c r="U302" s="164">
        <f t="shared" si="90"/>
        <v>-0.92935396376482871</v>
      </c>
      <c r="V302" s="164">
        <f t="shared" si="91"/>
        <v>-0.36092081713263013</v>
      </c>
      <c r="W302" s="164">
        <f t="shared" si="92"/>
        <v>-0.28640009975476932</v>
      </c>
    </row>
    <row r="303" spans="1:23" ht="15" customHeight="1" x14ac:dyDescent="0.2">
      <c r="A303" s="169"/>
      <c r="B303" s="29" t="s">
        <v>531</v>
      </c>
      <c r="C303" s="167">
        <v>2.4841628959276001</v>
      </c>
      <c r="D303" s="167">
        <v>2.5086705202312132</v>
      </c>
      <c r="E303" s="167">
        <v>2.029268292682926</v>
      </c>
      <c r="F303" s="167">
        <v>1.9743589743589745</v>
      </c>
      <c r="G303" s="167">
        <v>2.1674208144796383</v>
      </c>
      <c r="H303" s="167">
        <v>2.6636363636363631</v>
      </c>
      <c r="I303" s="167">
        <v>1.9519230769230766</v>
      </c>
      <c r="J303" s="167">
        <v>2.1691542288557217</v>
      </c>
      <c r="K303" s="167">
        <v>2.0094786729857823</v>
      </c>
      <c r="L303" s="167">
        <v>1.9854368932038842</v>
      </c>
      <c r="M303" s="167">
        <v>2.0952380952380949</v>
      </c>
      <c r="N303" s="167">
        <v>2.2105263157894735</v>
      </c>
      <c r="O303" s="167">
        <v>1.9295774647887329</v>
      </c>
      <c r="P303" s="167">
        <v>1.6060606060606064</v>
      </c>
      <c r="Q303" s="167">
        <v>2.0961538461538458</v>
      </c>
      <c r="R303" s="167">
        <v>1.7841530054644803</v>
      </c>
      <c r="S303" s="167">
        <v>1.8265306122448974</v>
      </c>
      <c r="T303" s="167">
        <v>1.6537678207739308</v>
      </c>
      <c r="U303" s="164">
        <f t="shared" si="90"/>
        <v>-0.3557108522118515</v>
      </c>
      <c r="V303" s="164">
        <f t="shared" si="91"/>
        <v>4.7707214713324397E-2</v>
      </c>
      <c r="W303" s="164">
        <f t="shared" si="92"/>
        <v>-0.17276279147096663</v>
      </c>
    </row>
    <row r="304" spans="1:23" ht="15" customHeight="1" x14ac:dyDescent="0.2">
      <c r="A304" s="196" t="s">
        <v>71</v>
      </c>
      <c r="B304" s="197"/>
      <c r="C304" s="166"/>
      <c r="D304" s="166"/>
      <c r="E304" s="166"/>
      <c r="F304" s="166"/>
      <c r="G304" s="166"/>
      <c r="H304" s="166"/>
      <c r="I304" s="166"/>
      <c r="J304" s="166"/>
      <c r="K304" s="166"/>
      <c r="L304" s="166"/>
      <c r="M304" s="166"/>
      <c r="N304" s="166"/>
      <c r="O304" s="166"/>
      <c r="P304" s="166"/>
      <c r="Q304" s="166"/>
      <c r="R304" s="166"/>
      <c r="S304" s="166"/>
      <c r="T304" s="166"/>
      <c r="U304" s="165"/>
      <c r="V304" s="165"/>
      <c r="W304" s="165"/>
    </row>
    <row r="305" spans="1:23" ht="15" customHeight="1" x14ac:dyDescent="0.2">
      <c r="A305" s="34" t="s">
        <v>480</v>
      </c>
      <c r="B305" s="29" t="s">
        <v>384</v>
      </c>
      <c r="C305" s="167">
        <v>6.8854928971157987</v>
      </c>
      <c r="D305" s="167">
        <v>6.5579545454545451</v>
      </c>
      <c r="E305" s="167">
        <v>6.6291759465478846</v>
      </c>
      <c r="F305" s="167">
        <v>6.9051522248243575</v>
      </c>
      <c r="G305" s="167">
        <v>6.5903534852989756</v>
      </c>
      <c r="H305" s="167">
        <v>6.5132450331125824</v>
      </c>
      <c r="I305" s="167">
        <v>6.5179135932560586</v>
      </c>
      <c r="J305" s="167">
        <v>6.3</v>
      </c>
      <c r="K305" s="167">
        <v>6.1140515222482437</v>
      </c>
      <c r="L305" s="167">
        <v>6.0040791352233329</v>
      </c>
      <c r="M305" s="167">
        <v>5.9573658165207464</v>
      </c>
      <c r="N305" s="167">
        <v>6.3561015561015557</v>
      </c>
      <c r="O305" s="167">
        <v>6.1710068004644221</v>
      </c>
      <c r="P305" s="167">
        <v>6.2739825581395348</v>
      </c>
      <c r="Q305" s="167">
        <v>6.459120425029516</v>
      </c>
      <c r="R305" s="167">
        <v>6.4360597208698476</v>
      </c>
      <c r="S305" s="167">
        <v>6.2957377049180332</v>
      </c>
      <c r="T305" s="167">
        <v>6.1601400827761852</v>
      </c>
      <c r="U305" s="164">
        <f t="shared" ref="U305" si="93">IFERROR((T305-K305),"n/a")</f>
        <v>4.6088560527941524E-2</v>
      </c>
      <c r="V305" s="164">
        <f t="shared" ref="V305" si="94">IFERROR((T305-P305),"n/a")</f>
        <v>-0.11384247536334957</v>
      </c>
      <c r="W305" s="164">
        <f t="shared" ref="W305" si="95">IFERROR((T305-S305),"n/a")</f>
        <v>-0.13559762214184801</v>
      </c>
    </row>
    <row r="306" spans="1:23" ht="15" customHeight="1" x14ac:dyDescent="0.2">
      <c r="A306" s="34"/>
      <c r="B306" s="29" t="s">
        <v>531</v>
      </c>
      <c r="C306" s="167">
        <v>1.5837279380111928</v>
      </c>
      <c r="D306" s="167">
        <v>1.398863636363636</v>
      </c>
      <c r="E306" s="167">
        <v>1.5129918337045289</v>
      </c>
      <c r="F306" s="167">
        <v>1.6713505074160828</v>
      </c>
      <c r="G306" s="167">
        <v>1.6316484968615788</v>
      </c>
      <c r="H306" s="167">
        <v>1.5981336544250446</v>
      </c>
      <c r="I306" s="167">
        <v>1.6227608008429923</v>
      </c>
      <c r="J306" s="167">
        <v>1.4059431524547801</v>
      </c>
      <c r="K306" s="167">
        <v>1.2309133489461361</v>
      </c>
      <c r="L306" s="167">
        <v>1.168264327962472</v>
      </c>
      <c r="M306" s="167">
        <v>1.1973734297677963</v>
      </c>
      <c r="N306" s="167">
        <v>1.5769041769041765</v>
      </c>
      <c r="O306" s="167">
        <v>1.4264388787526956</v>
      </c>
      <c r="P306" s="167">
        <v>1.5174418604651159</v>
      </c>
      <c r="Q306" s="167">
        <v>1.7306670602125145</v>
      </c>
      <c r="R306" s="167">
        <v>1.7335280753002271</v>
      </c>
      <c r="S306" s="167">
        <v>1.6121311475409836</v>
      </c>
      <c r="T306" s="167">
        <v>1.4683221903852273</v>
      </c>
      <c r="U306" s="164">
        <f>IFERROR((T306-K306),"n/a")</f>
        <v>0.23740884143909113</v>
      </c>
      <c r="V306" s="164">
        <f>IFERROR((T306-P306),"n/a")</f>
        <v>-4.91196700798886E-2</v>
      </c>
      <c r="W306" s="164">
        <f>IFERROR((T306-S306),"n/a")</f>
        <v>-0.14380895715575637</v>
      </c>
    </row>
    <row r="307" spans="1:23" ht="15" customHeight="1" x14ac:dyDescent="0.2">
      <c r="A307" s="34" t="s">
        <v>481</v>
      </c>
      <c r="B307" s="29" t="s">
        <v>384</v>
      </c>
      <c r="C307" s="167">
        <v>7.9123867069486389</v>
      </c>
      <c r="D307" s="167">
        <v>7.0846153846153852</v>
      </c>
      <c r="E307" s="167">
        <v>6.8556962025316457</v>
      </c>
      <c r="F307" s="167">
        <v>7.2510460251046025</v>
      </c>
      <c r="G307" s="167">
        <v>7.1549636803874082</v>
      </c>
      <c r="H307" s="167">
        <v>7.2833675564681721</v>
      </c>
      <c r="I307" s="167">
        <v>7.2126315789473683</v>
      </c>
      <c r="J307" s="167">
        <v>7.1357552581261947</v>
      </c>
      <c r="K307" s="167">
        <v>7.0996563573883158</v>
      </c>
      <c r="L307" s="167">
        <v>6.6985871271585555</v>
      </c>
      <c r="M307" s="167">
        <v>6.6789554531490012</v>
      </c>
      <c r="N307" s="167">
        <v>6.7470308788598574</v>
      </c>
      <c r="O307" s="167">
        <v>6.5734939759036148</v>
      </c>
      <c r="P307" s="167">
        <v>6.8155339805825239</v>
      </c>
      <c r="Q307" s="167">
        <v>7.1300448430493271</v>
      </c>
      <c r="R307" s="167">
        <v>6.8261904761904759</v>
      </c>
      <c r="S307" s="167">
        <v>6.9369458128078811</v>
      </c>
      <c r="T307" s="167">
        <v>6.6409736308316427</v>
      </c>
      <c r="U307" s="164">
        <f t="shared" ref="U307:U324" si="96">IFERROR((T307-K307),"n/a")</f>
        <v>-0.45868272655667308</v>
      </c>
      <c r="V307" s="164">
        <f t="shared" ref="V307:V324" si="97">IFERROR((T307-P307),"n/a")</f>
        <v>-0.17456034975088119</v>
      </c>
      <c r="W307" s="164">
        <f t="shared" ref="W307:W324" si="98">IFERROR((T307-S307),"n/a")</f>
        <v>-0.29597218197623842</v>
      </c>
    </row>
    <row r="308" spans="1:23" ht="15" customHeight="1" x14ac:dyDescent="0.2">
      <c r="A308" s="34"/>
      <c r="B308" s="29" t="s">
        <v>531</v>
      </c>
      <c r="C308" s="167">
        <v>2.4833836858006029</v>
      </c>
      <c r="D308" s="167">
        <v>1.7326923076923082</v>
      </c>
      <c r="E308" s="167">
        <v>1.7848101265822782</v>
      </c>
      <c r="F308" s="167">
        <v>2.3138075313807533</v>
      </c>
      <c r="G308" s="167">
        <v>2.1622276029055678</v>
      </c>
      <c r="H308" s="167">
        <v>2.2710472279260774</v>
      </c>
      <c r="I308" s="167">
        <v>2.162105263157895</v>
      </c>
      <c r="J308" s="167">
        <v>2.089866156787763</v>
      </c>
      <c r="K308" s="167">
        <v>2.1340206185567006</v>
      </c>
      <c r="L308" s="167">
        <v>1.7394034536891674</v>
      </c>
      <c r="M308" s="167">
        <v>1.8064516129032251</v>
      </c>
      <c r="N308" s="167">
        <v>1.7470308788598574</v>
      </c>
      <c r="O308" s="167">
        <v>1.7421686746987959</v>
      </c>
      <c r="P308" s="167">
        <v>2.0177993527508091</v>
      </c>
      <c r="Q308" s="167">
        <v>2.2186098654708521</v>
      </c>
      <c r="R308" s="167">
        <v>2.0047619047619047</v>
      </c>
      <c r="S308" s="167">
        <v>2.1142857142857139</v>
      </c>
      <c r="T308" s="167">
        <v>1.8498985801217032</v>
      </c>
      <c r="U308" s="164">
        <f t="shared" si="96"/>
        <v>-0.28412203843499739</v>
      </c>
      <c r="V308" s="164">
        <f t="shared" si="97"/>
        <v>-0.16790077262910597</v>
      </c>
      <c r="W308" s="164">
        <f t="shared" si="98"/>
        <v>-0.26438713416401072</v>
      </c>
    </row>
    <row r="309" spans="1:23" ht="15" customHeight="1" x14ac:dyDescent="0.2">
      <c r="A309" s="34" t="s">
        <v>482</v>
      </c>
      <c r="B309" s="29" t="s">
        <v>384</v>
      </c>
      <c r="C309" s="167">
        <v>7.3064516129032251</v>
      </c>
      <c r="D309" s="167">
        <v>6.8513888888888888</v>
      </c>
      <c r="E309" s="167">
        <v>6.8183041722745612</v>
      </c>
      <c r="F309" s="167">
        <v>7.2928452579034939</v>
      </c>
      <c r="G309" s="167">
        <v>7.1086717892425906</v>
      </c>
      <c r="H309" s="167">
        <v>7.0845383759733034</v>
      </c>
      <c r="I309" s="167">
        <v>7.0708180708180706</v>
      </c>
      <c r="J309" s="167">
        <v>7.1964512040557667</v>
      </c>
      <c r="K309" s="167">
        <v>6.8511137162954281</v>
      </c>
      <c r="L309" s="167">
        <v>6.7277419354838708</v>
      </c>
      <c r="M309" s="167">
        <v>6.7924970691676432</v>
      </c>
      <c r="N309" s="167">
        <v>7.2526096033402929</v>
      </c>
      <c r="O309" s="167">
        <v>6.7093275488069413</v>
      </c>
      <c r="P309" s="167">
        <v>6.9465648854961835</v>
      </c>
      <c r="Q309" s="167">
        <v>7.2446448703494912</v>
      </c>
      <c r="R309" s="167">
        <v>7.5062656641604013</v>
      </c>
      <c r="S309" s="167">
        <v>7.3907035175879399</v>
      </c>
      <c r="T309" s="167">
        <v>6.7131979695431463</v>
      </c>
      <c r="U309" s="164">
        <f t="shared" si="96"/>
        <v>-0.1379157467522818</v>
      </c>
      <c r="V309" s="164">
        <f t="shared" si="97"/>
        <v>-0.23336691595303716</v>
      </c>
      <c r="W309" s="164">
        <f t="shared" si="98"/>
        <v>-0.67750554804479357</v>
      </c>
    </row>
    <row r="310" spans="1:23" ht="15" customHeight="1" x14ac:dyDescent="0.2">
      <c r="A310" s="34"/>
      <c r="B310" s="29" t="s">
        <v>531</v>
      </c>
      <c r="C310" s="167">
        <v>1.8709677419354831</v>
      </c>
      <c r="D310" s="167">
        <v>1.6388888888888884</v>
      </c>
      <c r="E310" s="167">
        <v>1.7200538358008064</v>
      </c>
      <c r="F310" s="167">
        <v>2.0482529118136439</v>
      </c>
      <c r="G310" s="167">
        <v>2.1372118551042814</v>
      </c>
      <c r="H310" s="167">
        <v>2.1234705228031139</v>
      </c>
      <c r="I310" s="167">
        <v>2.1062271062271058</v>
      </c>
      <c r="J310" s="167">
        <v>2.2319391634980983</v>
      </c>
      <c r="K310" s="167">
        <v>1.9390386869871046</v>
      </c>
      <c r="L310" s="167">
        <v>1.7999999999999998</v>
      </c>
      <c r="M310" s="167">
        <v>1.9038686987104336</v>
      </c>
      <c r="N310" s="167">
        <v>2.3643006263048028</v>
      </c>
      <c r="O310" s="167">
        <v>1.8318872017353574</v>
      </c>
      <c r="P310" s="167">
        <v>2.106870229007634</v>
      </c>
      <c r="Q310" s="167">
        <v>2.3585118376550156</v>
      </c>
      <c r="R310" s="167">
        <v>2.6253132832080199</v>
      </c>
      <c r="S310" s="167">
        <v>2.5766331658291461</v>
      </c>
      <c r="T310" s="167">
        <v>1.9022842639593902</v>
      </c>
      <c r="U310" s="164">
        <f t="shared" si="96"/>
        <v>-3.6754423027714367E-2</v>
      </c>
      <c r="V310" s="164">
        <f t="shared" si="97"/>
        <v>-0.20458596504824378</v>
      </c>
      <c r="W310" s="164">
        <f t="shared" si="98"/>
        <v>-0.67434890186975593</v>
      </c>
    </row>
    <row r="311" spans="1:23" ht="15" customHeight="1" x14ac:dyDescent="0.2">
      <c r="A311" s="34" t="s">
        <v>483</v>
      </c>
      <c r="B311" s="29" t="s">
        <v>384</v>
      </c>
      <c r="C311" s="167">
        <v>9.2682926829268286</v>
      </c>
      <c r="D311" s="167">
        <v>8.1866666666666674</v>
      </c>
      <c r="E311" s="167">
        <v>7.9892473118279579</v>
      </c>
      <c r="F311" s="167">
        <v>8.1938775510204032</v>
      </c>
      <c r="G311" s="167">
        <v>7.8015873015873014</v>
      </c>
      <c r="H311" s="167">
        <v>7.5714285714285712</v>
      </c>
      <c r="I311" s="167">
        <v>7.7297297297297298</v>
      </c>
      <c r="J311" s="167">
        <v>8.2727272727272734</v>
      </c>
      <c r="K311" s="167">
        <v>7.1515151515151514</v>
      </c>
      <c r="L311" s="167">
        <v>7.0881355932203389</v>
      </c>
      <c r="M311" s="167">
        <v>7.2277227722772279</v>
      </c>
      <c r="N311" s="167">
        <v>7.8633093525179856</v>
      </c>
      <c r="O311" s="167">
        <v>7.7729083665338639</v>
      </c>
      <c r="P311" s="167">
        <v>7.4120879120879124</v>
      </c>
      <c r="Q311" s="167">
        <v>7.7510548523206761</v>
      </c>
      <c r="R311" s="167">
        <v>7.4545454545454533</v>
      </c>
      <c r="S311" s="167">
        <v>7.3518518518518521</v>
      </c>
      <c r="T311" s="167">
        <v>7.0638297872340434</v>
      </c>
      <c r="U311" s="164">
        <f t="shared" si="96"/>
        <v>-8.7685364281107958E-2</v>
      </c>
      <c r="V311" s="164">
        <f t="shared" si="97"/>
        <v>-0.34825812485386898</v>
      </c>
      <c r="W311" s="164">
        <f t="shared" si="98"/>
        <v>-0.28802206461780866</v>
      </c>
    </row>
    <row r="312" spans="1:23" ht="15" customHeight="1" x14ac:dyDescent="0.2">
      <c r="A312" s="34"/>
      <c r="B312" s="29" t="s">
        <v>531</v>
      </c>
      <c r="C312" s="167">
        <v>3.5609756097560972</v>
      </c>
      <c r="D312" s="167">
        <v>2.9866666666666672</v>
      </c>
      <c r="E312" s="167">
        <v>2.6451612903225818</v>
      </c>
      <c r="F312" s="167">
        <v>2.8163265306122396</v>
      </c>
      <c r="G312" s="167">
        <v>2.6111111111111107</v>
      </c>
      <c r="H312" s="167">
        <v>2.2410714285714279</v>
      </c>
      <c r="I312" s="167">
        <v>2.4729729729729728</v>
      </c>
      <c r="J312" s="167">
        <v>3.0303030303030312</v>
      </c>
      <c r="K312" s="167">
        <v>1.9962121212121211</v>
      </c>
      <c r="L312" s="167">
        <v>2</v>
      </c>
      <c r="M312" s="167">
        <v>2.0726072607260724</v>
      </c>
      <c r="N312" s="167">
        <v>2.6834532374100721</v>
      </c>
      <c r="O312" s="167">
        <v>2.6055776892430274</v>
      </c>
      <c r="P312" s="167">
        <v>2.4395604395604398</v>
      </c>
      <c r="Q312" s="167">
        <v>2.708860759493672</v>
      </c>
      <c r="R312" s="167">
        <v>2.4308300395256905</v>
      </c>
      <c r="S312" s="167">
        <v>2.3425925925925926</v>
      </c>
      <c r="T312" s="167">
        <v>2.1968085106382986</v>
      </c>
      <c r="U312" s="164">
        <f t="shared" si="96"/>
        <v>0.20059638942617752</v>
      </c>
      <c r="V312" s="164">
        <f t="shared" si="97"/>
        <v>-0.24275192892214115</v>
      </c>
      <c r="W312" s="164">
        <f t="shared" si="98"/>
        <v>-0.14578408195429393</v>
      </c>
    </row>
    <row r="313" spans="1:23" ht="15" customHeight="1" x14ac:dyDescent="0.2">
      <c r="A313" s="34" t="s">
        <v>484</v>
      </c>
      <c r="B313" s="29" t="s">
        <v>384</v>
      </c>
      <c r="C313" s="167">
        <v>10</v>
      </c>
      <c r="D313" s="167">
        <v>5.7575757575757569</v>
      </c>
      <c r="E313" s="167">
        <v>7.1515151515151514</v>
      </c>
      <c r="F313" s="167">
        <v>6.6521739130434785</v>
      </c>
      <c r="G313" s="167">
        <v>5.558139534883721</v>
      </c>
      <c r="H313" s="167">
        <v>6.4736842105263142</v>
      </c>
      <c r="I313" s="167">
        <v>6</v>
      </c>
      <c r="J313" s="167">
        <v>6.2222222222222241</v>
      </c>
      <c r="K313" s="167">
        <v>6.3571428571428594</v>
      </c>
      <c r="L313" s="167">
        <v>6.7368421052631575</v>
      </c>
      <c r="M313" s="167">
        <v>7.1785714285714262</v>
      </c>
      <c r="N313" s="167">
        <v>6.0714285714285703</v>
      </c>
      <c r="O313" s="167">
        <v>6.5151515151515129</v>
      </c>
      <c r="P313" s="167">
        <v>6.95</v>
      </c>
      <c r="Q313" s="167">
        <v>5.4333333333333327</v>
      </c>
      <c r="R313" s="167">
        <v>5.9749999999999996</v>
      </c>
      <c r="S313" s="167">
        <v>5.8888888888888884</v>
      </c>
      <c r="T313" s="167">
        <v>5.65625</v>
      </c>
      <c r="U313" s="164">
        <f t="shared" si="96"/>
        <v>-0.70089285714285943</v>
      </c>
      <c r="V313" s="164">
        <f t="shared" si="97"/>
        <v>-1.2937500000000002</v>
      </c>
      <c r="W313" s="164">
        <f t="shared" si="98"/>
        <v>-0.2326388888888884</v>
      </c>
    </row>
    <row r="314" spans="1:23" ht="15" customHeight="1" x14ac:dyDescent="0.2">
      <c r="A314" s="34"/>
      <c r="B314" s="29" t="s">
        <v>531</v>
      </c>
      <c r="C314" s="167">
        <v>3</v>
      </c>
      <c r="D314" s="167">
        <v>0.69696969696969635</v>
      </c>
      <c r="E314" s="167">
        <v>2.0606060606060606</v>
      </c>
      <c r="F314" s="167">
        <v>1.4782608695652177</v>
      </c>
      <c r="G314" s="167">
        <v>0.55813953488372103</v>
      </c>
      <c r="H314" s="167">
        <v>1.4736842105263142</v>
      </c>
      <c r="I314" s="167">
        <v>0.92307692307692335</v>
      </c>
      <c r="J314" s="167">
        <v>1.2222222222222241</v>
      </c>
      <c r="K314" s="167">
        <v>1.3571428571428594</v>
      </c>
      <c r="L314" s="167">
        <v>1.7368421052631575</v>
      </c>
      <c r="M314" s="167">
        <v>2.1785714285714262</v>
      </c>
      <c r="N314" s="167">
        <v>1.3571428571428559</v>
      </c>
      <c r="O314" s="167">
        <v>1.303030303030301</v>
      </c>
      <c r="P314" s="167">
        <v>2</v>
      </c>
      <c r="Q314" s="167">
        <v>0.69999999999999929</v>
      </c>
      <c r="R314" s="167">
        <v>1.2249999999999996</v>
      </c>
      <c r="S314" s="167">
        <v>1.1388888888888884</v>
      </c>
      <c r="T314" s="167">
        <v>0.875</v>
      </c>
      <c r="U314" s="164">
        <f t="shared" si="96"/>
        <v>-0.48214285714285943</v>
      </c>
      <c r="V314" s="164">
        <f t="shared" si="97"/>
        <v>-1.125</v>
      </c>
      <c r="W314" s="164">
        <f t="shared" si="98"/>
        <v>-0.2638888888888884</v>
      </c>
    </row>
    <row r="315" spans="1:23" ht="15" customHeight="1" x14ac:dyDescent="0.2">
      <c r="A315" s="34" t="s">
        <v>14</v>
      </c>
      <c r="B315" s="29" t="s">
        <v>384</v>
      </c>
      <c r="C315" s="167">
        <v>6.6470588235294121</v>
      </c>
      <c r="D315" s="167">
        <v>6.0606060606060606</v>
      </c>
      <c r="E315" s="167">
        <v>5.3125</v>
      </c>
      <c r="F315" s="167">
        <v>6.333333333333333</v>
      </c>
      <c r="G315" s="167">
        <v>6.5555555555555554</v>
      </c>
      <c r="H315" s="167">
        <v>6.020833333333333</v>
      </c>
      <c r="I315" s="167">
        <v>6.6590909090909092</v>
      </c>
      <c r="J315" s="167">
        <v>5.8536585365853657</v>
      </c>
      <c r="K315" s="167">
        <v>5.8688524590163933</v>
      </c>
      <c r="L315" s="167">
        <v>5.882352941176471</v>
      </c>
      <c r="M315" s="167">
        <v>5.9848484848484844</v>
      </c>
      <c r="N315" s="167">
        <v>5.9054054054054053</v>
      </c>
      <c r="O315" s="167">
        <v>5.9504950495049505</v>
      </c>
      <c r="P315" s="167">
        <v>5.9651162790697674</v>
      </c>
      <c r="Q315" s="167">
        <v>6.081818181818182</v>
      </c>
      <c r="R315" s="167">
        <v>6.6266666666666669</v>
      </c>
      <c r="S315" s="167">
        <v>6.1739130434782608</v>
      </c>
      <c r="T315" s="167">
        <v>6.1123595505617976</v>
      </c>
      <c r="U315" s="164">
        <f t="shared" si="96"/>
        <v>0.24350709154540429</v>
      </c>
      <c r="V315" s="164">
        <f t="shared" si="97"/>
        <v>0.1472432714920302</v>
      </c>
      <c r="W315" s="164">
        <f t="shared" si="98"/>
        <v>-6.1553492916463171E-2</v>
      </c>
    </row>
    <row r="316" spans="1:23" ht="15" customHeight="1" x14ac:dyDescent="0.2">
      <c r="A316" s="34"/>
      <c r="B316" s="29" t="s">
        <v>531</v>
      </c>
      <c r="C316" s="167">
        <v>1.7058823529411766</v>
      </c>
      <c r="D316" s="167">
        <v>1.0606060606060606</v>
      </c>
      <c r="E316" s="167">
        <v>0.375</v>
      </c>
      <c r="F316" s="167">
        <v>1.2666666666666666</v>
      </c>
      <c r="G316" s="167">
        <v>1.5925925925925926</v>
      </c>
      <c r="H316" s="167">
        <v>1.125</v>
      </c>
      <c r="I316" s="167">
        <v>1.7727272727272725</v>
      </c>
      <c r="J316" s="167">
        <v>1.024390243902439</v>
      </c>
      <c r="K316" s="167">
        <v>0.98360655737704938</v>
      </c>
      <c r="L316" s="167">
        <v>0.92156862745098067</v>
      </c>
      <c r="M316" s="167">
        <v>1.1969696969696964</v>
      </c>
      <c r="N316" s="167">
        <v>1.121621621621621</v>
      </c>
      <c r="O316" s="167">
        <v>0.98019801980198018</v>
      </c>
      <c r="P316" s="167">
        <v>1.0348837209302326</v>
      </c>
      <c r="Q316" s="167">
        <v>1.2272727272727275</v>
      </c>
      <c r="R316" s="167">
        <v>1.7866666666666671</v>
      </c>
      <c r="S316" s="167">
        <v>1.4239130434782608</v>
      </c>
      <c r="T316" s="167">
        <v>1.3483146067415728</v>
      </c>
      <c r="U316" s="164">
        <f t="shared" si="96"/>
        <v>0.36470804936452339</v>
      </c>
      <c r="V316" s="164">
        <f t="shared" si="97"/>
        <v>0.31343088581134015</v>
      </c>
      <c r="W316" s="164">
        <f t="shared" si="98"/>
        <v>-7.5598436736687979E-2</v>
      </c>
    </row>
    <row r="317" spans="1:23" ht="15" customHeight="1" x14ac:dyDescent="0.2">
      <c r="A317" s="34" t="s">
        <v>485</v>
      </c>
      <c r="B317" s="29" t="s">
        <v>384</v>
      </c>
      <c r="C317" s="167">
        <v>7.7782243332115453</v>
      </c>
      <c r="D317" s="167">
        <v>7.712794612794613</v>
      </c>
      <c r="E317" s="167">
        <v>7.4333543903979784</v>
      </c>
      <c r="F317" s="167">
        <v>7.3288446000538645</v>
      </c>
      <c r="G317" s="167">
        <v>7.1596351197263397</v>
      </c>
      <c r="H317" s="167">
        <v>7.0997396354896853</v>
      </c>
      <c r="I317" s="167">
        <v>7.2958677685950413</v>
      </c>
      <c r="J317" s="167">
        <v>7.0879298718813217</v>
      </c>
      <c r="K317" s="167">
        <v>6.7783666846944293</v>
      </c>
      <c r="L317" s="167">
        <v>6.6099688473520253</v>
      </c>
      <c r="M317" s="167">
        <v>6.6417947446703023</v>
      </c>
      <c r="N317" s="167">
        <v>6.987576650473839</v>
      </c>
      <c r="O317" s="167">
        <v>6.7758197635511932</v>
      </c>
      <c r="P317" s="167">
        <v>6.8608407316290512</v>
      </c>
      <c r="Q317" s="167">
        <v>7.1320012586532409</v>
      </c>
      <c r="R317" s="167">
        <v>7.1566942414263917</v>
      </c>
      <c r="S317" s="167">
        <v>7.025954946131244</v>
      </c>
      <c r="T317" s="167">
        <v>6.5702967220755006</v>
      </c>
      <c r="U317" s="164">
        <f t="shared" si="96"/>
        <v>-0.20806996261892863</v>
      </c>
      <c r="V317" s="164">
        <f t="shared" si="97"/>
        <v>-0.29054400955355053</v>
      </c>
      <c r="W317" s="164">
        <f t="shared" si="98"/>
        <v>-0.45565822405574341</v>
      </c>
    </row>
    <row r="318" spans="1:23" ht="15" customHeight="1" x14ac:dyDescent="0.2">
      <c r="A318" s="34"/>
      <c r="B318" s="29" t="s">
        <v>531</v>
      </c>
      <c r="C318" s="167">
        <v>2.5524296675191813</v>
      </c>
      <c r="D318" s="167">
        <v>2.3882154882154882</v>
      </c>
      <c r="E318" s="167">
        <v>2.4851547694251419</v>
      </c>
      <c r="F318" s="167">
        <v>2.2477780770266627</v>
      </c>
      <c r="G318" s="167">
        <v>2.342759407069555</v>
      </c>
      <c r="H318" s="167">
        <v>2.3334668535950325</v>
      </c>
      <c r="I318" s="167">
        <v>2.5170247933884298</v>
      </c>
      <c r="J318" s="167">
        <v>2.3108563722184758</v>
      </c>
      <c r="K318" s="167">
        <v>1.9932936722552732</v>
      </c>
      <c r="L318" s="167">
        <v>1.8997774810858923</v>
      </c>
      <c r="M318" s="167">
        <v>1.9941332011237813</v>
      </c>
      <c r="N318" s="167">
        <v>2.2847017599745163</v>
      </c>
      <c r="O318" s="167">
        <v>2.1944382481968914</v>
      </c>
      <c r="P318" s="167">
        <v>2.233714835811317</v>
      </c>
      <c r="Q318" s="167">
        <v>2.5308370044052859</v>
      </c>
      <c r="R318" s="167">
        <v>2.5920006425186735</v>
      </c>
      <c r="S318" s="167">
        <v>2.4650669278485147</v>
      </c>
      <c r="T318" s="167">
        <v>1.993009165760447</v>
      </c>
      <c r="U318" s="164">
        <f t="shared" si="96"/>
        <v>-2.8450649482625323E-4</v>
      </c>
      <c r="V318" s="164">
        <f t="shared" si="97"/>
        <v>-0.24070567005087007</v>
      </c>
      <c r="W318" s="164">
        <f t="shared" si="98"/>
        <v>-0.47205776208806771</v>
      </c>
    </row>
    <row r="319" spans="1:23" ht="15" customHeight="1" x14ac:dyDescent="0.2">
      <c r="A319" s="34" t="s">
        <v>486</v>
      </c>
      <c r="B319" s="29" t="s">
        <v>384</v>
      </c>
      <c r="C319" s="167">
        <v>6.4276649746192893</v>
      </c>
      <c r="D319" s="167">
        <v>6.0415584415584416</v>
      </c>
      <c r="E319" s="167">
        <v>5.9528455284552848</v>
      </c>
      <c r="F319" s="167">
        <v>6.3285568065506652</v>
      </c>
      <c r="G319" s="167">
        <v>6.3476446034585567</v>
      </c>
      <c r="H319" s="167">
        <v>6.3602074493163601</v>
      </c>
      <c r="I319" s="167">
        <v>6.5639386189258309</v>
      </c>
      <c r="J319" s="167">
        <v>6.4969021065675339</v>
      </c>
      <c r="K319" s="167">
        <v>6.4548959136468778</v>
      </c>
      <c r="L319" s="167">
        <v>6.4075979422239806</v>
      </c>
      <c r="M319" s="167">
        <v>6.2509032517061422</v>
      </c>
      <c r="N319" s="167">
        <v>6.3696468820435763</v>
      </c>
      <c r="O319" s="167">
        <v>6.0937726285300506</v>
      </c>
      <c r="P319" s="167">
        <v>6.3143712574850301</v>
      </c>
      <c r="Q319" s="167">
        <v>6.5659050966608081</v>
      </c>
      <c r="R319" s="167">
        <v>6.4327531645569618</v>
      </c>
      <c r="S319" s="167">
        <v>6.1565914056809907</v>
      </c>
      <c r="T319" s="167">
        <v>5.9946109801279892</v>
      </c>
      <c r="U319" s="164">
        <f t="shared" si="96"/>
        <v>-0.46028493351888855</v>
      </c>
      <c r="V319" s="164">
        <f t="shared" si="97"/>
        <v>-0.31976027735704093</v>
      </c>
      <c r="W319" s="164">
        <f t="shared" si="98"/>
        <v>-0.16198042555300152</v>
      </c>
    </row>
    <row r="320" spans="1:23" ht="15" customHeight="1" x14ac:dyDescent="0.2">
      <c r="A320" s="34"/>
      <c r="B320" s="29" t="s">
        <v>531</v>
      </c>
      <c r="C320" s="167">
        <v>1.2982233502538074</v>
      </c>
      <c r="D320" s="167">
        <v>0.86320346320346353</v>
      </c>
      <c r="E320" s="167">
        <v>0.88292682926829258</v>
      </c>
      <c r="F320" s="167">
        <v>1.2067553735926309</v>
      </c>
      <c r="G320" s="167">
        <v>1.2915921288014305</v>
      </c>
      <c r="H320" s="167">
        <v>1.3375766148043375</v>
      </c>
      <c r="I320" s="167">
        <v>1.5034100596760442</v>
      </c>
      <c r="J320" s="167">
        <v>1.4584882280049563</v>
      </c>
      <c r="K320" s="167">
        <v>1.3993831919814959</v>
      </c>
      <c r="L320" s="167">
        <v>1.3276612584091803</v>
      </c>
      <c r="M320" s="167">
        <v>1.212765957446809</v>
      </c>
      <c r="N320" s="167">
        <v>1.3208114199849739</v>
      </c>
      <c r="O320" s="167">
        <v>1.0477914554670527</v>
      </c>
      <c r="P320" s="167">
        <v>1.2784431137724557</v>
      </c>
      <c r="Q320" s="167">
        <v>1.5894551845342706</v>
      </c>
      <c r="R320" s="167">
        <v>1.4287974683544302</v>
      </c>
      <c r="S320" s="167">
        <v>1.1879096868171892</v>
      </c>
      <c r="T320" s="167">
        <v>1.0309868642640616</v>
      </c>
      <c r="U320" s="164">
        <f t="shared" si="96"/>
        <v>-0.36839632771743425</v>
      </c>
      <c r="V320" s="164">
        <f t="shared" si="97"/>
        <v>-0.24745624950839407</v>
      </c>
      <c r="W320" s="164">
        <f t="shared" si="98"/>
        <v>-0.15692282255312762</v>
      </c>
    </row>
    <row r="321" spans="1:24" ht="15" customHeight="1" x14ac:dyDescent="0.2">
      <c r="A321" s="34" t="s">
        <v>487</v>
      </c>
      <c r="B321" s="29" t="s">
        <v>384</v>
      </c>
      <c r="C321" s="167">
        <v>7.257817485641354</v>
      </c>
      <c r="D321" s="167">
        <v>6.9843930635838154</v>
      </c>
      <c r="E321" s="167">
        <v>6.8922030350601782</v>
      </c>
      <c r="F321" s="167">
        <v>7.1080931263858096</v>
      </c>
      <c r="G321" s="167">
        <v>6.9233215547703182</v>
      </c>
      <c r="H321" s="167">
        <v>6.8068527217463384</v>
      </c>
      <c r="I321" s="167">
        <v>6.9569498511564003</v>
      </c>
      <c r="J321" s="167">
        <v>6.6238479262672811</v>
      </c>
      <c r="K321" s="167">
        <v>6.5213560334528076</v>
      </c>
      <c r="L321" s="167">
        <v>6.5766202301635373</v>
      </c>
      <c r="M321" s="167">
        <v>6.6914157147802005</v>
      </c>
      <c r="N321" s="167">
        <v>7.1553052756372262</v>
      </c>
      <c r="O321" s="167">
        <v>6.788031565103025</v>
      </c>
      <c r="P321" s="167">
        <v>7.0458603896103895</v>
      </c>
      <c r="Q321" s="167">
        <v>7.1853435114503821</v>
      </c>
      <c r="R321" s="167">
        <v>7.0595493562231759</v>
      </c>
      <c r="S321" s="167">
        <v>6.9609241300627493</v>
      </c>
      <c r="T321" s="167">
        <v>6.4770889487870624</v>
      </c>
      <c r="U321" s="164">
        <f t="shared" si="96"/>
        <v>-4.4267084665745138E-2</v>
      </c>
      <c r="V321" s="164">
        <f t="shared" si="97"/>
        <v>-0.56877144082332709</v>
      </c>
      <c r="W321" s="164">
        <f t="shared" si="98"/>
        <v>-0.48383518127568692</v>
      </c>
    </row>
    <row r="322" spans="1:24" ht="15" customHeight="1" x14ac:dyDescent="0.2">
      <c r="A322" s="34"/>
      <c r="B322" s="29" t="s">
        <v>531</v>
      </c>
      <c r="C322" s="167">
        <v>2.0185067007019795</v>
      </c>
      <c r="D322" s="167">
        <v>1.9069364161849718</v>
      </c>
      <c r="E322" s="167">
        <v>1.862899005756149</v>
      </c>
      <c r="F322" s="167">
        <v>1.8763858093126391</v>
      </c>
      <c r="G322" s="167">
        <v>1.9388692579505298</v>
      </c>
      <c r="H322" s="167">
        <v>1.8203923735838625</v>
      </c>
      <c r="I322" s="167">
        <v>2.0068697046027024</v>
      </c>
      <c r="J322" s="167">
        <v>1.6860599078341014</v>
      </c>
      <c r="K322" s="167">
        <v>1.6181302270011946</v>
      </c>
      <c r="L322" s="167">
        <v>1.7281950333131437</v>
      </c>
      <c r="M322" s="167">
        <v>1.8928695050190374</v>
      </c>
      <c r="N322" s="167">
        <v>2.3566488836198385</v>
      </c>
      <c r="O322" s="167">
        <v>2.0100832967996496</v>
      </c>
      <c r="P322" s="167">
        <v>2.2382305194805197</v>
      </c>
      <c r="Q322" s="167">
        <v>2.4167938931297712</v>
      </c>
      <c r="R322" s="167">
        <v>2.2813841201716736</v>
      </c>
      <c r="S322" s="167">
        <v>2.2983456930975468</v>
      </c>
      <c r="T322" s="167">
        <v>1.7611859838274935</v>
      </c>
      <c r="U322" s="164">
        <f t="shared" si="96"/>
        <v>0.1430557568262989</v>
      </c>
      <c r="V322" s="164">
        <f t="shared" si="97"/>
        <v>-0.47704453565302618</v>
      </c>
      <c r="W322" s="164">
        <f t="shared" si="98"/>
        <v>-0.5371597092700533</v>
      </c>
    </row>
    <row r="323" spans="1:24" ht="15" customHeight="1" x14ac:dyDescent="0.2">
      <c r="A323" s="34" t="s">
        <v>488</v>
      </c>
      <c r="B323" s="29" t="s">
        <v>384</v>
      </c>
      <c r="C323" s="167">
        <v>8.1360323886639669</v>
      </c>
      <c r="D323" s="167">
        <v>7.9919786096256686</v>
      </c>
      <c r="E323" s="167">
        <v>7.7449362340585148</v>
      </c>
      <c r="F323" s="167">
        <v>7.9087415946205573</v>
      </c>
      <c r="G323" s="167">
        <v>7.6221590909090908</v>
      </c>
      <c r="H323" s="167">
        <v>7.4244149272612274</v>
      </c>
      <c r="I323" s="167">
        <v>7.3680838672102507</v>
      </c>
      <c r="J323" s="167">
        <v>7.4292091836734695</v>
      </c>
      <c r="K323" s="167">
        <v>7.2117711771177122</v>
      </c>
      <c r="L323" s="167">
        <v>7.1707583196944897</v>
      </c>
      <c r="M323" s="167">
        <v>7.1276595744680851</v>
      </c>
      <c r="N323" s="167">
        <v>7.5858480749219543</v>
      </c>
      <c r="O323" s="167">
        <v>7.2534930139720561</v>
      </c>
      <c r="P323" s="167">
        <v>7.1874595992243053</v>
      </c>
      <c r="Q323" s="167">
        <v>7.59375</v>
      </c>
      <c r="R323" s="167">
        <v>7.118713932399011</v>
      </c>
      <c r="S323" s="167">
        <v>6.8991723100075246</v>
      </c>
      <c r="T323" s="167">
        <v>6.625741192884548</v>
      </c>
      <c r="U323" s="164">
        <f t="shared" si="96"/>
        <v>-0.58602998423316421</v>
      </c>
      <c r="V323" s="164">
        <f t="shared" si="97"/>
        <v>-0.56171840633975734</v>
      </c>
      <c r="W323" s="164">
        <f t="shared" si="98"/>
        <v>-0.27343111712297663</v>
      </c>
    </row>
    <row r="324" spans="1:24" ht="15" customHeight="1" x14ac:dyDescent="0.2">
      <c r="A324" s="169"/>
      <c r="B324" s="29" t="s">
        <v>531</v>
      </c>
      <c r="C324" s="167">
        <v>2.1967611336032382</v>
      </c>
      <c r="D324" s="167">
        <v>1.9367201426024954</v>
      </c>
      <c r="E324" s="167">
        <v>2.4156039009752437</v>
      </c>
      <c r="F324" s="167">
        <v>2.3045148895292993</v>
      </c>
      <c r="G324" s="167">
        <v>2.4524147727272725</v>
      </c>
      <c r="H324" s="167">
        <v>2.2618595825426953</v>
      </c>
      <c r="I324" s="167">
        <v>2.1688992428654634</v>
      </c>
      <c r="J324" s="167">
        <v>2.2633928571428577</v>
      </c>
      <c r="K324" s="167">
        <v>2.0280528052805282</v>
      </c>
      <c r="L324" s="167">
        <v>2.0027277686852152</v>
      </c>
      <c r="M324" s="167">
        <v>1.9994089834515369</v>
      </c>
      <c r="N324" s="167">
        <v>2.4177939646201851</v>
      </c>
      <c r="O324" s="167">
        <v>2.0898203592814371</v>
      </c>
      <c r="P324" s="167">
        <v>2.0374919198448609</v>
      </c>
      <c r="Q324" s="167">
        <v>2.52490234375</v>
      </c>
      <c r="R324" s="167">
        <v>2.12366034624897</v>
      </c>
      <c r="S324" s="167">
        <v>2.0966892400300976</v>
      </c>
      <c r="T324" s="167">
        <v>1.9159400069759327</v>
      </c>
      <c r="U324" s="164">
        <f t="shared" si="96"/>
        <v>-0.11211279830459553</v>
      </c>
      <c r="V324" s="164">
        <f t="shared" si="97"/>
        <v>-0.12155191286892819</v>
      </c>
      <c r="W324" s="164">
        <f t="shared" si="98"/>
        <v>-0.1807492330541649</v>
      </c>
    </row>
    <row r="325" spans="1:24" ht="15" customHeight="1" x14ac:dyDescent="0.2">
      <c r="A325" s="179"/>
      <c r="B325" s="179"/>
      <c r="C325" s="180"/>
      <c r="D325" s="180"/>
      <c r="E325" s="180"/>
      <c r="F325" s="180"/>
      <c r="G325" s="180"/>
      <c r="H325" s="180"/>
      <c r="I325" s="180"/>
      <c r="J325" s="180"/>
      <c r="K325" s="180"/>
      <c r="L325" s="180"/>
      <c r="M325" s="180"/>
      <c r="N325" s="180"/>
      <c r="O325" s="180"/>
      <c r="P325" s="180"/>
      <c r="Q325" s="180"/>
      <c r="R325" s="180"/>
      <c r="S325" s="180"/>
      <c r="T325" s="180"/>
      <c r="U325" s="181"/>
      <c r="V325" s="181"/>
      <c r="W325" s="181"/>
    </row>
    <row r="326" spans="1:24" ht="15" customHeight="1" x14ac:dyDescent="0.2">
      <c r="A326" s="179"/>
      <c r="B326" s="179"/>
      <c r="C326" s="180"/>
      <c r="D326" s="180"/>
      <c r="E326" s="180"/>
      <c r="F326" s="180"/>
      <c r="G326" s="180"/>
      <c r="H326" s="180"/>
      <c r="I326" s="180"/>
      <c r="J326" s="180"/>
      <c r="K326" s="180"/>
      <c r="L326" s="180"/>
      <c r="M326" s="180"/>
      <c r="N326" s="180"/>
      <c r="O326" s="180"/>
      <c r="P326" s="180"/>
      <c r="Q326" s="180"/>
      <c r="R326" s="180"/>
      <c r="S326" s="180"/>
      <c r="T326" s="180"/>
      <c r="U326" s="181"/>
      <c r="V326" s="181"/>
      <c r="W326" s="181"/>
    </row>
    <row r="327" spans="1:24" ht="15" customHeight="1" x14ac:dyDescent="0.2">
      <c r="A327" s="35" t="s">
        <v>396</v>
      </c>
      <c r="B327" s="35"/>
      <c r="C327" s="35"/>
      <c r="D327" s="35"/>
      <c r="E327" s="35"/>
      <c r="F327" s="35"/>
      <c r="G327" s="35"/>
      <c r="H327" s="35"/>
      <c r="I327" s="35"/>
      <c r="J327" s="35"/>
      <c r="K327" s="35"/>
      <c r="L327" s="35"/>
      <c r="M327" s="35"/>
      <c r="N327" s="35"/>
      <c r="O327" s="35"/>
      <c r="P327" s="35"/>
      <c r="Q327" s="35"/>
      <c r="R327" s="35"/>
      <c r="S327" s="35"/>
      <c r="T327" s="35"/>
      <c r="U327" s="69"/>
      <c r="V327" s="69"/>
      <c r="W327" s="69"/>
    </row>
    <row r="328" spans="1:24" ht="52.5" customHeight="1" x14ac:dyDescent="0.2">
      <c r="A328" s="209" t="s">
        <v>370</v>
      </c>
      <c r="B328" s="210"/>
      <c r="C328" s="15">
        <v>2007</v>
      </c>
      <c r="D328" s="15">
        <v>2008</v>
      </c>
      <c r="E328" s="15">
        <v>2009</v>
      </c>
      <c r="F328" s="15">
        <v>2010</v>
      </c>
      <c r="G328" s="15">
        <v>2011</v>
      </c>
      <c r="H328" s="15">
        <v>2012</v>
      </c>
      <c r="I328" s="15">
        <v>2013</v>
      </c>
      <c r="J328" s="15">
        <v>2014</v>
      </c>
      <c r="K328" s="15">
        <v>2015</v>
      </c>
      <c r="L328" s="15">
        <v>2016</v>
      </c>
      <c r="M328" s="15">
        <v>2017</v>
      </c>
      <c r="N328" s="15">
        <v>2018</v>
      </c>
      <c r="O328" s="15">
        <v>2019</v>
      </c>
      <c r="P328" s="15">
        <v>2020</v>
      </c>
      <c r="Q328" s="15">
        <v>2021</v>
      </c>
      <c r="R328" s="15">
        <v>2022</v>
      </c>
      <c r="S328" s="15">
        <v>2023</v>
      </c>
      <c r="T328" s="15">
        <v>2024</v>
      </c>
      <c r="U328" s="27" t="s">
        <v>469</v>
      </c>
      <c r="V328" s="27" t="s">
        <v>470</v>
      </c>
      <c r="W328" s="27" t="s">
        <v>471</v>
      </c>
    </row>
    <row r="329" spans="1:24" ht="15" customHeight="1" x14ac:dyDescent="0.2">
      <c r="A329" s="205" t="s">
        <v>50</v>
      </c>
      <c r="B329" s="206"/>
      <c r="C329" s="166">
        <v>13.282608695652174</v>
      </c>
      <c r="D329" s="166">
        <v>13.233609645817632</v>
      </c>
      <c r="E329" s="166">
        <v>13.218033424018655</v>
      </c>
      <c r="F329" s="166">
        <v>13.144431326249514</v>
      </c>
      <c r="G329" s="166">
        <v>12.982397003745312</v>
      </c>
      <c r="H329" s="166">
        <v>12.731813610459263</v>
      </c>
      <c r="I329" s="166">
        <v>12.464761376248614</v>
      </c>
      <c r="J329" s="166">
        <v>12.47629684785306</v>
      </c>
      <c r="K329" s="166">
        <v>12.594948772933041</v>
      </c>
      <c r="L329" s="166">
        <v>12.432975245212527</v>
      </c>
      <c r="M329" s="166">
        <v>12.427708333333323</v>
      </c>
      <c r="N329" s="166">
        <v>12.54666146036705</v>
      </c>
      <c r="O329" s="166">
        <v>12.604775719705419</v>
      </c>
      <c r="P329" s="166">
        <v>12.72847118860302</v>
      </c>
      <c r="Q329" s="166">
        <v>12.608818166749552</v>
      </c>
      <c r="R329" s="166">
        <v>12.473586497890297</v>
      </c>
      <c r="S329" s="166">
        <v>12.335550868083725</v>
      </c>
      <c r="T329" s="166">
        <v>12.290272774060728</v>
      </c>
      <c r="U329" s="165">
        <f t="shared" ref="U329:U388" si="99">IFERROR((T329-K329),"n/a")</f>
        <v>-0.30467599887231245</v>
      </c>
      <c r="V329" s="165">
        <f t="shared" ref="V329:V388" si="100">IFERROR((T329-P329),"n/a")</f>
        <v>-0.43819841454229191</v>
      </c>
      <c r="W329" s="165">
        <f t="shared" ref="W329:W388" si="101">IFERROR((T329-S329),"n/a")</f>
        <v>-4.5278094022997095E-2</v>
      </c>
    </row>
    <row r="330" spans="1:24" ht="15" customHeight="1" x14ac:dyDescent="0.2">
      <c r="A330" s="207" t="s">
        <v>72</v>
      </c>
      <c r="B330" s="208"/>
      <c r="C330" s="167">
        <v>13.219237435008665</v>
      </c>
      <c r="D330" s="167">
        <v>13.120805369127519</v>
      </c>
      <c r="E330" s="167">
        <v>13.090604026845647</v>
      </c>
      <c r="F330" s="167">
        <v>12.984834968777871</v>
      </c>
      <c r="G330" s="167">
        <v>12.830076465590484</v>
      </c>
      <c r="H330" s="167">
        <v>12.528571428571432</v>
      </c>
      <c r="I330" s="167">
        <v>12.277744807121653</v>
      </c>
      <c r="J330" s="167">
        <v>12.245689655172404</v>
      </c>
      <c r="K330" s="167">
        <v>12.380977404098784</v>
      </c>
      <c r="L330" s="167">
        <v>12.261311642094563</v>
      </c>
      <c r="M330" s="167">
        <v>12.322010869565213</v>
      </c>
      <c r="N330" s="167">
        <v>12.326504481434053</v>
      </c>
      <c r="O330" s="167">
        <v>12.352019002375302</v>
      </c>
      <c r="P330" s="167">
        <v>12.531734837799716</v>
      </c>
      <c r="Q330" s="167">
        <v>12.391745112237498</v>
      </c>
      <c r="R330" s="167">
        <v>12.297727272727279</v>
      </c>
      <c r="S330" s="167">
        <v>12.139226519337003</v>
      </c>
      <c r="T330" s="167">
        <v>12.074103585657367</v>
      </c>
      <c r="U330" s="164">
        <f t="shared" si="99"/>
        <v>-0.30687381844141726</v>
      </c>
      <c r="V330" s="164">
        <f t="shared" si="100"/>
        <v>-0.4576312521423489</v>
      </c>
      <c r="W330" s="164">
        <f t="shared" si="101"/>
        <v>-6.5122933679635508E-2</v>
      </c>
      <c r="X330" s="140"/>
    </row>
    <row r="331" spans="1:24" ht="15" customHeight="1" x14ac:dyDescent="0.2">
      <c r="A331" s="207" t="s">
        <v>71</v>
      </c>
      <c r="B331" s="208"/>
      <c r="C331" s="167">
        <v>13.337593984962412</v>
      </c>
      <c r="D331" s="167">
        <v>13.325581395348841</v>
      </c>
      <c r="E331" s="167">
        <v>13.328023171614763</v>
      </c>
      <c r="F331" s="167">
        <v>13.270422535211278</v>
      </c>
      <c r="G331" s="167">
        <v>13.102478231748153</v>
      </c>
      <c r="H331" s="167">
        <v>12.89534180278282</v>
      </c>
      <c r="I331" s="167">
        <v>12.628973423658163</v>
      </c>
      <c r="J331" s="167">
        <v>12.673262770363554</v>
      </c>
      <c r="K331" s="167">
        <v>12.772449869224065</v>
      </c>
      <c r="L331" s="167">
        <v>12.578833693304531</v>
      </c>
      <c r="M331" s="167">
        <v>12.517746913580243</v>
      </c>
      <c r="N331" s="167">
        <v>12.732277797768976</v>
      </c>
      <c r="O331" s="167">
        <v>12.828703703703702</v>
      </c>
      <c r="P331" s="167">
        <v>12.890916149068328</v>
      </c>
      <c r="Q331" s="167">
        <v>12.792112503821466</v>
      </c>
      <c r="R331" s="167">
        <v>12.614916286149167</v>
      </c>
      <c r="S331" s="167">
        <v>12.490139211136894</v>
      </c>
      <c r="T331" s="167">
        <v>12.453751129858384</v>
      </c>
      <c r="U331" s="164">
        <f t="shared" si="99"/>
        <v>-0.31869873936568105</v>
      </c>
      <c r="V331" s="164">
        <f t="shared" si="100"/>
        <v>-0.43716501920994411</v>
      </c>
      <c r="W331" s="164">
        <f t="shared" si="101"/>
        <v>-3.6388081278509787E-2</v>
      </c>
      <c r="X331" s="140"/>
    </row>
    <row r="332" spans="1:24" ht="15" customHeight="1" x14ac:dyDescent="0.2">
      <c r="A332" s="205" t="s">
        <v>58</v>
      </c>
      <c r="B332" s="206"/>
      <c r="C332" s="166">
        <v>13.886588235294115</v>
      </c>
      <c r="D332" s="166">
        <v>13.028820629503221</v>
      </c>
      <c r="E332" s="166">
        <v>12.938086956521737</v>
      </c>
      <c r="F332" s="166">
        <v>13.409055118110242</v>
      </c>
      <c r="G332" s="166">
        <v>12.956813104988829</v>
      </c>
      <c r="H332" s="166">
        <v>12.775403074615676</v>
      </c>
      <c r="I332" s="166">
        <v>12.723727693324522</v>
      </c>
      <c r="J332" s="166">
        <v>12.584524549409577</v>
      </c>
      <c r="K332" s="166">
        <v>12.391673746813934</v>
      </c>
      <c r="L332" s="166">
        <v>12.218135158254922</v>
      </c>
      <c r="M332" s="166">
        <v>12.281433772052655</v>
      </c>
      <c r="N332" s="166">
        <v>12.189561091340449</v>
      </c>
      <c r="O332" s="166">
        <v>12.082868183769857</v>
      </c>
      <c r="P332" s="166">
        <v>11.918958742632611</v>
      </c>
      <c r="Q332" s="166">
        <v>11.978458431504539</v>
      </c>
      <c r="R332" s="166">
        <v>11.769604666234603</v>
      </c>
      <c r="S332" s="166">
        <v>11.575505889459377</v>
      </c>
      <c r="T332" s="166">
        <v>11.501141924959217</v>
      </c>
      <c r="U332" s="165">
        <f t="shared" si="99"/>
        <v>-0.89053182185471691</v>
      </c>
      <c r="V332" s="165">
        <f t="shared" si="100"/>
        <v>-0.41781681767339407</v>
      </c>
      <c r="W332" s="165">
        <f t="shared" si="101"/>
        <v>-7.4363964500159696E-2</v>
      </c>
      <c r="X332" s="140"/>
    </row>
    <row r="333" spans="1:24" ht="15" customHeight="1" x14ac:dyDescent="0.2">
      <c r="A333" s="207" t="s">
        <v>72</v>
      </c>
      <c r="B333" s="208"/>
      <c r="C333" s="167">
        <v>13.626537216828488</v>
      </c>
      <c r="D333" s="167">
        <v>12.899232736572904</v>
      </c>
      <c r="E333" s="167">
        <v>12.860332541567697</v>
      </c>
      <c r="F333" s="167">
        <v>13.215418261345</v>
      </c>
      <c r="G333" s="167">
        <v>12.820207253886013</v>
      </c>
      <c r="H333" s="167">
        <v>12.629591308846344</v>
      </c>
      <c r="I333" s="167">
        <v>12.548076923076923</v>
      </c>
      <c r="J333" s="167">
        <v>12.467362924281982</v>
      </c>
      <c r="K333" s="167">
        <v>12.381789137380194</v>
      </c>
      <c r="L333" s="167">
        <v>12.083827599841836</v>
      </c>
      <c r="M333" s="167">
        <v>12.076771653543309</v>
      </c>
      <c r="N333" s="167">
        <v>12.094070884398807</v>
      </c>
      <c r="O333" s="167">
        <v>11.923774954627945</v>
      </c>
      <c r="P333" s="167">
        <v>11.813553491572073</v>
      </c>
      <c r="Q333" s="167">
        <v>11.873509469254149</v>
      </c>
      <c r="R333" s="167">
        <v>11.62716049382716</v>
      </c>
      <c r="S333" s="167">
        <v>11.479742765273308</v>
      </c>
      <c r="T333" s="167">
        <v>11.359665006790408</v>
      </c>
      <c r="U333" s="164">
        <f t="shared" si="99"/>
        <v>-1.0221241305897859</v>
      </c>
      <c r="V333" s="164">
        <f t="shared" si="100"/>
        <v>-0.45388848478166466</v>
      </c>
      <c r="W333" s="164">
        <f t="shared" si="101"/>
        <v>-0.12007775848289981</v>
      </c>
      <c r="X333" s="140"/>
    </row>
    <row r="334" spans="1:24" ht="15" customHeight="1" x14ac:dyDescent="0.2">
      <c r="A334" s="207" t="s">
        <v>71</v>
      </c>
      <c r="B334" s="208"/>
      <c r="C334" s="167">
        <v>14.57931034482759</v>
      </c>
      <c r="D334" s="167">
        <v>13.40029325513197</v>
      </c>
      <c r="E334" s="167">
        <v>13.150649350649351</v>
      </c>
      <c r="F334" s="167">
        <v>13.907172995780591</v>
      </c>
      <c r="G334" s="167">
        <v>13.305555555555554</v>
      </c>
      <c r="H334" s="167">
        <v>13.159400544959123</v>
      </c>
      <c r="I334" s="167">
        <v>13.179334916864606</v>
      </c>
      <c r="J334" s="167">
        <v>12.87717391304348</v>
      </c>
      <c r="K334" s="167">
        <v>12.415774099318401</v>
      </c>
      <c r="L334" s="167">
        <v>12.565439672801634</v>
      </c>
      <c r="M334" s="167">
        <v>12.785645004849657</v>
      </c>
      <c r="N334" s="167">
        <v>12.430602006688966</v>
      </c>
      <c r="O334" s="167">
        <v>12.471893491124256</v>
      </c>
      <c r="P334" s="167">
        <v>12.181974248927032</v>
      </c>
      <c r="Q334" s="167">
        <v>12.248048048048048</v>
      </c>
      <c r="R334" s="167">
        <v>12.139196272568434</v>
      </c>
      <c r="S334" s="167">
        <v>11.803781297904955</v>
      </c>
      <c r="T334" s="167">
        <v>11.866238317757007</v>
      </c>
      <c r="U334" s="164">
        <f t="shared" si="99"/>
        <v>-0.54953578156139393</v>
      </c>
      <c r="V334" s="164">
        <f t="shared" si="100"/>
        <v>-0.31573593117002474</v>
      </c>
      <c r="W334" s="164">
        <f t="shared" si="101"/>
        <v>6.2457019852052653E-2</v>
      </c>
      <c r="X334" s="140"/>
    </row>
    <row r="335" spans="1:24" ht="15" customHeight="1" x14ac:dyDescent="0.2">
      <c r="A335" s="205" t="s">
        <v>49</v>
      </c>
      <c r="B335" s="206"/>
      <c r="C335" s="166">
        <v>16.549565217391311</v>
      </c>
      <c r="D335" s="166">
        <v>15.981762917933123</v>
      </c>
      <c r="E335" s="166">
        <v>16.16083916083916</v>
      </c>
      <c r="F335" s="166">
        <v>15.889967637540447</v>
      </c>
      <c r="G335" s="166">
        <v>15.725114155251145</v>
      </c>
      <c r="H335" s="166">
        <v>15.594520547945192</v>
      </c>
      <c r="I335" s="166">
        <v>14.795535261288677</v>
      </c>
      <c r="J335" s="166">
        <v>15.024253731343277</v>
      </c>
      <c r="K335" s="166">
        <v>14.636472945891784</v>
      </c>
      <c r="L335" s="166">
        <v>14.403168316831685</v>
      </c>
      <c r="M335" s="166">
        <v>14.293929712460066</v>
      </c>
      <c r="N335" s="166">
        <v>14.610062893081761</v>
      </c>
      <c r="O335" s="166">
        <v>14.360778443113773</v>
      </c>
      <c r="P335" s="166">
        <v>14.445618153364627</v>
      </c>
      <c r="Q335" s="166">
        <v>14.588082057961573</v>
      </c>
      <c r="R335" s="166">
        <v>14.367024280067756</v>
      </c>
      <c r="S335" s="166">
        <v>14.188340807174891</v>
      </c>
      <c r="T335" s="166">
        <v>14.069423929098971</v>
      </c>
      <c r="U335" s="165">
        <f t="shared" si="99"/>
        <v>-0.56704901679281328</v>
      </c>
      <c r="V335" s="165">
        <f t="shared" si="100"/>
        <v>-0.37619422426565663</v>
      </c>
      <c r="W335" s="165">
        <f t="shared" si="101"/>
        <v>-0.11891687807592</v>
      </c>
      <c r="X335" s="140"/>
    </row>
    <row r="336" spans="1:24" ht="15" customHeight="1" x14ac:dyDescent="0.2">
      <c r="A336" s="207" t="s">
        <v>72</v>
      </c>
      <c r="B336" s="208"/>
      <c r="C336" s="167">
        <v>16.551155115511555</v>
      </c>
      <c r="D336" s="167">
        <v>16.081395348837212</v>
      </c>
      <c r="E336" s="167">
        <v>16.319327731092439</v>
      </c>
      <c r="F336" s="167">
        <v>15.668571428571425</v>
      </c>
      <c r="G336" s="167">
        <v>15.556701030927835</v>
      </c>
      <c r="H336" s="167">
        <v>15.348148148148145</v>
      </c>
      <c r="I336" s="167">
        <v>14.621323529411759</v>
      </c>
      <c r="J336" s="167">
        <v>14.922204213938418</v>
      </c>
      <c r="K336" s="167">
        <v>14.36671368124118</v>
      </c>
      <c r="L336" s="167">
        <v>14.261845386533668</v>
      </c>
      <c r="M336" s="167">
        <v>14.30342384887839</v>
      </c>
      <c r="N336" s="167">
        <v>14.423031727379552</v>
      </c>
      <c r="O336" s="167">
        <v>14.373424971363118</v>
      </c>
      <c r="P336" s="167">
        <v>14.350649350649357</v>
      </c>
      <c r="Q336" s="167">
        <v>14.403314917127071</v>
      </c>
      <c r="R336" s="167">
        <v>14.187288135593223</v>
      </c>
      <c r="S336" s="167">
        <v>13.987394957983193</v>
      </c>
      <c r="T336" s="167">
        <v>13.819479429051217</v>
      </c>
      <c r="U336" s="164">
        <f t="shared" si="99"/>
        <v>-0.54723425218996269</v>
      </c>
      <c r="V336" s="164">
        <f t="shared" si="100"/>
        <v>-0.53116992159814025</v>
      </c>
      <c r="W336" s="164">
        <f t="shared" si="101"/>
        <v>-0.16791552893197625</v>
      </c>
      <c r="X336" s="140"/>
    </row>
    <row r="337" spans="1:24" ht="15" customHeight="1" x14ac:dyDescent="0.2">
      <c r="A337" s="207" t="s">
        <v>71</v>
      </c>
      <c r="B337" s="208"/>
      <c r="C337" s="167">
        <v>16.548996458087366</v>
      </c>
      <c r="D337" s="167">
        <v>15.946502057613168</v>
      </c>
      <c r="E337" s="167">
        <v>16.100000000000012</v>
      </c>
      <c r="F337" s="167">
        <v>15.977426636568847</v>
      </c>
      <c r="G337" s="167">
        <v>15.786069651741292</v>
      </c>
      <c r="H337" s="167">
        <v>15.689099526066357</v>
      </c>
      <c r="I337" s="167">
        <v>14.861948142957255</v>
      </c>
      <c r="J337" s="167">
        <v>15.065487884741323</v>
      </c>
      <c r="K337" s="167">
        <v>14.743561030235165</v>
      </c>
      <c r="L337" s="167">
        <v>14.468949506674406</v>
      </c>
      <c r="M337" s="167">
        <v>14.289847715736041</v>
      </c>
      <c r="N337" s="167">
        <v>14.689209348582791</v>
      </c>
      <c r="O337" s="167">
        <v>14.354641467481935</v>
      </c>
      <c r="P337" s="167">
        <v>14.492685781158574</v>
      </c>
      <c r="Q337" s="167">
        <v>14.689168765743078</v>
      </c>
      <c r="R337" s="167">
        <v>14.456816257408976</v>
      </c>
      <c r="S337" s="167">
        <v>14.288898233809924</v>
      </c>
      <c r="T337" s="167">
        <v>14.205104831358252</v>
      </c>
      <c r="U337" s="164">
        <f t="shared" si="99"/>
        <v>-0.53845619887691321</v>
      </c>
      <c r="V337" s="164">
        <f t="shared" si="100"/>
        <v>-0.28758094980032212</v>
      </c>
      <c r="W337" s="164">
        <f t="shared" si="101"/>
        <v>-8.3793402451671994E-2</v>
      </c>
      <c r="X337" s="140"/>
    </row>
    <row r="338" spans="1:24" ht="15" customHeight="1" x14ac:dyDescent="0.2">
      <c r="A338" s="205" t="s">
        <v>48</v>
      </c>
      <c r="B338" s="206"/>
      <c r="C338" s="166">
        <v>11.902092050209196</v>
      </c>
      <c r="D338" s="166">
        <v>12.162589928057546</v>
      </c>
      <c r="E338" s="166">
        <v>12.097029702970293</v>
      </c>
      <c r="F338" s="166">
        <v>11.82908163265307</v>
      </c>
      <c r="G338" s="166">
        <v>12.061481870730422</v>
      </c>
      <c r="H338" s="166">
        <v>11.98377455166524</v>
      </c>
      <c r="I338" s="166">
        <v>12.019389701207885</v>
      </c>
      <c r="J338" s="166">
        <v>11.992171717171709</v>
      </c>
      <c r="K338" s="166">
        <v>12.263596389724606</v>
      </c>
      <c r="L338" s="166">
        <v>12.44849246231156</v>
      </c>
      <c r="M338" s="166">
        <v>12.572778099093886</v>
      </c>
      <c r="N338" s="166">
        <v>12.687389302160819</v>
      </c>
      <c r="O338" s="166">
        <v>12.728004600345026</v>
      </c>
      <c r="P338" s="166">
        <v>13.669733656174335</v>
      </c>
      <c r="Q338" s="166">
        <v>13.148359099538924</v>
      </c>
      <c r="R338" s="166">
        <v>12.803195962994113</v>
      </c>
      <c r="S338" s="166">
        <v>12.391559909570454</v>
      </c>
      <c r="T338" s="166">
        <v>12.061990212071775</v>
      </c>
      <c r="U338" s="165">
        <f t="shared" si="99"/>
        <v>-0.20160617765283106</v>
      </c>
      <c r="V338" s="165">
        <f t="shared" si="100"/>
        <v>-1.6077434441025602</v>
      </c>
      <c r="W338" s="165">
        <f t="shared" si="101"/>
        <v>-0.32956969749867859</v>
      </c>
      <c r="X338" s="140"/>
    </row>
    <row r="339" spans="1:24" ht="15" customHeight="1" x14ac:dyDescent="0.2">
      <c r="A339" s="207" t="s">
        <v>72</v>
      </c>
      <c r="B339" s="208"/>
      <c r="C339" s="167">
        <v>11.877413127413124</v>
      </c>
      <c r="D339" s="167">
        <v>12.104289318755246</v>
      </c>
      <c r="E339" s="167">
        <v>12.080149812734085</v>
      </c>
      <c r="F339" s="167">
        <v>11.81845238095238</v>
      </c>
      <c r="G339" s="167">
        <v>12.024301336573512</v>
      </c>
      <c r="H339" s="167">
        <v>11.959378134403206</v>
      </c>
      <c r="I339" s="167">
        <v>12.019874861980121</v>
      </c>
      <c r="J339" s="167">
        <v>12.006831006831005</v>
      </c>
      <c r="K339" s="167">
        <v>12.267886400873842</v>
      </c>
      <c r="L339" s="167">
        <v>12.480802152115432</v>
      </c>
      <c r="M339" s="167">
        <v>12.580190822353483</v>
      </c>
      <c r="N339" s="167">
        <v>12.685786058195523</v>
      </c>
      <c r="O339" s="167">
        <v>12.721356553620533</v>
      </c>
      <c r="P339" s="167">
        <v>13.683127572016456</v>
      </c>
      <c r="Q339" s="167">
        <v>13.128467153284676</v>
      </c>
      <c r="R339" s="167">
        <v>12.772557030984</v>
      </c>
      <c r="S339" s="167">
        <v>12.348359904709541</v>
      </c>
      <c r="T339" s="167">
        <v>11.978935939196523</v>
      </c>
      <c r="U339" s="164">
        <f t="shared" si="99"/>
        <v>-0.28895046167731842</v>
      </c>
      <c r="V339" s="164">
        <f t="shared" si="100"/>
        <v>-1.7041916328199331</v>
      </c>
      <c r="W339" s="164">
        <f t="shared" si="101"/>
        <v>-0.36942396551301826</v>
      </c>
      <c r="X339" s="140"/>
    </row>
    <row r="340" spans="1:24" ht="15" customHeight="1" x14ac:dyDescent="0.2">
      <c r="A340" s="207" t="s">
        <v>71</v>
      </c>
      <c r="B340" s="208"/>
      <c r="C340" s="167">
        <v>12.062893081761008</v>
      </c>
      <c r="D340" s="167">
        <v>12.507462686567182</v>
      </c>
      <c r="E340" s="167">
        <v>12.222222222222218</v>
      </c>
      <c r="F340" s="167">
        <v>11.892857142857142</v>
      </c>
      <c r="G340" s="167">
        <v>12.299610894941644</v>
      </c>
      <c r="H340" s="167">
        <v>12.123563218390807</v>
      </c>
      <c r="I340" s="167">
        <v>12.016317016317016</v>
      </c>
      <c r="J340" s="167">
        <v>11.908937605396289</v>
      </c>
      <c r="K340" s="167">
        <v>12.239757207890744</v>
      </c>
      <c r="L340" s="167">
        <v>12.25618631732169</v>
      </c>
      <c r="M340" s="167">
        <v>12.531210191082803</v>
      </c>
      <c r="N340" s="167">
        <v>12.696202531645572</v>
      </c>
      <c r="O340" s="167">
        <v>12.762016412661195</v>
      </c>
      <c r="P340" s="167">
        <v>13.607142857142854</v>
      </c>
      <c r="Q340" s="167">
        <v>13.249793217535151</v>
      </c>
      <c r="R340" s="167">
        <v>12.946031746031748</v>
      </c>
      <c r="S340" s="167">
        <v>12.591680814940572</v>
      </c>
      <c r="T340" s="167">
        <v>12.481359649122812</v>
      </c>
      <c r="U340" s="164">
        <f t="shared" si="99"/>
        <v>0.24160244123206809</v>
      </c>
      <c r="V340" s="164">
        <f t="shared" si="100"/>
        <v>-1.1257832080200423</v>
      </c>
      <c r="W340" s="164">
        <f t="shared" si="101"/>
        <v>-0.1103211658177603</v>
      </c>
      <c r="X340" s="140"/>
    </row>
    <row r="341" spans="1:24" ht="15" customHeight="1" x14ac:dyDescent="0.2">
      <c r="A341" s="205" t="s">
        <v>13</v>
      </c>
      <c r="B341" s="206"/>
      <c r="C341" s="166">
        <v>17.832004904966276</v>
      </c>
      <c r="D341" s="166">
        <v>17.811726734803656</v>
      </c>
      <c r="E341" s="166">
        <v>17.444391408114559</v>
      </c>
      <c r="F341" s="166">
        <v>17.344894026974966</v>
      </c>
      <c r="G341" s="166">
        <v>16.786751361161521</v>
      </c>
      <c r="H341" s="166">
        <v>16.867700729927012</v>
      </c>
      <c r="I341" s="166">
        <v>16.934528773978325</v>
      </c>
      <c r="J341" s="166">
        <v>16.655885295098354</v>
      </c>
      <c r="K341" s="166">
        <v>16.638734353268422</v>
      </c>
      <c r="L341" s="166">
        <v>16.627407641300913</v>
      </c>
      <c r="M341" s="166">
        <v>16.98275404616609</v>
      </c>
      <c r="N341" s="166">
        <v>16.969756924816274</v>
      </c>
      <c r="O341" s="166">
        <v>16.676927343316699</v>
      </c>
      <c r="P341" s="166">
        <v>16.624713083397097</v>
      </c>
      <c r="Q341" s="166">
        <v>16.675982800982798</v>
      </c>
      <c r="R341" s="166">
        <v>16.478744650499287</v>
      </c>
      <c r="S341" s="166">
        <v>16.272810848080901</v>
      </c>
      <c r="T341" s="166">
        <v>16.193918025561928</v>
      </c>
      <c r="U341" s="165">
        <f t="shared" si="99"/>
        <v>-0.44481632770649426</v>
      </c>
      <c r="V341" s="165">
        <f t="shared" si="100"/>
        <v>-0.43079505783516936</v>
      </c>
      <c r="W341" s="165">
        <f t="shared" si="101"/>
        <v>-7.889282251897356E-2</v>
      </c>
      <c r="X341" s="140"/>
    </row>
    <row r="342" spans="1:24" ht="15" customHeight="1" x14ac:dyDescent="0.2">
      <c r="A342" s="207" t="s">
        <v>72</v>
      </c>
      <c r="B342" s="208"/>
      <c r="C342" s="167">
        <v>17.79242979242979</v>
      </c>
      <c r="D342" s="167">
        <v>17.769570011025355</v>
      </c>
      <c r="E342" s="167">
        <v>17.448241206030151</v>
      </c>
      <c r="F342" s="167">
        <v>17.328252032520329</v>
      </c>
      <c r="G342" s="167">
        <v>16.682041216879288</v>
      </c>
      <c r="H342" s="167">
        <v>16.711607142857147</v>
      </c>
      <c r="I342" s="167">
        <v>16.869057547956626</v>
      </c>
      <c r="J342" s="167">
        <v>16.651098901098901</v>
      </c>
      <c r="K342" s="167">
        <v>16.622576177285318</v>
      </c>
      <c r="L342" s="167">
        <v>16.569919204474825</v>
      </c>
      <c r="M342" s="167">
        <v>16.92544316996872</v>
      </c>
      <c r="N342" s="167">
        <v>16.846237731733918</v>
      </c>
      <c r="O342" s="167">
        <v>16.532488114104591</v>
      </c>
      <c r="P342" s="167">
        <v>16.481838398813931</v>
      </c>
      <c r="Q342" s="167">
        <v>16.635930993456277</v>
      </c>
      <c r="R342" s="167">
        <v>16.520855057351401</v>
      </c>
      <c r="S342" s="167">
        <v>16.176240208877278</v>
      </c>
      <c r="T342" s="167">
        <v>16.203137570394212</v>
      </c>
      <c r="U342" s="164">
        <f t="shared" si="99"/>
        <v>-0.41943860689110579</v>
      </c>
      <c r="V342" s="164">
        <f t="shared" si="100"/>
        <v>-0.27870082841971922</v>
      </c>
      <c r="W342" s="164">
        <f t="shared" si="101"/>
        <v>2.6897361516933671E-2</v>
      </c>
      <c r="X342" s="140"/>
    </row>
    <row r="343" spans="1:24" ht="15" customHeight="1" x14ac:dyDescent="0.2">
      <c r="A343" s="207" t="s">
        <v>71</v>
      </c>
      <c r="B343" s="208"/>
      <c r="C343" s="167">
        <v>17.871921182266018</v>
      </c>
      <c r="D343" s="167">
        <v>17.851890756302531</v>
      </c>
      <c r="E343" s="167">
        <v>17.440909090909088</v>
      </c>
      <c r="F343" s="167">
        <v>17.359890109890099</v>
      </c>
      <c r="G343" s="167">
        <v>16.876793248945141</v>
      </c>
      <c r="H343" s="167">
        <v>17.030783582089555</v>
      </c>
      <c r="I343" s="167">
        <v>16.999999999999996</v>
      </c>
      <c r="J343" s="167">
        <v>16.660401814646789</v>
      </c>
      <c r="K343" s="167">
        <v>16.655027932960891</v>
      </c>
      <c r="L343" s="167">
        <v>16.68677792041078</v>
      </c>
      <c r="M343" s="167">
        <v>17.042139384116698</v>
      </c>
      <c r="N343" s="167">
        <v>17.102699530516439</v>
      </c>
      <c r="O343" s="167">
        <v>16.836544074722717</v>
      </c>
      <c r="P343" s="167">
        <v>16.777075098814237</v>
      </c>
      <c r="Q343" s="167">
        <v>16.718730158730157</v>
      </c>
      <c r="R343" s="167">
        <v>16.42785129174543</v>
      </c>
      <c r="S343" s="167">
        <v>16.380905991232336</v>
      </c>
      <c r="T343" s="167">
        <v>16.182748538011698</v>
      </c>
      <c r="U343" s="164">
        <f t="shared" si="99"/>
        <v>-0.47227939494919369</v>
      </c>
      <c r="V343" s="164">
        <f t="shared" si="100"/>
        <v>-0.59432656080253921</v>
      </c>
      <c r="W343" s="164">
        <f t="shared" si="101"/>
        <v>-0.19815745322063805</v>
      </c>
      <c r="X343" s="140"/>
    </row>
    <row r="344" spans="1:24" ht="15" customHeight="1" x14ac:dyDescent="0.2">
      <c r="A344" s="205" t="s">
        <v>46</v>
      </c>
      <c r="B344" s="206"/>
      <c r="C344" s="166">
        <v>11.614838200473555</v>
      </c>
      <c r="D344" s="166">
        <v>11.115000000000002</v>
      </c>
      <c r="E344" s="166">
        <v>11.568770226537215</v>
      </c>
      <c r="F344" s="166">
        <v>11.922837100545598</v>
      </c>
      <c r="G344" s="166">
        <v>11.825155494125781</v>
      </c>
      <c r="H344" s="166">
        <v>11.597368421052634</v>
      </c>
      <c r="I344" s="166">
        <v>11.647058823529411</v>
      </c>
      <c r="J344" s="166">
        <v>11.669021739130432</v>
      </c>
      <c r="K344" s="166">
        <v>11.500849858356938</v>
      </c>
      <c r="L344" s="166">
        <v>11.605152786099461</v>
      </c>
      <c r="M344" s="166">
        <v>11.602416918429004</v>
      </c>
      <c r="N344" s="166">
        <v>11.497805642633228</v>
      </c>
      <c r="O344" s="166">
        <v>11.494887525562373</v>
      </c>
      <c r="P344" s="166">
        <v>11.561470215462609</v>
      </c>
      <c r="Q344" s="166">
        <v>11.489003880983182</v>
      </c>
      <c r="R344" s="166">
        <v>11.307963044434674</v>
      </c>
      <c r="S344" s="166">
        <v>11.358134920634924</v>
      </c>
      <c r="T344" s="166">
        <v>11.295489102889</v>
      </c>
      <c r="U344" s="165">
        <f t="shared" si="99"/>
        <v>-0.20536075546793775</v>
      </c>
      <c r="V344" s="165">
        <f t="shared" si="100"/>
        <v>-0.26598111257360912</v>
      </c>
      <c r="W344" s="165">
        <f t="shared" si="101"/>
        <v>-6.2645817745924148E-2</v>
      </c>
      <c r="X344" s="140"/>
    </row>
    <row r="345" spans="1:24" ht="15" customHeight="1" x14ac:dyDescent="0.2">
      <c r="A345" s="207" t="s">
        <v>72</v>
      </c>
      <c r="B345" s="208"/>
      <c r="C345" s="167">
        <v>11.549019607843132</v>
      </c>
      <c r="D345" s="167">
        <v>11.008806262230916</v>
      </c>
      <c r="E345" s="167">
        <v>11.52448210922787</v>
      </c>
      <c r="F345" s="167">
        <v>11.842152466367724</v>
      </c>
      <c r="G345" s="167">
        <v>11.743694060211553</v>
      </c>
      <c r="H345" s="167">
        <v>11.504234026173981</v>
      </c>
      <c r="I345" s="167">
        <v>11.58540255831452</v>
      </c>
      <c r="J345" s="167">
        <v>11.575129533678757</v>
      </c>
      <c r="K345" s="167">
        <v>11.377732240437162</v>
      </c>
      <c r="L345" s="167">
        <v>11.582918149466195</v>
      </c>
      <c r="M345" s="167">
        <v>11.460340993328396</v>
      </c>
      <c r="N345" s="167">
        <v>11.467968749999995</v>
      </c>
      <c r="O345" s="167">
        <v>11.261705685618738</v>
      </c>
      <c r="P345" s="167">
        <v>11.516551193225554</v>
      </c>
      <c r="Q345" s="167">
        <v>11.378969286829768</v>
      </c>
      <c r="R345" s="167">
        <v>11.233333333333333</v>
      </c>
      <c r="S345" s="167">
        <v>11.254699818071563</v>
      </c>
      <c r="T345" s="167">
        <v>11.160272277227723</v>
      </c>
      <c r="U345" s="164">
        <f t="shared" si="99"/>
        <v>-0.21745996320943917</v>
      </c>
      <c r="V345" s="164">
        <f t="shared" si="100"/>
        <v>-0.3562789159978319</v>
      </c>
      <c r="W345" s="164">
        <f t="shared" si="101"/>
        <v>-9.4427540843840418E-2</v>
      </c>
      <c r="X345" s="140"/>
    </row>
    <row r="346" spans="1:24" ht="15" customHeight="1" x14ac:dyDescent="0.2">
      <c r="A346" s="207" t="s">
        <v>71</v>
      </c>
      <c r="B346" s="208"/>
      <c r="C346" s="167">
        <v>12.124137931034484</v>
      </c>
      <c r="D346" s="167">
        <v>11.724719101123595</v>
      </c>
      <c r="E346" s="167">
        <v>11.839080459770113</v>
      </c>
      <c r="F346" s="167">
        <v>12.458333333333329</v>
      </c>
      <c r="G346" s="167">
        <v>12.284403669724773</v>
      </c>
      <c r="H346" s="167">
        <v>12.144796380090497</v>
      </c>
      <c r="I346" s="167">
        <v>11.995744680851065</v>
      </c>
      <c r="J346" s="167">
        <v>12.158783783783788</v>
      </c>
      <c r="K346" s="167">
        <v>12.099667774086381</v>
      </c>
      <c r="L346" s="167">
        <v>11.72348484848485</v>
      </c>
      <c r="M346" s="167">
        <v>12.22875816993464</v>
      </c>
      <c r="N346" s="167">
        <v>11.619047619047617</v>
      </c>
      <c r="O346" s="167">
        <v>12.523985239852392</v>
      </c>
      <c r="P346" s="167">
        <v>11.770609318996412</v>
      </c>
      <c r="Q346" s="167">
        <v>12.020100502512568</v>
      </c>
      <c r="R346" s="167">
        <v>11.644067796610173</v>
      </c>
      <c r="S346" s="167">
        <v>11.82288828337874</v>
      </c>
      <c r="T346" s="167">
        <v>11.907563025210084</v>
      </c>
      <c r="U346" s="164">
        <f t="shared" si="99"/>
        <v>-0.19210474887629658</v>
      </c>
      <c r="V346" s="164">
        <f t="shared" si="100"/>
        <v>0.13695370621367253</v>
      </c>
      <c r="W346" s="164">
        <f t="shared" si="101"/>
        <v>8.4674741831344491E-2</v>
      </c>
      <c r="X346" s="140"/>
    </row>
    <row r="347" spans="1:24" ht="15" customHeight="1" x14ac:dyDescent="0.2">
      <c r="A347" s="205" t="s">
        <v>51</v>
      </c>
      <c r="B347" s="206"/>
      <c r="C347" s="166">
        <v>12.586620926243562</v>
      </c>
      <c r="D347" s="166">
        <v>11.579691516709515</v>
      </c>
      <c r="E347" s="166">
        <v>12.28148148148148</v>
      </c>
      <c r="F347" s="166">
        <v>12.793269230769235</v>
      </c>
      <c r="G347" s="166">
        <v>12.745997088791849</v>
      </c>
      <c r="H347" s="166">
        <v>12.943827563683865</v>
      </c>
      <c r="I347" s="166">
        <v>13.244476464937557</v>
      </c>
      <c r="J347" s="166">
        <v>13.225578658297378</v>
      </c>
      <c r="K347" s="166">
        <v>13.051823416506712</v>
      </c>
      <c r="L347" s="166">
        <v>13.312648221343874</v>
      </c>
      <c r="M347" s="166">
        <v>13.27708703374778</v>
      </c>
      <c r="N347" s="166">
        <v>13.649109511178477</v>
      </c>
      <c r="O347" s="166">
        <v>13.49877949552482</v>
      </c>
      <c r="P347" s="166">
        <v>14.535664335664341</v>
      </c>
      <c r="Q347" s="166">
        <v>13.816747181964564</v>
      </c>
      <c r="R347" s="166">
        <v>13.134391834420187</v>
      </c>
      <c r="S347" s="166">
        <v>12.627842866988287</v>
      </c>
      <c r="T347" s="166">
        <v>12.195423855963989</v>
      </c>
      <c r="U347" s="165">
        <f t="shared" si="99"/>
        <v>-0.85639956054272304</v>
      </c>
      <c r="V347" s="165">
        <f t="shared" si="100"/>
        <v>-2.340240479700352</v>
      </c>
      <c r="W347" s="165">
        <f t="shared" si="101"/>
        <v>-0.43241901102429736</v>
      </c>
      <c r="X347" s="140"/>
    </row>
    <row r="348" spans="1:24" ht="15" customHeight="1" x14ac:dyDescent="0.2">
      <c r="A348" s="207" t="s">
        <v>72</v>
      </c>
      <c r="B348" s="208"/>
      <c r="C348" s="167">
        <v>12.633846153846157</v>
      </c>
      <c r="D348" s="167">
        <v>11.536324786324789</v>
      </c>
      <c r="E348" s="167">
        <v>12.18518518518518</v>
      </c>
      <c r="F348" s="167">
        <v>12.724077328646747</v>
      </c>
      <c r="G348" s="167">
        <v>12.621794871794869</v>
      </c>
      <c r="H348" s="167">
        <v>12.97928653624856</v>
      </c>
      <c r="I348" s="167">
        <v>13.365831842576029</v>
      </c>
      <c r="J348" s="167">
        <v>13.235820895522387</v>
      </c>
      <c r="K348" s="167">
        <v>13.033691756272399</v>
      </c>
      <c r="L348" s="167">
        <v>13.337104072398191</v>
      </c>
      <c r="M348" s="167">
        <v>13.299999999999995</v>
      </c>
      <c r="N348" s="167">
        <v>13.523206751054852</v>
      </c>
      <c r="O348" s="167">
        <v>13.354664610639944</v>
      </c>
      <c r="P348" s="167">
        <v>14.488888888888889</v>
      </c>
      <c r="Q348" s="167">
        <v>13.763204747774481</v>
      </c>
      <c r="R348" s="167">
        <v>13.065128205128207</v>
      </c>
      <c r="S348" s="167">
        <v>12.581703470031549</v>
      </c>
      <c r="T348" s="167">
        <v>12.191905094207963</v>
      </c>
      <c r="U348" s="164">
        <f t="shared" si="99"/>
        <v>-0.84178666206443609</v>
      </c>
      <c r="V348" s="164">
        <f t="shared" si="100"/>
        <v>-2.2969837946809264</v>
      </c>
      <c r="W348" s="164">
        <f t="shared" si="101"/>
        <v>-0.38979837582358634</v>
      </c>
      <c r="X348" s="140"/>
    </row>
    <row r="349" spans="1:24" ht="15" customHeight="1" x14ac:dyDescent="0.2">
      <c r="A349" s="207" t="s">
        <v>71</v>
      </c>
      <c r="B349" s="208"/>
      <c r="C349" s="167">
        <v>12.527131782945734</v>
      </c>
      <c r="D349" s="167">
        <v>11.645161290322578</v>
      </c>
      <c r="E349" s="167">
        <v>12.409876543209879</v>
      </c>
      <c r="F349" s="167">
        <v>12.876857749469215</v>
      </c>
      <c r="G349" s="167">
        <v>12.909090909090919</v>
      </c>
      <c r="H349" s="167">
        <v>12.897280966767374</v>
      </c>
      <c r="I349" s="167">
        <v>13.103734439834026</v>
      </c>
      <c r="J349" s="167">
        <v>13.214226633581465</v>
      </c>
      <c r="K349" s="167">
        <v>13.072727272727276</v>
      </c>
      <c r="L349" s="167">
        <v>13.285714285714286</v>
      </c>
      <c r="M349" s="167">
        <v>13.251320754716989</v>
      </c>
      <c r="N349" s="167">
        <v>13.796220213640101</v>
      </c>
      <c r="O349" s="167">
        <v>13.659776055124892</v>
      </c>
      <c r="P349" s="167">
        <v>14.583098591549296</v>
      </c>
      <c r="Q349" s="167">
        <v>13.880281690140848</v>
      </c>
      <c r="R349" s="167">
        <v>13.22003804692454</v>
      </c>
      <c r="S349" s="167">
        <v>12.683371298405472</v>
      </c>
      <c r="T349" s="167">
        <v>12.19951338199513</v>
      </c>
      <c r="U349" s="164">
        <f t="shared" si="99"/>
        <v>-0.87321389073214561</v>
      </c>
      <c r="V349" s="164">
        <f t="shared" si="100"/>
        <v>-2.3835852095541661</v>
      </c>
      <c r="W349" s="164">
        <f t="shared" si="101"/>
        <v>-0.48385791641034182</v>
      </c>
      <c r="X349" s="140"/>
    </row>
    <row r="350" spans="1:24" ht="15" customHeight="1" x14ac:dyDescent="0.2">
      <c r="A350" s="205" t="s">
        <v>37</v>
      </c>
      <c r="B350" s="206"/>
      <c r="C350" s="166">
        <v>11.301989150090414</v>
      </c>
      <c r="D350" s="166">
        <v>11.470967741935485</v>
      </c>
      <c r="E350" s="166">
        <v>11.535211267605638</v>
      </c>
      <c r="F350" s="166">
        <v>11.051820728291313</v>
      </c>
      <c r="G350" s="166">
        <v>11.054994388327719</v>
      </c>
      <c r="H350" s="166">
        <v>10.749462365591402</v>
      </c>
      <c r="I350" s="166">
        <v>10.855329949238579</v>
      </c>
      <c r="J350" s="166">
        <v>10.772797527047912</v>
      </c>
      <c r="K350" s="166">
        <v>10.874706342991391</v>
      </c>
      <c r="L350" s="166">
        <v>10.845763939174514</v>
      </c>
      <c r="M350" s="166">
        <v>10.773758865248224</v>
      </c>
      <c r="N350" s="166">
        <v>10.683531233866804</v>
      </c>
      <c r="O350" s="166">
        <v>10.764274061990211</v>
      </c>
      <c r="P350" s="166">
        <v>10.899526564965806</v>
      </c>
      <c r="Q350" s="166">
        <v>11.329350261389097</v>
      </c>
      <c r="R350" s="166">
        <v>11.245854063018239</v>
      </c>
      <c r="S350" s="166">
        <v>11.728121353558926</v>
      </c>
      <c r="T350" s="166">
        <v>12.029702970297027</v>
      </c>
      <c r="U350" s="165">
        <f t="shared" si="99"/>
        <v>1.1549966273056356</v>
      </c>
      <c r="V350" s="165">
        <f t="shared" si="100"/>
        <v>1.1301764053312215</v>
      </c>
      <c r="W350" s="165">
        <f t="shared" si="101"/>
        <v>0.30158161673810113</v>
      </c>
      <c r="X350" s="140"/>
    </row>
    <row r="351" spans="1:24" ht="15" customHeight="1" x14ac:dyDescent="0.2">
      <c r="A351" s="207" t="s">
        <v>72</v>
      </c>
      <c r="B351" s="208"/>
      <c r="C351" s="167">
        <v>11.315412186379938</v>
      </c>
      <c r="D351" s="167">
        <v>11.390510948905108</v>
      </c>
      <c r="E351" s="167">
        <v>11.223443223443221</v>
      </c>
      <c r="F351" s="167">
        <v>11.038277511961725</v>
      </c>
      <c r="G351" s="167">
        <v>10.997975708502024</v>
      </c>
      <c r="H351" s="167">
        <v>10.480804387568556</v>
      </c>
      <c r="I351" s="167">
        <v>10.853276353276357</v>
      </c>
      <c r="J351" s="167">
        <v>10.687583444592791</v>
      </c>
      <c r="K351" s="167">
        <v>10.650969529085879</v>
      </c>
      <c r="L351" s="167">
        <v>10.588390501319262</v>
      </c>
      <c r="M351" s="167">
        <v>10.713947990543735</v>
      </c>
      <c r="N351" s="167">
        <v>10.397085610200362</v>
      </c>
      <c r="O351" s="167">
        <v>10.609243697478989</v>
      </c>
      <c r="P351" s="167">
        <v>10.72461273666093</v>
      </c>
      <c r="Q351" s="167">
        <v>11.196451204055764</v>
      </c>
      <c r="R351" s="167">
        <v>11.047183098591553</v>
      </c>
      <c r="S351" s="167">
        <v>11.618806875631956</v>
      </c>
      <c r="T351" s="167">
        <v>11.639072847682117</v>
      </c>
      <c r="U351" s="164">
        <f t="shared" si="99"/>
        <v>0.98810331859623801</v>
      </c>
      <c r="V351" s="164">
        <f t="shared" si="100"/>
        <v>0.91446011102118696</v>
      </c>
      <c r="W351" s="164">
        <f t="shared" si="101"/>
        <v>2.0265972050161452E-2</v>
      </c>
      <c r="X351" s="140"/>
    </row>
    <row r="352" spans="1:24" ht="15" customHeight="1" x14ac:dyDescent="0.2">
      <c r="A352" s="207" t="s">
        <v>71</v>
      </c>
      <c r="B352" s="208"/>
      <c r="C352" s="167">
        <v>11.288321167883211</v>
      </c>
      <c r="D352" s="167">
        <v>11.586387434554974</v>
      </c>
      <c r="E352" s="167">
        <v>11.915178571428569</v>
      </c>
      <c r="F352" s="167">
        <v>11.070945945945944</v>
      </c>
      <c r="G352" s="167">
        <v>11.125944584382873</v>
      </c>
      <c r="H352" s="167">
        <v>11.133159268929504</v>
      </c>
      <c r="I352" s="167">
        <v>10.858333333333331</v>
      </c>
      <c r="J352" s="167">
        <v>10.889908256880732</v>
      </c>
      <c r="K352" s="167">
        <v>11.165765765765761</v>
      </c>
      <c r="L352" s="167">
        <v>11.158908507223119</v>
      </c>
      <c r="M352" s="167">
        <v>10.863475177304963</v>
      </c>
      <c r="N352" s="167">
        <v>11.058402860548272</v>
      </c>
      <c r="O352" s="167">
        <v>10.980468750000002</v>
      </c>
      <c r="P352" s="167">
        <v>11.174560216508793</v>
      </c>
      <c r="Q352" s="167">
        <v>11.519999999999998</v>
      </c>
      <c r="R352" s="167">
        <v>11.530241935483877</v>
      </c>
      <c r="S352" s="167">
        <v>11.877241379310345</v>
      </c>
      <c r="T352" s="167">
        <v>12.495069033530571</v>
      </c>
      <c r="U352" s="164">
        <f t="shared" si="99"/>
        <v>1.3293032677648107</v>
      </c>
      <c r="V352" s="164">
        <f t="shared" si="100"/>
        <v>1.3205088170217785</v>
      </c>
      <c r="W352" s="164">
        <f t="shared" si="101"/>
        <v>0.61782765422022656</v>
      </c>
      <c r="X352" s="140"/>
    </row>
    <row r="353" spans="1:24" ht="15" customHeight="1" x14ac:dyDescent="0.2">
      <c r="A353" s="205" t="s">
        <v>52</v>
      </c>
      <c r="B353" s="206"/>
      <c r="C353" s="166">
        <v>15.048206278026919</v>
      </c>
      <c r="D353" s="166">
        <v>14.753921568627451</v>
      </c>
      <c r="E353" s="166">
        <v>14.80297397769516</v>
      </c>
      <c r="F353" s="166">
        <v>14.956118143459912</v>
      </c>
      <c r="G353" s="166">
        <v>14.968903436988537</v>
      </c>
      <c r="H353" s="166">
        <v>15.079631181894383</v>
      </c>
      <c r="I353" s="166">
        <v>14.991285403050108</v>
      </c>
      <c r="J353" s="166">
        <v>15.255829903978059</v>
      </c>
      <c r="K353" s="166">
        <v>15.217449664429536</v>
      </c>
      <c r="L353" s="166">
        <v>15.292216358839051</v>
      </c>
      <c r="M353" s="166">
        <v>15.395150720838792</v>
      </c>
      <c r="N353" s="166">
        <v>15.267206477732792</v>
      </c>
      <c r="O353" s="166">
        <v>15.282719546742213</v>
      </c>
      <c r="P353" s="166">
        <v>15.877263581488945</v>
      </c>
      <c r="Q353" s="166">
        <v>15.88581449727201</v>
      </c>
      <c r="R353" s="166">
        <v>15.521422797089736</v>
      </c>
      <c r="S353" s="166">
        <v>15.280944625407169</v>
      </c>
      <c r="T353" s="166">
        <v>15.084276729559745</v>
      </c>
      <c r="U353" s="165">
        <f t="shared" si="99"/>
        <v>-0.13317293486979054</v>
      </c>
      <c r="V353" s="165">
        <f t="shared" si="100"/>
        <v>-0.79298685192920004</v>
      </c>
      <c r="W353" s="165">
        <f t="shared" si="101"/>
        <v>-0.19666789584742439</v>
      </c>
      <c r="X353" s="140"/>
    </row>
    <row r="354" spans="1:24" ht="15" customHeight="1" x14ac:dyDescent="0.2">
      <c r="A354" s="207" t="s">
        <v>72</v>
      </c>
      <c r="B354" s="208"/>
      <c r="C354" s="167">
        <v>15.050691244239614</v>
      </c>
      <c r="D354" s="167">
        <v>14.747368421052638</v>
      </c>
      <c r="E354" s="167">
        <v>14.788187372708755</v>
      </c>
      <c r="F354" s="167">
        <v>14.937833037300175</v>
      </c>
      <c r="G354" s="167">
        <v>14.888123924268493</v>
      </c>
      <c r="H354" s="167">
        <v>15.003683241252309</v>
      </c>
      <c r="I354" s="167">
        <v>15.083202511773937</v>
      </c>
      <c r="J354" s="167">
        <v>15.111607142857148</v>
      </c>
      <c r="K354" s="167">
        <v>15.106259097525479</v>
      </c>
      <c r="L354" s="167">
        <v>15.251728907330554</v>
      </c>
      <c r="M354" s="167">
        <v>15.336633663366332</v>
      </c>
      <c r="N354" s="167">
        <v>15.273284313725485</v>
      </c>
      <c r="O354" s="167">
        <v>15.115338882282987</v>
      </c>
      <c r="P354" s="167">
        <v>15.821011673151743</v>
      </c>
      <c r="Q354" s="167">
        <v>15.703356752537077</v>
      </c>
      <c r="R354" s="167">
        <v>15.326892109500807</v>
      </c>
      <c r="S354" s="167">
        <v>15.248286367098249</v>
      </c>
      <c r="T354" s="167">
        <v>14.898928024502307</v>
      </c>
      <c r="U354" s="164">
        <f t="shared" si="99"/>
        <v>-0.20733107302317144</v>
      </c>
      <c r="V354" s="164">
        <f t="shared" si="100"/>
        <v>-0.92208364864943526</v>
      </c>
      <c r="W354" s="164">
        <f t="shared" si="101"/>
        <v>-0.34935834259594145</v>
      </c>
      <c r="X354" s="140"/>
    </row>
    <row r="355" spans="1:24" ht="15" customHeight="1" x14ac:dyDescent="0.2">
      <c r="A355" s="207" t="s">
        <v>71</v>
      </c>
      <c r="B355" s="208"/>
      <c r="C355" s="167">
        <v>15.045851528384278</v>
      </c>
      <c r="D355" s="167">
        <v>14.759633027522938</v>
      </c>
      <c r="E355" s="167">
        <v>14.81538461538463</v>
      </c>
      <c r="F355" s="167">
        <v>14.972668810289397</v>
      </c>
      <c r="G355" s="167">
        <v>15.042121684867395</v>
      </c>
      <c r="H355" s="167">
        <v>15.143076923076929</v>
      </c>
      <c r="I355" s="167">
        <v>14.912162162162154</v>
      </c>
      <c r="J355" s="167">
        <v>15.37913486005089</v>
      </c>
      <c r="K355" s="167">
        <v>15.312577833125779</v>
      </c>
      <c r="L355" s="167">
        <v>15.329129886506937</v>
      </c>
      <c r="M355" s="167">
        <v>15.445665445665457</v>
      </c>
      <c r="N355" s="167">
        <v>15.261774370208123</v>
      </c>
      <c r="O355" s="167">
        <v>15.43506493506494</v>
      </c>
      <c r="P355" s="167">
        <v>15.937500000000011</v>
      </c>
      <c r="Q355" s="167">
        <v>16.067704280155635</v>
      </c>
      <c r="R355" s="167">
        <v>15.717532467532465</v>
      </c>
      <c r="S355" s="167">
        <v>15.31846019247595</v>
      </c>
      <c r="T355" s="167">
        <v>15.308619091751629</v>
      </c>
      <c r="U355" s="164">
        <f t="shared" si="99"/>
        <v>-3.9587413741504207E-3</v>
      </c>
      <c r="V355" s="164">
        <f t="shared" si="100"/>
        <v>-0.62888090824838194</v>
      </c>
      <c r="W355" s="164">
        <f t="shared" si="101"/>
        <v>-9.8411007243210946E-3</v>
      </c>
      <c r="X355" s="140"/>
    </row>
    <row r="356" spans="1:24" ht="15" customHeight="1" x14ac:dyDescent="0.2">
      <c r="A356" s="205" t="s">
        <v>111</v>
      </c>
      <c r="B356" s="206"/>
      <c r="C356" s="166">
        <v>12.184397163120583</v>
      </c>
      <c r="D356" s="166">
        <v>12.786259541984732</v>
      </c>
      <c r="E356" s="166">
        <v>12.680487804878046</v>
      </c>
      <c r="F356" s="166">
        <v>12.991820040899793</v>
      </c>
      <c r="G356" s="166">
        <v>13.206299212598411</v>
      </c>
      <c r="H356" s="166">
        <v>13.322751322751328</v>
      </c>
      <c r="I356" s="166">
        <v>13.366421568627445</v>
      </c>
      <c r="J356" s="166">
        <v>13.263337116912593</v>
      </c>
      <c r="K356" s="166">
        <v>13.435072142064369</v>
      </c>
      <c r="L356" s="166">
        <v>13.530612244897963</v>
      </c>
      <c r="M356" s="166">
        <v>13.604026845637589</v>
      </c>
      <c r="N356" s="166">
        <v>13.634016704631739</v>
      </c>
      <c r="O356" s="166">
        <v>13.371320754716983</v>
      </c>
      <c r="P356" s="166">
        <v>14.073170731707329</v>
      </c>
      <c r="Q356" s="166">
        <v>13.8856338028169</v>
      </c>
      <c r="R356" s="166">
        <v>13.422750424448209</v>
      </c>
      <c r="S356" s="166">
        <v>12.890701468189233</v>
      </c>
      <c r="T356" s="166">
        <v>12.737591911764707</v>
      </c>
      <c r="U356" s="165">
        <f t="shared" si="99"/>
        <v>-0.69748023029966255</v>
      </c>
      <c r="V356" s="165">
        <f t="shared" si="100"/>
        <v>-1.3355788199426222</v>
      </c>
      <c r="W356" s="165">
        <f t="shared" si="101"/>
        <v>-0.15310955642452662</v>
      </c>
      <c r="X356" s="140"/>
    </row>
    <row r="357" spans="1:24" ht="15" customHeight="1" x14ac:dyDescent="0.2">
      <c r="A357" s="207" t="s">
        <v>72</v>
      </c>
      <c r="B357" s="208"/>
      <c r="C357" s="167">
        <v>11.982978723404264</v>
      </c>
      <c r="D357" s="167">
        <v>12.348039215686264</v>
      </c>
      <c r="E357" s="167">
        <v>12.715415019762839</v>
      </c>
      <c r="F357" s="167">
        <v>12.914893617021287</v>
      </c>
      <c r="G357" s="167">
        <v>13.31887755102041</v>
      </c>
      <c r="H357" s="167">
        <v>13.28612716763006</v>
      </c>
      <c r="I357" s="167">
        <v>13.435129740518958</v>
      </c>
      <c r="J357" s="167">
        <v>13.317365269461083</v>
      </c>
      <c r="K357" s="167">
        <v>13.493506493506498</v>
      </c>
      <c r="L357" s="167">
        <v>13.637755102040805</v>
      </c>
      <c r="M357" s="167">
        <v>13.615259740259749</v>
      </c>
      <c r="N357" s="167">
        <v>13.630996309963104</v>
      </c>
      <c r="O357" s="167">
        <v>13.362663495838287</v>
      </c>
      <c r="P357" s="167">
        <v>13.941309255079011</v>
      </c>
      <c r="Q357" s="167">
        <v>13.87604070305273</v>
      </c>
      <c r="R357" s="167">
        <v>13.496250852079077</v>
      </c>
      <c r="S357" s="167">
        <v>12.839815425181277</v>
      </c>
      <c r="T357" s="167">
        <v>12.641410352588149</v>
      </c>
      <c r="U357" s="164">
        <f t="shared" si="99"/>
        <v>-0.85209614091834851</v>
      </c>
      <c r="V357" s="164">
        <f t="shared" si="100"/>
        <v>-1.2998989024908614</v>
      </c>
      <c r="W357" s="164">
        <f t="shared" si="101"/>
        <v>-0.19840507259312723</v>
      </c>
      <c r="X357" s="140"/>
    </row>
    <row r="358" spans="1:24" ht="15" customHeight="1" x14ac:dyDescent="0.2">
      <c r="A358" s="207" t="s">
        <v>71</v>
      </c>
      <c r="B358" s="208"/>
      <c r="C358" s="167">
        <v>12.436170212765953</v>
      </c>
      <c r="D358" s="167">
        <v>13.259259259259256</v>
      </c>
      <c r="E358" s="167">
        <v>12.624203821656065</v>
      </c>
      <c r="F358" s="167">
        <v>13.096618357487918</v>
      </c>
      <c r="G358" s="167">
        <v>13.024691358024695</v>
      </c>
      <c r="H358" s="167">
        <v>13.380090497737555</v>
      </c>
      <c r="I358" s="167">
        <v>13.257142857142858</v>
      </c>
      <c r="J358" s="167">
        <v>13.192105263157895</v>
      </c>
      <c r="K358" s="167">
        <v>13.348066298342529</v>
      </c>
      <c r="L358" s="167">
        <v>13.369897959183666</v>
      </c>
      <c r="M358" s="167">
        <v>13.587822014051522</v>
      </c>
      <c r="N358" s="167">
        <v>13.638888888888879</v>
      </c>
      <c r="O358" s="167">
        <v>13.38636363636364</v>
      </c>
      <c r="P358" s="167">
        <v>14.271186440677965</v>
      </c>
      <c r="Q358" s="167">
        <v>13.900576368876083</v>
      </c>
      <c r="R358" s="167">
        <v>13.301462317210349</v>
      </c>
      <c r="S358" s="167">
        <v>12.97326203208557</v>
      </c>
      <c r="T358" s="167">
        <v>12.889679715302487</v>
      </c>
      <c r="U358" s="164">
        <f t="shared" si="99"/>
        <v>-0.45838658304004198</v>
      </c>
      <c r="V358" s="164">
        <f t="shared" si="100"/>
        <v>-1.3815067253754787</v>
      </c>
      <c r="W358" s="164">
        <f t="shared" si="101"/>
        <v>-8.3582316783083144E-2</v>
      </c>
      <c r="X358" s="140"/>
    </row>
    <row r="359" spans="1:24" ht="15" customHeight="1" x14ac:dyDescent="0.2">
      <c r="A359" s="205" t="s">
        <v>298</v>
      </c>
      <c r="B359" s="206"/>
      <c r="C359" s="166">
        <v>11.785046728971958</v>
      </c>
      <c r="D359" s="166">
        <v>12.000000000000025</v>
      </c>
      <c r="E359" s="166">
        <v>11.901315789473681</v>
      </c>
      <c r="F359" s="166">
        <v>12.430851063829792</v>
      </c>
      <c r="G359" s="166">
        <v>12.642857142857149</v>
      </c>
      <c r="H359" s="166">
        <v>12.054982817869398</v>
      </c>
      <c r="I359" s="166">
        <v>12.568914956011735</v>
      </c>
      <c r="J359" s="166">
        <v>11.729729729729721</v>
      </c>
      <c r="K359" s="166">
        <v>12.306027820710982</v>
      </c>
      <c r="L359" s="166">
        <v>12.122222222222213</v>
      </c>
      <c r="M359" s="166">
        <v>12.191285866099898</v>
      </c>
      <c r="N359" s="166">
        <v>12.36071428571428</v>
      </c>
      <c r="O359" s="166">
        <v>12.288923315259487</v>
      </c>
      <c r="P359" s="166">
        <v>13.684759916492689</v>
      </c>
      <c r="Q359" s="166">
        <v>12.642258491398332</v>
      </c>
      <c r="R359" s="166">
        <v>11.779838709677417</v>
      </c>
      <c r="S359" s="166">
        <v>11.655357881671499</v>
      </c>
      <c r="T359" s="166">
        <v>11.467520151730682</v>
      </c>
      <c r="U359" s="165">
        <f t="shared" si="99"/>
        <v>-0.83850766898030038</v>
      </c>
      <c r="V359" s="165">
        <f t="shared" si="100"/>
        <v>-2.2172397647620077</v>
      </c>
      <c r="W359" s="165">
        <f t="shared" si="101"/>
        <v>-0.18783772994081716</v>
      </c>
      <c r="X359" s="140"/>
    </row>
    <row r="360" spans="1:24" ht="15" customHeight="1" x14ac:dyDescent="0.2">
      <c r="A360" s="207" t="s">
        <v>72</v>
      </c>
      <c r="B360" s="208"/>
      <c r="C360" s="167">
        <v>11.924731182795714</v>
      </c>
      <c r="D360" s="167">
        <v>12.076923076923057</v>
      </c>
      <c r="E360" s="167">
        <v>11.813008130081304</v>
      </c>
      <c r="F360" s="167">
        <v>12.209459459459453</v>
      </c>
      <c r="G360" s="167">
        <v>12.553571428571408</v>
      </c>
      <c r="H360" s="167">
        <v>12.00826446280991</v>
      </c>
      <c r="I360" s="167">
        <v>12.382978723404268</v>
      </c>
      <c r="J360" s="167">
        <v>11.693069306930681</v>
      </c>
      <c r="K360" s="167">
        <v>12.218691588785047</v>
      </c>
      <c r="L360" s="167">
        <v>12.082352941176476</v>
      </c>
      <c r="M360" s="167">
        <v>12.127633209417599</v>
      </c>
      <c r="N360" s="167">
        <v>12.27243928194298</v>
      </c>
      <c r="O360" s="167">
        <v>12.17446043165468</v>
      </c>
      <c r="P360" s="167">
        <v>13.651960784313712</v>
      </c>
      <c r="Q360" s="167">
        <v>12.605583756345187</v>
      </c>
      <c r="R360" s="167">
        <v>11.749999999999998</v>
      </c>
      <c r="S360" s="167">
        <v>11.594425756847663</v>
      </c>
      <c r="T360" s="167">
        <v>11.435281267067188</v>
      </c>
      <c r="U360" s="164">
        <f t="shared" si="99"/>
        <v>-0.7834103217178594</v>
      </c>
      <c r="V360" s="164">
        <f t="shared" si="100"/>
        <v>-2.2166795172465239</v>
      </c>
      <c r="W360" s="164">
        <f t="shared" si="101"/>
        <v>-0.15914448978047524</v>
      </c>
      <c r="X360" s="140"/>
    </row>
    <row r="361" spans="1:24" ht="15" customHeight="1" x14ac:dyDescent="0.2">
      <c r="A361" s="207" t="s">
        <v>71</v>
      </c>
      <c r="B361" s="208"/>
      <c r="C361" s="167">
        <v>10.857142857142858</v>
      </c>
      <c r="D361" s="167">
        <v>11.655172413793103</v>
      </c>
      <c r="E361" s="167">
        <v>12.275862068965521</v>
      </c>
      <c r="F361" s="167">
        <v>13.250000000000004</v>
      </c>
      <c r="G361" s="167">
        <v>13.000000000000004</v>
      </c>
      <c r="H361" s="167">
        <v>12.285714285714286</v>
      </c>
      <c r="I361" s="167">
        <v>13.457627118644069</v>
      </c>
      <c r="J361" s="167">
        <v>11.922077922077914</v>
      </c>
      <c r="K361" s="167">
        <v>12.72321428571429</v>
      </c>
      <c r="L361" s="167">
        <v>12.330769230769231</v>
      </c>
      <c r="M361" s="167">
        <v>12.57462686567165</v>
      </c>
      <c r="N361" s="167">
        <v>12.843930635838142</v>
      </c>
      <c r="O361" s="167">
        <v>13.000000000000002</v>
      </c>
      <c r="P361" s="167">
        <v>13.873239436619729</v>
      </c>
      <c r="Q361" s="167">
        <v>12.885521885521882</v>
      </c>
      <c r="R361" s="167">
        <v>11.965116279069763</v>
      </c>
      <c r="S361" s="167">
        <v>12.032738095238098</v>
      </c>
      <c r="T361" s="167">
        <v>11.679856115107915</v>
      </c>
      <c r="U361" s="164">
        <f t="shared" si="99"/>
        <v>-1.0433581706063748</v>
      </c>
      <c r="V361" s="164">
        <f t="shared" si="100"/>
        <v>-2.1933833215118135</v>
      </c>
      <c r="W361" s="164">
        <f t="shared" si="101"/>
        <v>-0.35288198013018324</v>
      </c>
      <c r="X361" s="140"/>
    </row>
    <row r="362" spans="1:24" ht="15" customHeight="1" x14ac:dyDescent="0.2">
      <c r="A362" s="205" t="s">
        <v>38</v>
      </c>
      <c r="B362" s="206"/>
      <c r="C362" s="166">
        <v>13.00810810810812</v>
      </c>
      <c r="D362" s="166">
        <v>13.747359154929566</v>
      </c>
      <c r="E362" s="166">
        <v>13.35728346456693</v>
      </c>
      <c r="F362" s="166">
        <v>13.555077452667822</v>
      </c>
      <c r="G362" s="166">
        <v>13.049586776859512</v>
      </c>
      <c r="H362" s="166">
        <v>13.313862249346112</v>
      </c>
      <c r="I362" s="166">
        <v>12.709183673469385</v>
      </c>
      <c r="J362" s="166">
        <v>12.286454957874273</v>
      </c>
      <c r="K362" s="166">
        <v>12.212618296529973</v>
      </c>
      <c r="L362" s="166">
        <v>12.130705394190869</v>
      </c>
      <c r="M362" s="166">
        <v>12.014820042342977</v>
      </c>
      <c r="N362" s="166">
        <v>11.913135593220341</v>
      </c>
      <c r="O362" s="166">
        <v>11.743198407431981</v>
      </c>
      <c r="P362" s="166">
        <v>11.931353135313527</v>
      </c>
      <c r="Q362" s="166">
        <v>11.816402609506053</v>
      </c>
      <c r="R362" s="166">
        <v>11.489547885269811</v>
      </c>
      <c r="S362" s="166">
        <v>11.707744763760362</v>
      </c>
      <c r="T362" s="166">
        <v>11.779499404052446</v>
      </c>
      <c r="U362" s="165">
        <f t="shared" si="99"/>
        <v>-0.43311889247752688</v>
      </c>
      <c r="V362" s="165">
        <f t="shared" si="100"/>
        <v>-0.15185373126108104</v>
      </c>
      <c r="W362" s="165">
        <f t="shared" si="101"/>
        <v>7.1754640292084559E-2</v>
      </c>
      <c r="X362" s="140"/>
    </row>
    <row r="363" spans="1:24" ht="15" customHeight="1" x14ac:dyDescent="0.2">
      <c r="A363" s="207" t="s">
        <v>72</v>
      </c>
      <c r="B363" s="208"/>
      <c r="C363" s="167">
        <v>12.764430577223097</v>
      </c>
      <c r="D363" s="167">
        <v>13.682588597842836</v>
      </c>
      <c r="E363" s="167">
        <v>13.188356164383563</v>
      </c>
      <c r="F363" s="167">
        <v>13.308494783904626</v>
      </c>
      <c r="G363" s="167">
        <v>12.963022508038586</v>
      </c>
      <c r="H363" s="167">
        <v>13.076461769115447</v>
      </c>
      <c r="I363" s="167">
        <v>12.6</v>
      </c>
      <c r="J363" s="167">
        <v>12.203107658157602</v>
      </c>
      <c r="K363" s="167">
        <v>12.024945770065072</v>
      </c>
      <c r="L363" s="167">
        <v>12.043580683156655</v>
      </c>
      <c r="M363" s="167">
        <v>11.864832535885158</v>
      </c>
      <c r="N363" s="167">
        <v>11.786419753086415</v>
      </c>
      <c r="O363" s="167">
        <v>11.575492341356677</v>
      </c>
      <c r="P363" s="167">
        <v>11.866589327146174</v>
      </c>
      <c r="Q363" s="167">
        <v>11.736153846153847</v>
      </c>
      <c r="R363" s="167">
        <v>11.38412698412699</v>
      </c>
      <c r="S363" s="167">
        <v>11.637521222410868</v>
      </c>
      <c r="T363" s="167">
        <v>11.717974180734855</v>
      </c>
      <c r="U363" s="164">
        <f t="shared" si="99"/>
        <v>-0.3069715893302174</v>
      </c>
      <c r="V363" s="164">
        <f t="shared" si="100"/>
        <v>-0.1486151464113199</v>
      </c>
      <c r="W363" s="164">
        <f t="shared" si="101"/>
        <v>8.0452958323986579E-2</v>
      </c>
      <c r="X363" s="140"/>
    </row>
    <row r="364" spans="1:24" ht="15" customHeight="1" x14ac:dyDescent="0.2">
      <c r="A364" s="207" t="s">
        <v>71</v>
      </c>
      <c r="B364" s="208"/>
      <c r="C364" s="164">
        <v>13.341151385927503</v>
      </c>
      <c r="D364" s="164">
        <v>13.833675564681725</v>
      </c>
      <c r="E364" s="164">
        <v>13.585648148148151</v>
      </c>
      <c r="F364" s="164">
        <v>13.892057026476584</v>
      </c>
      <c r="G364" s="164">
        <v>13.164882226980728</v>
      </c>
      <c r="H364" s="164">
        <v>13.643749999999994</v>
      </c>
      <c r="I364" s="164">
        <v>12.871376811594208</v>
      </c>
      <c r="J364" s="164">
        <v>12.40342679127726</v>
      </c>
      <c r="K364" s="164">
        <v>12.473604826546003</v>
      </c>
      <c r="L364" s="164">
        <v>12.254606365159134</v>
      </c>
      <c r="M364" s="164">
        <v>12.230636833046475</v>
      </c>
      <c r="N364" s="164">
        <v>12.082508250825081</v>
      </c>
      <c r="O364" s="164">
        <v>12.001686340640811</v>
      </c>
      <c r="P364" s="164">
        <v>12.016845329249611</v>
      </c>
      <c r="Q364" s="164">
        <v>11.93971631205674</v>
      </c>
      <c r="R364" s="164">
        <v>11.656210790464238</v>
      </c>
      <c r="S364" s="164">
        <v>11.802285714285718</v>
      </c>
      <c r="T364" s="164">
        <v>11.87183308494784</v>
      </c>
      <c r="U364" s="164">
        <f t="shared" si="99"/>
        <v>-0.6017717415981636</v>
      </c>
      <c r="V364" s="164">
        <f t="shared" si="100"/>
        <v>-0.14501224430177118</v>
      </c>
      <c r="W364" s="164">
        <f t="shared" si="101"/>
        <v>6.9547370662121466E-2</v>
      </c>
      <c r="X364" s="140"/>
    </row>
    <row r="365" spans="1:24" ht="15" customHeight="1" x14ac:dyDescent="0.2">
      <c r="A365" s="205" t="s">
        <v>308</v>
      </c>
      <c r="B365" s="206"/>
      <c r="C365" s="166">
        <v>12.630094043887157</v>
      </c>
      <c r="D365" s="166">
        <v>12.034700315457414</v>
      </c>
      <c r="E365" s="166">
        <v>12.341397849462352</v>
      </c>
      <c r="F365" s="166">
        <v>12.2069970845481</v>
      </c>
      <c r="G365" s="166">
        <v>12.117263843648194</v>
      </c>
      <c r="H365" s="166">
        <v>11.63716814159293</v>
      </c>
      <c r="I365" s="166">
        <v>12.097727272727282</v>
      </c>
      <c r="J365" s="166">
        <v>11.83241252302026</v>
      </c>
      <c r="K365" s="166">
        <v>11.887265135699369</v>
      </c>
      <c r="L365" s="166">
        <v>11.803981623277183</v>
      </c>
      <c r="M365" s="166">
        <v>11.641399416909628</v>
      </c>
      <c r="N365" s="166">
        <v>12.111479028697566</v>
      </c>
      <c r="O365" s="166">
        <v>12.310276679841911</v>
      </c>
      <c r="P365" s="166">
        <v>13.397979797979792</v>
      </c>
      <c r="Q365" s="166">
        <v>13.028854824165903</v>
      </c>
      <c r="R365" s="166">
        <v>12.688000000000002</v>
      </c>
      <c r="S365" s="166">
        <v>12.707699852869061</v>
      </c>
      <c r="T365" s="166">
        <v>12.260287555775898</v>
      </c>
      <c r="U365" s="165">
        <f t="shared" si="99"/>
        <v>0.37302242007652886</v>
      </c>
      <c r="V365" s="165">
        <f t="shared" si="100"/>
        <v>-1.1376922422038938</v>
      </c>
      <c r="W365" s="165">
        <f t="shared" si="101"/>
        <v>-0.44741229709316244</v>
      </c>
      <c r="X365" s="140"/>
    </row>
    <row r="366" spans="1:24" ht="15" customHeight="1" x14ac:dyDescent="0.2">
      <c r="A366" s="207" t="s">
        <v>72</v>
      </c>
      <c r="B366" s="208"/>
      <c r="C366" s="167">
        <v>12.649819494584822</v>
      </c>
      <c r="D366" s="167">
        <v>12.031578947368427</v>
      </c>
      <c r="E366" s="167">
        <v>12.418461538461536</v>
      </c>
      <c r="F366" s="167">
        <v>12.334405144694522</v>
      </c>
      <c r="G366" s="167">
        <v>12.111524163568774</v>
      </c>
      <c r="H366" s="167">
        <v>11.673417721518986</v>
      </c>
      <c r="I366" s="167">
        <v>12.088832487309638</v>
      </c>
      <c r="J366" s="167">
        <v>11.872651356993742</v>
      </c>
      <c r="K366" s="167">
        <v>11.893665158371041</v>
      </c>
      <c r="L366" s="167">
        <v>11.765188834154337</v>
      </c>
      <c r="M366" s="167">
        <v>11.660347551342801</v>
      </c>
      <c r="N366" s="167">
        <v>12.069364161849707</v>
      </c>
      <c r="O366" s="167">
        <v>12.298136645962732</v>
      </c>
      <c r="P366" s="167">
        <v>13.401709401709402</v>
      </c>
      <c r="Q366" s="167">
        <v>13.013320647002852</v>
      </c>
      <c r="R366" s="167">
        <v>12.679665738161551</v>
      </c>
      <c r="S366" s="167">
        <v>12.680763280041266</v>
      </c>
      <c r="T366" s="167">
        <v>12.254158004158006</v>
      </c>
      <c r="U366" s="164">
        <f t="shared" si="99"/>
        <v>0.36049284578696472</v>
      </c>
      <c r="V366" s="164">
        <f t="shared" si="100"/>
        <v>-1.1475513975513962</v>
      </c>
      <c r="W366" s="164">
        <f t="shared" si="101"/>
        <v>-0.42660527588325969</v>
      </c>
      <c r="X366" s="140"/>
    </row>
    <row r="367" spans="1:24" ht="15" customHeight="1" x14ac:dyDescent="0.2">
      <c r="A367" s="207" t="s">
        <v>71</v>
      </c>
      <c r="B367" s="208"/>
      <c r="C367" s="167">
        <v>12.500000000000005</v>
      </c>
      <c r="D367" s="167">
        <v>12.062499999999996</v>
      </c>
      <c r="E367" s="167">
        <v>11.808510638297872</v>
      </c>
      <c r="F367" s="167">
        <v>10.968750000000004</v>
      </c>
      <c r="G367" s="167">
        <v>12.157894736842117</v>
      </c>
      <c r="H367" s="167">
        <v>11.385964912280706</v>
      </c>
      <c r="I367" s="167">
        <v>12.173913043478246</v>
      </c>
      <c r="J367" s="167">
        <v>11.53124999999998</v>
      </c>
      <c r="K367" s="167">
        <v>11.810810810810828</v>
      </c>
      <c r="L367" s="167">
        <v>12.340909090909081</v>
      </c>
      <c r="M367" s="167">
        <v>11.415094339622646</v>
      </c>
      <c r="N367" s="167">
        <v>13.000000000000009</v>
      </c>
      <c r="O367" s="167">
        <v>12.565217391304346</v>
      </c>
      <c r="P367" s="167">
        <v>13.333333333333337</v>
      </c>
      <c r="Q367" s="167">
        <v>13.31034482758621</v>
      </c>
      <c r="R367" s="167">
        <v>12.875</v>
      </c>
      <c r="S367" s="167">
        <v>13.23</v>
      </c>
      <c r="T367" s="167">
        <v>12.387096774193546</v>
      </c>
      <c r="U367" s="164">
        <f t="shared" si="99"/>
        <v>0.57628596338271798</v>
      </c>
      <c r="V367" s="164">
        <f t="shared" si="100"/>
        <v>-0.94623655913979121</v>
      </c>
      <c r="W367" s="164">
        <f t="shared" si="101"/>
        <v>-0.84290322580645416</v>
      </c>
      <c r="X367" s="140"/>
    </row>
    <row r="368" spans="1:24" ht="15" customHeight="1" x14ac:dyDescent="0.2">
      <c r="A368" s="205" t="s">
        <v>55</v>
      </c>
      <c r="B368" s="206"/>
      <c r="C368" s="166">
        <v>10.807244501940493</v>
      </c>
      <c r="D368" s="166">
        <v>10.46236559139785</v>
      </c>
      <c r="E368" s="166">
        <v>10.416243654822344</v>
      </c>
      <c r="F368" s="166">
        <v>10.681428571428569</v>
      </c>
      <c r="G368" s="166">
        <v>10.57687420584498</v>
      </c>
      <c r="H368" s="166">
        <v>10.860439560439568</v>
      </c>
      <c r="I368" s="166">
        <v>10.705882352941176</v>
      </c>
      <c r="J368" s="166">
        <v>10.699537750385208</v>
      </c>
      <c r="K368" s="166">
        <v>10.694426229508196</v>
      </c>
      <c r="L368" s="166">
        <v>10.333540759178593</v>
      </c>
      <c r="M368" s="166">
        <v>10.225378787878787</v>
      </c>
      <c r="N368" s="166">
        <v>10.209703504043125</v>
      </c>
      <c r="O368" s="166">
        <v>10.171987641606593</v>
      </c>
      <c r="P368" s="166">
        <v>10.598039215686274</v>
      </c>
      <c r="Q368" s="166">
        <v>10.741632413388141</v>
      </c>
      <c r="R368" s="166">
        <v>10.695589298626178</v>
      </c>
      <c r="S368" s="166">
        <v>10.609442060085836</v>
      </c>
      <c r="T368" s="166">
        <v>10.438871473354233</v>
      </c>
      <c r="U368" s="165">
        <f t="shared" si="99"/>
        <v>-0.25555475615396261</v>
      </c>
      <c r="V368" s="165">
        <f t="shared" si="100"/>
        <v>-0.15916774233204123</v>
      </c>
      <c r="W368" s="165">
        <f t="shared" si="101"/>
        <v>-0.17057058673160341</v>
      </c>
      <c r="X368" s="140"/>
    </row>
    <row r="369" spans="1:24" ht="15" customHeight="1" x14ac:dyDescent="0.2">
      <c r="A369" s="207" t="s">
        <v>72</v>
      </c>
      <c r="B369" s="208"/>
      <c r="C369" s="167">
        <v>10.748299319727895</v>
      </c>
      <c r="D369" s="167">
        <v>10.303184713375794</v>
      </c>
      <c r="E369" s="167">
        <v>10.398160315374522</v>
      </c>
      <c r="F369" s="167">
        <v>10.653153153153148</v>
      </c>
      <c r="G369" s="167">
        <v>10.53509933774834</v>
      </c>
      <c r="H369" s="167">
        <v>10.80183276059565</v>
      </c>
      <c r="I369" s="167">
        <v>10.667823070251522</v>
      </c>
      <c r="J369" s="167">
        <v>10.681818181818185</v>
      </c>
      <c r="K369" s="167">
        <v>10.642614023144997</v>
      </c>
      <c r="L369" s="167">
        <v>10.318971061093251</v>
      </c>
      <c r="M369" s="167">
        <v>10.211038961038957</v>
      </c>
      <c r="N369" s="167">
        <v>10.215119510839354</v>
      </c>
      <c r="O369" s="167">
        <v>10.1554376657825</v>
      </c>
      <c r="P369" s="167">
        <v>10.588347055098156</v>
      </c>
      <c r="Q369" s="167">
        <v>10.7161094224924</v>
      </c>
      <c r="R369" s="167">
        <v>10.676382660687596</v>
      </c>
      <c r="S369" s="167">
        <v>10.583184257602861</v>
      </c>
      <c r="T369" s="167">
        <v>10.411620294599013</v>
      </c>
      <c r="U369" s="164">
        <f t="shared" si="99"/>
        <v>-0.23099372854598421</v>
      </c>
      <c r="V369" s="164">
        <f t="shared" si="100"/>
        <v>-0.17672676049914315</v>
      </c>
      <c r="W369" s="164">
        <f t="shared" si="101"/>
        <v>-0.17156396300384813</v>
      </c>
      <c r="X369" s="140"/>
    </row>
    <row r="370" spans="1:24" ht="15" customHeight="1" x14ac:dyDescent="0.2">
      <c r="A370" s="207" t="s">
        <v>71</v>
      </c>
      <c r="B370" s="208"/>
      <c r="C370" s="167">
        <v>11.947368421052632</v>
      </c>
      <c r="D370" s="167">
        <v>12.865384615384601</v>
      </c>
      <c r="E370" s="167">
        <v>10.925925925925926</v>
      </c>
      <c r="F370" s="167">
        <v>11.235294117647056</v>
      </c>
      <c r="G370" s="167">
        <v>11.562499999999996</v>
      </c>
      <c r="H370" s="167">
        <v>12.243243243243244</v>
      </c>
      <c r="I370" s="167">
        <v>11.891891891891891</v>
      </c>
      <c r="J370" s="167">
        <v>11.204545454545451</v>
      </c>
      <c r="K370" s="167">
        <v>12.053571428571427</v>
      </c>
      <c r="L370" s="167">
        <v>10.76923076923077</v>
      </c>
      <c r="M370" s="167">
        <v>10.727272727272727</v>
      </c>
      <c r="N370" s="167">
        <v>10.035714285714286</v>
      </c>
      <c r="O370" s="167">
        <v>10.719298245614032</v>
      </c>
      <c r="P370" s="167">
        <v>10.886792452830187</v>
      </c>
      <c r="Q370" s="167">
        <v>11.465517241379317</v>
      </c>
      <c r="R370" s="167">
        <v>11.266666666666659</v>
      </c>
      <c r="S370" s="167">
        <v>11.234042553191484</v>
      </c>
      <c r="T370" s="167">
        <v>11.055555555555552</v>
      </c>
      <c r="U370" s="164">
        <f t="shared" si="99"/>
        <v>-0.99801587301587524</v>
      </c>
      <c r="V370" s="164">
        <f t="shared" si="100"/>
        <v>0.16876310272536443</v>
      </c>
      <c r="W370" s="164">
        <f t="shared" si="101"/>
        <v>-0.17848699763593245</v>
      </c>
      <c r="X370" s="140"/>
    </row>
    <row r="371" spans="1:24" ht="15" customHeight="1" x14ac:dyDescent="0.2">
      <c r="A371" s="205" t="s">
        <v>436</v>
      </c>
      <c r="B371" s="206"/>
      <c r="C371" s="166">
        <v>12.660098522167486</v>
      </c>
      <c r="D371" s="166">
        <v>13.328571428571426</v>
      </c>
      <c r="E371" s="166">
        <v>11.971962616822438</v>
      </c>
      <c r="F371" s="166">
        <v>12.120603015075375</v>
      </c>
      <c r="G371" s="166">
        <v>12.895196506550203</v>
      </c>
      <c r="H371" s="166">
        <v>12.809701492537313</v>
      </c>
      <c r="I371" s="166">
        <v>12.167682926829281</v>
      </c>
      <c r="J371" s="166">
        <v>12.656587473002142</v>
      </c>
      <c r="K371" s="166">
        <v>12.121654501216534</v>
      </c>
      <c r="L371" s="166">
        <v>12.653164556962023</v>
      </c>
      <c r="M371" s="166">
        <v>12.282857142857145</v>
      </c>
      <c r="N371" s="166">
        <v>12.380789022298455</v>
      </c>
      <c r="O371" s="166">
        <v>11.18479880774963</v>
      </c>
      <c r="P371" s="166">
        <v>11.337979094076658</v>
      </c>
      <c r="Q371" s="166">
        <v>11.391644908616195</v>
      </c>
      <c r="R371" s="166">
        <v>11.870129870129876</v>
      </c>
      <c r="S371" s="166">
        <v>12.001919385796544</v>
      </c>
      <c r="T371" s="166">
        <v>12.655097613882866</v>
      </c>
      <c r="U371" s="165">
        <f t="shared" si="99"/>
        <v>0.53344311266633149</v>
      </c>
      <c r="V371" s="165">
        <f t="shared" si="100"/>
        <v>1.3171185198062076</v>
      </c>
      <c r="W371" s="165">
        <f t="shared" si="101"/>
        <v>0.65317822808632187</v>
      </c>
      <c r="X371" s="140"/>
    </row>
    <row r="372" spans="1:24" ht="15" customHeight="1" x14ac:dyDescent="0.2">
      <c r="A372" s="207" t="s">
        <v>72</v>
      </c>
      <c r="B372" s="208"/>
      <c r="C372" s="167">
        <v>11.574999999999999</v>
      </c>
      <c r="D372" s="167">
        <v>12.146341463414631</v>
      </c>
      <c r="E372" s="167">
        <v>12.294117647058821</v>
      </c>
      <c r="F372" s="167">
        <v>11.442307692307681</v>
      </c>
      <c r="G372" s="167">
        <v>12.333333333333348</v>
      </c>
      <c r="H372" s="167">
        <v>11.624999999999998</v>
      </c>
      <c r="I372" s="167">
        <v>11.494505494505505</v>
      </c>
      <c r="J372" s="167">
        <v>12.396694214876026</v>
      </c>
      <c r="K372" s="167">
        <v>11.770833333333348</v>
      </c>
      <c r="L372" s="167">
        <v>12.839506172839512</v>
      </c>
      <c r="M372" s="167">
        <v>12.673267326732679</v>
      </c>
      <c r="N372" s="167">
        <v>11.70072992700729</v>
      </c>
      <c r="O372" s="167">
        <v>11.196721311475407</v>
      </c>
      <c r="P372" s="167">
        <v>10.774193548387089</v>
      </c>
      <c r="Q372" s="167">
        <v>11.228855721393032</v>
      </c>
      <c r="R372" s="167">
        <v>11.572972972972963</v>
      </c>
      <c r="S372" s="167">
        <v>12.159235668789815</v>
      </c>
      <c r="T372" s="167">
        <v>12.826086956521738</v>
      </c>
      <c r="U372" s="164">
        <f t="shared" si="99"/>
        <v>1.0552536231883902</v>
      </c>
      <c r="V372" s="164">
        <f t="shared" si="100"/>
        <v>2.0518934081346494</v>
      </c>
      <c r="W372" s="164">
        <f t="shared" si="101"/>
        <v>0.66685128773192304</v>
      </c>
      <c r="X372" s="140"/>
    </row>
    <row r="373" spans="1:24" ht="15" customHeight="1" x14ac:dyDescent="0.2">
      <c r="A373" s="207" t="s">
        <v>71</v>
      </c>
      <c r="B373" s="208"/>
      <c r="C373" s="167">
        <v>12.92638036809816</v>
      </c>
      <c r="D373" s="167">
        <v>13.615384615384608</v>
      </c>
      <c r="E373" s="167">
        <v>11.87116564417178</v>
      </c>
      <c r="F373" s="167">
        <v>12.360544217687078</v>
      </c>
      <c r="G373" s="167">
        <v>13.032608695652174</v>
      </c>
      <c r="H373" s="167">
        <v>13.122641509433956</v>
      </c>
      <c r="I373" s="167">
        <v>12.426160337552732</v>
      </c>
      <c r="J373" s="167">
        <v>12.748538011695901</v>
      </c>
      <c r="K373" s="167">
        <v>12.228571428571421</v>
      </c>
      <c r="L373" s="167">
        <v>12.60509554140128</v>
      </c>
      <c r="M373" s="167">
        <v>12.124497991967871</v>
      </c>
      <c r="N373" s="167">
        <v>12.589686098654704</v>
      </c>
      <c r="O373" s="167">
        <v>11.180327868852455</v>
      </c>
      <c r="P373" s="167">
        <v>11.546539379474936</v>
      </c>
      <c r="Q373" s="167">
        <v>11.449557522123895</v>
      </c>
      <c r="R373" s="167">
        <v>11.997679814385146</v>
      </c>
      <c r="S373" s="167">
        <v>11.93406593406594</v>
      </c>
      <c r="T373" s="167">
        <v>12.582043343653249</v>
      </c>
      <c r="U373" s="164">
        <f t="shared" si="99"/>
        <v>0.35347191508182796</v>
      </c>
      <c r="V373" s="164">
        <f t="shared" si="100"/>
        <v>1.0355039641783126</v>
      </c>
      <c r="W373" s="164">
        <f t="shared" si="101"/>
        <v>0.64797740958730898</v>
      </c>
      <c r="X373" s="140"/>
    </row>
    <row r="374" spans="1:24" ht="15" customHeight="1" x14ac:dyDescent="0.2">
      <c r="A374" s="205" t="s">
        <v>68</v>
      </c>
      <c r="B374" s="206"/>
      <c r="C374" s="166">
        <v>11.376760563380284</v>
      </c>
      <c r="D374" s="166">
        <v>11.015831134564639</v>
      </c>
      <c r="E374" s="166">
        <v>11.196754563894526</v>
      </c>
      <c r="F374" s="166">
        <v>11.58214285714285</v>
      </c>
      <c r="G374" s="166">
        <v>11.992187500000005</v>
      </c>
      <c r="H374" s="166">
        <v>11.952160493827158</v>
      </c>
      <c r="I374" s="166">
        <v>12.223748773307161</v>
      </c>
      <c r="J374" s="166">
        <v>12.432148626817444</v>
      </c>
      <c r="K374" s="166">
        <v>12.335697399527193</v>
      </c>
      <c r="L374" s="166">
        <v>12.453757225433534</v>
      </c>
      <c r="M374" s="166">
        <v>12.755829015544039</v>
      </c>
      <c r="N374" s="166">
        <v>13.105090311986862</v>
      </c>
      <c r="O374" s="166">
        <v>12.840991535671096</v>
      </c>
      <c r="P374" s="166">
        <v>13.847690387016225</v>
      </c>
      <c r="Q374" s="166">
        <v>13.156758803483534</v>
      </c>
      <c r="R374" s="166">
        <v>13.094615993665887</v>
      </c>
      <c r="S374" s="166">
        <v>12.533269045323053</v>
      </c>
      <c r="T374" s="166">
        <v>12.564434440067528</v>
      </c>
      <c r="U374" s="165">
        <f t="shared" si="99"/>
        <v>0.22873704054033439</v>
      </c>
      <c r="V374" s="165">
        <f t="shared" si="100"/>
        <v>-1.2832559469486977</v>
      </c>
      <c r="W374" s="165">
        <f t="shared" si="101"/>
        <v>3.1165394744474995E-2</v>
      </c>
      <c r="X374" s="140"/>
    </row>
    <row r="375" spans="1:24" ht="15" customHeight="1" x14ac:dyDescent="0.2">
      <c r="A375" s="207" t="s">
        <v>72</v>
      </c>
      <c r="B375" s="208"/>
      <c r="C375" s="167">
        <v>11.356862745098034</v>
      </c>
      <c r="D375" s="167">
        <v>10.976401179941014</v>
      </c>
      <c r="E375" s="167">
        <v>11.157327586206904</v>
      </c>
      <c r="F375" s="167">
        <v>11.623015873015872</v>
      </c>
      <c r="G375" s="167">
        <v>12.031468531468537</v>
      </c>
      <c r="H375" s="167">
        <v>11.950900163666114</v>
      </c>
      <c r="I375" s="167">
        <v>12.212025316455703</v>
      </c>
      <c r="J375" s="167">
        <v>12.429475587703429</v>
      </c>
      <c r="K375" s="167">
        <v>12.320312499999995</v>
      </c>
      <c r="L375" s="167">
        <v>12.445146014206788</v>
      </c>
      <c r="M375" s="167">
        <v>12.723449750534561</v>
      </c>
      <c r="N375" s="167">
        <v>13.066626287098732</v>
      </c>
      <c r="O375" s="167">
        <v>12.821762349799734</v>
      </c>
      <c r="P375" s="167">
        <v>13.771784232365148</v>
      </c>
      <c r="Q375" s="167">
        <v>13.168715557439585</v>
      </c>
      <c r="R375" s="167">
        <v>13.106007067137799</v>
      </c>
      <c r="S375" s="167">
        <v>12.563934426229512</v>
      </c>
      <c r="T375" s="167">
        <v>12.554894179894177</v>
      </c>
      <c r="U375" s="164">
        <f t="shared" si="99"/>
        <v>0.23458167989418222</v>
      </c>
      <c r="V375" s="164">
        <f t="shared" si="100"/>
        <v>-1.2168900524709709</v>
      </c>
      <c r="W375" s="164">
        <f t="shared" si="101"/>
        <v>-9.040246335334956E-3</v>
      </c>
      <c r="X375" s="140"/>
    </row>
    <row r="376" spans="1:24" ht="15" customHeight="1" x14ac:dyDescent="0.2">
      <c r="A376" s="207" t="s">
        <v>71</v>
      </c>
      <c r="B376" s="208"/>
      <c r="C376" s="167">
        <v>11.55172413793103</v>
      </c>
      <c r="D376" s="167">
        <v>11.35</v>
      </c>
      <c r="E376" s="167">
        <v>11.827586206896548</v>
      </c>
      <c r="F376" s="167">
        <v>11.214285714285712</v>
      </c>
      <c r="G376" s="167">
        <v>11.661764705882351</v>
      </c>
      <c r="H376" s="167">
        <v>11.97297297297297</v>
      </c>
      <c r="I376" s="167">
        <v>12.380281690140848</v>
      </c>
      <c r="J376" s="167">
        <v>12.45454545454546</v>
      </c>
      <c r="K376" s="167">
        <v>12.487179487179485</v>
      </c>
      <c r="L376" s="167">
        <v>12.547008547008543</v>
      </c>
      <c r="M376" s="167">
        <v>13.078014184397166</v>
      </c>
      <c r="N376" s="167">
        <v>13.465909090909093</v>
      </c>
      <c r="O376" s="167">
        <v>13.025641025641026</v>
      </c>
      <c r="P376" s="167">
        <v>14.551282051282055</v>
      </c>
      <c r="Q376" s="167">
        <v>13.056737588652483</v>
      </c>
      <c r="R376" s="167">
        <v>12.996183206106863</v>
      </c>
      <c r="S376" s="167">
        <v>12.303278688524584</v>
      </c>
      <c r="T376" s="167">
        <v>12.618867924528304</v>
      </c>
      <c r="U376" s="164">
        <f t="shared" si="99"/>
        <v>0.13168843734881897</v>
      </c>
      <c r="V376" s="164">
        <f t="shared" si="100"/>
        <v>-1.9324141267537502</v>
      </c>
      <c r="W376" s="164">
        <f t="shared" si="101"/>
        <v>0.31558923600372069</v>
      </c>
      <c r="X376" s="140"/>
    </row>
    <row r="377" spans="1:24" ht="15" customHeight="1" x14ac:dyDescent="0.2">
      <c r="A377" s="205" t="s">
        <v>53</v>
      </c>
      <c r="B377" s="206"/>
      <c r="C377" s="166">
        <v>13.696390658174096</v>
      </c>
      <c r="D377" s="166">
        <v>13.55748031496063</v>
      </c>
      <c r="E377" s="166">
        <v>13.773889636608335</v>
      </c>
      <c r="F377" s="166">
        <v>14.183754993342207</v>
      </c>
      <c r="G377" s="166">
        <v>14.350253807106599</v>
      </c>
      <c r="H377" s="166">
        <v>14.312318137730353</v>
      </c>
      <c r="I377" s="166">
        <v>14.659929701230231</v>
      </c>
      <c r="J377" s="166">
        <v>14.793893129770995</v>
      </c>
      <c r="K377" s="166">
        <v>14.99079048349962</v>
      </c>
      <c r="L377" s="166">
        <v>15.09697821503865</v>
      </c>
      <c r="M377" s="166">
        <v>15.020270270270276</v>
      </c>
      <c r="N377" s="166">
        <v>15.230769230769237</v>
      </c>
      <c r="O377" s="166">
        <v>15.432121212121213</v>
      </c>
      <c r="P377" s="166">
        <v>15.797530864197526</v>
      </c>
      <c r="Q377" s="166">
        <v>16.206279809220987</v>
      </c>
      <c r="R377" s="166">
        <v>15.631873252562915</v>
      </c>
      <c r="S377" s="166">
        <v>15.4641304347826</v>
      </c>
      <c r="T377" s="166">
        <v>15.068155784650624</v>
      </c>
      <c r="U377" s="165">
        <f t="shared" si="99"/>
        <v>7.7365301151004928E-2</v>
      </c>
      <c r="V377" s="165">
        <f t="shared" si="100"/>
        <v>-0.72937507954690162</v>
      </c>
      <c r="W377" s="165">
        <f t="shared" si="101"/>
        <v>-0.39597465013197564</v>
      </c>
      <c r="X377" s="140"/>
    </row>
    <row r="378" spans="1:24" ht="15" customHeight="1" x14ac:dyDescent="0.2">
      <c r="A378" s="207" t="s">
        <v>72</v>
      </c>
      <c r="B378" s="208"/>
      <c r="C378" s="167">
        <v>13.341637010676159</v>
      </c>
      <c r="D378" s="167">
        <v>13.380434782608701</v>
      </c>
      <c r="E378" s="167">
        <v>13.62331838565022</v>
      </c>
      <c r="F378" s="167">
        <v>14.073226544622422</v>
      </c>
      <c r="G378" s="167">
        <v>14.191111111111104</v>
      </c>
      <c r="H378" s="167">
        <v>14.1717495987159</v>
      </c>
      <c r="I378" s="167">
        <v>14.281669150521605</v>
      </c>
      <c r="J378" s="167">
        <v>14.44798890429958</v>
      </c>
      <c r="K378" s="167">
        <v>14.882352941176462</v>
      </c>
      <c r="L378" s="167">
        <v>14.794983642311893</v>
      </c>
      <c r="M378" s="167">
        <v>14.786251342642315</v>
      </c>
      <c r="N378" s="167">
        <v>15.013333333333328</v>
      </c>
      <c r="O378" s="167">
        <v>15.185634328358212</v>
      </c>
      <c r="P378" s="167">
        <v>15.441509433962263</v>
      </c>
      <c r="Q378" s="167">
        <v>15.916967509025277</v>
      </c>
      <c r="R378" s="167">
        <v>15.298947368421056</v>
      </c>
      <c r="S378" s="167">
        <v>15.216436126932466</v>
      </c>
      <c r="T378" s="167">
        <v>14.806959403479699</v>
      </c>
      <c r="U378" s="164">
        <f t="shared" si="99"/>
        <v>-7.5393537696763602E-2</v>
      </c>
      <c r="V378" s="164">
        <f t="shared" si="100"/>
        <v>-0.63455003048256486</v>
      </c>
      <c r="W378" s="164">
        <f t="shared" si="101"/>
        <v>-0.40947672345276764</v>
      </c>
      <c r="X378" s="140"/>
    </row>
    <row r="379" spans="1:24" ht="15" customHeight="1" x14ac:dyDescent="0.2">
      <c r="A379" s="207" t="s">
        <v>71</v>
      </c>
      <c r="B379" s="208"/>
      <c r="C379" s="167">
        <v>14.221052631578967</v>
      </c>
      <c r="D379" s="164">
        <v>13.80149812734083</v>
      </c>
      <c r="E379" s="164">
        <v>14.000000000000005</v>
      </c>
      <c r="F379" s="164">
        <v>14.337579617834386</v>
      </c>
      <c r="G379" s="164">
        <v>14.56213017751479</v>
      </c>
      <c r="H379" s="164">
        <v>14.526960784313721</v>
      </c>
      <c r="I379" s="164">
        <v>15.203426124196998</v>
      </c>
      <c r="J379" s="164">
        <v>15.338427947598253</v>
      </c>
      <c r="K379" s="164">
        <v>15.162698412698418</v>
      </c>
      <c r="L379" s="164">
        <v>15.64426877470356</v>
      </c>
      <c r="M379" s="164">
        <v>15.417122040072853</v>
      </c>
      <c r="N379" s="164">
        <v>15.610017889087656</v>
      </c>
      <c r="O379" s="164">
        <v>15.889273356401372</v>
      </c>
      <c r="P379" s="164">
        <v>16.471428571428572</v>
      </c>
      <c r="Q379" s="164">
        <v>16.769320843091343</v>
      </c>
      <c r="R379" s="164">
        <v>16.289875173370316</v>
      </c>
      <c r="S379" s="164">
        <v>15.962356792144035</v>
      </c>
      <c r="T379" s="164">
        <v>15.653061224489797</v>
      </c>
      <c r="U379" s="164">
        <f t="shared" si="99"/>
        <v>0.49036281179137831</v>
      </c>
      <c r="V379" s="164">
        <f t="shared" si="100"/>
        <v>-0.81836734693877489</v>
      </c>
      <c r="W379" s="164">
        <f t="shared" si="101"/>
        <v>-0.30929556765423882</v>
      </c>
      <c r="X379" s="140"/>
    </row>
    <row r="380" spans="1:24" ht="15" customHeight="1" x14ac:dyDescent="0.2">
      <c r="A380" s="205" t="s">
        <v>47</v>
      </c>
      <c r="B380" s="206"/>
      <c r="C380" s="166">
        <v>16.892982456140349</v>
      </c>
      <c r="D380" s="166">
        <v>17.080952380952382</v>
      </c>
      <c r="E380" s="166">
        <v>16.545382794001583</v>
      </c>
      <c r="F380" s="166">
        <v>16.623355263157901</v>
      </c>
      <c r="G380" s="166">
        <v>17.010416666666664</v>
      </c>
      <c r="H380" s="166">
        <v>16.686623012160901</v>
      </c>
      <c r="I380" s="166">
        <v>16.529752066115702</v>
      </c>
      <c r="J380" s="166">
        <v>16.454887218045119</v>
      </c>
      <c r="K380" s="166">
        <v>16.165616561656158</v>
      </c>
      <c r="L380" s="166">
        <v>16.309458218549128</v>
      </c>
      <c r="M380" s="166">
        <v>16.096995708154502</v>
      </c>
      <c r="N380" s="166">
        <v>15.913636363636373</v>
      </c>
      <c r="O380" s="166">
        <v>16.123275068997234</v>
      </c>
      <c r="P380" s="166">
        <v>15.925959780621563</v>
      </c>
      <c r="Q380" s="166">
        <v>15.493661971830976</v>
      </c>
      <c r="R380" s="166">
        <v>15.198292843072892</v>
      </c>
      <c r="S380" s="166">
        <v>14.951482479784362</v>
      </c>
      <c r="T380" s="166">
        <v>14.729881472239553</v>
      </c>
      <c r="U380" s="165">
        <f t="shared" si="99"/>
        <v>-1.435735089416605</v>
      </c>
      <c r="V380" s="165">
        <f t="shared" si="100"/>
        <v>-1.1960783083820097</v>
      </c>
      <c r="W380" s="165">
        <f t="shared" si="101"/>
        <v>-0.22160100754480894</v>
      </c>
      <c r="X380" s="140"/>
    </row>
    <row r="381" spans="1:24" ht="15" customHeight="1" x14ac:dyDescent="0.2">
      <c r="A381" s="207" t="s">
        <v>72</v>
      </c>
      <c r="B381" s="208"/>
      <c r="C381" s="167">
        <v>16.802997858672381</v>
      </c>
      <c r="D381" s="167">
        <v>17.156908665105384</v>
      </c>
      <c r="E381" s="167">
        <v>16.381981981981987</v>
      </c>
      <c r="F381" s="167">
        <v>16.188139059304707</v>
      </c>
      <c r="G381" s="167">
        <v>16.728337236533953</v>
      </c>
      <c r="H381" s="167">
        <v>16.21711899791233</v>
      </c>
      <c r="I381" s="167">
        <v>16.309615384615377</v>
      </c>
      <c r="J381" s="167">
        <v>15.778904665314398</v>
      </c>
      <c r="K381" s="167">
        <v>16.086372360844528</v>
      </c>
      <c r="L381" s="167">
        <v>16.149402390438237</v>
      </c>
      <c r="M381" s="167">
        <v>15.435897435897436</v>
      </c>
      <c r="N381" s="167">
        <v>15.630314232902046</v>
      </c>
      <c r="O381" s="167">
        <v>15.833634719710663</v>
      </c>
      <c r="P381" s="167">
        <v>15.665467625899291</v>
      </c>
      <c r="Q381" s="167">
        <v>14.94259012016022</v>
      </c>
      <c r="R381" s="167">
        <v>14.944038929440397</v>
      </c>
      <c r="S381" s="167">
        <v>14.677631578947373</v>
      </c>
      <c r="T381" s="167">
        <v>14.511600928074245</v>
      </c>
      <c r="U381" s="164">
        <f t="shared" si="99"/>
        <v>-1.5747714327702838</v>
      </c>
      <c r="V381" s="164">
        <f t="shared" si="100"/>
        <v>-1.1538666978250465</v>
      </c>
      <c r="W381" s="164">
        <f t="shared" si="101"/>
        <v>-0.16603065087312885</v>
      </c>
      <c r="X381" s="140"/>
    </row>
    <row r="382" spans="1:24" ht="15" customHeight="1" x14ac:dyDescent="0.2">
      <c r="A382" s="207" t="s">
        <v>71</v>
      </c>
      <c r="B382" s="208"/>
      <c r="C382" s="167">
        <v>16.955423476968804</v>
      </c>
      <c r="D382" s="167">
        <v>17.028892455858749</v>
      </c>
      <c r="E382" s="167">
        <v>16.672752808988776</v>
      </c>
      <c r="F382" s="167">
        <v>16.916093535075646</v>
      </c>
      <c r="G382" s="167">
        <v>17.201907790143082</v>
      </c>
      <c r="H382" s="167">
        <v>17.067796610169491</v>
      </c>
      <c r="I382" s="167">
        <v>16.695652173913032</v>
      </c>
      <c r="J382" s="167">
        <v>17.038528896672503</v>
      </c>
      <c r="K382" s="167">
        <v>16.235593220338981</v>
      </c>
      <c r="L382" s="167">
        <v>16.446337308347534</v>
      </c>
      <c r="M382" s="167">
        <v>16.763793103448283</v>
      </c>
      <c r="N382" s="167">
        <v>16.187835420393561</v>
      </c>
      <c r="O382" s="167">
        <v>16.423220973782779</v>
      </c>
      <c r="P382" s="167">
        <v>16.195167286245358</v>
      </c>
      <c r="Q382" s="167">
        <v>16.10879284649776</v>
      </c>
      <c r="R382" s="167">
        <v>15.496433666191153</v>
      </c>
      <c r="S382" s="167">
        <v>15.23895027624309</v>
      </c>
      <c r="T382" s="167">
        <v>14.983805668016194</v>
      </c>
      <c r="U382" s="164">
        <f t="shared" si="99"/>
        <v>-1.2517875523227868</v>
      </c>
      <c r="V382" s="164">
        <f t="shared" si="100"/>
        <v>-1.211361618229164</v>
      </c>
      <c r="W382" s="164">
        <f t="shared" si="101"/>
        <v>-0.255144608226896</v>
      </c>
      <c r="X382" s="140"/>
    </row>
    <row r="383" spans="1:24" ht="15" customHeight="1" x14ac:dyDescent="0.2">
      <c r="A383" s="205" t="s">
        <v>64</v>
      </c>
      <c r="B383" s="206"/>
      <c r="C383" s="166">
        <v>16.659459459459455</v>
      </c>
      <c r="D383" s="166">
        <v>16.361323155216294</v>
      </c>
      <c r="E383" s="166">
        <v>16.51010101010101</v>
      </c>
      <c r="F383" s="166">
        <v>17.132211538461547</v>
      </c>
      <c r="G383" s="166">
        <v>16.664688427299705</v>
      </c>
      <c r="H383" s="166">
        <v>16.503432494279178</v>
      </c>
      <c r="I383" s="166">
        <v>16.770925110132165</v>
      </c>
      <c r="J383" s="166">
        <v>16.579831932773104</v>
      </c>
      <c r="K383" s="166">
        <v>16.341463414634145</v>
      </c>
      <c r="L383" s="166">
        <v>16.034552845528456</v>
      </c>
      <c r="M383" s="166">
        <v>16.220833333333324</v>
      </c>
      <c r="N383" s="166">
        <v>16.06066536203522</v>
      </c>
      <c r="O383" s="166">
        <v>16.683146067415727</v>
      </c>
      <c r="P383" s="166">
        <v>15.350553505535059</v>
      </c>
      <c r="Q383" s="166">
        <v>15.010937500000002</v>
      </c>
      <c r="R383" s="166">
        <v>14.957264957264963</v>
      </c>
      <c r="S383" s="166">
        <v>14.569105691056899</v>
      </c>
      <c r="T383" s="166">
        <v>14.116205533596844</v>
      </c>
      <c r="U383" s="165">
        <f t="shared" si="99"/>
        <v>-2.2252578810373009</v>
      </c>
      <c r="V383" s="165">
        <f t="shared" si="100"/>
        <v>-1.2343479719382149</v>
      </c>
      <c r="W383" s="165">
        <f t="shared" si="101"/>
        <v>-0.4529001574600553</v>
      </c>
      <c r="X383" s="140"/>
    </row>
    <row r="384" spans="1:24" ht="15" customHeight="1" x14ac:dyDescent="0.2">
      <c r="A384" s="207" t="s">
        <v>72</v>
      </c>
      <c r="B384" s="208"/>
      <c r="C384" s="167">
        <v>16.716216216216228</v>
      </c>
      <c r="D384" s="167">
        <v>16.824324324324337</v>
      </c>
      <c r="E384" s="167">
        <v>16.643678160919539</v>
      </c>
      <c r="F384" s="167">
        <v>17.786885245901644</v>
      </c>
      <c r="G384" s="167">
        <v>16.98305084745763</v>
      </c>
      <c r="H384" s="167">
        <v>15.942307692307695</v>
      </c>
      <c r="I384" s="167">
        <v>16.359999999999992</v>
      </c>
      <c r="J384" s="167">
        <v>16.463768115942024</v>
      </c>
      <c r="K384" s="167">
        <v>16.716666666666669</v>
      </c>
      <c r="L384" s="167">
        <v>15.954545454545448</v>
      </c>
      <c r="M384" s="167">
        <v>16.465753424657535</v>
      </c>
      <c r="N384" s="167">
        <v>15.585714285714277</v>
      </c>
      <c r="O384" s="167">
        <v>16.973684210526315</v>
      </c>
      <c r="P384" s="167">
        <v>14.583333333333329</v>
      </c>
      <c r="Q384" s="167">
        <v>15.526315789473685</v>
      </c>
      <c r="R384" s="167">
        <v>15.492957746478867</v>
      </c>
      <c r="S384" s="167">
        <v>14.416666666666666</v>
      </c>
      <c r="T384" s="167">
        <v>14.186046511627907</v>
      </c>
      <c r="U384" s="164">
        <f t="shared" si="99"/>
        <v>-2.5306201550387613</v>
      </c>
      <c r="V384" s="164">
        <f t="shared" si="100"/>
        <v>-0.39728682170542129</v>
      </c>
      <c r="W384" s="164">
        <f t="shared" si="101"/>
        <v>-0.23062015503875877</v>
      </c>
      <c r="X384" s="140"/>
    </row>
    <row r="385" spans="1:24" ht="15" customHeight="1" x14ac:dyDescent="0.2">
      <c r="A385" s="207" t="s">
        <v>71</v>
      </c>
      <c r="B385" s="208"/>
      <c r="C385" s="167">
        <v>16.645270270270267</v>
      </c>
      <c r="D385" s="167">
        <v>16.253918495297807</v>
      </c>
      <c r="E385" s="167">
        <v>16.472491909385123</v>
      </c>
      <c r="F385" s="167">
        <v>17.01971830985914</v>
      </c>
      <c r="G385" s="167">
        <v>16.597122302158279</v>
      </c>
      <c r="H385" s="167">
        <v>16.57922077922078</v>
      </c>
      <c r="I385" s="167">
        <v>16.852242744063322</v>
      </c>
      <c r="J385" s="167">
        <v>16.59950859950861</v>
      </c>
      <c r="K385" s="167">
        <v>16.289351851851844</v>
      </c>
      <c r="L385" s="167">
        <v>16.046948356807519</v>
      </c>
      <c r="M385" s="167">
        <v>16.176904176904184</v>
      </c>
      <c r="N385" s="167">
        <v>16.136054421768709</v>
      </c>
      <c r="O385" s="167">
        <v>16.656019656019648</v>
      </c>
      <c r="P385" s="167">
        <v>15.425101214574903</v>
      </c>
      <c r="Q385" s="167">
        <v>14.941489361702125</v>
      </c>
      <c r="R385" s="167">
        <v>14.896988906497629</v>
      </c>
      <c r="S385" s="167">
        <v>14.587899543378995</v>
      </c>
      <c r="T385" s="167">
        <v>14.108274647887315</v>
      </c>
      <c r="U385" s="164">
        <f t="shared" si="99"/>
        <v>-2.181077203964529</v>
      </c>
      <c r="V385" s="164">
        <f t="shared" si="100"/>
        <v>-1.3168265666875882</v>
      </c>
      <c r="W385" s="164">
        <f t="shared" si="101"/>
        <v>-0.47962489549168019</v>
      </c>
      <c r="X385" s="140"/>
    </row>
    <row r="386" spans="1:24" ht="15" customHeight="1" x14ac:dyDescent="0.2">
      <c r="A386" s="205" t="s">
        <v>54</v>
      </c>
      <c r="B386" s="206"/>
      <c r="C386" s="166">
        <v>10.495305164319252</v>
      </c>
      <c r="D386" s="166">
        <v>9.9905271828665576</v>
      </c>
      <c r="E386" s="166">
        <v>10.935437174290678</v>
      </c>
      <c r="F386" s="166">
        <v>11.071544715447153</v>
      </c>
      <c r="G386" s="166">
        <v>10.865118850193474</v>
      </c>
      <c r="H386" s="166">
        <v>10.467427309532571</v>
      </c>
      <c r="I386" s="166">
        <v>10.321532694710534</v>
      </c>
      <c r="J386" s="166">
        <v>10.573497147871871</v>
      </c>
      <c r="K386" s="166">
        <v>10.697137117026623</v>
      </c>
      <c r="L386" s="166">
        <v>10.743071593533491</v>
      </c>
      <c r="M386" s="166">
        <v>10.82624113475177</v>
      </c>
      <c r="N386" s="166">
        <v>10.802172226532196</v>
      </c>
      <c r="O386" s="166">
        <v>10.673879443585777</v>
      </c>
      <c r="P386" s="166">
        <v>10.835466179159054</v>
      </c>
      <c r="Q386" s="166">
        <v>10.847647498132929</v>
      </c>
      <c r="R386" s="166">
        <v>10.747074122236675</v>
      </c>
      <c r="S386" s="166">
        <v>10.771109560362872</v>
      </c>
      <c r="T386" s="166">
        <v>10.599433828733178</v>
      </c>
      <c r="U386" s="165">
        <f t="shared" si="99"/>
        <v>-9.7703288293445212E-2</v>
      </c>
      <c r="V386" s="165">
        <f t="shared" si="100"/>
        <v>-0.23603235042587656</v>
      </c>
      <c r="W386" s="165">
        <f t="shared" si="101"/>
        <v>-0.17167573162969418</v>
      </c>
      <c r="X386" s="140"/>
    </row>
    <row r="387" spans="1:24" ht="15" customHeight="1" x14ac:dyDescent="0.2">
      <c r="A387" s="207" t="s">
        <v>72</v>
      </c>
      <c r="B387" s="208"/>
      <c r="C387" s="167">
        <v>10.440573770491801</v>
      </c>
      <c r="D387" s="167">
        <v>9.914299470389988</v>
      </c>
      <c r="E387" s="167">
        <v>10.796574624257254</v>
      </c>
      <c r="F387" s="167">
        <v>10.982884399551066</v>
      </c>
      <c r="G387" s="167">
        <v>10.80592543275632</v>
      </c>
      <c r="H387" s="167">
        <v>10.376460406750327</v>
      </c>
      <c r="I387" s="167">
        <v>10.317049340498288</v>
      </c>
      <c r="J387" s="167">
        <v>10.519628099173554</v>
      </c>
      <c r="K387" s="167">
        <v>10.58333333333333</v>
      </c>
      <c r="L387" s="167">
        <v>10.665330661322646</v>
      </c>
      <c r="M387" s="167">
        <v>10.775257731958765</v>
      </c>
      <c r="N387" s="167">
        <v>10.687555953446729</v>
      </c>
      <c r="O387" s="167">
        <v>10.55936675461742</v>
      </c>
      <c r="P387" s="167">
        <v>10.763130792996911</v>
      </c>
      <c r="Q387" s="167">
        <v>10.758022549869915</v>
      </c>
      <c r="R387" s="167">
        <v>10.700000000000001</v>
      </c>
      <c r="S387" s="167">
        <v>10.749794238683123</v>
      </c>
      <c r="T387" s="167">
        <v>10.558064516129029</v>
      </c>
      <c r="U387" s="164">
        <f t="shared" si="99"/>
        <v>-2.5268817204301186E-2</v>
      </c>
      <c r="V387" s="164">
        <f t="shared" si="100"/>
        <v>-0.20506627686788192</v>
      </c>
      <c r="W387" s="164">
        <f t="shared" si="101"/>
        <v>-0.19172972255409348</v>
      </c>
      <c r="X387" s="140"/>
    </row>
    <row r="388" spans="1:24" ht="15" customHeight="1" x14ac:dyDescent="0.2">
      <c r="A388" s="207" t="s">
        <v>71</v>
      </c>
      <c r="B388" s="208"/>
      <c r="C388" s="167">
        <v>10.741697416974166</v>
      </c>
      <c r="D388" s="167">
        <v>10.441595441595442</v>
      </c>
      <c r="E388" s="167">
        <v>11.605396290050589</v>
      </c>
      <c r="F388" s="167">
        <v>11.49797570850202</v>
      </c>
      <c r="G388" s="167">
        <v>11.15472312703583</v>
      </c>
      <c r="H388" s="167">
        <v>10.985221674876847</v>
      </c>
      <c r="I388" s="167">
        <v>10.347457627118647</v>
      </c>
      <c r="J388" s="167">
        <v>10.877551020408164</v>
      </c>
      <c r="K388" s="167">
        <v>11.372822299651567</v>
      </c>
      <c r="L388" s="167">
        <v>11.238297872340425</v>
      </c>
      <c r="M388" s="167">
        <v>11.139240506329116</v>
      </c>
      <c r="N388" s="167">
        <v>11.546511627906973</v>
      </c>
      <c r="O388" s="167">
        <v>11.50318471337579</v>
      </c>
      <c r="P388" s="167">
        <v>11.406504065040652</v>
      </c>
      <c r="Q388" s="167">
        <v>11.403225806451612</v>
      </c>
      <c r="R388" s="167">
        <v>11.017543859649127</v>
      </c>
      <c r="S388" s="167">
        <v>10.889908256880734</v>
      </c>
      <c r="T388" s="167">
        <v>10.895953757225435</v>
      </c>
      <c r="U388" s="164">
        <f t="shared" si="99"/>
        <v>-0.47686854242613208</v>
      </c>
      <c r="V388" s="164">
        <f t="shared" si="100"/>
        <v>-0.51055030781521715</v>
      </c>
      <c r="W388" s="164">
        <f t="shared" si="101"/>
        <v>6.0455003447010824E-3</v>
      </c>
      <c r="X388" s="117"/>
    </row>
    <row r="389" spans="1:24" ht="15" customHeight="1" x14ac:dyDescent="0.2">
      <c r="A389" s="44"/>
      <c r="B389" s="44"/>
      <c r="C389" s="44"/>
      <c r="D389" s="44"/>
      <c r="E389" s="44"/>
      <c r="F389" s="44"/>
      <c r="G389" s="44"/>
      <c r="H389" s="44"/>
      <c r="I389" s="44"/>
      <c r="J389" s="44"/>
      <c r="K389" s="44"/>
      <c r="L389" s="44"/>
      <c r="M389" s="44"/>
      <c r="N389" s="44"/>
      <c r="O389" s="44"/>
      <c r="P389" s="44"/>
      <c r="Q389" s="44"/>
      <c r="R389" s="44"/>
      <c r="S389" s="44"/>
      <c r="T389" s="44"/>
    </row>
    <row r="390" spans="1:24" ht="15" customHeight="1" x14ac:dyDescent="0.2">
      <c r="A390" s="35" t="s">
        <v>397</v>
      </c>
      <c r="B390" s="35"/>
      <c r="C390" s="35"/>
      <c r="D390" s="35"/>
      <c r="E390" s="35"/>
      <c r="F390" s="35"/>
      <c r="G390" s="35"/>
      <c r="H390" s="35"/>
      <c r="I390" s="35"/>
      <c r="J390" s="35"/>
      <c r="K390" s="35"/>
      <c r="L390" s="35"/>
      <c r="M390" s="35"/>
      <c r="N390" s="35"/>
      <c r="O390" s="35"/>
      <c r="P390" s="35"/>
      <c r="Q390" s="35"/>
      <c r="R390" s="35"/>
      <c r="S390" s="35"/>
      <c r="T390" s="35"/>
      <c r="U390" s="69"/>
      <c r="V390" s="69"/>
      <c r="W390" s="69"/>
      <c r="X390" s="117"/>
    </row>
    <row r="391" spans="1:24" ht="48.75" customHeight="1" x14ac:dyDescent="0.2">
      <c r="A391" s="209" t="s">
        <v>371</v>
      </c>
      <c r="B391" s="210"/>
      <c r="C391" s="15">
        <v>2007</v>
      </c>
      <c r="D391" s="15">
        <v>2008</v>
      </c>
      <c r="E391" s="15">
        <v>2009</v>
      </c>
      <c r="F391" s="15">
        <v>2010</v>
      </c>
      <c r="G391" s="15">
        <v>2011</v>
      </c>
      <c r="H391" s="15">
        <v>2012</v>
      </c>
      <c r="I391" s="15">
        <v>2013</v>
      </c>
      <c r="J391" s="15">
        <v>2014</v>
      </c>
      <c r="K391" s="15">
        <v>2015</v>
      </c>
      <c r="L391" s="15">
        <v>2016</v>
      </c>
      <c r="M391" s="15">
        <v>2017</v>
      </c>
      <c r="N391" s="15">
        <v>2018</v>
      </c>
      <c r="O391" s="15">
        <v>2019</v>
      </c>
      <c r="P391" s="15">
        <v>2020</v>
      </c>
      <c r="Q391" s="15">
        <v>2021</v>
      </c>
      <c r="R391" s="15">
        <v>2022</v>
      </c>
      <c r="S391" s="15">
        <v>2023</v>
      </c>
      <c r="T391" s="15">
        <v>2024</v>
      </c>
      <c r="U391" s="27" t="s">
        <v>469</v>
      </c>
      <c r="V391" s="27" t="s">
        <v>470</v>
      </c>
      <c r="W391" s="27" t="s">
        <v>471</v>
      </c>
    </row>
    <row r="392" spans="1:24" ht="15" customHeight="1" x14ac:dyDescent="0.2">
      <c r="A392" s="205" t="s">
        <v>30</v>
      </c>
      <c r="B392" s="206"/>
      <c r="C392" s="166">
        <v>6.3454935622317601</v>
      </c>
      <c r="D392" s="166">
        <v>5.857016769638129</v>
      </c>
      <c r="E392" s="166">
        <v>5.9966273187183807</v>
      </c>
      <c r="F392" s="166">
        <v>5.9970760233918128</v>
      </c>
      <c r="G392" s="166">
        <v>6.1724461105904407</v>
      </c>
      <c r="H392" s="166">
        <v>6.0679513184584177</v>
      </c>
      <c r="I392" s="166">
        <v>6.4579991557619252</v>
      </c>
      <c r="J392" s="166">
        <v>6.1438037249283663</v>
      </c>
      <c r="K392" s="166">
        <v>6.1445096122515475</v>
      </c>
      <c r="L392" s="166">
        <v>6.0840588887129963</v>
      </c>
      <c r="M392" s="166">
        <v>5.9906224737267584</v>
      </c>
      <c r="N392" s="166">
        <v>6.0862910008410429</v>
      </c>
      <c r="O392" s="166">
        <v>5.9097317744154054</v>
      </c>
      <c r="P392" s="166">
        <v>5.9893458342211803</v>
      </c>
      <c r="Q392" s="166">
        <v>6.3726204270816087</v>
      </c>
      <c r="R392" s="166">
        <v>6.1727948990435708</v>
      </c>
      <c r="S392" s="166">
        <v>5.8792181449382257</v>
      </c>
      <c r="T392" s="166">
        <v>5.8478260869565215</v>
      </c>
      <c r="U392" s="165">
        <f t="shared" ref="U392:U451" si="102">IFERROR((T392-K392),"n/a")</f>
        <v>-0.29668352529502595</v>
      </c>
      <c r="V392" s="165">
        <f t="shared" ref="V392:V451" si="103">IFERROR((T392-P392),"n/a")</f>
        <v>-0.14151974726465877</v>
      </c>
      <c r="W392" s="165">
        <f t="shared" ref="W392:W451" si="104">IFERROR((T392-S392),"n/a")</f>
        <v>-3.1392057981704191E-2</v>
      </c>
    </row>
    <row r="393" spans="1:24" ht="15" customHeight="1" x14ac:dyDescent="0.2">
      <c r="A393" s="207" t="s">
        <v>72</v>
      </c>
      <c r="B393" s="208"/>
      <c r="C393" s="167">
        <v>6.3599493029150826</v>
      </c>
      <c r="D393" s="167">
        <v>5.8316430020283976</v>
      </c>
      <c r="E393" s="167">
        <v>5.9875082182774486</v>
      </c>
      <c r="F393" s="167">
        <v>6.0053372149442019</v>
      </c>
      <c r="G393" s="167">
        <v>6.1622408148417609</v>
      </c>
      <c r="H393" s="167">
        <v>6.0513799177921319</v>
      </c>
      <c r="I393" s="167">
        <v>6.4520208281676172</v>
      </c>
      <c r="J393" s="167">
        <v>6.1362876254180598</v>
      </c>
      <c r="K393" s="167">
        <v>6.119782893505521</v>
      </c>
      <c r="L393" s="167">
        <v>6.0769788081869223</v>
      </c>
      <c r="M393" s="167">
        <v>5.9765552889052973</v>
      </c>
      <c r="N393" s="167">
        <v>6.0780058651026394</v>
      </c>
      <c r="O393" s="167">
        <v>5.9170692431561998</v>
      </c>
      <c r="P393" s="167">
        <v>5.9716796875</v>
      </c>
      <c r="Q393" s="167">
        <v>6.3586088939566707</v>
      </c>
      <c r="R393" s="167">
        <v>6.148821218074656</v>
      </c>
      <c r="S393" s="167">
        <v>5.8745959922430506</v>
      </c>
      <c r="T393" s="167">
        <v>5.8213301849665484</v>
      </c>
      <c r="U393" s="164">
        <f t="shared" si="102"/>
        <v>-0.29845270853897254</v>
      </c>
      <c r="V393" s="164">
        <f t="shared" si="103"/>
        <v>-0.15034950253345158</v>
      </c>
      <c r="W393" s="164">
        <f t="shared" si="104"/>
        <v>-5.3265807276502208E-2</v>
      </c>
      <c r="X393" s="140"/>
    </row>
    <row r="394" spans="1:24" ht="15" customHeight="1" x14ac:dyDescent="0.2">
      <c r="A394" s="207" t="s">
        <v>71</v>
      </c>
      <c r="B394" s="208"/>
      <c r="C394" s="167">
        <v>6.2657342657342658</v>
      </c>
      <c r="D394" s="167">
        <v>6.0272108843537424</v>
      </c>
      <c r="E394" s="167">
        <v>6.0503875968992249</v>
      </c>
      <c r="F394" s="167">
        <v>5.9459459459459456</v>
      </c>
      <c r="G394" s="167">
        <v>6.2345132743362832</v>
      </c>
      <c r="H394" s="167">
        <v>6.1728624535315983</v>
      </c>
      <c r="I394" s="167">
        <v>6.4921985815602836</v>
      </c>
      <c r="J394" s="167">
        <v>6.1887499999999998</v>
      </c>
      <c r="K394" s="167">
        <v>6.3106918238993712</v>
      </c>
      <c r="L394" s="167">
        <v>6.1331658291457289</v>
      </c>
      <c r="M394" s="167">
        <v>6.08984375</v>
      </c>
      <c r="N394" s="167">
        <v>6.137349397590361</v>
      </c>
      <c r="O394" s="167">
        <v>5.8667452830188678</v>
      </c>
      <c r="P394" s="167">
        <v>6.1105527638190953</v>
      </c>
      <c r="Q394" s="167">
        <v>6.4672657252888319</v>
      </c>
      <c r="R394" s="167">
        <v>6.3270142180094791</v>
      </c>
      <c r="S394" s="167">
        <v>5.906649616368286</v>
      </c>
      <c r="T394" s="167">
        <v>5.9977728285077951</v>
      </c>
      <c r="U394" s="164">
        <f t="shared" si="102"/>
        <v>-0.31291899539157608</v>
      </c>
      <c r="V394" s="164">
        <f t="shared" si="103"/>
        <v>-0.11277993531130015</v>
      </c>
      <c r="W394" s="164">
        <f t="shared" si="104"/>
        <v>9.1123212139509135E-2</v>
      </c>
      <c r="X394" s="140"/>
    </row>
    <row r="395" spans="1:24" ht="15" customHeight="1" x14ac:dyDescent="0.2">
      <c r="A395" s="182" t="s">
        <v>37</v>
      </c>
      <c r="B395" s="183"/>
      <c r="C395" s="166">
        <v>11.018633540372674</v>
      </c>
      <c r="D395" s="166">
        <v>11.362204724409446</v>
      </c>
      <c r="E395" s="166">
        <v>10.581673306772908</v>
      </c>
      <c r="F395" s="166">
        <v>10.338815789473681</v>
      </c>
      <c r="G395" s="166">
        <v>9.9373695198329841</v>
      </c>
      <c r="H395" s="166">
        <v>10.042675893886962</v>
      </c>
      <c r="I395" s="166">
        <v>9.695883134130149</v>
      </c>
      <c r="J395" s="166">
        <v>9.7351164797238976</v>
      </c>
      <c r="K395" s="166">
        <v>9.8065595716198146</v>
      </c>
      <c r="L395" s="166">
        <v>9.9906759906759888</v>
      </c>
      <c r="M395" s="166">
        <v>9.9272807404142736</v>
      </c>
      <c r="N395" s="166">
        <v>10.044637321760696</v>
      </c>
      <c r="O395" s="166">
        <v>9.9932885906040241</v>
      </c>
      <c r="P395" s="166">
        <v>10.07120253164557</v>
      </c>
      <c r="Q395" s="166">
        <v>10.207445211648153</v>
      </c>
      <c r="R395" s="166">
        <v>10.202502844141067</v>
      </c>
      <c r="S395" s="166">
        <v>10.28198517563648</v>
      </c>
      <c r="T395" s="166">
        <v>10.191055673866746</v>
      </c>
      <c r="U395" s="165">
        <f t="shared" si="102"/>
        <v>0.38449610224693131</v>
      </c>
      <c r="V395" s="165">
        <f t="shared" si="103"/>
        <v>0.11985314222117616</v>
      </c>
      <c r="W395" s="165">
        <f t="shared" si="104"/>
        <v>-9.0929501769734244E-2</v>
      </c>
      <c r="X395" s="140"/>
    </row>
    <row r="396" spans="1:24" ht="15" customHeight="1" x14ac:dyDescent="0.2">
      <c r="A396" s="207" t="s">
        <v>72</v>
      </c>
      <c r="B396" s="208"/>
      <c r="C396" s="167">
        <v>11.180645161290322</v>
      </c>
      <c r="D396" s="167">
        <v>10.651785714285714</v>
      </c>
      <c r="E396" s="167">
        <v>10.2695652173913</v>
      </c>
      <c r="F396" s="167">
        <v>10.239436619718308</v>
      </c>
      <c r="G396" s="167">
        <v>9.6859504132231411</v>
      </c>
      <c r="H396" s="167">
        <v>9.6842105263157858</v>
      </c>
      <c r="I396" s="167">
        <v>9.5375586854460099</v>
      </c>
      <c r="J396" s="167">
        <v>9.6992248062015509</v>
      </c>
      <c r="K396" s="167">
        <v>9.7267373380447566</v>
      </c>
      <c r="L396" s="167">
        <v>9.914790996784566</v>
      </c>
      <c r="M396" s="167">
        <v>9.788850174216023</v>
      </c>
      <c r="N396" s="167">
        <v>9.9866871479774684</v>
      </c>
      <c r="O396" s="167">
        <v>9.8643617021276562</v>
      </c>
      <c r="P396" s="167">
        <v>10.013359722909453</v>
      </c>
      <c r="Q396" s="167">
        <v>10.086313781592755</v>
      </c>
      <c r="R396" s="167">
        <v>10.135813536530703</v>
      </c>
      <c r="S396" s="167">
        <v>10.194650817236257</v>
      </c>
      <c r="T396" s="167">
        <v>10.135746606334845</v>
      </c>
      <c r="U396" s="164">
        <f t="shared" si="102"/>
        <v>0.4090092682900881</v>
      </c>
      <c r="V396" s="164">
        <f t="shared" si="103"/>
        <v>0.12238688342539206</v>
      </c>
      <c r="W396" s="164">
        <f t="shared" si="104"/>
        <v>-5.8904210901411957E-2</v>
      </c>
      <c r="X396" s="140"/>
    </row>
    <row r="397" spans="1:24" ht="15" customHeight="1" x14ac:dyDescent="0.2">
      <c r="A397" s="207" t="s">
        <v>71</v>
      </c>
      <c r="B397" s="208"/>
      <c r="C397" s="167">
        <v>10.868263473053892</v>
      </c>
      <c r="D397" s="167">
        <v>11.922535211267599</v>
      </c>
      <c r="E397" s="167">
        <v>10.845588235294116</v>
      </c>
      <c r="F397" s="167">
        <v>10.425925925925929</v>
      </c>
      <c r="G397" s="167">
        <v>10.194092827004219</v>
      </c>
      <c r="H397" s="167">
        <v>10.477040816326529</v>
      </c>
      <c r="I397" s="167">
        <v>9.902140672782874</v>
      </c>
      <c r="J397" s="167">
        <v>9.7801556420233489</v>
      </c>
      <c r="K397" s="167">
        <v>9.9116279069767437</v>
      </c>
      <c r="L397" s="167">
        <v>10.095449500554938</v>
      </c>
      <c r="M397" s="167">
        <v>10.16546762589928</v>
      </c>
      <c r="N397" s="167">
        <v>10.133542812254523</v>
      </c>
      <c r="O397" s="167">
        <v>10.213636363636367</v>
      </c>
      <c r="P397" s="167">
        <v>10.173836698858647</v>
      </c>
      <c r="Q397" s="167">
        <v>10.413290113452192</v>
      </c>
      <c r="R397" s="167">
        <v>10.318287937743191</v>
      </c>
      <c r="S397" s="167">
        <v>10.444649446494463</v>
      </c>
      <c r="T397" s="167">
        <v>10.304549675023216</v>
      </c>
      <c r="U397" s="164">
        <f t="shared" si="102"/>
        <v>0.39292176804647205</v>
      </c>
      <c r="V397" s="164">
        <f t="shared" si="103"/>
        <v>0.13071297616456867</v>
      </c>
      <c r="W397" s="164">
        <f t="shared" si="104"/>
        <v>-0.14009977147124708</v>
      </c>
      <c r="X397" s="140"/>
    </row>
    <row r="398" spans="1:24" ht="15" customHeight="1" x14ac:dyDescent="0.2">
      <c r="A398" s="182" t="s">
        <v>25</v>
      </c>
      <c r="B398" s="183"/>
      <c r="C398" s="166">
        <v>6.5930599369085172</v>
      </c>
      <c r="D398" s="166">
        <v>6.5430809399477807</v>
      </c>
      <c r="E398" s="166">
        <v>6.4889807162534439</v>
      </c>
      <c r="F398" s="166">
        <v>6.3351063829787231</v>
      </c>
      <c r="G398" s="166">
        <v>6.2711631108052304</v>
      </c>
      <c r="H398" s="166">
        <v>6.1868014901543376</v>
      </c>
      <c r="I398" s="166">
        <v>6.5725062866722546</v>
      </c>
      <c r="J398" s="166">
        <v>5.9454214675560948</v>
      </c>
      <c r="K398" s="166">
        <v>5.8531044926804645</v>
      </c>
      <c r="L398" s="166">
        <v>5.8468922486201107</v>
      </c>
      <c r="M398" s="166">
        <v>5.9563552833078104</v>
      </c>
      <c r="N398" s="166">
        <v>6.05175421593332</v>
      </c>
      <c r="O398" s="166">
        <v>5.9491377428509056</v>
      </c>
      <c r="P398" s="166">
        <v>6.2504770992366412</v>
      </c>
      <c r="Q398" s="166">
        <v>6.2701375245579571</v>
      </c>
      <c r="R398" s="166">
        <v>6.2308584686774946</v>
      </c>
      <c r="S398" s="166">
        <v>6.2495457298606905</v>
      </c>
      <c r="T398" s="166">
        <v>6.0228587166069953</v>
      </c>
      <c r="U398" s="165">
        <f t="shared" si="102"/>
        <v>0.16975422392653083</v>
      </c>
      <c r="V398" s="165">
        <f t="shared" si="103"/>
        <v>-0.22761838262964584</v>
      </c>
      <c r="W398" s="165">
        <f t="shared" si="104"/>
        <v>-0.22668701325369511</v>
      </c>
      <c r="X398" s="140"/>
    </row>
    <row r="399" spans="1:24" ht="15" customHeight="1" x14ac:dyDescent="0.2">
      <c r="A399" s="207" t="s">
        <v>72</v>
      </c>
      <c r="B399" s="208"/>
      <c r="C399" s="167">
        <v>6.5536723163841808</v>
      </c>
      <c r="D399" s="167">
        <v>6.6763285024154593</v>
      </c>
      <c r="E399" s="167">
        <v>6.4355179704016905</v>
      </c>
      <c r="F399" s="167">
        <v>6.1975308641975317</v>
      </c>
      <c r="G399" s="167">
        <v>6.2389006342494717</v>
      </c>
      <c r="H399" s="167">
        <v>6.1115771812080535</v>
      </c>
      <c r="I399" s="167">
        <v>6.5156353958749165</v>
      </c>
      <c r="J399" s="167">
        <v>5.8792775665399244</v>
      </c>
      <c r="K399" s="167">
        <v>5.8026315789473681</v>
      </c>
      <c r="L399" s="167">
        <v>5.7923713566030957</v>
      </c>
      <c r="M399" s="167">
        <v>5.922032583397983</v>
      </c>
      <c r="N399" s="167">
        <v>5.955595559555956</v>
      </c>
      <c r="O399" s="167">
        <v>5.8197497463645584</v>
      </c>
      <c r="P399" s="167">
        <v>6.2139077853363567</v>
      </c>
      <c r="Q399" s="167">
        <v>6.1490256018341611</v>
      </c>
      <c r="R399" s="167">
        <v>6.1169537624660011</v>
      </c>
      <c r="S399" s="167">
        <v>6.1408450704225341</v>
      </c>
      <c r="T399" s="167">
        <v>5.9650061753808155</v>
      </c>
      <c r="U399" s="164">
        <f t="shared" si="102"/>
        <v>0.16237459643344732</v>
      </c>
      <c r="V399" s="164">
        <f t="shared" si="103"/>
        <v>-0.24890160995554123</v>
      </c>
      <c r="W399" s="164">
        <f t="shared" si="104"/>
        <v>-0.17583889504171868</v>
      </c>
      <c r="X399" s="140"/>
    </row>
    <row r="400" spans="1:24" ht="15" customHeight="1" x14ac:dyDescent="0.2">
      <c r="A400" s="207" t="s">
        <v>71</v>
      </c>
      <c r="B400" s="208"/>
      <c r="C400" s="167">
        <v>6.6428571428571432</v>
      </c>
      <c r="D400" s="167">
        <v>6.3863636363636367</v>
      </c>
      <c r="E400" s="167">
        <v>6.5889328063241104</v>
      </c>
      <c r="F400" s="167">
        <v>6.544235924932976</v>
      </c>
      <c r="G400" s="167">
        <v>6.331360946745562</v>
      </c>
      <c r="H400" s="167">
        <v>6.3173216885007282</v>
      </c>
      <c r="I400" s="167">
        <v>6.669309173272933</v>
      </c>
      <c r="J400" s="167">
        <v>6.0619765494137354</v>
      </c>
      <c r="K400" s="167">
        <v>5.9477503628447028</v>
      </c>
      <c r="L400" s="167">
        <v>5.956051873198847</v>
      </c>
      <c r="M400" s="167">
        <v>6.0223880597014929</v>
      </c>
      <c r="N400" s="167">
        <v>6.2272727272727275</v>
      </c>
      <c r="O400" s="167">
        <v>6.1847290640394093</v>
      </c>
      <c r="P400" s="167">
        <v>6.3130659767141006</v>
      </c>
      <c r="Q400" s="167">
        <v>6.4879725085910662</v>
      </c>
      <c r="R400" s="167">
        <v>6.4331723027375203</v>
      </c>
      <c r="S400" s="167">
        <v>6.4668483197093547</v>
      </c>
      <c r="T400" s="167">
        <v>6.1397670549084866</v>
      </c>
      <c r="U400" s="164">
        <f t="shared" si="102"/>
        <v>0.1920166920637838</v>
      </c>
      <c r="V400" s="164">
        <f t="shared" si="103"/>
        <v>-0.17329892180561401</v>
      </c>
      <c r="W400" s="164">
        <f t="shared" si="104"/>
        <v>-0.32708126480086808</v>
      </c>
      <c r="X400" s="140"/>
    </row>
    <row r="401" spans="1:24" ht="15" customHeight="1" x14ac:dyDescent="0.2">
      <c r="A401" s="205" t="s">
        <v>46</v>
      </c>
      <c r="B401" s="206"/>
      <c r="C401" s="166">
        <v>10.404715127701373</v>
      </c>
      <c r="D401" s="166">
        <v>11.1437908496732</v>
      </c>
      <c r="E401" s="166">
        <v>10.497340425531913</v>
      </c>
      <c r="F401" s="166">
        <v>9.4348837209302374</v>
      </c>
      <c r="G401" s="166">
        <v>9.3144654088050309</v>
      </c>
      <c r="H401" s="166">
        <v>9.4182547642928789</v>
      </c>
      <c r="I401" s="166">
        <v>9.2916299559471351</v>
      </c>
      <c r="J401" s="166">
        <v>9.6006309148264979</v>
      </c>
      <c r="K401" s="166">
        <v>9.5474162407722893</v>
      </c>
      <c r="L401" s="166">
        <v>9.5844411619891652</v>
      </c>
      <c r="M401" s="166">
        <v>9.5159983799108936</v>
      </c>
      <c r="N401" s="166">
        <v>9.9425202652910816</v>
      </c>
      <c r="O401" s="166">
        <v>10.0560593569662</v>
      </c>
      <c r="P401" s="166">
        <v>9.7074468085106371</v>
      </c>
      <c r="Q401" s="166">
        <v>9.2338709677419359</v>
      </c>
      <c r="R401" s="166">
        <v>9.8184832159137994</v>
      </c>
      <c r="S401" s="166">
        <v>9.9522695367337395</v>
      </c>
      <c r="T401" s="166">
        <v>9.8255499807024318</v>
      </c>
      <c r="U401" s="165">
        <f t="shared" si="102"/>
        <v>0.27813373993014245</v>
      </c>
      <c r="V401" s="165">
        <f t="shared" si="103"/>
        <v>0.11810317219179467</v>
      </c>
      <c r="W401" s="165">
        <f t="shared" si="104"/>
        <v>-0.12671955603130769</v>
      </c>
      <c r="X401" s="140"/>
    </row>
    <row r="402" spans="1:24" ht="15" customHeight="1" x14ac:dyDescent="0.2">
      <c r="A402" s="207" t="s">
        <v>72</v>
      </c>
      <c r="B402" s="208"/>
      <c r="C402" s="167">
        <v>10.421911421911426</v>
      </c>
      <c r="D402" s="167">
        <v>10.908000000000003</v>
      </c>
      <c r="E402" s="167">
        <v>10.37341772151899</v>
      </c>
      <c r="F402" s="167">
        <v>9.3279999999999994</v>
      </c>
      <c r="G402" s="167">
        <v>9.2571428571428598</v>
      </c>
      <c r="H402" s="167">
        <v>9.4218566392479453</v>
      </c>
      <c r="I402" s="167">
        <v>9.2943005181347171</v>
      </c>
      <c r="J402" s="167">
        <v>9.5721966205837195</v>
      </c>
      <c r="K402" s="167">
        <v>9.5027322404371599</v>
      </c>
      <c r="L402" s="167">
        <v>9.6244776119402999</v>
      </c>
      <c r="M402" s="167">
        <v>9.5630081300813021</v>
      </c>
      <c r="N402" s="167">
        <v>9.897458369851007</v>
      </c>
      <c r="O402" s="167">
        <v>10.013916500994034</v>
      </c>
      <c r="P402" s="167">
        <v>9.6959314775160585</v>
      </c>
      <c r="Q402" s="167">
        <v>9.2129380053908374</v>
      </c>
      <c r="R402" s="167">
        <v>9.8182720953326701</v>
      </c>
      <c r="S402" s="167">
        <v>9.9403644395361663</v>
      </c>
      <c r="T402" s="167">
        <v>9.8137687555163229</v>
      </c>
      <c r="U402" s="164">
        <f t="shared" si="102"/>
        <v>0.31103651507916297</v>
      </c>
      <c r="V402" s="164">
        <f t="shared" si="103"/>
        <v>0.11783727800026433</v>
      </c>
      <c r="W402" s="164">
        <f t="shared" si="104"/>
        <v>-0.12659568401984345</v>
      </c>
      <c r="X402" s="140"/>
    </row>
    <row r="403" spans="1:24" ht="15" customHeight="1" x14ac:dyDescent="0.2">
      <c r="A403" s="207" t="s">
        <v>71</v>
      </c>
      <c r="B403" s="208"/>
      <c r="C403" s="167">
        <v>10.312500000000009</v>
      </c>
      <c r="D403" s="167">
        <v>12.196428571428578</v>
      </c>
      <c r="E403" s="167">
        <v>11.149999999999988</v>
      </c>
      <c r="F403" s="167">
        <v>10.163636363636362</v>
      </c>
      <c r="G403" s="167">
        <v>9.5855855855855854</v>
      </c>
      <c r="H403" s="167">
        <v>9.3972602739726021</v>
      </c>
      <c r="I403" s="167">
        <v>9.2764705882352914</v>
      </c>
      <c r="J403" s="167">
        <v>9.7314487632508833</v>
      </c>
      <c r="K403" s="167">
        <v>9.7676767676767682</v>
      </c>
      <c r="L403" s="167">
        <v>9.3960674157303377</v>
      </c>
      <c r="M403" s="167">
        <v>9.3313373253493008</v>
      </c>
      <c r="N403" s="167">
        <v>10.180555555555557</v>
      </c>
      <c r="O403" s="167">
        <v>10.260869565217389</v>
      </c>
      <c r="P403" s="167">
        <v>9.7628865979381452</v>
      </c>
      <c r="Q403" s="167">
        <v>9.3571428571428577</v>
      </c>
      <c r="R403" s="167">
        <v>9.8195488721804534</v>
      </c>
      <c r="S403" s="167">
        <v>10.018404907975455</v>
      </c>
      <c r="T403" s="167">
        <v>9.9076923076922991</v>
      </c>
      <c r="U403" s="164">
        <f t="shared" si="102"/>
        <v>0.14001554001553096</v>
      </c>
      <c r="V403" s="164">
        <f t="shared" si="103"/>
        <v>0.14480570975415397</v>
      </c>
      <c r="W403" s="164">
        <f t="shared" si="104"/>
        <v>-0.11071260028315599</v>
      </c>
      <c r="X403" s="140"/>
    </row>
    <row r="404" spans="1:24" ht="15" customHeight="1" x14ac:dyDescent="0.2">
      <c r="A404" s="205" t="s">
        <v>41</v>
      </c>
      <c r="B404" s="206"/>
      <c r="C404" s="166">
        <v>12.483965014577265</v>
      </c>
      <c r="D404" s="166">
        <v>11.985754985754983</v>
      </c>
      <c r="E404" s="166">
        <v>11.632688927943761</v>
      </c>
      <c r="F404" s="166">
        <v>12.091463414634157</v>
      </c>
      <c r="G404" s="166">
        <v>10.955140186915886</v>
      </c>
      <c r="H404" s="166">
        <v>10.951020408163261</v>
      </c>
      <c r="I404" s="166">
        <v>11.005970149253731</v>
      </c>
      <c r="J404" s="166">
        <v>11.38513513513513</v>
      </c>
      <c r="K404" s="166">
        <v>11.284900284900285</v>
      </c>
      <c r="L404" s="166">
        <v>11.170792079207921</v>
      </c>
      <c r="M404" s="166">
        <v>11.111776447105795</v>
      </c>
      <c r="N404" s="166">
        <v>11.110433190970097</v>
      </c>
      <c r="O404" s="166">
        <v>11.28007793472967</v>
      </c>
      <c r="P404" s="166">
        <v>10.818759936406995</v>
      </c>
      <c r="Q404" s="166">
        <v>11.385022960084774</v>
      </c>
      <c r="R404" s="166">
        <v>11.254608294930879</v>
      </c>
      <c r="S404" s="166">
        <v>10.687950937950943</v>
      </c>
      <c r="T404" s="166">
        <v>10.64461247637051</v>
      </c>
      <c r="U404" s="165">
        <f t="shared" si="102"/>
        <v>-0.6402878085297754</v>
      </c>
      <c r="V404" s="165">
        <f t="shared" si="103"/>
        <v>-0.17414746003648496</v>
      </c>
      <c r="W404" s="165">
        <f t="shared" si="104"/>
        <v>-4.3338461580432863E-2</v>
      </c>
      <c r="X404" s="140"/>
    </row>
    <row r="405" spans="1:24" ht="15" customHeight="1" x14ac:dyDescent="0.2">
      <c r="A405" s="207" t="s">
        <v>72</v>
      </c>
      <c r="B405" s="208"/>
      <c r="C405" s="167" t="s">
        <v>100</v>
      </c>
      <c r="D405" s="167" t="s">
        <v>100</v>
      </c>
      <c r="E405" s="167" t="s">
        <v>100</v>
      </c>
      <c r="F405" s="167" t="s">
        <v>100</v>
      </c>
      <c r="G405" s="167" t="s">
        <v>100</v>
      </c>
      <c r="H405" s="167" t="s">
        <v>100</v>
      </c>
      <c r="I405" s="167" t="s">
        <v>100</v>
      </c>
      <c r="J405" s="167" t="s">
        <v>100</v>
      </c>
      <c r="K405" s="167">
        <v>11.166666666666666</v>
      </c>
      <c r="L405" s="167">
        <v>10.3</v>
      </c>
      <c r="M405" s="167">
        <v>10.285714285714286</v>
      </c>
      <c r="N405" s="167">
        <v>10.969696969696969</v>
      </c>
      <c r="O405" s="167">
        <v>10.84444444444445</v>
      </c>
      <c r="P405" s="167">
        <v>10.785714285714281</v>
      </c>
      <c r="Q405" s="167">
        <v>10.47191011235955</v>
      </c>
      <c r="R405" s="167">
        <v>10.742574257425741</v>
      </c>
      <c r="S405" s="167">
        <v>10.191919191919194</v>
      </c>
      <c r="T405" s="167">
        <v>10.291262135922331</v>
      </c>
      <c r="U405" s="164">
        <f t="shared" si="102"/>
        <v>-0.87540453074433522</v>
      </c>
      <c r="V405" s="164">
        <f t="shared" si="103"/>
        <v>-0.49445214979195029</v>
      </c>
      <c r="W405" s="164">
        <f t="shared" si="104"/>
        <v>9.9342944003137035E-2</v>
      </c>
      <c r="X405" s="140"/>
    </row>
    <row r="406" spans="1:24" ht="15" customHeight="1" x14ac:dyDescent="0.2">
      <c r="A406" s="207" t="s">
        <v>71</v>
      </c>
      <c r="B406" s="208"/>
      <c r="C406" s="167">
        <v>12.488235294117652</v>
      </c>
      <c r="D406" s="167">
        <v>11.997134670487103</v>
      </c>
      <c r="E406" s="167">
        <v>11.642984014209592</v>
      </c>
      <c r="F406" s="167">
        <v>12.083844580777104</v>
      </c>
      <c r="G406" s="167">
        <v>10.956603773584906</v>
      </c>
      <c r="H406" s="167">
        <v>10.944214876033053</v>
      </c>
      <c r="I406" s="167">
        <v>11.001512859304087</v>
      </c>
      <c r="J406" s="167">
        <v>11.381471389645771</v>
      </c>
      <c r="K406" s="167">
        <v>11.28695652173913</v>
      </c>
      <c r="L406" s="167">
        <v>11.181704260651623</v>
      </c>
      <c r="M406" s="167">
        <v>11.129459734964327</v>
      </c>
      <c r="N406" s="167">
        <v>11.113325031133243</v>
      </c>
      <c r="O406" s="167">
        <v>11.289840637450199</v>
      </c>
      <c r="P406" s="167">
        <v>10.819512195121952</v>
      </c>
      <c r="Q406" s="167">
        <v>11.414660831509842</v>
      </c>
      <c r="R406" s="167">
        <v>11.275269676388342</v>
      </c>
      <c r="S406" s="167">
        <v>10.706322484100264</v>
      </c>
      <c r="T406" s="167">
        <v>10.658929976396537</v>
      </c>
      <c r="U406" s="164">
        <f t="shared" si="102"/>
        <v>-0.62802654534259261</v>
      </c>
      <c r="V406" s="164">
        <f t="shared" si="103"/>
        <v>-0.16058221872541445</v>
      </c>
      <c r="W406" s="164">
        <f t="shared" si="104"/>
        <v>-4.7392507703726494E-2</v>
      </c>
      <c r="X406" s="140"/>
    </row>
    <row r="407" spans="1:24" ht="15" customHeight="1" x14ac:dyDescent="0.2">
      <c r="A407" s="205" t="s">
        <v>22</v>
      </c>
      <c r="B407" s="206"/>
      <c r="C407" s="166">
        <v>6.1047619047619044</v>
      </c>
      <c r="D407" s="166">
        <v>6.1261261261261275</v>
      </c>
      <c r="E407" s="166">
        <v>6.3529411764705879</v>
      </c>
      <c r="F407" s="166">
        <v>5.9999999999999991</v>
      </c>
      <c r="G407" s="166">
        <v>6.0905292479108635</v>
      </c>
      <c r="H407" s="166">
        <v>6.0343781597573294</v>
      </c>
      <c r="I407" s="166">
        <v>6.43079200592154</v>
      </c>
      <c r="J407" s="166">
        <v>6.3295225285810357</v>
      </c>
      <c r="K407" s="166">
        <v>6.1435035552682615</v>
      </c>
      <c r="L407" s="166">
        <v>6.159895150720839</v>
      </c>
      <c r="M407" s="166">
        <v>5.5004240882103481</v>
      </c>
      <c r="N407" s="166">
        <v>5.5200623295675886</v>
      </c>
      <c r="O407" s="166">
        <v>5.4470169189670523</v>
      </c>
      <c r="P407" s="166">
        <v>5.8633557046979865</v>
      </c>
      <c r="Q407" s="166">
        <v>5.6610127826941987</v>
      </c>
      <c r="R407" s="166">
        <v>5.7833211944646763</v>
      </c>
      <c r="S407" s="166">
        <v>5.9360465116279073</v>
      </c>
      <c r="T407" s="166">
        <v>5.6437086092715232</v>
      </c>
      <c r="U407" s="165">
        <f t="shared" si="102"/>
        <v>-0.49979494599673835</v>
      </c>
      <c r="V407" s="165">
        <f t="shared" si="103"/>
        <v>-0.21964709542646332</v>
      </c>
      <c r="W407" s="165">
        <f t="shared" si="104"/>
        <v>-0.29233790235638413</v>
      </c>
      <c r="X407" s="140"/>
    </row>
    <row r="408" spans="1:24" ht="15" customHeight="1" x14ac:dyDescent="0.2">
      <c r="A408" s="207" t="s">
        <v>72</v>
      </c>
      <c r="B408" s="208"/>
      <c r="C408" s="167">
        <v>6.1047619047619044</v>
      </c>
      <c r="D408" s="167">
        <v>6.1181818181818191</v>
      </c>
      <c r="E408" s="167">
        <v>6.3421052631578947</v>
      </c>
      <c r="F408" s="167">
        <v>6.0034602076124557</v>
      </c>
      <c r="G408" s="167">
        <v>6.0920502092050208</v>
      </c>
      <c r="H408" s="167">
        <v>6.0343781597573294</v>
      </c>
      <c r="I408" s="167">
        <v>6.43079200592154</v>
      </c>
      <c r="J408" s="167">
        <v>6.3295225285810357</v>
      </c>
      <c r="K408" s="167">
        <v>6.1435963777490299</v>
      </c>
      <c r="L408" s="167">
        <v>6.159895150720839</v>
      </c>
      <c r="M408" s="167">
        <v>5.5012733446519526</v>
      </c>
      <c r="N408" s="167">
        <v>5.5208739758095984</v>
      </c>
      <c r="O408" s="167">
        <v>5.4470169189670523</v>
      </c>
      <c r="P408" s="167">
        <v>5.8638560687432868</v>
      </c>
      <c r="Q408" s="167">
        <v>5.6614173228346454</v>
      </c>
      <c r="R408" s="167">
        <v>5.7838921282798834</v>
      </c>
      <c r="S408" s="167">
        <v>5.9346378018318067</v>
      </c>
      <c r="T408" s="167">
        <v>5.6430782839451572</v>
      </c>
      <c r="U408" s="164">
        <f t="shared" si="102"/>
        <v>-0.50051809380387269</v>
      </c>
      <c r="V408" s="164">
        <f t="shared" si="103"/>
        <v>-0.22077778479812959</v>
      </c>
      <c r="W408" s="164">
        <f t="shared" si="104"/>
        <v>-0.29155951788664947</v>
      </c>
      <c r="X408" s="140"/>
    </row>
    <row r="409" spans="1:24" ht="15" customHeight="1" x14ac:dyDescent="0.2">
      <c r="A409" s="207" t="s">
        <v>71</v>
      </c>
      <c r="B409" s="208"/>
      <c r="C409" s="167" t="s">
        <v>100</v>
      </c>
      <c r="D409" s="167" t="s">
        <v>100</v>
      </c>
      <c r="E409" s="167" t="s">
        <v>100</v>
      </c>
      <c r="F409" s="167" t="s">
        <v>100</v>
      </c>
      <c r="G409" s="167" t="s">
        <v>100</v>
      </c>
      <c r="H409" s="167" t="s">
        <v>100</v>
      </c>
      <c r="I409" s="167" t="s">
        <v>100</v>
      </c>
      <c r="J409" s="167" t="s">
        <v>100</v>
      </c>
      <c r="K409" s="167" t="s">
        <v>100</v>
      </c>
      <c r="L409" s="167" t="s">
        <v>100</v>
      </c>
      <c r="M409" s="167" t="s">
        <v>100</v>
      </c>
      <c r="N409" s="167" t="s">
        <v>100</v>
      </c>
      <c r="O409" s="167" t="s">
        <v>100</v>
      </c>
      <c r="P409" s="167" t="s">
        <v>100</v>
      </c>
      <c r="Q409" s="167" t="s">
        <v>100</v>
      </c>
      <c r="R409" s="167" t="s">
        <v>100</v>
      </c>
      <c r="S409" s="167" t="s">
        <v>100</v>
      </c>
      <c r="T409" s="167" t="s">
        <v>100</v>
      </c>
      <c r="U409" s="164" t="str">
        <f t="shared" si="102"/>
        <v>n/a</v>
      </c>
      <c r="V409" s="164" t="str">
        <f t="shared" si="103"/>
        <v>n/a</v>
      </c>
      <c r="W409" s="164" t="str">
        <f t="shared" si="104"/>
        <v>n/a</v>
      </c>
      <c r="X409" s="140"/>
    </row>
    <row r="410" spans="1:24" ht="15" customHeight="1" x14ac:dyDescent="0.2">
      <c r="A410" s="205" t="s">
        <v>39</v>
      </c>
      <c r="B410" s="206"/>
      <c r="C410" s="166">
        <v>12.112745098039214</v>
      </c>
      <c r="D410" s="166">
        <v>11.912735849056606</v>
      </c>
      <c r="E410" s="166">
        <v>11.738955823293177</v>
      </c>
      <c r="F410" s="166">
        <v>11.843989769820967</v>
      </c>
      <c r="G410" s="166">
        <v>11.307851239669422</v>
      </c>
      <c r="H410" s="166">
        <v>11.432234432234431</v>
      </c>
      <c r="I410" s="166">
        <v>11.047451669595775</v>
      </c>
      <c r="J410" s="166">
        <v>11.14117647058824</v>
      </c>
      <c r="K410" s="166">
        <v>11.034224598930479</v>
      </c>
      <c r="L410" s="166">
        <v>11.394866732477791</v>
      </c>
      <c r="M410" s="166">
        <v>11.000993048659389</v>
      </c>
      <c r="N410" s="166">
        <v>11.185036202735319</v>
      </c>
      <c r="O410" s="166">
        <v>11.126871552403466</v>
      </c>
      <c r="P410" s="166">
        <v>10.175257731958757</v>
      </c>
      <c r="Q410" s="166">
        <v>10.60172626387177</v>
      </c>
      <c r="R410" s="166">
        <v>10.188343227199136</v>
      </c>
      <c r="S410" s="166">
        <v>10.194399569197628</v>
      </c>
      <c r="T410" s="166">
        <v>9.931893687707646</v>
      </c>
      <c r="U410" s="165">
        <f t="shared" si="102"/>
        <v>-1.1023309112228326</v>
      </c>
      <c r="V410" s="165">
        <f t="shared" si="103"/>
        <v>-0.24336404425111091</v>
      </c>
      <c r="W410" s="165">
        <f t="shared" si="104"/>
        <v>-0.26250588148998233</v>
      </c>
      <c r="X410" s="140"/>
    </row>
    <row r="411" spans="1:24" ht="15" customHeight="1" x14ac:dyDescent="0.2">
      <c r="A411" s="207" t="s">
        <v>72</v>
      </c>
      <c r="B411" s="208"/>
      <c r="C411" s="167">
        <v>11.931034482758619</v>
      </c>
      <c r="D411" s="167">
        <v>12.447761194029852</v>
      </c>
      <c r="E411" s="167">
        <v>11.477611940298507</v>
      </c>
      <c r="F411" s="167">
        <v>12.265306122448974</v>
      </c>
      <c r="G411" s="167">
        <v>11.627450980392156</v>
      </c>
      <c r="H411" s="167">
        <v>10.909090909090907</v>
      </c>
      <c r="I411" s="167">
        <v>11.842105263157896</v>
      </c>
      <c r="J411" s="167">
        <v>10.999999999999998</v>
      </c>
      <c r="K411" s="167">
        <v>11.214953271028035</v>
      </c>
      <c r="L411" s="167">
        <v>11.372881355932204</v>
      </c>
      <c r="M411" s="167">
        <v>10.807017543859647</v>
      </c>
      <c r="N411" s="167">
        <v>10.899280575539571</v>
      </c>
      <c r="O411" s="167">
        <v>11.245614035087717</v>
      </c>
      <c r="P411" s="167">
        <v>9.9333333333333336</v>
      </c>
      <c r="Q411" s="167">
        <v>10.568750000000007</v>
      </c>
      <c r="R411" s="167">
        <v>10.068627450980392</v>
      </c>
      <c r="S411" s="167">
        <v>10.136585365853659</v>
      </c>
      <c r="T411" s="167">
        <v>9.7808764940239055</v>
      </c>
      <c r="U411" s="164">
        <f t="shared" si="102"/>
        <v>-1.4340767770041296</v>
      </c>
      <c r="V411" s="164">
        <f t="shared" si="103"/>
        <v>-0.1524568393094281</v>
      </c>
      <c r="W411" s="164">
        <f t="shared" si="104"/>
        <v>-0.35570887182975319</v>
      </c>
      <c r="X411" s="140"/>
    </row>
    <row r="412" spans="1:24" ht="15" customHeight="1" x14ac:dyDescent="0.2">
      <c r="A412" s="207" t="s">
        <v>71</v>
      </c>
      <c r="B412" s="208"/>
      <c r="C412" s="167">
        <v>12.155241935483879</v>
      </c>
      <c r="D412" s="167">
        <v>11.812324929971993</v>
      </c>
      <c r="E412" s="167">
        <v>11.779582366589327</v>
      </c>
      <c r="F412" s="167">
        <v>11.783625730994144</v>
      </c>
      <c r="G412" s="167">
        <v>11.270207852193995</v>
      </c>
      <c r="H412" s="167">
        <v>11.490835030549903</v>
      </c>
      <c r="I412" s="167">
        <v>10.924949290060853</v>
      </c>
      <c r="J412" s="167">
        <v>11.161943319838052</v>
      </c>
      <c r="K412" s="167">
        <v>11.010869565217389</v>
      </c>
      <c r="L412" s="167">
        <v>11.397765363128489</v>
      </c>
      <c r="M412" s="167">
        <v>11.025755879059352</v>
      </c>
      <c r="N412" s="167">
        <v>11.221014492753625</v>
      </c>
      <c r="O412" s="167">
        <v>11.115151515151517</v>
      </c>
      <c r="P412" s="167">
        <v>10.210300429184551</v>
      </c>
      <c r="Q412" s="167">
        <v>10.605335157318743</v>
      </c>
      <c r="R412" s="167">
        <v>10.203153426318986</v>
      </c>
      <c r="S412" s="167">
        <v>10.201573849878935</v>
      </c>
      <c r="T412" s="167">
        <v>9.9562700964630153</v>
      </c>
      <c r="U412" s="164">
        <f t="shared" si="102"/>
        <v>-1.0545994687543736</v>
      </c>
      <c r="V412" s="164">
        <f t="shared" si="103"/>
        <v>-0.25403033272153586</v>
      </c>
      <c r="W412" s="164">
        <f t="shared" si="104"/>
        <v>-0.2453037534159197</v>
      </c>
      <c r="X412" s="140"/>
    </row>
    <row r="413" spans="1:24" ht="15" customHeight="1" x14ac:dyDescent="0.2">
      <c r="A413" s="205" t="s">
        <v>38</v>
      </c>
      <c r="B413" s="206"/>
      <c r="C413" s="166">
        <v>11.700980392156865</v>
      </c>
      <c r="D413" s="166">
        <v>11.487619047619059</v>
      </c>
      <c r="E413" s="166">
        <v>11.057251908396937</v>
      </c>
      <c r="F413" s="166">
        <v>10.945283018867915</v>
      </c>
      <c r="G413" s="166">
        <v>10.838945827232793</v>
      </c>
      <c r="H413" s="166">
        <v>11.054611650485443</v>
      </c>
      <c r="I413" s="166">
        <v>11.138255033557051</v>
      </c>
      <c r="J413" s="166">
        <v>10.645914396887168</v>
      </c>
      <c r="K413" s="166">
        <v>10.447411003236247</v>
      </c>
      <c r="L413" s="166">
        <v>10.469600000000003</v>
      </c>
      <c r="M413" s="166">
        <v>10.197548666186007</v>
      </c>
      <c r="N413" s="166">
        <v>10.404101995565409</v>
      </c>
      <c r="O413" s="166">
        <v>10.509141274238223</v>
      </c>
      <c r="P413" s="166">
        <v>10.050371593724192</v>
      </c>
      <c r="Q413" s="166">
        <v>10.520540821632865</v>
      </c>
      <c r="R413" s="166">
        <v>10.300382043935056</v>
      </c>
      <c r="S413" s="166">
        <v>10.0045197740113</v>
      </c>
      <c r="T413" s="166">
        <v>10.067106710671066</v>
      </c>
      <c r="U413" s="165">
        <f t="shared" si="102"/>
        <v>-0.38030429256518161</v>
      </c>
      <c r="V413" s="165">
        <f t="shared" si="103"/>
        <v>1.6735116946874129E-2</v>
      </c>
      <c r="W413" s="165">
        <f t="shared" si="104"/>
        <v>6.2586936659766224E-2</v>
      </c>
      <c r="X413" s="140"/>
    </row>
    <row r="414" spans="1:24" ht="15" customHeight="1" x14ac:dyDescent="0.2">
      <c r="A414" s="207" t="s">
        <v>72</v>
      </c>
      <c r="B414" s="208"/>
      <c r="C414" s="167">
        <v>11.686335403726707</v>
      </c>
      <c r="D414" s="167">
        <v>11.084942084942082</v>
      </c>
      <c r="E414" s="167">
        <v>10.687272727272727</v>
      </c>
      <c r="F414" s="167">
        <v>10.531034482758621</v>
      </c>
      <c r="G414" s="167">
        <v>10.684073107049601</v>
      </c>
      <c r="H414" s="167">
        <v>10.86521739130435</v>
      </c>
      <c r="I414" s="167">
        <v>10.904656319290462</v>
      </c>
      <c r="J414" s="167">
        <v>10.641285956006762</v>
      </c>
      <c r="K414" s="167">
        <v>10.315858453473133</v>
      </c>
      <c r="L414" s="167">
        <v>10.253263707571799</v>
      </c>
      <c r="M414" s="167">
        <v>10.046931407942241</v>
      </c>
      <c r="N414" s="167">
        <v>10.378615249780896</v>
      </c>
      <c r="O414" s="167">
        <v>10.462412587412587</v>
      </c>
      <c r="P414" s="167">
        <v>9.947164948453608</v>
      </c>
      <c r="Q414" s="167">
        <v>10.455893832943008</v>
      </c>
      <c r="R414" s="167">
        <v>10.174198250728862</v>
      </c>
      <c r="S414" s="167">
        <v>9.7954353338968705</v>
      </c>
      <c r="T414" s="167">
        <v>9.8208828522920193</v>
      </c>
      <c r="U414" s="164">
        <f t="shared" si="102"/>
        <v>-0.49497560118111394</v>
      </c>
      <c r="V414" s="164">
        <f t="shared" si="103"/>
        <v>-0.1262820961615887</v>
      </c>
      <c r="W414" s="164">
        <f t="shared" si="104"/>
        <v>2.5447518395148805E-2</v>
      </c>
      <c r="X414" s="140"/>
    </row>
    <row r="415" spans="1:24" ht="15" customHeight="1" x14ac:dyDescent="0.2">
      <c r="A415" s="207" t="s">
        <v>71</v>
      </c>
      <c r="B415" s="208"/>
      <c r="C415" s="167">
        <v>11.717241379310339</v>
      </c>
      <c r="D415" s="167">
        <v>11.879699248120293</v>
      </c>
      <c r="E415" s="167">
        <v>11.465863453815267</v>
      </c>
      <c r="F415" s="167">
        <v>11.445833333333326</v>
      </c>
      <c r="G415" s="167">
        <v>11.036666666666671</v>
      </c>
      <c r="H415" s="167">
        <v>11.293956043956046</v>
      </c>
      <c r="I415" s="167">
        <v>11.496598639455783</v>
      </c>
      <c r="J415" s="167">
        <v>10.65217391304347</v>
      </c>
      <c r="K415" s="167">
        <v>10.659619450317125</v>
      </c>
      <c r="L415" s="167">
        <v>10.811983471074388</v>
      </c>
      <c r="M415" s="167">
        <v>10.4226618705036</v>
      </c>
      <c r="N415" s="167">
        <v>10.447963800904978</v>
      </c>
      <c r="O415" s="167">
        <v>10.59001512859304</v>
      </c>
      <c r="P415" s="167">
        <v>10.234482758620691</v>
      </c>
      <c r="Q415" s="167">
        <v>10.649532710280377</v>
      </c>
      <c r="R415" s="167">
        <v>10.540166204986148</v>
      </c>
      <c r="S415" s="167">
        <v>10.425894378194206</v>
      </c>
      <c r="T415" s="167">
        <v>10.520312500000003</v>
      </c>
      <c r="U415" s="164">
        <f t="shared" si="102"/>
        <v>-0.13930695031712226</v>
      </c>
      <c r="V415" s="164">
        <f t="shared" si="103"/>
        <v>0.28582974137931139</v>
      </c>
      <c r="W415" s="164">
        <f t="shared" si="104"/>
        <v>9.4418121805796673E-2</v>
      </c>
      <c r="X415" s="140"/>
    </row>
    <row r="416" spans="1:24" ht="15" customHeight="1" x14ac:dyDescent="0.2">
      <c r="A416" s="205" t="s">
        <v>45</v>
      </c>
      <c r="B416" s="206"/>
      <c r="C416" s="166">
        <v>6.6356589147286842</v>
      </c>
      <c r="D416" s="166">
        <v>6.2267206477732797</v>
      </c>
      <c r="E416" s="166">
        <v>5.6646153846153844</v>
      </c>
      <c r="F416" s="166">
        <v>6.8031496062992129</v>
      </c>
      <c r="G416" s="166">
        <v>6.1633466135458166</v>
      </c>
      <c r="H416" s="166">
        <v>6.3192019950124685</v>
      </c>
      <c r="I416" s="166">
        <v>6.6227876106194694</v>
      </c>
      <c r="J416" s="166">
        <v>6.2466918714555764</v>
      </c>
      <c r="K416" s="166">
        <v>6.0606299212598422</v>
      </c>
      <c r="L416" s="166">
        <v>6.1663442940038689</v>
      </c>
      <c r="M416" s="166">
        <v>5.8962779156327541</v>
      </c>
      <c r="N416" s="166">
        <v>5.9986784140969167</v>
      </c>
      <c r="O416" s="166">
        <v>5.9359743897559021</v>
      </c>
      <c r="P416" s="166">
        <v>6.1898792943361185</v>
      </c>
      <c r="Q416" s="166">
        <v>5.9522021167634005</v>
      </c>
      <c r="R416" s="166">
        <v>5.9558359621451107</v>
      </c>
      <c r="S416" s="166">
        <v>6.1642651296829962</v>
      </c>
      <c r="T416" s="166">
        <v>6.0119294605809133</v>
      </c>
      <c r="U416" s="165">
        <f t="shared" si="102"/>
        <v>-4.870046067892897E-2</v>
      </c>
      <c r="V416" s="165">
        <f t="shared" si="103"/>
        <v>-0.17794983375520523</v>
      </c>
      <c r="W416" s="165">
        <f t="shared" si="104"/>
        <v>-0.15233566910208296</v>
      </c>
      <c r="X416" s="140"/>
    </row>
    <row r="417" spans="1:24" ht="15" customHeight="1" x14ac:dyDescent="0.2">
      <c r="A417" s="207" t="s">
        <v>72</v>
      </c>
      <c r="B417" s="208"/>
      <c r="C417" s="167">
        <v>6.5555555555555554</v>
      </c>
      <c r="D417" s="167">
        <v>6.116504854368932</v>
      </c>
      <c r="E417" s="167">
        <v>5.5708955223880601</v>
      </c>
      <c r="F417" s="167">
        <v>6.7794117647058831</v>
      </c>
      <c r="G417" s="167">
        <v>6.1264916467780433</v>
      </c>
      <c r="H417" s="167">
        <v>6.315007429420505</v>
      </c>
      <c r="I417" s="167">
        <v>6.622395833333333</v>
      </c>
      <c r="J417" s="167">
        <v>6.2060737527114966</v>
      </c>
      <c r="K417" s="167">
        <v>6.0603528319405768</v>
      </c>
      <c r="L417" s="167">
        <v>6.1137225170583775</v>
      </c>
      <c r="M417" s="167">
        <v>5.8440954043048299</v>
      </c>
      <c r="N417" s="167">
        <v>5.9655349794238681</v>
      </c>
      <c r="O417" s="167">
        <v>5.906603773584906</v>
      </c>
      <c r="P417" s="167">
        <v>6.1939560439560442</v>
      </c>
      <c r="Q417" s="167">
        <v>5.9324644549763033</v>
      </c>
      <c r="R417" s="167">
        <v>5.97</v>
      </c>
      <c r="S417" s="167">
        <v>6.1478212906784337</v>
      </c>
      <c r="T417" s="167">
        <v>5.9791542584871946</v>
      </c>
      <c r="U417" s="164">
        <f t="shared" si="102"/>
        <v>-8.1198573453382217E-2</v>
      </c>
      <c r="V417" s="164">
        <f t="shared" si="103"/>
        <v>-0.21480178546884954</v>
      </c>
      <c r="W417" s="164">
        <f t="shared" si="104"/>
        <v>-0.16866703219123913</v>
      </c>
      <c r="X417" s="140"/>
    </row>
    <row r="418" spans="1:24" ht="15" customHeight="1" x14ac:dyDescent="0.2">
      <c r="A418" s="207" t="s">
        <v>71</v>
      </c>
      <c r="B418" s="208"/>
      <c r="C418" s="167">
        <v>7.0476190476190474</v>
      </c>
      <c r="D418" s="167">
        <v>6.7804878048780486</v>
      </c>
      <c r="E418" s="167">
        <v>6.1052631578947372</v>
      </c>
      <c r="F418" s="167">
        <v>6.9</v>
      </c>
      <c r="G418" s="167">
        <v>6.3493975903614457</v>
      </c>
      <c r="H418" s="167">
        <v>6.3410852713178292</v>
      </c>
      <c r="I418" s="167">
        <v>6.6250000000000009</v>
      </c>
      <c r="J418" s="167">
        <v>6.5220588235294121</v>
      </c>
      <c r="K418" s="167">
        <v>6.062176165803109</v>
      </c>
      <c r="L418" s="167">
        <v>6.4655172413793105</v>
      </c>
      <c r="M418" s="167">
        <v>6.1993243243243246</v>
      </c>
      <c r="N418" s="167">
        <v>6.1963190184049077</v>
      </c>
      <c r="O418" s="167">
        <v>6.1002638522427439</v>
      </c>
      <c r="P418" s="167">
        <v>6.1676646706586826</v>
      </c>
      <c r="Q418" s="167">
        <v>6.0780856423173804</v>
      </c>
      <c r="R418" s="167">
        <v>5.8807947019867557</v>
      </c>
      <c r="S418" s="167">
        <v>6.2750929368029729</v>
      </c>
      <c r="T418" s="167">
        <v>6.2329317269076308</v>
      </c>
      <c r="U418" s="164">
        <f t="shared" si="102"/>
        <v>0.17075556110452172</v>
      </c>
      <c r="V418" s="164">
        <f t="shared" si="103"/>
        <v>6.526705624894813E-2</v>
      </c>
      <c r="W418" s="164">
        <f t="shared" si="104"/>
        <v>-4.2161209895342111E-2</v>
      </c>
      <c r="X418" s="140"/>
    </row>
    <row r="419" spans="1:24" ht="15" customHeight="1" x14ac:dyDescent="0.2">
      <c r="A419" s="205" t="s">
        <v>67</v>
      </c>
      <c r="B419" s="206"/>
      <c r="C419" s="166">
        <v>14.783132530120474</v>
      </c>
      <c r="D419" s="166">
        <v>15.862745098039211</v>
      </c>
      <c r="E419" s="166">
        <v>14.791666666666659</v>
      </c>
      <c r="F419" s="166">
        <v>14.396825396825387</v>
      </c>
      <c r="G419" s="166">
        <v>11.828124999999993</v>
      </c>
      <c r="H419" s="166">
        <v>12.847457627118645</v>
      </c>
      <c r="I419" s="166">
        <v>12.3265306122449</v>
      </c>
      <c r="J419" s="166">
        <v>11.612068965517242</v>
      </c>
      <c r="K419" s="166">
        <v>13.730538922155691</v>
      </c>
      <c r="L419" s="166">
        <v>11.65217391304347</v>
      </c>
      <c r="M419" s="166">
        <v>10.923875432525943</v>
      </c>
      <c r="N419" s="166">
        <v>11.203669724770656</v>
      </c>
      <c r="O419" s="166">
        <v>11.026272577996712</v>
      </c>
      <c r="P419" s="166">
        <v>10.015544041450774</v>
      </c>
      <c r="Q419" s="166">
        <v>11.065650644783116</v>
      </c>
      <c r="R419" s="166">
        <v>10.733639494833518</v>
      </c>
      <c r="S419" s="166">
        <v>10.969377990430621</v>
      </c>
      <c r="T419" s="166">
        <v>10.5859778597786</v>
      </c>
      <c r="U419" s="165">
        <f t="shared" si="102"/>
        <v>-3.1445610623770914</v>
      </c>
      <c r="V419" s="165">
        <f t="shared" si="103"/>
        <v>0.57043381832782636</v>
      </c>
      <c r="W419" s="165">
        <f t="shared" si="104"/>
        <v>-0.38340013065202072</v>
      </c>
      <c r="X419" s="140"/>
    </row>
    <row r="420" spans="1:24" ht="15" customHeight="1" x14ac:dyDescent="0.2">
      <c r="A420" s="207" t="s">
        <v>72</v>
      </c>
      <c r="B420" s="208"/>
      <c r="C420" s="167" t="s">
        <v>100</v>
      </c>
      <c r="D420" s="167" t="s">
        <v>100</v>
      </c>
      <c r="E420" s="167" t="s">
        <v>100</v>
      </c>
      <c r="F420" s="167" t="s">
        <v>100</v>
      </c>
      <c r="G420" s="167" t="s">
        <v>100</v>
      </c>
      <c r="H420" s="167" t="s">
        <v>100</v>
      </c>
      <c r="I420" s="167" t="s">
        <v>100</v>
      </c>
      <c r="J420" s="167" t="s">
        <v>100</v>
      </c>
      <c r="K420" s="167" t="s">
        <v>100</v>
      </c>
      <c r="L420" s="167" t="s">
        <v>100</v>
      </c>
      <c r="M420" s="167" t="s">
        <v>100</v>
      </c>
      <c r="N420" s="167">
        <v>10.764705882352942</v>
      </c>
      <c r="O420" s="167">
        <v>10.136363636363637</v>
      </c>
      <c r="P420" s="167">
        <v>9.1333333333333258</v>
      </c>
      <c r="Q420" s="167">
        <v>9.846153846153836</v>
      </c>
      <c r="R420" s="167">
        <v>10.624999999999995</v>
      </c>
      <c r="S420" s="167">
        <v>10.734693877551015</v>
      </c>
      <c r="T420" s="167">
        <v>10.438356164383565</v>
      </c>
      <c r="U420" s="164" t="str">
        <f t="shared" si="102"/>
        <v>n/a</v>
      </c>
      <c r="V420" s="164">
        <f t="shared" si="103"/>
        <v>1.3050228310502394</v>
      </c>
      <c r="W420" s="164">
        <f t="shared" si="104"/>
        <v>-0.29633771316744983</v>
      </c>
      <c r="X420" s="140"/>
    </row>
    <row r="421" spans="1:24" ht="15" customHeight="1" x14ac:dyDescent="0.2">
      <c r="A421" s="207" t="s">
        <v>71</v>
      </c>
      <c r="B421" s="208"/>
      <c r="C421" s="167">
        <v>14.790123456790115</v>
      </c>
      <c r="D421" s="167">
        <v>15.862745098039211</v>
      </c>
      <c r="E421" s="167">
        <v>14.913043478260862</v>
      </c>
      <c r="F421" s="167">
        <v>14.450000000000005</v>
      </c>
      <c r="G421" s="167">
        <v>11.888888888888882</v>
      </c>
      <c r="H421" s="167">
        <v>12.847457627118645</v>
      </c>
      <c r="I421" s="167">
        <v>12.301075268817199</v>
      </c>
      <c r="J421" s="167">
        <v>11.608695652173919</v>
      </c>
      <c r="K421" s="167">
        <v>13.684848484848498</v>
      </c>
      <c r="L421" s="167">
        <v>11.591194968553447</v>
      </c>
      <c r="M421" s="167">
        <v>10.92226148409893</v>
      </c>
      <c r="N421" s="167">
        <v>11.21780303030304</v>
      </c>
      <c r="O421" s="167">
        <v>11.059625212947182</v>
      </c>
      <c r="P421" s="167">
        <v>10.05121293800539</v>
      </c>
      <c r="Q421" s="167">
        <v>11.103990326481256</v>
      </c>
      <c r="R421" s="167">
        <v>10.739975698663429</v>
      </c>
      <c r="S421" s="167">
        <v>10.980923694779124</v>
      </c>
      <c r="T421" s="167">
        <v>10.594383775351025</v>
      </c>
      <c r="U421" s="164">
        <f t="shared" si="102"/>
        <v>-3.0904647094974731</v>
      </c>
      <c r="V421" s="164">
        <f t="shared" si="103"/>
        <v>0.54317083734563454</v>
      </c>
      <c r="W421" s="164">
        <f t="shared" si="104"/>
        <v>-0.38653991942809895</v>
      </c>
      <c r="X421" s="140"/>
    </row>
    <row r="422" spans="1:24" ht="15" customHeight="1" x14ac:dyDescent="0.2">
      <c r="A422" s="205" t="s">
        <v>96</v>
      </c>
      <c r="B422" s="206"/>
      <c r="C422" s="166">
        <v>7.5327695560253689</v>
      </c>
      <c r="D422" s="166">
        <v>7.4623655913978491</v>
      </c>
      <c r="E422" s="166">
        <v>7.3095684803001877</v>
      </c>
      <c r="F422" s="166">
        <v>7.4558823529411731</v>
      </c>
      <c r="G422" s="166">
        <v>7.1450216450216448</v>
      </c>
      <c r="H422" s="166">
        <v>7.1582278481012658</v>
      </c>
      <c r="I422" s="166">
        <v>7.1086956521739131</v>
      </c>
      <c r="J422" s="166">
        <v>7.2244897959183669</v>
      </c>
      <c r="K422" s="166">
        <v>7.132985658409388</v>
      </c>
      <c r="L422" s="166">
        <v>7.2951593860684767</v>
      </c>
      <c r="M422" s="166">
        <v>7.0247718383311604</v>
      </c>
      <c r="N422" s="166">
        <v>7.5220588235294121</v>
      </c>
      <c r="O422" s="166">
        <v>7.1679224973089344</v>
      </c>
      <c r="P422" s="166">
        <v>7.0232876712328771</v>
      </c>
      <c r="Q422" s="166">
        <v>7.1546085232903867</v>
      </c>
      <c r="R422" s="166">
        <v>6.7683881064162756</v>
      </c>
      <c r="S422" s="166">
        <v>6.4944521497919556</v>
      </c>
      <c r="T422" s="166">
        <v>6.4116251482799536</v>
      </c>
      <c r="U422" s="165">
        <f t="shared" si="102"/>
        <v>-0.72136051012943447</v>
      </c>
      <c r="V422" s="165">
        <f t="shared" si="103"/>
        <v>-0.61166252295292356</v>
      </c>
      <c r="W422" s="165">
        <f t="shared" si="104"/>
        <v>-8.2827001512002063E-2</v>
      </c>
      <c r="X422" s="140"/>
    </row>
    <row r="423" spans="1:24" ht="15" customHeight="1" x14ac:dyDescent="0.2">
      <c r="A423" s="207" t="s">
        <v>72</v>
      </c>
      <c r="B423" s="208"/>
      <c r="C423" s="167">
        <v>7.96</v>
      </c>
      <c r="D423" s="167">
        <v>7.6545454545454543</v>
      </c>
      <c r="E423" s="167">
        <v>6.8192771084337362</v>
      </c>
      <c r="F423" s="167">
        <v>7.5714285714285712</v>
      </c>
      <c r="G423" s="167">
        <v>7.1969696969696972</v>
      </c>
      <c r="H423" s="167">
        <v>7.2238805970149267</v>
      </c>
      <c r="I423" s="167">
        <v>6.8636363636363633</v>
      </c>
      <c r="J423" s="167">
        <v>7.4249999999999998</v>
      </c>
      <c r="K423" s="167">
        <v>7.1976744186046515</v>
      </c>
      <c r="L423" s="167">
        <v>7.2886597938144329</v>
      </c>
      <c r="M423" s="167">
        <v>7.1304347826086971</v>
      </c>
      <c r="N423" s="167">
        <v>7.1652892561983483</v>
      </c>
      <c r="O423" s="167">
        <v>7.333333333333333</v>
      </c>
      <c r="P423" s="167">
        <v>6.731182795698925</v>
      </c>
      <c r="Q423" s="167">
        <v>6.6190476190476186</v>
      </c>
      <c r="R423" s="167">
        <v>6.4888888888888889</v>
      </c>
      <c r="S423" s="167">
        <v>6.4207650273224042</v>
      </c>
      <c r="T423" s="167">
        <v>6.096000000000001</v>
      </c>
      <c r="U423" s="164">
        <f t="shared" si="102"/>
        <v>-1.1016744186046505</v>
      </c>
      <c r="V423" s="164">
        <f t="shared" si="103"/>
        <v>-0.635182795698924</v>
      </c>
      <c r="W423" s="164">
        <f t="shared" si="104"/>
        <v>-0.3247650273224032</v>
      </c>
      <c r="X423" s="140"/>
    </row>
    <row r="424" spans="1:24" ht="15" customHeight="1" x14ac:dyDescent="0.2">
      <c r="A424" s="207" t="s">
        <v>71</v>
      </c>
      <c r="B424" s="208"/>
      <c r="C424" s="167">
        <v>7.4522613065326633</v>
      </c>
      <c r="D424" s="167">
        <v>7.4290220820189274</v>
      </c>
      <c r="E424" s="167">
        <v>7.4</v>
      </c>
      <c r="F424" s="167">
        <v>7.4375000000000027</v>
      </c>
      <c r="G424" s="167">
        <v>7.1363636363636349</v>
      </c>
      <c r="H424" s="167">
        <v>7.1474201474201475</v>
      </c>
      <c r="I424" s="167">
        <v>7.1474820143884896</v>
      </c>
      <c r="J424" s="167">
        <v>7.1956912028725313</v>
      </c>
      <c r="K424" s="167">
        <v>7.1248164464023498</v>
      </c>
      <c r="L424" s="167">
        <v>7.2960000000000003</v>
      </c>
      <c r="M424" s="167">
        <v>7.0103703703703708</v>
      </c>
      <c r="N424" s="167">
        <v>7.5740072202166058</v>
      </c>
      <c r="O424" s="167">
        <v>7.1495215311004783</v>
      </c>
      <c r="P424" s="167">
        <v>7.0659340659340657</v>
      </c>
      <c r="Q424" s="167">
        <v>7.231030577576445</v>
      </c>
      <c r="R424" s="167">
        <v>6.8142076502732243</v>
      </c>
      <c r="S424" s="167">
        <v>6.5051628276409845</v>
      </c>
      <c r="T424" s="167">
        <v>6.4665738161559885</v>
      </c>
      <c r="U424" s="164">
        <f t="shared" si="102"/>
        <v>-0.65824263024636132</v>
      </c>
      <c r="V424" s="164">
        <f t="shared" si="103"/>
        <v>-0.59936024977807723</v>
      </c>
      <c r="W424" s="164">
        <f t="shared" si="104"/>
        <v>-3.858901148499605E-2</v>
      </c>
      <c r="X424" s="140"/>
    </row>
    <row r="425" spans="1:24" ht="15" customHeight="1" x14ac:dyDescent="0.2">
      <c r="A425" s="205" t="s">
        <v>27</v>
      </c>
      <c r="B425" s="206"/>
      <c r="C425" s="166">
        <v>6.6538461538461551</v>
      </c>
      <c r="D425" s="166">
        <v>6.2139917695473255</v>
      </c>
      <c r="E425" s="166">
        <v>6.7014925373134329</v>
      </c>
      <c r="F425" s="166">
        <v>6.4116331096196877</v>
      </c>
      <c r="G425" s="166">
        <v>6.232899022801301</v>
      </c>
      <c r="H425" s="166">
        <v>6.3307692307692305</v>
      </c>
      <c r="I425" s="166">
        <v>6.5489964580873661</v>
      </c>
      <c r="J425" s="166">
        <v>6.1695906432748542</v>
      </c>
      <c r="K425" s="166">
        <v>6.0031055900621118</v>
      </c>
      <c r="L425" s="166">
        <v>5.8931552587646081</v>
      </c>
      <c r="M425" s="166">
        <v>6.1219730941704036</v>
      </c>
      <c r="N425" s="166">
        <v>6.3898089171974499</v>
      </c>
      <c r="O425" s="166">
        <v>6.1129629629629632</v>
      </c>
      <c r="P425" s="166">
        <v>6.3394160583941597</v>
      </c>
      <c r="Q425" s="166">
        <v>6.6983972802331211</v>
      </c>
      <c r="R425" s="166">
        <v>6.8816018572257693</v>
      </c>
      <c r="S425" s="166">
        <v>6.6714285714285717</v>
      </c>
      <c r="T425" s="166">
        <v>6.4878353087960079</v>
      </c>
      <c r="U425" s="165">
        <f t="shared" si="102"/>
        <v>0.48472971873389614</v>
      </c>
      <c r="V425" s="165">
        <f t="shared" si="103"/>
        <v>0.14841925040184822</v>
      </c>
      <c r="W425" s="165">
        <f t="shared" si="104"/>
        <v>-0.18359326263256381</v>
      </c>
      <c r="X425" s="140"/>
    </row>
    <row r="426" spans="1:24" ht="15" customHeight="1" x14ac:dyDescent="0.2">
      <c r="A426" s="207" t="s">
        <v>72</v>
      </c>
      <c r="B426" s="208"/>
      <c r="C426" s="167">
        <v>6.6781609195402316</v>
      </c>
      <c r="D426" s="167">
        <v>6.2402597402597406</v>
      </c>
      <c r="E426" s="167">
        <v>6.67578125</v>
      </c>
      <c r="F426" s="167">
        <v>6.3935018050541519</v>
      </c>
      <c r="G426" s="167">
        <v>6.2627551020408161</v>
      </c>
      <c r="H426" s="167">
        <v>6.3123486682808716</v>
      </c>
      <c r="I426" s="167">
        <v>6.505226480836237</v>
      </c>
      <c r="J426" s="167">
        <v>6.1684027777777777</v>
      </c>
      <c r="K426" s="167">
        <v>5.8949843260188084</v>
      </c>
      <c r="L426" s="167">
        <v>5.88622754491018</v>
      </c>
      <c r="M426" s="167">
        <v>6.0287958115183233</v>
      </c>
      <c r="N426" s="167">
        <v>6.3097261567516529</v>
      </c>
      <c r="O426" s="167">
        <v>6.075880758807588</v>
      </c>
      <c r="P426" s="167">
        <v>6.2270381836945301</v>
      </c>
      <c r="Q426" s="167">
        <v>6.6004155124653723</v>
      </c>
      <c r="R426" s="167">
        <v>6.7474832214765099</v>
      </c>
      <c r="S426" s="167">
        <v>6.578764142732811</v>
      </c>
      <c r="T426" s="167">
        <v>6.4670818505338081</v>
      </c>
      <c r="U426" s="164">
        <f t="shared" si="102"/>
        <v>0.57209752451499973</v>
      </c>
      <c r="V426" s="164">
        <f t="shared" si="103"/>
        <v>0.24004366683927802</v>
      </c>
      <c r="W426" s="164">
        <f t="shared" si="104"/>
        <v>-0.11168229219900283</v>
      </c>
      <c r="X426" s="140"/>
    </row>
    <row r="427" spans="1:24" ht="15" customHeight="1" x14ac:dyDescent="0.2">
      <c r="A427" s="207" t="s">
        <v>71</v>
      </c>
      <c r="B427" s="208"/>
      <c r="C427" s="167">
        <v>6.6046511627906979</v>
      </c>
      <c r="D427" s="167">
        <v>6.1685393258426968</v>
      </c>
      <c r="E427" s="167">
        <v>6.7465753424657526</v>
      </c>
      <c r="F427" s="167">
        <v>6.4411764705882355</v>
      </c>
      <c r="G427" s="167">
        <v>6.1801801801801801</v>
      </c>
      <c r="H427" s="167">
        <v>6.3628691983122359</v>
      </c>
      <c r="I427" s="167">
        <v>6.6410256410256414</v>
      </c>
      <c r="J427" s="167">
        <v>6.172043010752688</v>
      </c>
      <c r="K427" s="167">
        <v>6.2134146341463419</v>
      </c>
      <c r="L427" s="167">
        <v>5.9090909090909092</v>
      </c>
      <c r="M427" s="167">
        <v>6.3247863247863245</v>
      </c>
      <c r="N427" s="167">
        <v>6.5557729941291578</v>
      </c>
      <c r="O427" s="167">
        <v>6.192982456140351</v>
      </c>
      <c r="P427" s="167">
        <v>6.6109725685785534</v>
      </c>
      <c r="Q427" s="167">
        <v>6.928455284552844</v>
      </c>
      <c r="R427" s="167">
        <v>7.1826741996233521</v>
      </c>
      <c r="S427" s="167">
        <v>6.9023861171366594</v>
      </c>
      <c r="T427" s="167">
        <v>6.536534446764092</v>
      </c>
      <c r="U427" s="164">
        <f t="shared" si="102"/>
        <v>0.32311981261775014</v>
      </c>
      <c r="V427" s="164">
        <f t="shared" si="103"/>
        <v>-7.4438121814461411E-2</v>
      </c>
      <c r="W427" s="164">
        <f t="shared" si="104"/>
        <v>-0.36585167037256738</v>
      </c>
      <c r="X427" s="140"/>
    </row>
    <row r="428" spans="1:24" ht="15" customHeight="1" x14ac:dyDescent="0.2">
      <c r="A428" s="205" t="s">
        <v>42</v>
      </c>
      <c r="B428" s="206"/>
      <c r="C428" s="166">
        <v>10.992869875222818</v>
      </c>
      <c r="D428" s="166">
        <v>11.008247422680412</v>
      </c>
      <c r="E428" s="166">
        <v>9.6792114695340494</v>
      </c>
      <c r="F428" s="166">
        <v>10.113981762917939</v>
      </c>
      <c r="G428" s="166">
        <v>9.8612903225806452</v>
      </c>
      <c r="H428" s="166">
        <v>9.8372093023255811</v>
      </c>
      <c r="I428" s="166">
        <v>9.9512349588347035</v>
      </c>
      <c r="J428" s="166">
        <v>10.183165696135521</v>
      </c>
      <c r="K428" s="166">
        <v>10.20498162515312</v>
      </c>
      <c r="L428" s="166">
        <v>10.163694826074247</v>
      </c>
      <c r="M428" s="166">
        <v>10.105343511450378</v>
      </c>
      <c r="N428" s="166">
        <v>10.457203842049093</v>
      </c>
      <c r="O428" s="166">
        <v>10.79812834224599</v>
      </c>
      <c r="P428" s="166">
        <v>11.249544626593805</v>
      </c>
      <c r="Q428" s="166">
        <v>12.145811240721104</v>
      </c>
      <c r="R428" s="166">
        <v>12.221513944223108</v>
      </c>
      <c r="S428" s="166">
        <v>11.921568627450981</v>
      </c>
      <c r="T428" s="166">
        <v>11.620853080568718</v>
      </c>
      <c r="U428" s="165">
        <f t="shared" si="102"/>
        <v>1.4158714554155978</v>
      </c>
      <c r="V428" s="165">
        <f t="shared" si="103"/>
        <v>0.37130845397491363</v>
      </c>
      <c r="W428" s="165">
        <f t="shared" si="104"/>
        <v>-0.30071554688226243</v>
      </c>
      <c r="X428" s="140"/>
    </row>
    <row r="429" spans="1:24" ht="15" customHeight="1" x14ac:dyDescent="0.2">
      <c r="A429" s="207" t="s">
        <v>72</v>
      </c>
      <c r="B429" s="208"/>
      <c r="C429" s="167">
        <v>10.7183908045977</v>
      </c>
      <c r="D429" s="167">
        <v>10.493589743589741</v>
      </c>
      <c r="E429" s="167">
        <v>9.3207547169811313</v>
      </c>
      <c r="F429" s="167">
        <v>9.9583333333333321</v>
      </c>
      <c r="G429" s="167">
        <v>9.606469002695416</v>
      </c>
      <c r="H429" s="167">
        <v>9.7099236641221367</v>
      </c>
      <c r="I429" s="167">
        <v>9.8093959731543627</v>
      </c>
      <c r="J429" s="167">
        <v>10.067441860465117</v>
      </c>
      <c r="K429" s="167">
        <v>10.0625</v>
      </c>
      <c r="L429" s="167">
        <v>10.006662628709872</v>
      </c>
      <c r="M429" s="167">
        <v>10.031794871794872</v>
      </c>
      <c r="N429" s="167">
        <v>10.365661861074706</v>
      </c>
      <c r="O429" s="167">
        <v>10.618152524167563</v>
      </c>
      <c r="P429" s="167">
        <v>11.106145251396644</v>
      </c>
      <c r="Q429" s="167">
        <v>11.86934156378601</v>
      </c>
      <c r="R429" s="167">
        <v>11.980625931445601</v>
      </c>
      <c r="S429" s="167">
        <v>11.529531568228109</v>
      </c>
      <c r="T429" s="167">
        <v>11.401812688821748</v>
      </c>
      <c r="U429" s="164">
        <f t="shared" si="102"/>
        <v>1.3393126888217477</v>
      </c>
      <c r="V429" s="164">
        <f t="shared" si="103"/>
        <v>0.29566743742510404</v>
      </c>
      <c r="W429" s="164">
        <f t="shared" si="104"/>
        <v>-0.12771887940636084</v>
      </c>
      <c r="X429" s="140"/>
    </row>
    <row r="430" spans="1:24" ht="15" customHeight="1" x14ac:dyDescent="0.2">
      <c r="A430" s="207" t="s">
        <v>71</v>
      </c>
      <c r="B430" s="208"/>
      <c r="C430" s="167">
        <v>11.116279069767437</v>
      </c>
      <c r="D430" s="167">
        <v>11.252279635258359</v>
      </c>
      <c r="E430" s="167">
        <v>9.8988439306358416</v>
      </c>
      <c r="F430" s="167">
        <v>10.203349282296653</v>
      </c>
      <c r="G430" s="167">
        <v>10.030411449016094</v>
      </c>
      <c r="H430" s="167">
        <v>9.9494949494949498</v>
      </c>
      <c r="I430" s="167">
        <v>10.077937649880097</v>
      </c>
      <c r="J430" s="167">
        <v>10.279883381924199</v>
      </c>
      <c r="K430" s="167">
        <v>10.331534309946028</v>
      </c>
      <c r="L430" s="167">
        <v>10.310169491525428</v>
      </c>
      <c r="M430" s="167">
        <v>10.177777777777775</v>
      </c>
      <c r="N430" s="167">
        <v>10.544657762938231</v>
      </c>
      <c r="O430" s="167">
        <v>10.976570820021299</v>
      </c>
      <c r="P430" s="167">
        <v>11.386809269162214</v>
      </c>
      <c r="Q430" s="167">
        <v>12.439824945295408</v>
      </c>
      <c r="R430" s="167">
        <v>12.498287671232879</v>
      </c>
      <c r="S430" s="167">
        <v>12.433510638297877</v>
      </c>
      <c r="T430" s="167">
        <v>11.860927152317883</v>
      </c>
      <c r="U430" s="164">
        <f t="shared" si="102"/>
        <v>1.5293928423718555</v>
      </c>
      <c r="V430" s="164">
        <f t="shared" si="103"/>
        <v>0.47411788315566916</v>
      </c>
      <c r="W430" s="164">
        <f t="shared" si="104"/>
        <v>-0.57258348597999387</v>
      </c>
      <c r="X430" s="140"/>
    </row>
    <row r="431" spans="1:24" ht="15" customHeight="1" x14ac:dyDescent="0.2">
      <c r="A431" s="205" t="s">
        <v>169</v>
      </c>
      <c r="B431" s="206"/>
      <c r="C431" s="166" t="s">
        <v>100</v>
      </c>
      <c r="D431" s="166">
        <v>4.8181818181818201</v>
      </c>
      <c r="E431" s="166">
        <v>5.8095238095238111</v>
      </c>
      <c r="F431" s="166">
        <v>5.9285714285714262</v>
      </c>
      <c r="G431" s="166">
        <v>5.862068965517242</v>
      </c>
      <c r="H431" s="166">
        <v>6.2678571428571432</v>
      </c>
      <c r="I431" s="166">
        <v>6.3863636363636367</v>
      </c>
      <c r="J431" s="166">
        <v>5.9690721649484537</v>
      </c>
      <c r="K431" s="166">
        <v>5.5322580645161281</v>
      </c>
      <c r="L431" s="166">
        <v>5.4807692307692299</v>
      </c>
      <c r="M431" s="166">
        <v>5.6615853658536572</v>
      </c>
      <c r="N431" s="166">
        <v>6.8693957115009745</v>
      </c>
      <c r="O431" s="166">
        <v>5.8629856850715747</v>
      </c>
      <c r="P431" s="166">
        <v>5.8503184713375793</v>
      </c>
      <c r="Q431" s="166">
        <v>5.9145454545454541</v>
      </c>
      <c r="R431" s="166">
        <v>5.7856450048496617</v>
      </c>
      <c r="S431" s="166">
        <v>5.8436815193571947</v>
      </c>
      <c r="T431" s="166">
        <v>5.8853754940711465</v>
      </c>
      <c r="U431" s="165">
        <f t="shared" si="102"/>
        <v>0.35311742955501835</v>
      </c>
      <c r="V431" s="165">
        <f t="shared" si="103"/>
        <v>3.5057022733567145E-2</v>
      </c>
      <c r="W431" s="165">
        <f t="shared" si="104"/>
        <v>4.1693974713951754E-2</v>
      </c>
      <c r="X431" s="140"/>
    </row>
    <row r="432" spans="1:24" ht="15" customHeight="1" x14ac:dyDescent="0.2">
      <c r="A432" s="207" t="s">
        <v>72</v>
      </c>
      <c r="B432" s="208"/>
      <c r="C432" s="167" t="s">
        <v>100</v>
      </c>
      <c r="D432" s="167" t="s">
        <v>100</v>
      </c>
      <c r="E432" s="167" t="s">
        <v>100</v>
      </c>
      <c r="F432" s="167" t="s">
        <v>100</v>
      </c>
      <c r="G432" s="167" t="s">
        <v>100</v>
      </c>
      <c r="H432" s="167">
        <v>6.1875000000000009</v>
      </c>
      <c r="I432" s="167">
        <v>6.2142857142857144</v>
      </c>
      <c r="J432" s="167">
        <v>5.4444444444444446</v>
      </c>
      <c r="K432" s="167">
        <v>5.1724137931034484</v>
      </c>
      <c r="L432" s="167">
        <v>5.581818181818182</v>
      </c>
      <c r="M432" s="167">
        <v>5.7777777777777777</v>
      </c>
      <c r="N432" s="167">
        <v>6.9148936170212769</v>
      </c>
      <c r="O432" s="167">
        <v>5.7743902439024399</v>
      </c>
      <c r="P432" s="167">
        <v>5.7188940092165899</v>
      </c>
      <c r="Q432" s="167">
        <v>5.8879999999999999</v>
      </c>
      <c r="R432" s="167">
        <v>5.841317365269461</v>
      </c>
      <c r="S432" s="167">
        <v>5.8607888631090486</v>
      </c>
      <c r="T432" s="167">
        <v>5.883141762452107</v>
      </c>
      <c r="U432" s="164">
        <f t="shared" si="102"/>
        <v>0.71072796934865856</v>
      </c>
      <c r="V432" s="164">
        <f t="shared" si="103"/>
        <v>0.1642477532355171</v>
      </c>
      <c r="W432" s="164">
        <f t="shared" si="104"/>
        <v>2.2352899343058397E-2</v>
      </c>
      <c r="X432" s="140"/>
    </row>
    <row r="433" spans="1:24" ht="15" customHeight="1" x14ac:dyDescent="0.2">
      <c r="A433" s="207" t="s">
        <v>71</v>
      </c>
      <c r="B433" s="208"/>
      <c r="C433" s="167" t="s">
        <v>100</v>
      </c>
      <c r="D433" s="167" t="s">
        <v>100</v>
      </c>
      <c r="E433" s="167">
        <v>5.875</v>
      </c>
      <c r="F433" s="167">
        <v>6.0526315789473681</v>
      </c>
      <c r="G433" s="167">
        <v>6.0434782608695654</v>
      </c>
      <c r="H433" s="167">
        <v>6.2999999999999989</v>
      </c>
      <c r="I433" s="167">
        <v>6.4666666666666668</v>
      </c>
      <c r="J433" s="167">
        <v>6.0886075949367084</v>
      </c>
      <c r="K433" s="167">
        <v>5.6421052631578936</v>
      </c>
      <c r="L433" s="167">
        <v>5.4444444444444446</v>
      </c>
      <c r="M433" s="167">
        <v>5.6234817813765163</v>
      </c>
      <c r="N433" s="167">
        <v>6.8521505376344098</v>
      </c>
      <c r="O433" s="167">
        <v>5.907692307692308</v>
      </c>
      <c r="P433" s="167">
        <v>5.9197080291970803</v>
      </c>
      <c r="Q433" s="167">
        <v>5.9282758620689657</v>
      </c>
      <c r="R433" s="167">
        <v>5.7589670014347192</v>
      </c>
      <c r="S433" s="167">
        <v>5.8358208955223878</v>
      </c>
      <c r="T433" s="167">
        <v>5.886546184738954</v>
      </c>
      <c r="U433" s="164">
        <f t="shared" si="102"/>
        <v>0.24444092158106034</v>
      </c>
      <c r="V433" s="164">
        <f t="shared" si="103"/>
        <v>-3.3161844458126311E-2</v>
      </c>
      <c r="W433" s="164">
        <f t="shared" si="104"/>
        <v>5.0725289216566161E-2</v>
      </c>
      <c r="X433" s="140"/>
    </row>
    <row r="434" spans="1:24" ht="15" customHeight="1" x14ac:dyDescent="0.2">
      <c r="A434" s="205" t="s">
        <v>95</v>
      </c>
      <c r="B434" s="206"/>
      <c r="C434" s="166">
        <v>11.404907975460118</v>
      </c>
      <c r="D434" s="166">
        <v>11.352941176470587</v>
      </c>
      <c r="E434" s="166">
        <v>10.872549019607844</v>
      </c>
      <c r="F434" s="166">
        <v>11.366412213740455</v>
      </c>
      <c r="G434" s="166">
        <v>10.637426900584801</v>
      </c>
      <c r="H434" s="166">
        <v>10.570048309178745</v>
      </c>
      <c r="I434" s="166">
        <v>10.061320754716981</v>
      </c>
      <c r="J434" s="166">
        <v>10.656914893617019</v>
      </c>
      <c r="K434" s="166">
        <v>10.698656429942414</v>
      </c>
      <c r="L434" s="166">
        <v>10.836220472440944</v>
      </c>
      <c r="M434" s="166">
        <v>10.296413502109713</v>
      </c>
      <c r="N434" s="166">
        <v>10.386792452830189</v>
      </c>
      <c r="O434" s="166">
        <v>10.746775288526823</v>
      </c>
      <c r="P434" s="166">
        <v>10.890126206384554</v>
      </c>
      <c r="Q434" s="166">
        <v>10.948266060261508</v>
      </c>
      <c r="R434" s="166">
        <v>11.387050359712234</v>
      </c>
      <c r="S434" s="166">
        <v>11.692857142857147</v>
      </c>
      <c r="T434" s="166">
        <v>11.440993788819879</v>
      </c>
      <c r="U434" s="165">
        <f t="shared" si="102"/>
        <v>0.74233735887746555</v>
      </c>
      <c r="V434" s="165">
        <f t="shared" si="103"/>
        <v>0.55086758243532508</v>
      </c>
      <c r="W434" s="165">
        <f t="shared" si="104"/>
        <v>-0.25186335403726723</v>
      </c>
      <c r="X434" s="140"/>
    </row>
    <row r="435" spans="1:24" ht="15" customHeight="1" x14ac:dyDescent="0.2">
      <c r="A435" s="207" t="s">
        <v>72</v>
      </c>
      <c r="B435" s="208"/>
      <c r="C435" s="167">
        <v>11.500000000000005</v>
      </c>
      <c r="D435" s="167">
        <v>11</v>
      </c>
      <c r="E435" s="167">
        <v>10.25</v>
      </c>
      <c r="F435" s="167">
        <v>10.375</v>
      </c>
      <c r="G435" s="167">
        <v>10.636363636363637</v>
      </c>
      <c r="H435" s="167">
        <v>10.130434782608701</v>
      </c>
      <c r="I435" s="167">
        <v>10.368421052631582</v>
      </c>
      <c r="J435" s="167">
        <v>10.535714285714288</v>
      </c>
      <c r="K435" s="167">
        <v>11.338709677419347</v>
      </c>
      <c r="L435" s="167">
        <v>10.306666666666663</v>
      </c>
      <c r="M435" s="167">
        <v>10.228758169934643</v>
      </c>
      <c r="N435" s="167">
        <v>10.402714932126697</v>
      </c>
      <c r="O435" s="167">
        <v>10.290697674418608</v>
      </c>
      <c r="P435" s="167">
        <v>10.597560975609756</v>
      </c>
      <c r="Q435" s="167">
        <v>10.868098159509199</v>
      </c>
      <c r="R435" s="167">
        <v>11.390681003584231</v>
      </c>
      <c r="S435" s="167">
        <v>11.545816733067729</v>
      </c>
      <c r="T435" s="167">
        <v>11.180212014134277</v>
      </c>
      <c r="U435" s="164">
        <f t="shared" si="102"/>
        <v>-0.15849766328507009</v>
      </c>
      <c r="V435" s="164">
        <f t="shared" si="103"/>
        <v>0.58265103852452071</v>
      </c>
      <c r="W435" s="164">
        <f t="shared" si="104"/>
        <v>-0.36560471893345259</v>
      </c>
      <c r="X435" s="140"/>
    </row>
    <row r="436" spans="1:24" ht="15" customHeight="1" x14ac:dyDescent="0.2">
      <c r="A436" s="207" t="s">
        <v>71</v>
      </c>
      <c r="B436" s="208"/>
      <c r="C436" s="167">
        <v>11.391608391608388</v>
      </c>
      <c r="D436" s="167">
        <v>11.396694214876021</v>
      </c>
      <c r="E436" s="167">
        <v>10.955555555555549</v>
      </c>
      <c r="F436" s="167">
        <v>11.504347826086956</v>
      </c>
      <c r="G436" s="167">
        <v>10.637583892617448</v>
      </c>
      <c r="H436" s="167">
        <v>10.625000000000002</v>
      </c>
      <c r="I436" s="167">
        <v>9.9942528735632177</v>
      </c>
      <c r="J436" s="167">
        <v>10.678124999999998</v>
      </c>
      <c r="K436" s="167">
        <v>10.612200435729848</v>
      </c>
      <c r="L436" s="167">
        <v>10.907142857142858</v>
      </c>
      <c r="M436" s="167">
        <v>10.30943396226415</v>
      </c>
      <c r="N436" s="167">
        <v>10.383444338725022</v>
      </c>
      <c r="O436" s="167">
        <v>10.843621399176952</v>
      </c>
      <c r="P436" s="167">
        <v>10.955495004541323</v>
      </c>
      <c r="Q436" s="167">
        <v>10.966503838101882</v>
      </c>
      <c r="R436" s="167">
        <v>11.386138613861387</v>
      </c>
      <c r="S436" s="167">
        <v>11.729435084241823</v>
      </c>
      <c r="T436" s="167">
        <v>11.514427860696522</v>
      </c>
      <c r="U436" s="164">
        <f t="shared" si="102"/>
        <v>0.9022274249666733</v>
      </c>
      <c r="V436" s="164">
        <f t="shared" si="103"/>
        <v>0.55893285615519872</v>
      </c>
      <c r="W436" s="164">
        <f t="shared" si="104"/>
        <v>-0.21500722354530133</v>
      </c>
      <c r="X436" s="140"/>
    </row>
    <row r="437" spans="1:24" ht="15" customHeight="1" x14ac:dyDescent="0.2">
      <c r="A437" s="205" t="s">
        <v>339</v>
      </c>
      <c r="B437" s="206"/>
      <c r="C437" s="166">
        <v>6</v>
      </c>
      <c r="D437" s="166">
        <v>5.7627118644067812</v>
      </c>
      <c r="E437" s="166">
        <v>6.0204081632653059</v>
      </c>
      <c r="F437" s="166">
        <v>6.2727272727272725</v>
      </c>
      <c r="G437" s="166">
        <v>6.0700000000000021</v>
      </c>
      <c r="H437" s="166">
        <v>6.2583333333333337</v>
      </c>
      <c r="I437" s="166">
        <v>6.7864583333333321</v>
      </c>
      <c r="J437" s="166">
        <v>6.0925373134328362</v>
      </c>
      <c r="K437" s="166">
        <v>5.7299412915851269</v>
      </c>
      <c r="L437" s="166">
        <v>5.6543689320388353</v>
      </c>
      <c r="M437" s="166">
        <v>5.7048611111111116</v>
      </c>
      <c r="N437" s="166">
        <v>5.463382157123835</v>
      </c>
      <c r="O437" s="166">
        <v>5.6489971346704877</v>
      </c>
      <c r="P437" s="166">
        <v>5.8909952606635079</v>
      </c>
      <c r="Q437" s="166">
        <v>5.7990654205607468</v>
      </c>
      <c r="R437" s="166">
        <v>5.8397839783978398</v>
      </c>
      <c r="S437" s="166">
        <v>5.7604938271604933</v>
      </c>
      <c r="T437" s="166">
        <v>5.708783783783784</v>
      </c>
      <c r="U437" s="165">
        <f t="shared" si="102"/>
        <v>-2.1157507801342845E-2</v>
      </c>
      <c r="V437" s="165">
        <f t="shared" si="103"/>
        <v>-0.18221147687972383</v>
      </c>
      <c r="W437" s="165">
        <f t="shared" si="104"/>
        <v>-5.1710043376709258E-2</v>
      </c>
      <c r="X437" s="140"/>
    </row>
    <row r="438" spans="1:24" ht="15" customHeight="1" x14ac:dyDescent="0.2">
      <c r="A438" s="207" t="s">
        <v>72</v>
      </c>
      <c r="B438" s="208"/>
      <c r="C438" s="167">
        <v>6</v>
      </c>
      <c r="D438" s="167">
        <v>5.7586206896551744</v>
      </c>
      <c r="E438" s="167">
        <v>6.0204081632653059</v>
      </c>
      <c r="F438" s="167">
        <v>6.2777777777777821</v>
      </c>
      <c r="G438" s="167">
        <v>6.0531914893617023</v>
      </c>
      <c r="H438" s="167">
        <v>6.2192982456140369</v>
      </c>
      <c r="I438" s="167">
        <v>6.811827956989247</v>
      </c>
      <c r="J438" s="167">
        <v>6.1111111111111107</v>
      </c>
      <c r="K438" s="167">
        <v>5.727822580645161</v>
      </c>
      <c r="L438" s="167">
        <v>5.6467065868263484</v>
      </c>
      <c r="M438" s="167">
        <v>5.7084078711985686</v>
      </c>
      <c r="N438" s="167">
        <v>5.4610123119015057</v>
      </c>
      <c r="O438" s="167">
        <v>5.6460176991150455</v>
      </c>
      <c r="P438" s="167">
        <v>5.8940397350993381</v>
      </c>
      <c r="Q438" s="167">
        <v>5.8004836759371212</v>
      </c>
      <c r="R438" s="167">
        <v>5.8447319778188538</v>
      </c>
      <c r="S438" s="167">
        <v>5.7687763713080153</v>
      </c>
      <c r="T438" s="167">
        <v>5.7064093728463128</v>
      </c>
      <c r="U438" s="164">
        <f t="shared" si="102"/>
        <v>-2.1413207798848255E-2</v>
      </c>
      <c r="V438" s="164">
        <f t="shared" si="103"/>
        <v>-0.18763036225302532</v>
      </c>
      <c r="W438" s="164">
        <f t="shared" si="104"/>
        <v>-6.2366998461702572E-2</v>
      </c>
      <c r="X438" s="140"/>
    </row>
    <row r="439" spans="1:24" ht="15" customHeight="1" x14ac:dyDescent="0.2">
      <c r="A439" s="207" t="s">
        <v>71</v>
      </c>
      <c r="B439" s="208"/>
      <c r="C439" s="167" t="s">
        <v>100</v>
      </c>
      <c r="D439" s="167" t="s">
        <v>100</v>
      </c>
      <c r="E439" s="167" t="s">
        <v>100</v>
      </c>
      <c r="F439" s="167" t="s">
        <v>100</v>
      </c>
      <c r="G439" s="167" t="s">
        <v>100</v>
      </c>
      <c r="H439" s="167" t="s">
        <v>100</v>
      </c>
      <c r="I439" s="167" t="s">
        <v>100</v>
      </c>
      <c r="J439" s="167">
        <v>5.5454545454545459</v>
      </c>
      <c r="K439" s="167">
        <v>5.8</v>
      </c>
      <c r="L439" s="167">
        <v>5.9285714285714288</v>
      </c>
      <c r="M439" s="167">
        <v>5.5882352941176467</v>
      </c>
      <c r="N439" s="167">
        <v>5.55</v>
      </c>
      <c r="O439" s="167">
        <v>5.75</v>
      </c>
      <c r="P439" s="167">
        <v>5.8275862068965516</v>
      </c>
      <c r="Q439" s="167">
        <v>5.7586206896551726</v>
      </c>
      <c r="R439" s="167">
        <v>5.6551724137931032</v>
      </c>
      <c r="S439" s="167">
        <v>5.4333333333333336</v>
      </c>
      <c r="T439" s="167">
        <v>5.8275862068965516</v>
      </c>
      <c r="U439" s="164">
        <f t="shared" si="102"/>
        <v>2.7586206896551779E-2</v>
      </c>
      <c r="V439" s="164">
        <f t="shared" si="103"/>
        <v>0</v>
      </c>
      <c r="W439" s="164">
        <f t="shared" si="104"/>
        <v>0.39425287356321803</v>
      </c>
      <c r="X439" s="140"/>
    </row>
    <row r="440" spans="1:24" ht="15" customHeight="1" x14ac:dyDescent="0.2">
      <c r="A440" s="205" t="s">
        <v>44</v>
      </c>
      <c r="B440" s="206"/>
      <c r="C440" s="166">
        <v>10.17924528301887</v>
      </c>
      <c r="D440" s="166">
        <v>9.923664122137426</v>
      </c>
      <c r="E440" s="166">
        <v>9.774725274725272</v>
      </c>
      <c r="F440" s="166">
        <v>10.067073170731705</v>
      </c>
      <c r="G440" s="166">
        <v>10.072916666666661</v>
      </c>
      <c r="H440" s="166">
        <v>9.841004184100413</v>
      </c>
      <c r="I440" s="166">
        <v>9.9808917197452303</v>
      </c>
      <c r="J440" s="166">
        <v>9.8269419862340239</v>
      </c>
      <c r="K440" s="166">
        <v>9.8770281810418439</v>
      </c>
      <c r="L440" s="166">
        <v>9.575148809523812</v>
      </c>
      <c r="M440" s="166">
        <v>9.3737480231945156</v>
      </c>
      <c r="N440" s="166">
        <v>9.5687458081824275</v>
      </c>
      <c r="O440" s="166">
        <v>9.6158490566037731</v>
      </c>
      <c r="P440" s="166">
        <v>9.4435004248088337</v>
      </c>
      <c r="Q440" s="166">
        <v>9.2974169741697406</v>
      </c>
      <c r="R440" s="166">
        <v>9.4574927953890509</v>
      </c>
      <c r="S440" s="166">
        <v>9.4087705559906016</v>
      </c>
      <c r="T440" s="166">
        <v>9.4670818505338072</v>
      </c>
      <c r="U440" s="165">
        <f t="shared" si="102"/>
        <v>-0.40994633050803664</v>
      </c>
      <c r="V440" s="165">
        <f t="shared" si="103"/>
        <v>2.358142572497357E-2</v>
      </c>
      <c r="W440" s="165">
        <f t="shared" si="104"/>
        <v>5.8311294543205605E-2</v>
      </c>
      <c r="X440" s="140"/>
    </row>
    <row r="441" spans="1:24" ht="15" customHeight="1" x14ac:dyDescent="0.2">
      <c r="A441" s="207" t="s">
        <v>72</v>
      </c>
      <c r="B441" s="208"/>
      <c r="C441" s="167">
        <v>10.106598984771571</v>
      </c>
      <c r="D441" s="167">
        <v>9.9051724137931032</v>
      </c>
      <c r="E441" s="167">
        <v>9.7425149700598777</v>
      </c>
      <c r="F441" s="167">
        <v>9.9626168224299114</v>
      </c>
      <c r="G441" s="167">
        <v>10.098823529411771</v>
      </c>
      <c r="H441" s="167">
        <v>9.8337182448036913</v>
      </c>
      <c r="I441" s="167">
        <v>9.9971631205673894</v>
      </c>
      <c r="J441" s="167">
        <v>9.7902869757174393</v>
      </c>
      <c r="K441" s="167">
        <v>9.8546296296296259</v>
      </c>
      <c r="L441" s="167">
        <v>9.5460420032310136</v>
      </c>
      <c r="M441" s="167">
        <v>9.3581157775255388</v>
      </c>
      <c r="N441" s="167">
        <v>9.5653450807635814</v>
      </c>
      <c r="O441" s="167">
        <v>9.6093100581878641</v>
      </c>
      <c r="P441" s="167">
        <v>9.4263059701492544</v>
      </c>
      <c r="Q441" s="167">
        <v>9.2841269841269849</v>
      </c>
      <c r="R441" s="167">
        <v>9.4632637277648897</v>
      </c>
      <c r="S441" s="167">
        <v>9.3361994840928624</v>
      </c>
      <c r="T441" s="167">
        <v>9.4562558795860774</v>
      </c>
      <c r="U441" s="164">
        <f t="shared" si="102"/>
        <v>-0.39837375004354847</v>
      </c>
      <c r="V441" s="164">
        <f t="shared" si="103"/>
        <v>2.9949909436822963E-2</v>
      </c>
      <c r="W441" s="164">
        <f t="shared" si="104"/>
        <v>0.12005639549321501</v>
      </c>
      <c r="X441" s="140"/>
    </row>
    <row r="442" spans="1:24" ht="15" customHeight="1" x14ac:dyDescent="0.2">
      <c r="A442" s="207" t="s">
        <v>71</v>
      </c>
      <c r="B442" s="208"/>
      <c r="C442" s="167">
        <v>11.133333333333333</v>
      </c>
      <c r="D442" s="167">
        <v>10.066666666666675</v>
      </c>
      <c r="E442" s="167">
        <v>10.133333333333329</v>
      </c>
      <c r="F442" s="167">
        <v>10.765624999999993</v>
      </c>
      <c r="G442" s="167">
        <v>9.872727272727273</v>
      </c>
      <c r="H442" s="167">
        <v>9.9111111111111132</v>
      </c>
      <c r="I442" s="167">
        <v>9.8375000000000021</v>
      </c>
      <c r="J442" s="167">
        <v>10.126126126126131</v>
      </c>
      <c r="K442" s="167">
        <v>10.142857142857141</v>
      </c>
      <c r="L442" s="167">
        <v>9.915094339622641</v>
      </c>
      <c r="M442" s="167">
        <v>9.5777777777777775</v>
      </c>
      <c r="N442" s="167">
        <v>9.6046511627906987</v>
      </c>
      <c r="O442" s="167">
        <v>9.6803278688524568</v>
      </c>
      <c r="P442" s="167">
        <v>9.6190476190476151</v>
      </c>
      <c r="Q442" s="167">
        <v>9.4736842105263186</v>
      </c>
      <c r="R442" s="167">
        <v>9.3789473684210485</v>
      </c>
      <c r="S442" s="167">
        <v>10.149122807017546</v>
      </c>
      <c r="T442" s="167">
        <v>9.6557377049180335</v>
      </c>
      <c r="U442" s="164">
        <f t="shared" si="102"/>
        <v>-0.48711943793910706</v>
      </c>
      <c r="V442" s="164">
        <f t="shared" si="103"/>
        <v>3.6690085870418443E-2</v>
      </c>
      <c r="W442" s="164">
        <f t="shared" si="104"/>
        <v>-0.49338510209951281</v>
      </c>
      <c r="X442" s="140"/>
    </row>
    <row r="443" spans="1:24" ht="15" customHeight="1" x14ac:dyDescent="0.2">
      <c r="A443" s="205" t="s">
        <v>452</v>
      </c>
      <c r="B443" s="206"/>
      <c r="C443" s="166">
        <v>9.4705882352941302</v>
      </c>
      <c r="D443" s="166" t="s">
        <v>100</v>
      </c>
      <c r="E443" s="166">
        <v>9.6153846153846168</v>
      </c>
      <c r="F443" s="166" t="s">
        <v>100</v>
      </c>
      <c r="G443" s="166" t="s">
        <v>100</v>
      </c>
      <c r="H443" s="166">
        <v>8.9285714285714288</v>
      </c>
      <c r="I443" s="166">
        <v>10</v>
      </c>
      <c r="J443" s="166">
        <v>9.7096774193548416</v>
      </c>
      <c r="K443" s="166">
        <v>9.2894736842105257</v>
      </c>
      <c r="L443" s="166">
        <v>9.1454545454545464</v>
      </c>
      <c r="M443" s="166">
        <v>9.3382352941176467</v>
      </c>
      <c r="N443" s="166">
        <v>10.72864321608041</v>
      </c>
      <c r="O443" s="166">
        <v>9.6113744075829342</v>
      </c>
      <c r="P443" s="166">
        <v>9.028571428571432</v>
      </c>
      <c r="Q443" s="166">
        <v>9.8468468468468515</v>
      </c>
      <c r="R443" s="166">
        <v>9.4982876712328732</v>
      </c>
      <c r="S443" s="166">
        <v>9.4570200573065897</v>
      </c>
      <c r="T443" s="166">
        <v>9.5696682464454952</v>
      </c>
      <c r="U443" s="165">
        <f t="shared" si="102"/>
        <v>0.28019456223496952</v>
      </c>
      <c r="V443" s="165">
        <f t="shared" si="103"/>
        <v>0.54109681787406316</v>
      </c>
      <c r="W443" s="165">
        <f t="shared" si="104"/>
        <v>0.11264818913890551</v>
      </c>
      <c r="X443" s="140"/>
    </row>
    <row r="444" spans="1:24" ht="15" customHeight="1" x14ac:dyDescent="0.2">
      <c r="A444" s="207" t="s">
        <v>72</v>
      </c>
      <c r="B444" s="208"/>
      <c r="C444" s="167" t="s">
        <v>100</v>
      </c>
      <c r="D444" s="167" t="s">
        <v>100</v>
      </c>
      <c r="E444" s="167" t="s">
        <v>100</v>
      </c>
      <c r="F444" s="167" t="s">
        <v>100</v>
      </c>
      <c r="G444" s="167" t="s">
        <v>100</v>
      </c>
      <c r="H444" s="167" t="s">
        <v>100</v>
      </c>
      <c r="I444" s="167">
        <v>9.4166666666666696</v>
      </c>
      <c r="J444" s="167" t="s">
        <v>100</v>
      </c>
      <c r="K444" s="167">
        <v>8.9032258064516103</v>
      </c>
      <c r="L444" s="167">
        <v>8.6818181818181852</v>
      </c>
      <c r="M444" s="167">
        <v>8.8095238095238102</v>
      </c>
      <c r="N444" s="167">
        <v>10.689655172413781</v>
      </c>
      <c r="O444" s="167">
        <v>9.4807692307692299</v>
      </c>
      <c r="P444" s="167">
        <v>9.108108108108107</v>
      </c>
      <c r="Q444" s="167">
        <v>9.5462962962962958</v>
      </c>
      <c r="R444" s="167">
        <v>9.379844961240309</v>
      </c>
      <c r="S444" s="167">
        <v>9.2317460317460327</v>
      </c>
      <c r="T444" s="167">
        <v>9.3333333333333339</v>
      </c>
      <c r="U444" s="164">
        <f t="shared" si="102"/>
        <v>0.4301075268817236</v>
      </c>
      <c r="V444" s="164">
        <f t="shared" si="103"/>
        <v>0.22522522522522692</v>
      </c>
      <c r="W444" s="164">
        <f t="shared" si="104"/>
        <v>0.10158730158730123</v>
      </c>
      <c r="X444" s="140"/>
    </row>
    <row r="445" spans="1:24" ht="15" customHeight="1" x14ac:dyDescent="0.2">
      <c r="A445" s="207" t="s">
        <v>71</v>
      </c>
      <c r="B445" s="208"/>
      <c r="C445" s="167">
        <v>9.5000000000000124</v>
      </c>
      <c r="D445" s="167" t="s">
        <v>100</v>
      </c>
      <c r="E445" s="167">
        <v>9.6153846153846168</v>
      </c>
      <c r="F445" s="167" t="s">
        <v>100</v>
      </c>
      <c r="G445" s="167" t="s">
        <v>100</v>
      </c>
      <c r="H445" s="167">
        <v>8.6666666666666625</v>
      </c>
      <c r="I445" s="167">
        <v>10.388888888888888</v>
      </c>
      <c r="J445" s="167">
        <v>9.8636363636363953</v>
      </c>
      <c r="K445" s="167">
        <v>9.5555555555555536</v>
      </c>
      <c r="L445" s="167">
        <v>9.454545454545455</v>
      </c>
      <c r="M445" s="167">
        <v>9.5744680851063837</v>
      </c>
      <c r="N445" s="167">
        <v>10.744680851063832</v>
      </c>
      <c r="O445" s="167">
        <v>9.6540880503144653</v>
      </c>
      <c r="P445" s="167">
        <v>8.9852941176470615</v>
      </c>
      <c r="Q445" s="167">
        <v>9.9911111111111204</v>
      </c>
      <c r="R445" s="167">
        <v>9.592024539877297</v>
      </c>
      <c r="S445" s="167">
        <v>9.6422976501305548</v>
      </c>
      <c r="T445" s="167">
        <v>9.7475083056478393</v>
      </c>
      <c r="U445" s="164">
        <f t="shared" si="102"/>
        <v>0.19195275009228574</v>
      </c>
      <c r="V445" s="164">
        <f t="shared" si="103"/>
        <v>0.76221418800077778</v>
      </c>
      <c r="W445" s="164">
        <f t="shared" si="104"/>
        <v>0.10521065551728448</v>
      </c>
      <c r="X445" s="140"/>
    </row>
    <row r="446" spans="1:24" ht="15" customHeight="1" x14ac:dyDescent="0.2">
      <c r="A446" s="205" t="s">
        <v>299</v>
      </c>
      <c r="B446" s="206"/>
      <c r="C446" s="166">
        <v>12.461538461538479</v>
      </c>
      <c r="D446" s="166">
        <v>10.676923076923075</v>
      </c>
      <c r="E446" s="166">
        <v>9.9600000000000026</v>
      </c>
      <c r="F446" s="166">
        <v>10.07246376811594</v>
      </c>
      <c r="G446" s="166">
        <v>9.8846153846153832</v>
      </c>
      <c r="H446" s="166">
        <v>9.9218749999999858</v>
      </c>
      <c r="I446" s="166">
        <v>9.4768211920529826</v>
      </c>
      <c r="J446" s="166">
        <v>9.804979253112025</v>
      </c>
      <c r="K446" s="166">
        <v>9.6056910569105636</v>
      </c>
      <c r="L446" s="166">
        <v>9.2915851272015662</v>
      </c>
      <c r="M446" s="166">
        <v>9.5835351089588414</v>
      </c>
      <c r="N446" s="166">
        <v>10.261942675159236</v>
      </c>
      <c r="O446" s="166">
        <v>9.6111999999999949</v>
      </c>
      <c r="P446" s="166">
        <v>9.1875923190546587</v>
      </c>
      <c r="Q446" s="166">
        <v>9.8926417370325712</v>
      </c>
      <c r="R446" s="166">
        <v>9.7556935817805375</v>
      </c>
      <c r="S446" s="166">
        <v>9.7390965732087196</v>
      </c>
      <c r="T446" s="166">
        <v>9.6579710144927553</v>
      </c>
      <c r="U446" s="165">
        <f t="shared" si="102"/>
        <v>5.2279957582191727E-2</v>
      </c>
      <c r="V446" s="165">
        <f t="shared" si="103"/>
        <v>0.47037869543809663</v>
      </c>
      <c r="W446" s="165">
        <f t="shared" si="104"/>
        <v>-8.1125558715964274E-2</v>
      </c>
      <c r="X446" s="140"/>
    </row>
    <row r="447" spans="1:24" ht="15" customHeight="1" x14ac:dyDescent="0.2">
      <c r="A447" s="207" t="s">
        <v>72</v>
      </c>
      <c r="B447" s="208"/>
      <c r="C447" s="167">
        <v>12.39999999999999</v>
      </c>
      <c r="D447" s="167">
        <v>10.434782608695654</v>
      </c>
      <c r="E447" s="167">
        <v>10.03448275862069</v>
      </c>
      <c r="F447" s="167">
        <v>9.8863636363636367</v>
      </c>
      <c r="G447" s="167">
        <v>9.5576923076923048</v>
      </c>
      <c r="H447" s="167">
        <v>9.6538461538461533</v>
      </c>
      <c r="I447" s="167">
        <v>9.4684684684684619</v>
      </c>
      <c r="J447" s="167">
        <v>9.7135135135135116</v>
      </c>
      <c r="K447" s="167">
        <v>9.5375722543352595</v>
      </c>
      <c r="L447" s="167">
        <v>9.2619647355163703</v>
      </c>
      <c r="M447" s="167">
        <v>9.558064516129031</v>
      </c>
      <c r="N447" s="167">
        <v>10.318781725888329</v>
      </c>
      <c r="O447" s="167">
        <v>9.5971802618328272</v>
      </c>
      <c r="P447" s="167">
        <v>9.1456310679611654</v>
      </c>
      <c r="Q447" s="167">
        <v>9.8477429227237909</v>
      </c>
      <c r="R447" s="167">
        <v>9.6578014184397176</v>
      </c>
      <c r="S447" s="167">
        <v>9.6790371113340026</v>
      </c>
      <c r="T447" s="167">
        <v>9.6666666666666696</v>
      </c>
      <c r="U447" s="164">
        <f t="shared" si="102"/>
        <v>0.12909441233141017</v>
      </c>
      <c r="V447" s="164">
        <f t="shared" si="103"/>
        <v>0.5210355987055042</v>
      </c>
      <c r="W447" s="164">
        <f t="shared" si="104"/>
        <v>-1.2370444667332947E-2</v>
      </c>
      <c r="X447" s="140"/>
    </row>
    <row r="448" spans="1:24" ht="15" customHeight="1" x14ac:dyDescent="0.2">
      <c r="A448" s="207" t="s">
        <v>71</v>
      </c>
      <c r="B448" s="208"/>
      <c r="C448" s="167">
        <v>12.545454545454534</v>
      </c>
      <c r="D448" s="167">
        <v>11.263157894736835</v>
      </c>
      <c r="E448" s="167">
        <v>9.8571428571428541</v>
      </c>
      <c r="F448" s="167">
        <v>10.400000000000007</v>
      </c>
      <c r="G448" s="167">
        <v>10.538461538461538</v>
      </c>
      <c r="H448" s="167">
        <v>11.083333333333323</v>
      </c>
      <c r="I448" s="167">
        <v>9.5</v>
      </c>
      <c r="J448" s="167">
        <v>10.107142857142859</v>
      </c>
      <c r="K448" s="167">
        <v>9.7671232876712271</v>
      </c>
      <c r="L448" s="167">
        <v>9.3947368421052637</v>
      </c>
      <c r="M448" s="167">
        <v>9.6601941747572795</v>
      </c>
      <c r="N448" s="167">
        <v>10.055350553505534</v>
      </c>
      <c r="O448" s="167">
        <v>9.6653696498054433</v>
      </c>
      <c r="P448" s="167">
        <v>9.3209876543209909</v>
      </c>
      <c r="Q448" s="167">
        <v>10.059829059829058</v>
      </c>
      <c r="R448" s="167">
        <v>10.099688473520253</v>
      </c>
      <c r="S448" s="167">
        <v>9.9477351916376282</v>
      </c>
      <c r="T448" s="167">
        <v>9.6255707762557066</v>
      </c>
      <c r="U448" s="164">
        <f t="shared" si="102"/>
        <v>-0.1415525114155205</v>
      </c>
      <c r="V448" s="164">
        <f t="shared" si="103"/>
        <v>0.30458312193471571</v>
      </c>
      <c r="W448" s="164">
        <f t="shared" si="104"/>
        <v>-0.32216441538192164</v>
      </c>
      <c r="X448" s="140"/>
    </row>
    <row r="449" spans="1:24" ht="15" customHeight="1" x14ac:dyDescent="0.2">
      <c r="A449" s="205" t="s">
        <v>40</v>
      </c>
      <c r="B449" s="206"/>
      <c r="C449" s="166">
        <v>12.406779661016934</v>
      </c>
      <c r="D449" s="166">
        <v>13.135135135135139</v>
      </c>
      <c r="E449" s="166">
        <v>12.461538461538442</v>
      </c>
      <c r="F449" s="166">
        <v>10.353448275862075</v>
      </c>
      <c r="G449" s="166">
        <v>10.44884488448845</v>
      </c>
      <c r="H449" s="166">
        <v>11.047961630695443</v>
      </c>
      <c r="I449" s="166">
        <v>11.163380281690142</v>
      </c>
      <c r="J449" s="166">
        <v>11.188841201716734</v>
      </c>
      <c r="K449" s="166">
        <v>12.112637362637347</v>
      </c>
      <c r="L449" s="166">
        <v>11.339522546419108</v>
      </c>
      <c r="M449" s="166">
        <v>11.077731092436979</v>
      </c>
      <c r="N449" s="166">
        <v>11.863756613756626</v>
      </c>
      <c r="O449" s="166">
        <v>11.879649890590796</v>
      </c>
      <c r="P449" s="166">
        <v>10.453507340946175</v>
      </c>
      <c r="Q449" s="166">
        <v>11.437453737971873</v>
      </c>
      <c r="R449" s="166">
        <v>11.098005203816133</v>
      </c>
      <c r="S449" s="166">
        <v>10.624884792626716</v>
      </c>
      <c r="T449" s="166">
        <v>10.370036101083029</v>
      </c>
      <c r="U449" s="165">
        <f t="shared" si="102"/>
        <v>-1.7426012615543183</v>
      </c>
      <c r="V449" s="165">
        <f t="shared" si="103"/>
        <v>-8.3471239863145641E-2</v>
      </c>
      <c r="W449" s="165">
        <f t="shared" si="104"/>
        <v>-0.25484869154368717</v>
      </c>
      <c r="X449" s="140"/>
    </row>
    <row r="450" spans="1:24" ht="15" customHeight="1" x14ac:dyDescent="0.2">
      <c r="A450" s="207" t="s">
        <v>72</v>
      </c>
      <c r="B450" s="208"/>
      <c r="C450" s="167" t="s">
        <v>100</v>
      </c>
      <c r="D450" s="167" t="s">
        <v>100</v>
      </c>
      <c r="E450" s="167" t="s">
        <v>100</v>
      </c>
      <c r="F450" s="167">
        <v>11</v>
      </c>
      <c r="G450" s="167">
        <v>10.355555555555547</v>
      </c>
      <c r="H450" s="167">
        <v>10.81632653061224</v>
      </c>
      <c r="I450" s="167">
        <v>10.680851063829785</v>
      </c>
      <c r="J450" s="167">
        <v>11.180327868852457</v>
      </c>
      <c r="K450" s="167">
        <v>12.357142857142859</v>
      </c>
      <c r="L450" s="167">
        <v>11.298507462686555</v>
      </c>
      <c r="M450" s="167">
        <v>10.906542056074763</v>
      </c>
      <c r="N450" s="167">
        <v>11.957746478873243</v>
      </c>
      <c r="O450" s="167">
        <v>11.609195402298846</v>
      </c>
      <c r="P450" s="167">
        <v>10.073529411764705</v>
      </c>
      <c r="Q450" s="167">
        <v>11.089506172839506</v>
      </c>
      <c r="R450" s="167">
        <v>10.973880597014933</v>
      </c>
      <c r="S450" s="167">
        <v>10.123456790123463</v>
      </c>
      <c r="T450" s="167">
        <v>9.9685039370078794</v>
      </c>
      <c r="U450" s="164">
        <f t="shared" si="102"/>
        <v>-2.38863892013498</v>
      </c>
      <c r="V450" s="164">
        <f t="shared" si="103"/>
        <v>-0.10502547475682533</v>
      </c>
      <c r="W450" s="164">
        <f t="shared" si="104"/>
        <v>-0.15495285311558327</v>
      </c>
      <c r="X450" s="140"/>
    </row>
    <row r="451" spans="1:24" ht="15" customHeight="1" x14ac:dyDescent="0.2">
      <c r="A451" s="207" t="s">
        <v>71</v>
      </c>
      <c r="B451" s="208"/>
      <c r="C451" s="167">
        <v>12.38181818181816</v>
      </c>
      <c r="D451" s="167">
        <v>13.264705882352942</v>
      </c>
      <c r="E451" s="167">
        <v>12.583333333333313</v>
      </c>
      <c r="F451" s="167">
        <v>10.29245283018868</v>
      </c>
      <c r="G451" s="167">
        <v>10.465116279069765</v>
      </c>
      <c r="H451" s="167">
        <v>11.078804347826081</v>
      </c>
      <c r="I451" s="167">
        <v>11.237012987012983</v>
      </c>
      <c r="J451" s="167">
        <v>11.190123456790127</v>
      </c>
      <c r="K451" s="167">
        <v>12.068181818181808</v>
      </c>
      <c r="L451" s="167">
        <v>11.3483870967742</v>
      </c>
      <c r="M451" s="167">
        <v>11.127371273712745</v>
      </c>
      <c r="N451" s="167">
        <v>11.842019543973922</v>
      </c>
      <c r="O451" s="167">
        <v>11.943243243243248</v>
      </c>
      <c r="P451" s="167">
        <v>10.561844863731656</v>
      </c>
      <c r="Q451" s="167">
        <v>11.547224926971763</v>
      </c>
      <c r="R451" s="167">
        <v>11.135593220338983</v>
      </c>
      <c r="S451" s="167">
        <v>10.769596199524933</v>
      </c>
      <c r="T451" s="167">
        <v>10.489461358313807</v>
      </c>
      <c r="U451" s="164">
        <f t="shared" si="102"/>
        <v>-1.5787204598680002</v>
      </c>
      <c r="V451" s="164">
        <f t="shared" si="103"/>
        <v>-7.2383505417848326E-2</v>
      </c>
      <c r="W451" s="164">
        <f t="shared" si="104"/>
        <v>-0.28013484121112597</v>
      </c>
      <c r="X451" s="140"/>
    </row>
    <row r="452" spans="1:24" ht="15" customHeight="1" x14ac:dyDescent="0.2">
      <c r="A452" s="44"/>
      <c r="B452" s="44"/>
      <c r="C452" s="44"/>
      <c r="D452" s="44"/>
      <c r="E452" s="44"/>
      <c r="F452" s="44"/>
      <c r="G452" s="44"/>
      <c r="H452" s="44"/>
      <c r="I452" s="44"/>
      <c r="J452" s="44"/>
      <c r="K452" s="44"/>
      <c r="L452" s="44"/>
      <c r="M452" s="44"/>
      <c r="N452" s="44"/>
      <c r="O452" s="44"/>
      <c r="P452" s="44"/>
      <c r="Q452" s="44"/>
      <c r="R452" s="44"/>
      <c r="S452" s="44"/>
      <c r="T452" s="44"/>
      <c r="X452" s="117"/>
    </row>
    <row r="453" spans="1:24" ht="15" customHeight="1" x14ac:dyDescent="0.2">
      <c r="A453" s="49" t="s">
        <v>398</v>
      </c>
      <c r="B453" s="49"/>
      <c r="C453" s="35"/>
      <c r="D453" s="35"/>
      <c r="E453" s="35"/>
      <c r="F453" s="35"/>
      <c r="G453" s="35"/>
      <c r="H453" s="35"/>
      <c r="I453" s="35"/>
      <c r="J453" s="35"/>
      <c r="K453" s="35"/>
      <c r="L453" s="35"/>
      <c r="M453" s="35"/>
      <c r="N453" s="35"/>
      <c r="O453" s="35"/>
      <c r="P453" s="35"/>
      <c r="Q453" s="35"/>
      <c r="R453" s="35"/>
      <c r="S453" s="35"/>
      <c r="T453" s="35"/>
      <c r="U453" s="69"/>
      <c r="V453" s="69"/>
      <c r="W453" s="69"/>
      <c r="X453" s="117"/>
    </row>
    <row r="454" spans="1:24" ht="46.5" customHeight="1" x14ac:dyDescent="0.2">
      <c r="A454" s="209" t="s">
        <v>371</v>
      </c>
      <c r="B454" s="210"/>
      <c r="C454" s="15">
        <v>2007</v>
      </c>
      <c r="D454" s="15">
        <v>2008</v>
      </c>
      <c r="E454" s="15">
        <v>2009</v>
      </c>
      <c r="F454" s="15">
        <v>2010</v>
      </c>
      <c r="G454" s="15">
        <v>2011</v>
      </c>
      <c r="H454" s="15">
        <v>2012</v>
      </c>
      <c r="I454" s="15">
        <v>2013</v>
      </c>
      <c r="J454" s="15">
        <v>2014</v>
      </c>
      <c r="K454" s="15">
        <v>2015</v>
      </c>
      <c r="L454" s="15">
        <v>2016</v>
      </c>
      <c r="M454" s="15">
        <v>2017</v>
      </c>
      <c r="N454" s="15">
        <v>2018</v>
      </c>
      <c r="O454" s="15">
        <v>2019</v>
      </c>
      <c r="P454" s="15">
        <v>2020</v>
      </c>
      <c r="Q454" s="15">
        <v>2021</v>
      </c>
      <c r="R454" s="15">
        <v>2022</v>
      </c>
      <c r="S454" s="15">
        <v>2023</v>
      </c>
      <c r="T454" s="15">
        <v>2024</v>
      </c>
      <c r="U454" s="27" t="s">
        <v>469</v>
      </c>
      <c r="V454" s="27" t="s">
        <v>470</v>
      </c>
      <c r="W454" s="27" t="s">
        <v>471</v>
      </c>
    </row>
    <row r="455" spans="1:24" ht="15" customHeight="1" x14ac:dyDescent="0.2">
      <c r="A455" s="205" t="s">
        <v>30</v>
      </c>
      <c r="B455" s="206"/>
      <c r="C455" s="166">
        <v>6.3352490421455947</v>
      </c>
      <c r="D455" s="166">
        <v>5.710482130007196</v>
      </c>
      <c r="E455" s="166">
        <v>5.4548358989253556</v>
      </c>
      <c r="F455" s="166">
        <v>6.2447300771208232</v>
      </c>
      <c r="G455" s="166">
        <v>6.2802172928927114</v>
      </c>
      <c r="H455" s="166">
        <v>6.2567232837933462</v>
      </c>
      <c r="I455" s="166">
        <v>6.4541358803387983</v>
      </c>
      <c r="J455" s="166">
        <v>6.5669947009841012</v>
      </c>
      <c r="K455" s="166">
        <v>6.6367650010034112</v>
      </c>
      <c r="L455" s="166">
        <v>6.5537529319781083</v>
      </c>
      <c r="M455" s="166">
        <v>6.4220314735336199</v>
      </c>
      <c r="N455" s="166">
        <v>6.5482116711984952</v>
      </c>
      <c r="O455" s="166">
        <v>6.4338823529411764</v>
      </c>
      <c r="P455" s="166">
        <v>6.769047619047619</v>
      </c>
      <c r="Q455" s="166">
        <v>6.899187349000659</v>
      </c>
      <c r="R455" s="166">
        <v>6.7180180180180189</v>
      </c>
      <c r="S455" s="166">
        <v>6.3802985074626868</v>
      </c>
      <c r="T455" s="166">
        <v>6.0560552185735199</v>
      </c>
      <c r="U455" s="165">
        <f t="shared" ref="U455:U514" si="105">IFERROR((T455-K455),"n/a")</f>
        <v>-0.58070978242989124</v>
      </c>
      <c r="V455" s="165">
        <f t="shared" ref="V455:V514" si="106">IFERROR((T455-P455),"n/a")</f>
        <v>-0.71299240047409906</v>
      </c>
      <c r="W455" s="165">
        <f t="shared" ref="W455:W514" si="107">IFERROR((T455-S455),"n/a")</f>
        <v>-0.32424328888916687</v>
      </c>
    </row>
    <row r="456" spans="1:24" ht="15" customHeight="1" x14ac:dyDescent="0.2">
      <c r="A456" s="207" t="s">
        <v>72</v>
      </c>
      <c r="B456" s="208"/>
      <c r="C456" s="167">
        <v>6.3377521613832855</v>
      </c>
      <c r="D456" s="167">
        <v>5.7098028325465151</v>
      </c>
      <c r="E456" s="167">
        <v>5.4530030539531724</v>
      </c>
      <c r="F456" s="167">
        <v>6.2482142857142859</v>
      </c>
      <c r="G456" s="167">
        <v>6.2898437500000002</v>
      </c>
      <c r="H456" s="167">
        <v>6.2516433853738702</v>
      </c>
      <c r="I456" s="167">
        <v>6.4514980096375449</v>
      </c>
      <c r="J456" s="167">
        <v>6.5537657814540706</v>
      </c>
      <c r="K456" s="167">
        <v>6.633216374269006</v>
      </c>
      <c r="L456" s="167">
        <v>6.5423728813559325</v>
      </c>
      <c r="M456" s="167">
        <v>6.4046132971506102</v>
      </c>
      <c r="N456" s="167">
        <v>6.5322736030828512</v>
      </c>
      <c r="O456" s="167">
        <v>6.4354928017718711</v>
      </c>
      <c r="P456" s="167">
        <v>6.7563694267515926</v>
      </c>
      <c r="Q456" s="167">
        <v>6.8940967823663541</v>
      </c>
      <c r="R456" s="167">
        <v>6.6839201261166581</v>
      </c>
      <c r="S456" s="167">
        <v>6.3756944444444441</v>
      </c>
      <c r="T456" s="167">
        <v>6.0572547100562772</v>
      </c>
      <c r="U456" s="164">
        <f t="shared" si="105"/>
        <v>-0.57596166421272876</v>
      </c>
      <c r="V456" s="164">
        <f t="shared" si="106"/>
        <v>-0.69911471669531533</v>
      </c>
      <c r="W456" s="164">
        <f t="shared" si="107"/>
        <v>-0.31843973438816686</v>
      </c>
      <c r="X456" s="140"/>
    </row>
    <row r="457" spans="1:24" ht="15" customHeight="1" x14ac:dyDescent="0.2">
      <c r="A457" s="207" t="s">
        <v>71</v>
      </c>
      <c r="B457" s="208"/>
      <c r="C457" s="167">
        <v>6.3229461756373935</v>
      </c>
      <c r="D457" s="167">
        <v>5.714788732394366</v>
      </c>
      <c r="E457" s="167">
        <v>5.4657258064516139</v>
      </c>
      <c r="F457" s="167">
        <v>6.222641509433962</v>
      </c>
      <c r="G457" s="167">
        <v>6.2162629757785464</v>
      </c>
      <c r="H457" s="167">
        <v>6.2882653061224492</v>
      </c>
      <c r="I457" s="167">
        <v>6.4703608247422677</v>
      </c>
      <c r="J457" s="167">
        <v>6.655072463768116</v>
      </c>
      <c r="K457" s="167">
        <v>6.6581920903954801</v>
      </c>
      <c r="L457" s="167">
        <v>6.6266280752532563</v>
      </c>
      <c r="M457" s="167">
        <v>6.548133595284872</v>
      </c>
      <c r="N457" s="167">
        <v>6.6534181240063592</v>
      </c>
      <c r="O457" s="167">
        <v>6.4247648902821313</v>
      </c>
      <c r="P457" s="167">
        <v>6.8434579439252339</v>
      </c>
      <c r="Q457" s="167">
        <v>6.9323432343234321</v>
      </c>
      <c r="R457" s="167">
        <v>6.9227129337539433</v>
      </c>
      <c r="S457" s="167">
        <v>6.4085106382978738</v>
      </c>
      <c r="T457" s="167">
        <v>6.0489913544668585</v>
      </c>
      <c r="U457" s="164">
        <f t="shared" si="105"/>
        <v>-0.60920073592862156</v>
      </c>
      <c r="V457" s="164">
        <f t="shared" si="106"/>
        <v>-0.79446658945837534</v>
      </c>
      <c r="W457" s="164">
        <f t="shared" si="107"/>
        <v>-0.35951928383101528</v>
      </c>
      <c r="X457" s="140"/>
    </row>
    <row r="458" spans="1:24" ht="15" customHeight="1" x14ac:dyDescent="0.2">
      <c r="A458" s="205" t="s">
        <v>25</v>
      </c>
      <c r="B458" s="206"/>
      <c r="C458" s="166">
        <v>6.9605055292259088</v>
      </c>
      <c r="D458" s="166">
        <v>6.6940993788819876</v>
      </c>
      <c r="E458" s="166">
        <v>6.2306477093206949</v>
      </c>
      <c r="F458" s="166">
        <v>6.5590230664857527</v>
      </c>
      <c r="G458" s="166">
        <v>6.530188679245283</v>
      </c>
      <c r="H458" s="166">
        <v>6.3534351145038164</v>
      </c>
      <c r="I458" s="166">
        <v>6.5433604336043363</v>
      </c>
      <c r="J458" s="166">
        <v>6.4693113772455089</v>
      </c>
      <c r="K458" s="166">
        <v>6.1838805970149258</v>
      </c>
      <c r="L458" s="166">
        <v>5.9896283491789113</v>
      </c>
      <c r="M458" s="166">
        <v>5.9760547320410486</v>
      </c>
      <c r="N458" s="166">
        <v>6.3066812705366919</v>
      </c>
      <c r="O458" s="166">
        <v>6.2982351181573435</v>
      </c>
      <c r="P458" s="166">
        <v>6.2505651846269785</v>
      </c>
      <c r="Q458" s="166">
        <v>6.4622747747747749</v>
      </c>
      <c r="R458" s="166">
        <v>6.3781882145998239</v>
      </c>
      <c r="S458" s="166">
        <v>6.414959349593496</v>
      </c>
      <c r="T458" s="166">
        <v>6.3169164882226978</v>
      </c>
      <c r="U458" s="165">
        <f t="shared" si="105"/>
        <v>0.13303589120777204</v>
      </c>
      <c r="V458" s="165">
        <f t="shared" si="106"/>
        <v>6.635130359571928E-2</v>
      </c>
      <c r="W458" s="165">
        <f t="shared" si="107"/>
        <v>-9.8042861370798207E-2</v>
      </c>
      <c r="X458" s="140"/>
    </row>
    <row r="459" spans="1:24" ht="15" customHeight="1" x14ac:dyDescent="0.2">
      <c r="A459" s="207" t="s">
        <v>72</v>
      </c>
      <c r="B459" s="208"/>
      <c r="C459" s="167">
        <v>6.8123076923076926</v>
      </c>
      <c r="D459" s="167">
        <v>6.5802469135802486</v>
      </c>
      <c r="E459" s="167">
        <v>6.1815642458100557</v>
      </c>
      <c r="F459" s="167">
        <v>6.4138702460850112</v>
      </c>
      <c r="G459" s="167">
        <v>6.42512077294686</v>
      </c>
      <c r="H459" s="167">
        <v>6.2440476190476186</v>
      </c>
      <c r="I459" s="167">
        <v>6.5410010649627264</v>
      </c>
      <c r="J459" s="167">
        <v>6.3600944510035422</v>
      </c>
      <c r="K459" s="167">
        <v>6.167889908256881</v>
      </c>
      <c r="L459" s="167">
        <v>5.9410968178740688</v>
      </c>
      <c r="M459" s="167">
        <v>5.9355029585798817</v>
      </c>
      <c r="N459" s="167">
        <v>6.2341736694677872</v>
      </c>
      <c r="O459" s="167">
        <v>6.1892143189214321</v>
      </c>
      <c r="P459" s="167">
        <v>6.1512415349887135</v>
      </c>
      <c r="Q459" s="167">
        <v>6.3567753001715266</v>
      </c>
      <c r="R459" s="167">
        <v>6.2394487510766581</v>
      </c>
      <c r="S459" s="167">
        <v>6.2666989351403677</v>
      </c>
      <c r="T459" s="167">
        <v>6.1913978494623656</v>
      </c>
      <c r="U459" s="164">
        <f t="shared" si="105"/>
        <v>2.3507941205484606E-2</v>
      </c>
      <c r="V459" s="164">
        <f t="shared" si="106"/>
        <v>4.0156314473652088E-2</v>
      </c>
      <c r="W459" s="164">
        <f t="shared" si="107"/>
        <v>-7.5301085678002089E-2</v>
      </c>
      <c r="X459" s="140"/>
    </row>
    <row r="460" spans="1:24" ht="15" customHeight="1" x14ac:dyDescent="0.2">
      <c r="A460" s="207" t="s">
        <v>71</v>
      </c>
      <c r="B460" s="208"/>
      <c r="C460" s="167">
        <v>7.116883116883117</v>
      </c>
      <c r="D460" s="167">
        <v>6.8093750000000002</v>
      </c>
      <c r="E460" s="167">
        <v>6.2945454545454549</v>
      </c>
      <c r="F460" s="167">
        <v>6.7827586206896555</v>
      </c>
      <c r="G460" s="167">
        <v>6.6788154897494305</v>
      </c>
      <c r="H460" s="167">
        <v>6.548936170212766</v>
      </c>
      <c r="I460" s="167">
        <v>6.5474860335195535</v>
      </c>
      <c r="J460" s="167">
        <v>6.6584867075664622</v>
      </c>
      <c r="K460" s="167">
        <v>6.2136752136752129</v>
      </c>
      <c r="L460" s="167">
        <v>6.075268817204301</v>
      </c>
      <c r="M460" s="167">
        <v>6.0488841657810841</v>
      </c>
      <c r="N460" s="167">
        <v>6.4423480083857445</v>
      </c>
      <c r="O460" s="167">
        <v>6.4949664429530189</v>
      </c>
      <c r="P460" s="167">
        <v>6.4501133786848071</v>
      </c>
      <c r="Q460" s="167">
        <v>6.6639344262295079</v>
      </c>
      <c r="R460" s="167">
        <v>6.6740128558310374</v>
      </c>
      <c r="S460" s="167">
        <v>6.7185332011892962</v>
      </c>
      <c r="T460" s="167">
        <v>6.5647558386411893</v>
      </c>
      <c r="U460" s="164">
        <f t="shared" si="105"/>
        <v>0.35108062496597636</v>
      </c>
      <c r="V460" s="164">
        <f t="shared" si="106"/>
        <v>0.11464245995638223</v>
      </c>
      <c r="W460" s="164">
        <f t="shared" si="107"/>
        <v>-0.15377736254810692</v>
      </c>
      <c r="X460" s="140"/>
    </row>
    <row r="461" spans="1:24" ht="15" customHeight="1" x14ac:dyDescent="0.2">
      <c r="A461" s="205" t="s">
        <v>31</v>
      </c>
      <c r="B461" s="206"/>
      <c r="C461" s="166">
        <v>7.7402597402597406</v>
      </c>
      <c r="D461" s="166">
        <v>6.9467889908256879</v>
      </c>
      <c r="E461" s="166">
        <v>6.8480392156862742</v>
      </c>
      <c r="F461" s="166">
        <v>7.690769230769229</v>
      </c>
      <c r="G461" s="166">
        <v>7.1548998946259221</v>
      </c>
      <c r="H461" s="166">
        <v>7.1918755401901473</v>
      </c>
      <c r="I461" s="166">
        <v>7.0632621951219514</v>
      </c>
      <c r="J461" s="166">
        <v>6.9689336691855583</v>
      </c>
      <c r="K461" s="166">
        <v>6.8251318101933212</v>
      </c>
      <c r="L461" s="166">
        <v>6.6604554865424435</v>
      </c>
      <c r="M461" s="166">
        <v>6.0817214700193425</v>
      </c>
      <c r="N461" s="166">
        <v>6.4709931170108161</v>
      </c>
      <c r="O461" s="166">
        <v>6.2444976076555019</v>
      </c>
      <c r="P461" s="166">
        <v>6.6533333333333333</v>
      </c>
      <c r="Q461" s="166">
        <v>6.9708631115997797</v>
      </c>
      <c r="R461" s="166">
        <v>6.8226982680036459</v>
      </c>
      <c r="S461" s="166">
        <v>6.7936974789915965</v>
      </c>
      <c r="T461" s="166">
        <v>6.494595601938129</v>
      </c>
      <c r="U461" s="165">
        <f t="shared" si="105"/>
        <v>-0.33053620825519214</v>
      </c>
      <c r="V461" s="165">
        <f t="shared" si="106"/>
        <v>-0.15873773139520431</v>
      </c>
      <c r="W461" s="165">
        <f t="shared" si="107"/>
        <v>-0.29910187705346747</v>
      </c>
      <c r="X461" s="140"/>
    </row>
    <row r="462" spans="1:24" ht="15" customHeight="1" x14ac:dyDescent="0.2">
      <c r="A462" s="207" t="s">
        <v>72</v>
      </c>
      <c r="B462" s="208"/>
      <c r="C462" s="167">
        <v>7.4712918660287082</v>
      </c>
      <c r="D462" s="167">
        <v>6.5787831513260526</v>
      </c>
      <c r="E462" s="167">
        <v>6.6270491803278704</v>
      </c>
      <c r="F462" s="167">
        <v>7.5118733509234863</v>
      </c>
      <c r="G462" s="167">
        <v>7.0716783216783226</v>
      </c>
      <c r="H462" s="167">
        <v>7.0014306151645211</v>
      </c>
      <c r="I462" s="167">
        <v>6.9034564958283671</v>
      </c>
      <c r="J462" s="167">
        <v>6.8329081632653059</v>
      </c>
      <c r="K462" s="167">
        <v>6.6420454545454541</v>
      </c>
      <c r="L462" s="167">
        <v>6.5769230769230766</v>
      </c>
      <c r="M462" s="167">
        <v>5.9931245225362861</v>
      </c>
      <c r="N462" s="167">
        <v>6.3783151326053034</v>
      </c>
      <c r="O462" s="167">
        <v>6.1759186864738078</v>
      </c>
      <c r="P462" s="167">
        <v>6.5165016501650168</v>
      </c>
      <c r="Q462" s="167">
        <v>6.8864668483197091</v>
      </c>
      <c r="R462" s="167">
        <v>6.7513307984790876</v>
      </c>
      <c r="S462" s="167">
        <v>6.6632791327913283</v>
      </c>
      <c r="T462" s="167">
        <v>6.3919344675488343</v>
      </c>
      <c r="U462" s="164">
        <f t="shared" si="105"/>
        <v>-0.25011098699661982</v>
      </c>
      <c r="V462" s="164">
        <f t="shared" si="106"/>
        <v>-0.12456718261618249</v>
      </c>
      <c r="W462" s="164">
        <f t="shared" si="107"/>
        <v>-0.27134466524249401</v>
      </c>
      <c r="X462" s="140"/>
    </row>
    <row r="463" spans="1:24" ht="15" customHeight="1" x14ac:dyDescent="0.2">
      <c r="A463" s="207" t="s">
        <v>71</v>
      </c>
      <c r="B463" s="208"/>
      <c r="C463" s="167">
        <v>8.0023310023310028</v>
      </c>
      <c r="D463" s="167">
        <v>7.4721603563474384</v>
      </c>
      <c r="E463" s="167">
        <v>7.1768292682926829</v>
      </c>
      <c r="F463" s="167">
        <v>7.9409594095940976</v>
      </c>
      <c r="G463" s="167">
        <v>7.2811671087533156</v>
      </c>
      <c r="H463" s="167">
        <v>7.4825327510917035</v>
      </c>
      <c r="I463" s="167">
        <v>7.3467230443974634</v>
      </c>
      <c r="J463" s="167">
        <v>7.2309582309582323</v>
      </c>
      <c r="K463" s="167">
        <v>7.1221198156682028</v>
      </c>
      <c r="L463" s="167">
        <v>6.8128654970760234</v>
      </c>
      <c r="M463" s="167">
        <v>6.2345191040843213</v>
      </c>
      <c r="N463" s="167">
        <v>6.6289893617021276</v>
      </c>
      <c r="O463" s="167">
        <v>6.352651048088779</v>
      </c>
      <c r="P463" s="167">
        <v>6.8780487804878048</v>
      </c>
      <c r="Q463" s="167">
        <v>7.1002785515320337</v>
      </c>
      <c r="R463" s="167">
        <v>6.9294653014789533</v>
      </c>
      <c r="S463" s="167">
        <v>7.0066371681415927</v>
      </c>
      <c r="T463" s="167">
        <v>6.6432481751824817</v>
      </c>
      <c r="U463" s="164">
        <f t="shared" si="105"/>
        <v>-0.47887164048572117</v>
      </c>
      <c r="V463" s="164">
        <f t="shared" si="106"/>
        <v>-0.2348006053053231</v>
      </c>
      <c r="W463" s="164">
        <f t="shared" si="107"/>
        <v>-0.36338899295911098</v>
      </c>
      <c r="X463" s="140"/>
    </row>
    <row r="464" spans="1:24" ht="15" customHeight="1" x14ac:dyDescent="0.2">
      <c r="A464" s="205" t="s">
        <v>22</v>
      </c>
      <c r="B464" s="206"/>
      <c r="C464" s="166">
        <v>6.6861924686192467</v>
      </c>
      <c r="D464" s="166">
        <v>6.5857988165680474</v>
      </c>
      <c r="E464" s="166">
        <v>6.0760233918128659</v>
      </c>
      <c r="F464" s="166">
        <v>6.4025974025974035</v>
      </c>
      <c r="G464" s="166">
        <v>6.1241379310344826</v>
      </c>
      <c r="H464" s="166">
        <v>6.2385931558935352</v>
      </c>
      <c r="I464" s="166">
        <v>6.2226004084411164</v>
      </c>
      <c r="J464" s="166">
        <v>6.3905362776025241</v>
      </c>
      <c r="K464" s="166">
        <v>6.2627877237851663</v>
      </c>
      <c r="L464" s="166">
        <v>6.2478839177750904</v>
      </c>
      <c r="M464" s="166">
        <v>6.0539466212379329</v>
      </c>
      <c r="N464" s="166">
        <v>5.9805225653206655</v>
      </c>
      <c r="O464" s="166">
        <v>5.8396084337349397</v>
      </c>
      <c r="P464" s="166">
        <v>5.9517058041648205</v>
      </c>
      <c r="Q464" s="166">
        <v>6.2803054406617882</v>
      </c>
      <c r="R464" s="166">
        <v>6.0946856287425151</v>
      </c>
      <c r="S464" s="166">
        <v>6.1059103530345098</v>
      </c>
      <c r="T464" s="166">
        <v>6.1018197573656847</v>
      </c>
      <c r="U464" s="165">
        <f t="shared" si="105"/>
        <v>-0.16096796641948163</v>
      </c>
      <c r="V464" s="165">
        <f t="shared" si="106"/>
        <v>0.15011395320086418</v>
      </c>
      <c r="W464" s="165">
        <f t="shared" si="107"/>
        <v>-4.0905956688250811E-3</v>
      </c>
      <c r="X464" s="140"/>
    </row>
    <row r="465" spans="1:24" ht="15" customHeight="1" x14ac:dyDescent="0.2">
      <c r="A465" s="207" t="s">
        <v>72</v>
      </c>
      <c r="B465" s="208"/>
      <c r="C465" s="167">
        <v>6.6806722689075633</v>
      </c>
      <c r="D465" s="167">
        <v>6.5816023738872405</v>
      </c>
      <c r="E465" s="167">
        <v>6.0762463343108504</v>
      </c>
      <c r="F465" s="167">
        <v>6.4025974025974035</v>
      </c>
      <c r="G465" s="167">
        <v>6.1270718232044201</v>
      </c>
      <c r="H465" s="167">
        <v>6.2385931558935352</v>
      </c>
      <c r="I465" s="167">
        <v>6.2229038854805729</v>
      </c>
      <c r="J465" s="167">
        <v>6.3907828282828278</v>
      </c>
      <c r="K465" s="167">
        <v>6.2629558541266794</v>
      </c>
      <c r="L465" s="167">
        <v>6.2478839177750904</v>
      </c>
      <c r="M465" s="167">
        <v>6.0545764638999433</v>
      </c>
      <c r="N465" s="167">
        <v>5.9809885931558933</v>
      </c>
      <c r="O465" s="167">
        <v>5.8399246704331453</v>
      </c>
      <c r="P465" s="167">
        <v>5.9516843971631204</v>
      </c>
      <c r="Q465" s="167">
        <v>6.2802547770700636</v>
      </c>
      <c r="R465" s="167">
        <v>6.093293368302735</v>
      </c>
      <c r="S465" s="167">
        <v>6.1073131955484889</v>
      </c>
      <c r="T465" s="167">
        <v>6.1020851433536052</v>
      </c>
      <c r="U465" s="164">
        <f t="shared" si="105"/>
        <v>-0.16087071077307424</v>
      </c>
      <c r="V465" s="164">
        <f t="shared" si="106"/>
        <v>0.15040074619048482</v>
      </c>
      <c r="W465" s="164">
        <f t="shared" si="107"/>
        <v>-5.2280521948837588E-3</v>
      </c>
      <c r="X465" s="140"/>
    </row>
    <row r="466" spans="1:24" ht="15" customHeight="1" x14ac:dyDescent="0.2">
      <c r="A466" s="207" t="s">
        <v>71</v>
      </c>
      <c r="B466" s="208"/>
      <c r="C466" s="167" t="s">
        <v>100</v>
      </c>
      <c r="D466" s="167" t="s">
        <v>100</v>
      </c>
      <c r="E466" s="167" t="s">
        <v>100</v>
      </c>
      <c r="F466" s="167" t="s">
        <v>100</v>
      </c>
      <c r="G466" s="167" t="s">
        <v>100</v>
      </c>
      <c r="H466" s="167" t="s">
        <v>100</v>
      </c>
      <c r="I466" s="167" t="s">
        <v>100</v>
      </c>
      <c r="J466" s="167" t="s">
        <v>100</v>
      </c>
      <c r="K466" s="167" t="s">
        <v>100</v>
      </c>
      <c r="L466" s="167" t="s">
        <v>100</v>
      </c>
      <c r="M466" s="167" t="s">
        <v>100</v>
      </c>
      <c r="N466" s="167" t="s">
        <v>100</v>
      </c>
      <c r="O466" s="167" t="s">
        <v>100</v>
      </c>
      <c r="P466" s="167" t="s">
        <v>100</v>
      </c>
      <c r="Q466" s="167" t="s">
        <v>100</v>
      </c>
      <c r="R466" s="167" t="s">
        <v>100</v>
      </c>
      <c r="S466" s="167" t="s">
        <v>100</v>
      </c>
      <c r="T466" s="167" t="s">
        <v>100</v>
      </c>
      <c r="U466" s="164" t="str">
        <f t="shared" si="105"/>
        <v>n/a</v>
      </c>
      <c r="V466" s="164" t="str">
        <f t="shared" si="106"/>
        <v>n/a</v>
      </c>
      <c r="W466" s="164" t="str">
        <f t="shared" si="107"/>
        <v>n/a</v>
      </c>
      <c r="X466" s="140"/>
    </row>
    <row r="467" spans="1:24" ht="15" customHeight="1" x14ac:dyDescent="0.2">
      <c r="A467" s="205" t="s">
        <v>34</v>
      </c>
      <c r="B467" s="206"/>
      <c r="C467" s="166">
        <v>7.7758241758241757</v>
      </c>
      <c r="D467" s="166">
        <v>7.6512141280353205</v>
      </c>
      <c r="E467" s="166">
        <v>7.1111111111111107</v>
      </c>
      <c r="F467" s="166">
        <v>7.2284263959390866</v>
      </c>
      <c r="G467" s="166">
        <v>7.154285714285713</v>
      </c>
      <c r="H467" s="166">
        <v>7.138222849083216</v>
      </c>
      <c r="I467" s="166">
        <v>7.3532467532467534</v>
      </c>
      <c r="J467" s="166">
        <v>7.0325379609544472</v>
      </c>
      <c r="K467" s="166">
        <v>6.6169491525423725</v>
      </c>
      <c r="L467" s="166">
        <v>6.7634024303073623</v>
      </c>
      <c r="M467" s="166">
        <v>6.5657726692209453</v>
      </c>
      <c r="N467" s="166">
        <v>6.9167893961708398</v>
      </c>
      <c r="O467" s="166">
        <v>6.8532918610679108</v>
      </c>
      <c r="P467" s="166">
        <v>6.9235668789808917</v>
      </c>
      <c r="Q467" s="166">
        <v>7.5711689884918227</v>
      </c>
      <c r="R467" s="166">
        <v>7.3280000000000003</v>
      </c>
      <c r="S467" s="166">
        <v>7.3665977249224408</v>
      </c>
      <c r="T467" s="166">
        <v>6.9137737961926096</v>
      </c>
      <c r="U467" s="165">
        <f t="shared" si="105"/>
        <v>0.29682464365023709</v>
      </c>
      <c r="V467" s="165">
        <f t="shared" si="106"/>
        <v>-9.7930827882821703E-3</v>
      </c>
      <c r="W467" s="165">
        <f t="shared" si="107"/>
        <v>-0.45282392872983124</v>
      </c>
      <c r="X467" s="140"/>
    </row>
    <row r="468" spans="1:24" ht="15" customHeight="1" x14ac:dyDescent="0.2">
      <c r="A468" s="207" t="s">
        <v>72</v>
      </c>
      <c r="B468" s="208"/>
      <c r="C468" s="167" t="s">
        <v>100</v>
      </c>
      <c r="D468" s="167" t="s">
        <v>100</v>
      </c>
      <c r="E468" s="167" t="s">
        <v>100</v>
      </c>
      <c r="F468" s="167" t="s">
        <v>100</v>
      </c>
      <c r="G468" s="167" t="s">
        <v>100</v>
      </c>
      <c r="H468" s="167" t="s">
        <v>100</v>
      </c>
      <c r="I468" s="167" t="s">
        <v>100</v>
      </c>
      <c r="J468" s="167" t="s">
        <v>100</v>
      </c>
      <c r="K468" s="167">
        <v>6.1111111111111107</v>
      </c>
      <c r="L468" s="167">
        <v>6.354838709677419</v>
      </c>
      <c r="M468" s="167">
        <v>6.6206896551724137</v>
      </c>
      <c r="N468" s="167">
        <v>7.0740740740740744</v>
      </c>
      <c r="O468" s="167">
        <v>6.6875</v>
      </c>
      <c r="P468" s="167">
        <v>6.5945945945945947</v>
      </c>
      <c r="Q468" s="167">
        <v>7.5102040816326534</v>
      </c>
      <c r="R468" s="167">
        <v>7.2631578947368425</v>
      </c>
      <c r="S468" s="167">
        <v>7.0547945205479454</v>
      </c>
      <c r="T468" s="167">
        <v>6.9062500000000009</v>
      </c>
      <c r="U468" s="164">
        <f t="shared" si="105"/>
        <v>0.79513888888889017</v>
      </c>
      <c r="V468" s="164">
        <f t="shared" si="106"/>
        <v>0.31165540540540615</v>
      </c>
      <c r="W468" s="164">
        <f t="shared" si="107"/>
        <v>-0.14854452054794454</v>
      </c>
      <c r="X468" s="140"/>
    </row>
    <row r="469" spans="1:24" ht="15" customHeight="1" x14ac:dyDescent="0.2">
      <c r="A469" s="207" t="s">
        <v>71</v>
      </c>
      <c r="B469" s="208"/>
      <c r="C469" s="167">
        <v>7.7814569536423841</v>
      </c>
      <c r="D469" s="167">
        <v>7.6607538802660766</v>
      </c>
      <c r="E469" s="167">
        <v>7.1163366336633667</v>
      </c>
      <c r="F469" s="167">
        <v>7.2396907216494846</v>
      </c>
      <c r="G469" s="167">
        <v>7.1711538461538451</v>
      </c>
      <c r="H469" s="167">
        <v>7.1355206847360915</v>
      </c>
      <c r="I469" s="167">
        <v>7.3630406290956749</v>
      </c>
      <c r="J469" s="167">
        <v>7.0404371584699454</v>
      </c>
      <c r="K469" s="167">
        <v>6.6247848537005165</v>
      </c>
      <c r="L469" s="167">
        <v>6.77266081871345</v>
      </c>
      <c r="M469" s="167">
        <v>6.5647364996746909</v>
      </c>
      <c r="N469" s="167">
        <v>6.9135987978963183</v>
      </c>
      <c r="O469" s="167">
        <v>6.8575225943647</v>
      </c>
      <c r="P469" s="167">
        <v>6.9350282485875709</v>
      </c>
      <c r="Q469" s="167">
        <v>7.5730337078651688</v>
      </c>
      <c r="R469" s="167">
        <v>7.330183106910809</v>
      </c>
      <c r="S469" s="167">
        <v>7.3788285867813004</v>
      </c>
      <c r="T469" s="167">
        <v>6.9142011834319526</v>
      </c>
      <c r="U469" s="164">
        <f t="shared" si="105"/>
        <v>0.28941632973143605</v>
      </c>
      <c r="V469" s="164">
        <f t="shared" si="106"/>
        <v>-2.0827065155618385E-2</v>
      </c>
      <c r="W469" s="164">
        <f t="shared" si="107"/>
        <v>-0.46462740334934782</v>
      </c>
      <c r="X469" s="140"/>
    </row>
    <row r="470" spans="1:24" ht="15" customHeight="1" x14ac:dyDescent="0.2">
      <c r="A470" s="205" t="s">
        <v>29</v>
      </c>
      <c r="B470" s="206"/>
      <c r="C470" s="166">
        <v>7.795774647887324</v>
      </c>
      <c r="D470" s="166">
        <v>8.3733333333333331</v>
      </c>
      <c r="E470" s="178">
        <v>7.596774193548387</v>
      </c>
      <c r="F470" s="166">
        <v>7.2568093385214008</v>
      </c>
      <c r="G470" s="166">
        <v>7.1039325842696632</v>
      </c>
      <c r="H470" s="166">
        <v>7.2330623306233059</v>
      </c>
      <c r="I470" s="166">
        <v>7.4342723004694822</v>
      </c>
      <c r="J470" s="166">
        <v>7.1816479400749067</v>
      </c>
      <c r="K470" s="166">
        <v>7.0227272727272734</v>
      </c>
      <c r="L470" s="166">
        <v>6.994413407821229</v>
      </c>
      <c r="M470" s="166">
        <v>6.9797468354430379</v>
      </c>
      <c r="N470" s="166">
        <v>6.9933628318584073</v>
      </c>
      <c r="O470" s="166">
        <v>7.1236786469344615</v>
      </c>
      <c r="P470" s="166">
        <v>7.3405238828967638</v>
      </c>
      <c r="Q470" s="166">
        <v>7.6108108108108112</v>
      </c>
      <c r="R470" s="166">
        <v>7.6417233560090709</v>
      </c>
      <c r="S470" s="166">
        <v>7.2861736334405141</v>
      </c>
      <c r="T470" s="166">
        <v>6.6803953871499173</v>
      </c>
      <c r="U470" s="165">
        <f t="shared" si="105"/>
        <v>-0.34233188557735605</v>
      </c>
      <c r="V470" s="165">
        <f t="shared" si="106"/>
        <v>-0.66012849574684651</v>
      </c>
      <c r="W470" s="165">
        <f t="shared" si="107"/>
        <v>-0.60577824629059673</v>
      </c>
      <c r="X470" s="140"/>
    </row>
    <row r="471" spans="1:24" ht="15" customHeight="1" x14ac:dyDescent="0.2">
      <c r="A471" s="207" t="s">
        <v>72</v>
      </c>
      <c r="B471" s="208"/>
      <c r="C471" s="167" t="s">
        <v>100</v>
      </c>
      <c r="D471" s="167" t="s">
        <v>100</v>
      </c>
      <c r="E471" s="167" t="s">
        <v>100</v>
      </c>
      <c r="F471" s="167" t="s">
        <v>100</v>
      </c>
      <c r="G471" s="167" t="s">
        <v>100</v>
      </c>
      <c r="H471" s="167" t="s">
        <v>100</v>
      </c>
      <c r="I471" s="167" t="s">
        <v>100</v>
      </c>
      <c r="J471" s="167">
        <v>7.0909090909090908</v>
      </c>
      <c r="K471" s="167" t="s">
        <v>100</v>
      </c>
      <c r="L471" s="167">
        <v>6.117647058823529</v>
      </c>
      <c r="M471" s="167">
        <v>6.9047619047619051</v>
      </c>
      <c r="N471" s="167">
        <v>6.7826086956521738</v>
      </c>
      <c r="O471" s="167">
        <v>6.8125</v>
      </c>
      <c r="P471" s="167">
        <v>6.6190476190476186</v>
      </c>
      <c r="Q471" s="167">
        <v>7.3611111111111107</v>
      </c>
      <c r="R471" s="167">
        <v>6.935483870967742</v>
      </c>
      <c r="S471" s="167">
        <v>7</v>
      </c>
      <c r="T471" s="167">
        <v>5.8928571428571432</v>
      </c>
      <c r="U471" s="164" t="str">
        <f t="shared" si="105"/>
        <v>n/a</v>
      </c>
      <c r="V471" s="164">
        <f t="shared" si="106"/>
        <v>-0.72619047619047539</v>
      </c>
      <c r="W471" s="164">
        <f t="shared" si="107"/>
        <v>-1.1071428571428568</v>
      </c>
      <c r="X471" s="140"/>
    </row>
    <row r="472" spans="1:24" ht="15" customHeight="1" x14ac:dyDescent="0.2">
      <c r="A472" s="207" t="s">
        <v>71</v>
      </c>
      <c r="B472" s="208"/>
      <c r="C472" s="167">
        <v>7.7659574468085104</v>
      </c>
      <c r="D472" s="167">
        <v>8.375</v>
      </c>
      <c r="E472" s="167">
        <v>7.6032608695652177</v>
      </c>
      <c r="F472" s="167">
        <v>7.271653543307087</v>
      </c>
      <c r="G472" s="167">
        <v>7.1268011527377517</v>
      </c>
      <c r="H472" s="167">
        <v>7.2354570637119116</v>
      </c>
      <c r="I472" s="167">
        <v>7.4114832535885169</v>
      </c>
      <c r="J472" s="167">
        <v>7.1835564053537286</v>
      </c>
      <c r="K472" s="167">
        <v>7.0383141762452119</v>
      </c>
      <c r="L472" s="167">
        <v>7.0157367668097281</v>
      </c>
      <c r="M472" s="167">
        <v>6.9817945383615081</v>
      </c>
      <c r="N472" s="167">
        <v>6.9988649262202047</v>
      </c>
      <c r="O472" s="167">
        <v>7.1345733041575512</v>
      </c>
      <c r="P472" s="167">
        <v>7.3646496815286628</v>
      </c>
      <c r="Q472" s="167">
        <v>7.6209223847019123</v>
      </c>
      <c r="R472" s="167">
        <v>7.6674500587544072</v>
      </c>
      <c r="S472" s="167">
        <v>7.3</v>
      </c>
      <c r="T472" s="167">
        <v>6.7184801381692569</v>
      </c>
      <c r="U472" s="164">
        <f t="shared" si="105"/>
        <v>-0.31983403807595501</v>
      </c>
      <c r="V472" s="164">
        <f t="shared" si="106"/>
        <v>-0.64616954335940591</v>
      </c>
      <c r="W472" s="164">
        <f t="shared" si="107"/>
        <v>-0.58151986183074289</v>
      </c>
      <c r="X472" s="140"/>
    </row>
    <row r="473" spans="1:24" ht="15" customHeight="1" x14ac:dyDescent="0.2">
      <c r="A473" s="205" t="s">
        <v>26</v>
      </c>
      <c r="B473" s="206"/>
      <c r="C473" s="166">
        <v>8.0210526315789465</v>
      </c>
      <c r="D473" s="166">
        <v>6.8232558139534882</v>
      </c>
      <c r="E473" s="166">
        <v>6.9888888888888889</v>
      </c>
      <c r="F473" s="166">
        <v>7.6769230769230772</v>
      </c>
      <c r="G473" s="166">
        <v>7.1373626373626378</v>
      </c>
      <c r="H473" s="166">
        <v>7.4378881987577641</v>
      </c>
      <c r="I473" s="166">
        <v>7.2382198952879584</v>
      </c>
      <c r="J473" s="166">
        <v>7.1797752808988768</v>
      </c>
      <c r="K473" s="166">
        <v>6.7956043956043954</v>
      </c>
      <c r="L473" s="166">
        <v>6.8442776735459674</v>
      </c>
      <c r="M473" s="166">
        <v>6.7156549520766777</v>
      </c>
      <c r="N473" s="166">
        <v>6.8059125964010283</v>
      </c>
      <c r="O473" s="166">
        <v>6.8230256898192199</v>
      </c>
      <c r="P473" s="166">
        <v>6.6815642458100557</v>
      </c>
      <c r="Q473" s="166">
        <v>7.2027210884353741</v>
      </c>
      <c r="R473" s="166">
        <v>7</v>
      </c>
      <c r="S473" s="166">
        <v>6.9766536964980546</v>
      </c>
      <c r="T473" s="166">
        <v>6.7450271247739586</v>
      </c>
      <c r="U473" s="165">
        <f t="shared" si="105"/>
        <v>-5.0577270830436838E-2</v>
      </c>
      <c r="V473" s="165">
        <f t="shared" si="106"/>
        <v>6.3462878963902902E-2</v>
      </c>
      <c r="W473" s="165">
        <f t="shared" si="107"/>
        <v>-0.23162657172409595</v>
      </c>
      <c r="X473" s="140"/>
    </row>
    <row r="474" spans="1:24" ht="15" customHeight="1" x14ac:dyDescent="0.2">
      <c r="A474" s="207" t="s">
        <v>72</v>
      </c>
      <c r="B474" s="208"/>
      <c r="C474" s="167">
        <v>8.6999999999999993</v>
      </c>
      <c r="D474" s="167">
        <v>6.7777777777777777</v>
      </c>
      <c r="E474" s="167">
        <v>6.7272727272727275</v>
      </c>
      <c r="F474" s="167">
        <v>7.85</v>
      </c>
      <c r="G474" s="167">
        <v>7.4313725490196081</v>
      </c>
      <c r="H474" s="167">
        <v>7.3157894736842106</v>
      </c>
      <c r="I474" s="167">
        <v>6.8837209302325579</v>
      </c>
      <c r="J474" s="167">
        <v>7.18</v>
      </c>
      <c r="K474" s="167">
        <v>6.7692307692307692</v>
      </c>
      <c r="L474" s="167">
        <v>6.5542168674698793</v>
      </c>
      <c r="M474" s="167">
        <v>6.6982758620689653</v>
      </c>
      <c r="N474" s="167">
        <v>6.7479674796747968</v>
      </c>
      <c r="O474" s="167">
        <v>6.8527918781725887</v>
      </c>
      <c r="P474" s="167">
        <v>6.7631578947368425</v>
      </c>
      <c r="Q474" s="167">
        <v>7.4797297297297298</v>
      </c>
      <c r="R474" s="167">
        <v>6.7344632768361583</v>
      </c>
      <c r="S474" s="167">
        <v>7.0162601626016263</v>
      </c>
      <c r="T474" s="167">
        <v>6.6569037656903767</v>
      </c>
      <c r="U474" s="164">
        <f t="shared" si="105"/>
        <v>-0.11232700354039249</v>
      </c>
      <c r="V474" s="164">
        <f t="shared" si="106"/>
        <v>-0.10625412904646581</v>
      </c>
      <c r="W474" s="164">
        <f t="shared" si="107"/>
        <v>-0.35935639691124965</v>
      </c>
      <c r="X474" s="140"/>
    </row>
    <row r="475" spans="1:24" ht="15" customHeight="1" x14ac:dyDescent="0.2">
      <c r="A475" s="207" t="s">
        <v>71</v>
      </c>
      <c r="B475" s="208"/>
      <c r="C475" s="167">
        <v>7.9411764705882364</v>
      </c>
      <c r="D475" s="167">
        <v>6.8274111675126905</v>
      </c>
      <c r="E475" s="167">
        <v>7.0253164556962009</v>
      </c>
      <c r="F475" s="167">
        <v>7.6571428571428575</v>
      </c>
      <c r="G475" s="167">
        <v>7.0894568690095845</v>
      </c>
      <c r="H475" s="167">
        <v>7.4542253521126778</v>
      </c>
      <c r="I475" s="167">
        <v>7.283185840707965</v>
      </c>
      <c r="J475" s="167">
        <v>7.179746835443038</v>
      </c>
      <c r="K475" s="167">
        <v>6.8</v>
      </c>
      <c r="L475" s="167">
        <v>6.8977777777777778</v>
      </c>
      <c r="M475" s="167">
        <v>6.719607843137255</v>
      </c>
      <c r="N475" s="167">
        <v>6.8167938931297707</v>
      </c>
      <c r="O475" s="167">
        <v>6.8161592505854802</v>
      </c>
      <c r="P475" s="167">
        <v>6.6661129568106317</v>
      </c>
      <c r="Q475" s="167">
        <v>7.1328790459965932</v>
      </c>
      <c r="R475" s="167">
        <v>7.0735524256651017</v>
      </c>
      <c r="S475" s="167">
        <v>6.9641943734015337</v>
      </c>
      <c r="T475" s="167">
        <v>6.7693194925028832</v>
      </c>
      <c r="U475" s="164">
        <f t="shared" si="105"/>
        <v>-3.0680507497116594E-2</v>
      </c>
      <c r="V475" s="164">
        <f t="shared" si="106"/>
        <v>0.10320653569225158</v>
      </c>
      <c r="W475" s="164">
        <f t="shared" si="107"/>
        <v>-0.19487488089865046</v>
      </c>
      <c r="X475" s="140"/>
    </row>
    <row r="476" spans="1:24" ht="15" customHeight="1" x14ac:dyDescent="0.2">
      <c r="A476" s="205" t="s">
        <v>96</v>
      </c>
      <c r="B476" s="206"/>
      <c r="C476" s="166">
        <v>7.9058295964125564</v>
      </c>
      <c r="D476" s="166">
        <v>8.1560693641618496</v>
      </c>
      <c r="E476" s="166">
        <v>7.4256756756756754</v>
      </c>
      <c r="F476" s="166">
        <v>6.9999999999999991</v>
      </c>
      <c r="G476" s="166">
        <v>7.2131147540983598</v>
      </c>
      <c r="H476" s="166">
        <v>7.3262411347517711</v>
      </c>
      <c r="I476" s="166">
        <v>7.5681818181818183</v>
      </c>
      <c r="J476" s="166">
        <v>7.4798657718120802</v>
      </c>
      <c r="K476" s="166">
        <v>7.5987654320987659</v>
      </c>
      <c r="L476" s="166">
        <v>7.4637681159420293</v>
      </c>
      <c r="M476" s="166">
        <v>7.5649038461538449</v>
      </c>
      <c r="N476" s="166">
        <v>7.6601941747572813</v>
      </c>
      <c r="O476" s="166">
        <v>7.5309446254071659</v>
      </c>
      <c r="P476" s="166">
        <v>7.3779069767441863</v>
      </c>
      <c r="Q476" s="166">
        <v>8.0100755667506292</v>
      </c>
      <c r="R476" s="166">
        <v>7.471387002909796</v>
      </c>
      <c r="S476" s="166">
        <v>7.513204225352113</v>
      </c>
      <c r="T476" s="166">
        <v>7.1048458149779732</v>
      </c>
      <c r="U476" s="165">
        <f t="shared" si="105"/>
        <v>-0.49391961712079269</v>
      </c>
      <c r="V476" s="165">
        <f t="shared" si="106"/>
        <v>-0.27306116176621309</v>
      </c>
      <c r="W476" s="165">
        <f t="shared" si="107"/>
        <v>-0.40835841037413978</v>
      </c>
      <c r="X476" s="140"/>
    </row>
    <row r="477" spans="1:24" ht="15" customHeight="1" x14ac:dyDescent="0.2">
      <c r="A477" s="207" t="s">
        <v>72</v>
      </c>
      <c r="B477" s="208"/>
      <c r="C477" s="167">
        <v>7.1860465116279073</v>
      </c>
      <c r="D477" s="167">
        <v>7.6428571428571432</v>
      </c>
      <c r="E477" s="167">
        <v>6.3125</v>
      </c>
      <c r="F477" s="167">
        <v>6.6086956521739131</v>
      </c>
      <c r="G477" s="167">
        <v>6.6829268292682924</v>
      </c>
      <c r="H477" s="167">
        <v>7.1081081081081079</v>
      </c>
      <c r="I477" s="167">
        <v>8.36</v>
      </c>
      <c r="J477" s="167">
        <v>7.6071428571428568</v>
      </c>
      <c r="K477" s="167">
        <v>7.9142857142857146</v>
      </c>
      <c r="L477" s="167">
        <v>6.7</v>
      </c>
      <c r="M477" s="167">
        <v>7.7179487179487181</v>
      </c>
      <c r="N477" s="167">
        <v>7.6052631578947372</v>
      </c>
      <c r="O477" s="167">
        <v>7.1206896551724137</v>
      </c>
      <c r="P477" s="167">
        <v>6.9285714285714288</v>
      </c>
      <c r="Q477" s="167">
        <v>7.9870129870129887</v>
      </c>
      <c r="R477" s="167">
        <v>7.1692307692307695</v>
      </c>
      <c r="S477" s="167">
        <v>7.1081081081081114</v>
      </c>
      <c r="T477" s="167">
        <v>6.9939393939393941</v>
      </c>
      <c r="U477" s="164">
        <f t="shared" si="105"/>
        <v>-0.92034632034632047</v>
      </c>
      <c r="V477" s="164">
        <f t="shared" si="106"/>
        <v>6.5367965367965297E-2</v>
      </c>
      <c r="W477" s="164">
        <f t="shared" si="107"/>
        <v>-0.11416871416871732</v>
      </c>
      <c r="X477" s="140"/>
    </row>
    <row r="478" spans="1:24" ht="15" customHeight="1" x14ac:dyDescent="0.2">
      <c r="A478" s="207" t="s">
        <v>71</v>
      </c>
      <c r="B478" s="208"/>
      <c r="C478" s="167">
        <v>8.0777777777777757</v>
      </c>
      <c r="D478" s="167">
        <v>8.2551724137931046</v>
      </c>
      <c r="E478" s="167">
        <v>7.5606060606060606</v>
      </c>
      <c r="F478" s="167">
        <v>7.117647058823529</v>
      </c>
      <c r="G478" s="167">
        <v>7.3201970443349751</v>
      </c>
      <c r="H478" s="167">
        <v>7.3591836734693867</v>
      </c>
      <c r="I478" s="167">
        <v>7.485355648535565</v>
      </c>
      <c r="J478" s="167">
        <v>7.4666666666666677</v>
      </c>
      <c r="K478" s="167">
        <v>7.5605536332179932</v>
      </c>
      <c r="L478" s="167">
        <v>7.5365079365079364</v>
      </c>
      <c r="M478" s="167">
        <v>7.5490716180371349</v>
      </c>
      <c r="N478" s="167">
        <v>7.6657754010695189</v>
      </c>
      <c r="O478" s="167">
        <v>7.5737410071942444</v>
      </c>
      <c r="P478" s="167">
        <v>7.4326086956521742</v>
      </c>
      <c r="Q478" s="167">
        <v>8.01255230125523</v>
      </c>
      <c r="R478" s="167">
        <v>7.5149833518312983</v>
      </c>
      <c r="S478" s="167">
        <v>7.5738866396761129</v>
      </c>
      <c r="T478" s="167">
        <v>7.1237113402061851</v>
      </c>
      <c r="U478" s="164">
        <f t="shared" si="105"/>
        <v>-0.4368422930118081</v>
      </c>
      <c r="V478" s="164">
        <f t="shared" si="106"/>
        <v>-0.30889735544598906</v>
      </c>
      <c r="W478" s="164">
        <f t="shared" si="107"/>
        <v>-0.45017529946992774</v>
      </c>
      <c r="X478" s="140"/>
    </row>
    <row r="479" spans="1:24" ht="15" customHeight="1" x14ac:dyDescent="0.2">
      <c r="A479" s="205" t="s">
        <v>33</v>
      </c>
      <c r="B479" s="206"/>
      <c r="C479" s="166">
        <v>6.3414634146341466</v>
      </c>
      <c r="D479" s="166">
        <v>6.6529411764705886</v>
      </c>
      <c r="E479" s="166">
        <v>6.5488372093023264</v>
      </c>
      <c r="F479" s="166">
        <v>6.6412213740458013</v>
      </c>
      <c r="G479" s="166">
        <v>6.6896551724137927</v>
      </c>
      <c r="H479" s="166">
        <v>6.4774193548387107</v>
      </c>
      <c r="I479" s="166">
        <v>6.8203125</v>
      </c>
      <c r="J479" s="166">
        <v>6.7930327868852451</v>
      </c>
      <c r="K479" s="166">
        <v>6.6341463414634152</v>
      </c>
      <c r="L479" s="166">
        <v>6.1904255319148938</v>
      </c>
      <c r="M479" s="166">
        <v>6.1136363636363642</v>
      </c>
      <c r="N479" s="166">
        <v>6.4657142857142853</v>
      </c>
      <c r="O479" s="166">
        <v>6.5608504398826977</v>
      </c>
      <c r="P479" s="166">
        <v>6.8271144278606961</v>
      </c>
      <c r="Q479" s="166">
        <v>7.125</v>
      </c>
      <c r="R479" s="166">
        <v>7.1048109965635735</v>
      </c>
      <c r="S479" s="166">
        <v>7.2232441471571907</v>
      </c>
      <c r="T479" s="166">
        <v>6.7179962894248613</v>
      </c>
      <c r="U479" s="165">
        <f t="shared" si="105"/>
        <v>8.384994796144607E-2</v>
      </c>
      <c r="V479" s="165">
        <f t="shared" si="106"/>
        <v>-0.10911813843583484</v>
      </c>
      <c r="W479" s="165">
        <f t="shared" si="107"/>
        <v>-0.50524785773232939</v>
      </c>
      <c r="X479" s="140"/>
    </row>
    <row r="480" spans="1:24" ht="15" customHeight="1" x14ac:dyDescent="0.2">
      <c r="A480" s="207" t="s">
        <v>72</v>
      </c>
      <c r="B480" s="208"/>
      <c r="C480" s="167" t="s">
        <v>100</v>
      </c>
      <c r="D480" s="167" t="s">
        <v>100</v>
      </c>
      <c r="E480" s="167" t="s">
        <v>100</v>
      </c>
      <c r="F480" s="167" t="s">
        <v>100</v>
      </c>
      <c r="G480" s="167">
        <v>6.2</v>
      </c>
      <c r="H480" s="167" t="s">
        <v>100</v>
      </c>
      <c r="I480" s="167" t="s">
        <v>100</v>
      </c>
      <c r="J480" s="167" t="s">
        <v>100</v>
      </c>
      <c r="K480" s="167">
        <v>6.117647058823529</v>
      </c>
      <c r="L480" s="167">
        <v>5.9090909090909092</v>
      </c>
      <c r="M480" s="167">
        <v>6.4242424242424239</v>
      </c>
      <c r="N480" s="167">
        <v>6.375</v>
      </c>
      <c r="O480" s="167">
        <v>6.68888888888889</v>
      </c>
      <c r="P480" s="167">
        <v>6.708333333333333</v>
      </c>
      <c r="Q480" s="167">
        <v>7.056338028169014</v>
      </c>
      <c r="R480" s="167">
        <v>6.7777777777777777</v>
      </c>
      <c r="S480" s="167">
        <v>6.4421052631578961</v>
      </c>
      <c r="T480" s="167">
        <v>6.5816326530612246</v>
      </c>
      <c r="U480" s="164">
        <f t="shared" si="105"/>
        <v>0.46398559423769559</v>
      </c>
      <c r="V480" s="164">
        <f t="shared" si="106"/>
        <v>-0.12670068027210846</v>
      </c>
      <c r="W480" s="164">
        <f t="shared" si="107"/>
        <v>0.13952738990332847</v>
      </c>
      <c r="X480" s="140"/>
    </row>
    <row r="481" spans="1:24" ht="15" customHeight="1" x14ac:dyDescent="0.2">
      <c r="A481" s="207" t="s">
        <v>71</v>
      </c>
      <c r="B481" s="208"/>
      <c r="C481" s="167">
        <v>6.3518518518518503</v>
      </c>
      <c r="D481" s="167">
        <v>6.6428571428571432</v>
      </c>
      <c r="E481" s="167">
        <v>6.5355450236966837</v>
      </c>
      <c r="F481" s="167">
        <v>6.647509578544061</v>
      </c>
      <c r="G481" s="167">
        <v>6.7029972752043596</v>
      </c>
      <c r="H481" s="167">
        <v>6.4673202614379086</v>
      </c>
      <c r="I481" s="167">
        <v>6.8191489361702127</v>
      </c>
      <c r="J481" s="167">
        <v>6.8041666666666654</v>
      </c>
      <c r="K481" s="167">
        <v>6.6499102333931779</v>
      </c>
      <c r="L481" s="167">
        <v>6.197167755991285</v>
      </c>
      <c r="M481" s="167">
        <v>6.1047619047619053</v>
      </c>
      <c r="N481" s="167">
        <v>6.4693069306930697</v>
      </c>
      <c r="O481" s="167">
        <v>6.5564821834723279</v>
      </c>
      <c r="P481" s="167">
        <v>6.8307692307692305</v>
      </c>
      <c r="Q481" s="167">
        <v>7.1294439380127619</v>
      </c>
      <c r="R481" s="167">
        <v>7.1292705447830098</v>
      </c>
      <c r="S481" s="167">
        <v>7.2906448683015439</v>
      </c>
      <c r="T481" s="167">
        <v>6.731632653061224</v>
      </c>
      <c r="U481" s="164">
        <f t="shared" si="105"/>
        <v>8.1722419668046165E-2</v>
      </c>
      <c r="V481" s="164">
        <f t="shared" si="106"/>
        <v>-9.9136577708006435E-2</v>
      </c>
      <c r="W481" s="164">
        <f t="shared" si="107"/>
        <v>-0.55901221524031985</v>
      </c>
      <c r="X481" s="140"/>
    </row>
    <row r="482" spans="1:24" ht="15" customHeight="1" x14ac:dyDescent="0.2">
      <c r="A482" s="205" t="s">
        <v>23</v>
      </c>
      <c r="B482" s="206"/>
      <c r="C482" s="166">
        <v>6.2941176470588234</v>
      </c>
      <c r="D482" s="166">
        <v>5.2970588235294107</v>
      </c>
      <c r="E482" s="166">
        <v>4.6461126005361928</v>
      </c>
      <c r="F482" s="166">
        <v>6.6774193548387109</v>
      </c>
      <c r="G482" s="166">
        <v>6.3515151515151516</v>
      </c>
      <c r="H482" s="166">
        <v>6.4526315789473676</v>
      </c>
      <c r="I482" s="166">
        <v>6.6087591240875909</v>
      </c>
      <c r="J482" s="166">
        <v>6.3224999999999998</v>
      </c>
      <c r="K482" s="166">
        <v>6.3641975308641978</v>
      </c>
      <c r="L482" s="166">
        <v>6.3276699029126213</v>
      </c>
      <c r="M482" s="166">
        <v>6.290684624017957</v>
      </c>
      <c r="N482" s="166">
        <v>6.2900274473924975</v>
      </c>
      <c r="O482" s="166">
        <v>6.2001819836214738</v>
      </c>
      <c r="P482" s="166">
        <v>6.3811881188118811</v>
      </c>
      <c r="Q482" s="166">
        <v>6.6350194552529187</v>
      </c>
      <c r="R482" s="166">
        <v>6.3505942275042448</v>
      </c>
      <c r="S482" s="166">
        <v>6.3076329992289901</v>
      </c>
      <c r="T482" s="166">
        <v>6.3603082851637769</v>
      </c>
      <c r="U482" s="165">
        <f t="shared" si="105"/>
        <v>-3.8892457004209291E-3</v>
      </c>
      <c r="V482" s="165">
        <f t="shared" si="106"/>
        <v>-2.0879833648104196E-2</v>
      </c>
      <c r="W482" s="165">
        <f t="shared" si="107"/>
        <v>5.2675285934786764E-2</v>
      </c>
      <c r="X482" s="140"/>
    </row>
    <row r="483" spans="1:24" ht="15" customHeight="1" x14ac:dyDescent="0.2">
      <c r="A483" s="207" t="s">
        <v>72</v>
      </c>
      <c r="B483" s="208"/>
      <c r="C483" s="167">
        <v>6.2793103448275858</v>
      </c>
      <c r="D483" s="167">
        <v>5.2761760242792111</v>
      </c>
      <c r="E483" s="167">
        <v>4.6343490304709141</v>
      </c>
      <c r="F483" s="167">
        <v>6.5862068965517269</v>
      </c>
      <c r="G483" s="167">
        <v>6.3333333333333339</v>
      </c>
      <c r="H483" s="167">
        <v>6.4643510054844597</v>
      </c>
      <c r="I483" s="167">
        <v>6.598496240601504</v>
      </c>
      <c r="J483" s="167">
        <v>6.3217503217503221</v>
      </c>
      <c r="K483" s="167">
        <v>6.3575063613231553</v>
      </c>
      <c r="L483" s="167">
        <v>6.3287153652392947</v>
      </c>
      <c r="M483" s="167">
        <v>6.2824074074074066</v>
      </c>
      <c r="N483" s="167">
        <v>6.2909604519774014</v>
      </c>
      <c r="O483" s="167">
        <v>6.1918714555765595</v>
      </c>
      <c r="P483" s="167">
        <v>6.384615384615385</v>
      </c>
      <c r="Q483" s="167">
        <v>6.64</v>
      </c>
      <c r="R483" s="167">
        <v>6.3321739130434782</v>
      </c>
      <c r="S483" s="167">
        <v>6.3037974683544302</v>
      </c>
      <c r="T483" s="167">
        <v>6.3486513486513489</v>
      </c>
      <c r="U483" s="164">
        <f t="shared" si="105"/>
        <v>-8.8550126718063282E-3</v>
      </c>
      <c r="V483" s="164">
        <f t="shared" si="106"/>
        <v>-3.5964035964036078E-2</v>
      </c>
      <c r="W483" s="164">
        <f t="shared" si="107"/>
        <v>4.4853880296918724E-2</v>
      </c>
      <c r="X483" s="140"/>
    </row>
    <row r="484" spans="1:24" ht="15" customHeight="1" x14ac:dyDescent="0.2">
      <c r="A484" s="207" t="s">
        <v>71</v>
      </c>
      <c r="B484" s="208"/>
      <c r="C484" s="167">
        <v>6.5625</v>
      </c>
      <c r="D484" s="167">
        <v>5.9523809523809526</v>
      </c>
      <c r="E484" s="167">
        <v>5</v>
      </c>
      <c r="F484" s="167" t="s">
        <v>100</v>
      </c>
      <c r="G484" s="167">
        <v>6.9333333333333336</v>
      </c>
      <c r="H484" s="167">
        <v>6.1739130434782608</v>
      </c>
      <c r="I484" s="167">
        <v>6.95</v>
      </c>
      <c r="J484" s="167">
        <v>6.3478260869565215</v>
      </c>
      <c r="K484" s="167">
        <v>6.583333333333333</v>
      </c>
      <c r="L484" s="167">
        <v>6.3000000000000007</v>
      </c>
      <c r="M484" s="167">
        <v>6.5555555555555554</v>
      </c>
      <c r="N484" s="167">
        <v>6.258064516129032</v>
      </c>
      <c r="O484" s="167">
        <v>6.4146341463414638</v>
      </c>
      <c r="P484" s="167">
        <v>6.2857142857142856</v>
      </c>
      <c r="Q484" s="167">
        <v>6.4571428571428573</v>
      </c>
      <c r="R484" s="167">
        <v>7.1071428571428568</v>
      </c>
      <c r="S484" s="167">
        <v>6.4545454545454541</v>
      </c>
      <c r="T484" s="167">
        <v>6.6756756756756754</v>
      </c>
      <c r="U484" s="164">
        <f t="shared" si="105"/>
        <v>9.2342342342342398E-2</v>
      </c>
      <c r="V484" s="164">
        <f t="shared" si="106"/>
        <v>0.38996138996138985</v>
      </c>
      <c r="W484" s="164">
        <f t="shared" si="107"/>
        <v>0.22113022113022129</v>
      </c>
      <c r="X484" s="140"/>
    </row>
    <row r="485" spans="1:24" ht="15" customHeight="1" x14ac:dyDescent="0.2">
      <c r="A485" s="205" t="s">
        <v>169</v>
      </c>
      <c r="B485" s="206"/>
      <c r="C485" s="166">
        <v>7.259999999999998</v>
      </c>
      <c r="D485" s="166">
        <v>6.8333333333333321</v>
      </c>
      <c r="E485" s="166">
        <v>6.1111111111111125</v>
      </c>
      <c r="F485" s="166">
        <v>7.3586956521739131</v>
      </c>
      <c r="G485" s="166">
        <v>6.3088235294117645</v>
      </c>
      <c r="H485" s="166">
        <v>6.4905660377358476</v>
      </c>
      <c r="I485" s="166">
        <v>6.6450381679389299</v>
      </c>
      <c r="J485" s="166">
        <v>6.4254545454545458</v>
      </c>
      <c r="K485" s="166">
        <v>5.8738738738738725</v>
      </c>
      <c r="L485" s="166">
        <v>5.7223974763406922</v>
      </c>
      <c r="M485" s="166">
        <v>5.5771028037383177</v>
      </c>
      <c r="N485" s="166">
        <v>5.819521178637201</v>
      </c>
      <c r="O485" s="166">
        <v>6.0181058495821729</v>
      </c>
      <c r="P485" s="166">
        <v>6.0951683748169838</v>
      </c>
      <c r="Q485" s="166">
        <v>6.5111346765641569</v>
      </c>
      <c r="R485" s="166">
        <v>6.2990654205607486</v>
      </c>
      <c r="S485" s="166">
        <v>6.0104384133611699</v>
      </c>
      <c r="T485" s="166">
        <v>5.8133616118769895</v>
      </c>
      <c r="U485" s="165">
        <f t="shared" si="105"/>
        <v>-6.0512261996882977E-2</v>
      </c>
      <c r="V485" s="165">
        <f t="shared" si="106"/>
        <v>-0.28180676293999429</v>
      </c>
      <c r="W485" s="165">
        <f t="shared" si="107"/>
        <v>-0.19707680148418039</v>
      </c>
      <c r="X485" s="140"/>
    </row>
    <row r="486" spans="1:24" ht="15" customHeight="1" x14ac:dyDescent="0.2">
      <c r="A486" s="207" t="s">
        <v>72</v>
      </c>
      <c r="B486" s="208"/>
      <c r="C486" s="167" t="s">
        <v>100</v>
      </c>
      <c r="D486" s="167">
        <v>6.8181818181818183</v>
      </c>
      <c r="E486" s="167">
        <v>6.5599999999999987</v>
      </c>
      <c r="F486" s="167">
        <v>7.6400000000000023</v>
      </c>
      <c r="G486" s="167">
        <v>6.6956521739130439</v>
      </c>
      <c r="H486" s="167">
        <v>6.2405063291139244</v>
      </c>
      <c r="I486" s="167">
        <v>6.7599999999999989</v>
      </c>
      <c r="J486" s="167">
        <v>6.3880597014925371</v>
      </c>
      <c r="K486" s="167">
        <v>5.7978723404255321</v>
      </c>
      <c r="L486" s="167">
        <v>5.6796116504854366</v>
      </c>
      <c r="M486" s="167">
        <v>5.4341085271317837</v>
      </c>
      <c r="N486" s="167">
        <v>5.8571428571428568</v>
      </c>
      <c r="O486" s="167">
        <v>5.8357142857142845</v>
      </c>
      <c r="P486" s="167">
        <v>5.9303278688524594</v>
      </c>
      <c r="Q486" s="167">
        <v>6.4348894348894348</v>
      </c>
      <c r="R486" s="167">
        <v>6.131221719457014</v>
      </c>
      <c r="S486" s="167">
        <v>6.0393013100436681</v>
      </c>
      <c r="T486" s="167">
        <v>5.8109339407744871</v>
      </c>
      <c r="U486" s="164">
        <f t="shared" si="105"/>
        <v>1.3061600348954983E-2</v>
      </c>
      <c r="V486" s="164">
        <f t="shared" si="106"/>
        <v>-0.11939392807797233</v>
      </c>
      <c r="W486" s="164">
        <f t="shared" si="107"/>
        <v>-0.228367369269181</v>
      </c>
      <c r="X486" s="140"/>
    </row>
    <row r="487" spans="1:24" ht="15" customHeight="1" x14ac:dyDescent="0.2">
      <c r="A487" s="207" t="s">
        <v>71</v>
      </c>
      <c r="B487" s="208"/>
      <c r="C487" s="167">
        <v>7.1707317073170733</v>
      </c>
      <c r="D487" s="167">
        <v>6.8365384615384608</v>
      </c>
      <c r="E487" s="167">
        <v>6.009090909090907</v>
      </c>
      <c r="F487" s="167">
        <v>7.2537313432835839</v>
      </c>
      <c r="G487" s="167">
        <v>6.230088495575222</v>
      </c>
      <c r="H487" s="167">
        <v>6.596774193548387</v>
      </c>
      <c r="I487" s="167">
        <v>6.5989304812834213</v>
      </c>
      <c r="J487" s="167">
        <v>6.4375000000000018</v>
      </c>
      <c r="K487" s="167">
        <v>5.903765690376571</v>
      </c>
      <c r="L487" s="167">
        <v>5.7429906542056077</v>
      </c>
      <c r="M487" s="167">
        <v>5.6387959866220747</v>
      </c>
      <c r="N487" s="167">
        <v>5.8036649214659688</v>
      </c>
      <c r="O487" s="167">
        <v>6.1347031963470311</v>
      </c>
      <c r="P487" s="167">
        <v>6.186788154897493</v>
      </c>
      <c r="Q487" s="167">
        <v>6.5690298507462694</v>
      </c>
      <c r="R487" s="167">
        <v>6.4414587332053745</v>
      </c>
      <c r="S487" s="167">
        <v>5.984</v>
      </c>
      <c r="T487" s="167">
        <v>5.8154761904761898</v>
      </c>
      <c r="U487" s="164">
        <f t="shared" si="105"/>
        <v>-8.8289499900381152E-2</v>
      </c>
      <c r="V487" s="164">
        <f t="shared" si="106"/>
        <v>-0.37131196442130321</v>
      </c>
      <c r="W487" s="164">
        <f t="shared" si="107"/>
        <v>-0.16852380952381019</v>
      </c>
      <c r="X487" s="140"/>
    </row>
    <row r="488" spans="1:24" ht="15" customHeight="1" x14ac:dyDescent="0.2">
      <c r="A488" s="205" t="s">
        <v>21</v>
      </c>
      <c r="B488" s="206"/>
      <c r="C488" s="166">
        <v>7.3866171003717467</v>
      </c>
      <c r="D488" s="166">
        <v>6.8477801268498943</v>
      </c>
      <c r="E488" s="166">
        <v>6.51048951048951</v>
      </c>
      <c r="F488" s="166">
        <v>7.3644067796610173</v>
      </c>
      <c r="G488" s="166">
        <v>6.8184713375796182</v>
      </c>
      <c r="H488" s="166">
        <v>6.8434343434343434</v>
      </c>
      <c r="I488" s="166">
        <v>6.9480198019801982</v>
      </c>
      <c r="J488" s="166">
        <v>7.0787401574803148</v>
      </c>
      <c r="K488" s="166">
        <v>7.0215982721382293</v>
      </c>
      <c r="L488" s="166">
        <v>6.7152777777777777</v>
      </c>
      <c r="M488" s="166">
        <v>6.4612736660929428</v>
      </c>
      <c r="N488" s="166">
        <v>6.6923076923076925</v>
      </c>
      <c r="O488" s="166">
        <v>6.5634328358208958</v>
      </c>
      <c r="P488" s="166">
        <v>6.6671826625386998</v>
      </c>
      <c r="Q488" s="166">
        <v>7</v>
      </c>
      <c r="R488" s="166">
        <v>6.57981220657277</v>
      </c>
      <c r="S488" s="166">
        <v>6.7391304347826084</v>
      </c>
      <c r="T488" s="166">
        <v>6.6611489776046726</v>
      </c>
      <c r="U488" s="165">
        <f t="shared" si="105"/>
        <v>-0.36044929453355667</v>
      </c>
      <c r="V488" s="165">
        <f t="shared" si="106"/>
        <v>-6.0336849340272281E-3</v>
      </c>
      <c r="W488" s="165">
        <f t="shared" si="107"/>
        <v>-7.7981457177935809E-2</v>
      </c>
      <c r="X488" s="140"/>
    </row>
    <row r="489" spans="1:24" ht="15" customHeight="1" x14ac:dyDescent="0.2">
      <c r="A489" s="207" t="s">
        <v>72</v>
      </c>
      <c r="B489" s="208"/>
      <c r="C489" s="167">
        <v>6.9024390243902438</v>
      </c>
      <c r="D489" s="167">
        <v>6.5793103448275865</v>
      </c>
      <c r="E489" s="167">
        <v>6.5757575757575761</v>
      </c>
      <c r="F489" s="167">
        <v>7</v>
      </c>
      <c r="G489" s="167">
        <v>6.8380952380952378</v>
      </c>
      <c r="H489" s="167">
        <v>6.9448275862068964</v>
      </c>
      <c r="I489" s="167">
        <v>7.0342465753424657</v>
      </c>
      <c r="J489" s="167">
        <v>7.0681818181818183</v>
      </c>
      <c r="K489" s="167">
        <v>6.8901734104046239</v>
      </c>
      <c r="L489" s="167">
        <v>6.6470588235294121</v>
      </c>
      <c r="M489" s="167">
        <v>5.9872881355932206</v>
      </c>
      <c r="N489" s="167">
        <v>6.7509433962264138</v>
      </c>
      <c r="O489" s="167">
        <v>6.6075949367088604</v>
      </c>
      <c r="P489" s="167">
        <v>6.2927756653992395</v>
      </c>
      <c r="Q489" s="167">
        <v>6.6674698795180722</v>
      </c>
      <c r="R489" s="167">
        <v>6.4673629242819839</v>
      </c>
      <c r="S489" s="167">
        <v>6.4063745019920324</v>
      </c>
      <c r="T489" s="167">
        <v>6.5532786885245891</v>
      </c>
      <c r="U489" s="164">
        <f t="shared" si="105"/>
        <v>-0.33689472188003489</v>
      </c>
      <c r="V489" s="164">
        <f t="shared" si="106"/>
        <v>0.26050302312534956</v>
      </c>
      <c r="W489" s="164">
        <f t="shared" si="107"/>
        <v>0.14690418653255666</v>
      </c>
      <c r="X489" s="140"/>
    </row>
    <row r="490" spans="1:24" ht="15" customHeight="1" x14ac:dyDescent="0.2">
      <c r="A490" s="207" t="s">
        <v>71</v>
      </c>
      <c r="B490" s="208"/>
      <c r="C490" s="167">
        <v>7.5989304812834213</v>
      </c>
      <c r="D490" s="167">
        <v>6.9664634146341466</v>
      </c>
      <c r="E490" s="167">
        <v>6.475935828877005</v>
      </c>
      <c r="F490" s="167">
        <v>7.5584415584415581</v>
      </c>
      <c r="G490" s="167">
        <v>6.8086124401913874</v>
      </c>
      <c r="H490" s="167">
        <v>6.7848605577689245</v>
      </c>
      <c r="I490" s="167">
        <v>6.8992248062015502</v>
      </c>
      <c r="J490" s="167">
        <v>7.0843373493975905</v>
      </c>
      <c r="K490" s="167">
        <v>7.1</v>
      </c>
      <c r="L490" s="167">
        <v>6.7694704049844239</v>
      </c>
      <c r="M490" s="167">
        <v>6.7855072463768114</v>
      </c>
      <c r="N490" s="167">
        <v>6.6613545816733071</v>
      </c>
      <c r="O490" s="167">
        <v>6.5348360655737707</v>
      </c>
      <c r="P490" s="167">
        <v>6.9242819843342041</v>
      </c>
      <c r="Q490" s="167">
        <v>7.2584269662921352</v>
      </c>
      <c r="R490" s="167">
        <v>6.6716417910447765</v>
      </c>
      <c r="S490" s="167">
        <v>7.0276338514680479</v>
      </c>
      <c r="T490" s="167">
        <v>6.7588126159554731</v>
      </c>
      <c r="U490" s="164">
        <f t="shared" si="105"/>
        <v>-0.34118738404452653</v>
      </c>
      <c r="V490" s="164">
        <f t="shared" si="106"/>
        <v>-0.16546936837873094</v>
      </c>
      <c r="W490" s="164">
        <f t="shared" si="107"/>
        <v>-0.26882123551257475</v>
      </c>
      <c r="X490" s="140"/>
    </row>
    <row r="491" spans="1:24" ht="15" customHeight="1" x14ac:dyDescent="0.2">
      <c r="A491" s="205" t="s">
        <v>28</v>
      </c>
      <c r="B491" s="206"/>
      <c r="C491" s="166">
        <v>6.0506329113924062</v>
      </c>
      <c r="D491" s="166">
        <v>5.6378737541528228</v>
      </c>
      <c r="E491" s="166">
        <v>6.0263157894736823</v>
      </c>
      <c r="F491" s="166">
        <v>6.7080291970802932</v>
      </c>
      <c r="G491" s="166">
        <v>6.8882352941176457</v>
      </c>
      <c r="H491" s="166">
        <v>6.8991935483870961</v>
      </c>
      <c r="I491" s="166">
        <v>7.0553505535055354</v>
      </c>
      <c r="J491" s="166">
        <v>7.1751968503937009</v>
      </c>
      <c r="K491" s="166">
        <v>6.9703153988868269</v>
      </c>
      <c r="L491" s="166">
        <v>6.9753086419753094</v>
      </c>
      <c r="M491" s="166">
        <v>6.856870229007634</v>
      </c>
      <c r="N491" s="166">
        <v>6.7445573294629915</v>
      </c>
      <c r="O491" s="166">
        <v>6.5680628272251296</v>
      </c>
      <c r="P491" s="166">
        <v>7.4310954063604244</v>
      </c>
      <c r="Q491" s="166">
        <v>7.4173913043478263</v>
      </c>
      <c r="R491" s="166">
        <v>7.2999999999999989</v>
      </c>
      <c r="S491" s="166">
        <v>7.2030798845043309</v>
      </c>
      <c r="T491" s="166">
        <v>6.5373781148429044</v>
      </c>
      <c r="U491" s="165">
        <f t="shared" si="105"/>
        <v>-0.43293728404392251</v>
      </c>
      <c r="V491" s="165">
        <f t="shared" si="106"/>
        <v>-0.89371729151752</v>
      </c>
      <c r="W491" s="165">
        <f t="shared" si="107"/>
        <v>-0.66570176966142647</v>
      </c>
      <c r="X491" s="140"/>
    </row>
    <row r="492" spans="1:24" ht="15" customHeight="1" x14ac:dyDescent="0.2">
      <c r="A492" s="207" t="s">
        <v>72</v>
      </c>
      <c r="B492" s="208"/>
      <c r="C492" s="167">
        <v>6.4074074074074074</v>
      </c>
      <c r="D492" s="167">
        <v>5.8043478260869543</v>
      </c>
      <c r="E492" s="167">
        <v>6.3866666666666667</v>
      </c>
      <c r="F492" s="167">
        <v>6.6829268292682942</v>
      </c>
      <c r="G492" s="167">
        <v>6.7872340425531918</v>
      </c>
      <c r="H492" s="167">
        <v>7</v>
      </c>
      <c r="I492" s="167">
        <v>7.140845070422535</v>
      </c>
      <c r="J492" s="167">
        <v>7.4173228346456703</v>
      </c>
      <c r="K492" s="167">
        <v>6.8137931034482753</v>
      </c>
      <c r="L492" s="167">
        <v>7.0357142857142847</v>
      </c>
      <c r="M492" s="167">
        <v>6.8741258741258742</v>
      </c>
      <c r="N492" s="167">
        <v>6.5816993464052285</v>
      </c>
      <c r="O492" s="167">
        <v>6.4485981308411215</v>
      </c>
      <c r="P492" s="167">
        <v>7.094117647058825</v>
      </c>
      <c r="Q492" s="167">
        <v>7.4907407407407405</v>
      </c>
      <c r="R492" s="167">
        <v>7.2256267409470754</v>
      </c>
      <c r="S492" s="167">
        <v>7.1414473684210522</v>
      </c>
      <c r="T492" s="167">
        <v>6.5532786885245899</v>
      </c>
      <c r="U492" s="164">
        <f t="shared" si="105"/>
        <v>-0.26051441492368532</v>
      </c>
      <c r="V492" s="164">
        <f t="shared" si="106"/>
        <v>-0.54083895853423503</v>
      </c>
      <c r="W492" s="164">
        <f t="shared" si="107"/>
        <v>-0.58816867989646227</v>
      </c>
      <c r="X492" s="140"/>
    </row>
    <row r="493" spans="1:24" ht="15" customHeight="1" x14ac:dyDescent="0.2">
      <c r="A493" s="207" t="s">
        <v>71</v>
      </c>
      <c r="B493" s="208"/>
      <c r="C493" s="167">
        <v>5.8653846153846141</v>
      </c>
      <c r="D493" s="167">
        <v>5.5645933014354059</v>
      </c>
      <c r="E493" s="167">
        <v>5.8848167539267013</v>
      </c>
      <c r="F493" s="167">
        <v>6.7187500000000009</v>
      </c>
      <c r="G493" s="167">
        <v>6.9268292682926829</v>
      </c>
      <c r="H493" s="167">
        <v>6.8511904761904763</v>
      </c>
      <c r="I493" s="167">
        <v>7.0250000000000012</v>
      </c>
      <c r="J493" s="167">
        <v>7.0944881889763778</v>
      </c>
      <c r="K493" s="167">
        <v>7.0279187817258881</v>
      </c>
      <c r="L493" s="167">
        <v>6.9498746867167922</v>
      </c>
      <c r="M493" s="167">
        <v>6.8503937007874018</v>
      </c>
      <c r="N493" s="167">
        <v>6.7910447761194028</v>
      </c>
      <c r="O493" s="167">
        <v>6.6145454545454543</v>
      </c>
      <c r="P493" s="167">
        <v>7.5757575757575761</v>
      </c>
      <c r="Q493" s="167">
        <v>7.3839662447257384</v>
      </c>
      <c r="R493" s="167">
        <v>7.3313748531139833</v>
      </c>
      <c r="S493" s="167">
        <v>7.2285714285714286</v>
      </c>
      <c r="T493" s="167">
        <v>6.5316642120765849</v>
      </c>
      <c r="U493" s="164">
        <f t="shared" si="105"/>
        <v>-0.49625456964930326</v>
      </c>
      <c r="V493" s="164">
        <f t="shared" si="106"/>
        <v>-1.0440933636809913</v>
      </c>
      <c r="W493" s="164">
        <f t="shared" si="107"/>
        <v>-0.69690721649484377</v>
      </c>
      <c r="X493" s="140"/>
    </row>
    <row r="494" spans="1:24" ht="15" customHeight="1" x14ac:dyDescent="0.2">
      <c r="A494" s="205" t="s">
        <v>45</v>
      </c>
      <c r="B494" s="206"/>
      <c r="C494" s="166">
        <v>6.6753246753246751</v>
      </c>
      <c r="D494" s="166">
        <v>6.7183098591549282</v>
      </c>
      <c r="E494" s="166">
        <v>5.9489795918367347</v>
      </c>
      <c r="F494" s="166">
        <v>6.1666666666666643</v>
      </c>
      <c r="G494" s="166">
        <v>6.0176991150442474</v>
      </c>
      <c r="H494" s="166">
        <v>6.2475247524752486</v>
      </c>
      <c r="I494" s="166">
        <v>6.1374045801526744</v>
      </c>
      <c r="J494" s="166">
        <v>5.927777777777778</v>
      </c>
      <c r="K494" s="166">
        <v>5.7601626016260159</v>
      </c>
      <c r="L494" s="166">
        <v>5.7142857142857144</v>
      </c>
      <c r="M494" s="166">
        <v>5.7419354838709689</v>
      </c>
      <c r="N494" s="166">
        <v>5.9868073878627968</v>
      </c>
      <c r="O494" s="166">
        <v>5.9545454545454541</v>
      </c>
      <c r="P494" s="166">
        <v>6.0461285008237242</v>
      </c>
      <c r="Q494" s="166">
        <v>6.1036585365853648</v>
      </c>
      <c r="R494" s="166">
        <v>5.731958762886598</v>
      </c>
      <c r="S494" s="166">
        <v>5.6696230598669626</v>
      </c>
      <c r="T494" s="166">
        <v>5.7551867219917012</v>
      </c>
      <c r="U494" s="165">
        <f t="shared" si="105"/>
        <v>-4.9758796343146727E-3</v>
      </c>
      <c r="V494" s="165">
        <f t="shared" si="106"/>
        <v>-0.29094177883202299</v>
      </c>
      <c r="W494" s="165">
        <f t="shared" si="107"/>
        <v>8.5563662124738649E-2</v>
      </c>
      <c r="X494" s="140"/>
    </row>
    <row r="495" spans="1:24" ht="15" customHeight="1" x14ac:dyDescent="0.2">
      <c r="A495" s="207" t="s">
        <v>72</v>
      </c>
      <c r="B495" s="208"/>
      <c r="C495" s="167">
        <v>6.6764705882352926</v>
      </c>
      <c r="D495" s="167">
        <v>6.7272727272727293</v>
      </c>
      <c r="E495" s="167">
        <v>5.8</v>
      </c>
      <c r="F495" s="167">
        <v>6.1111111111111116</v>
      </c>
      <c r="G495" s="167">
        <v>5.9902912621359219</v>
      </c>
      <c r="H495" s="167">
        <v>6.083333333333333</v>
      </c>
      <c r="I495" s="167">
        <v>6.1132075471698091</v>
      </c>
      <c r="J495" s="167">
        <v>5.8389261744966436</v>
      </c>
      <c r="K495" s="167">
        <v>5.6960784313725492</v>
      </c>
      <c r="L495" s="167">
        <v>5.6563706563706564</v>
      </c>
      <c r="M495" s="167">
        <v>5.7168141592920358</v>
      </c>
      <c r="N495" s="167">
        <v>5.9561128526645781</v>
      </c>
      <c r="O495" s="167">
        <v>5.9487804878048784</v>
      </c>
      <c r="P495" s="167">
        <v>6.0288461538461542</v>
      </c>
      <c r="Q495" s="167">
        <v>6.1085814360770581</v>
      </c>
      <c r="R495" s="167">
        <v>5.6897133220910634</v>
      </c>
      <c r="S495" s="167">
        <v>5.6581196581196584</v>
      </c>
      <c r="T495" s="167">
        <v>5.7579113924050631</v>
      </c>
      <c r="U495" s="164">
        <f t="shared" si="105"/>
        <v>6.18329610325139E-2</v>
      </c>
      <c r="V495" s="164">
        <f t="shared" si="106"/>
        <v>-0.27093476144109108</v>
      </c>
      <c r="W495" s="164">
        <f t="shared" si="107"/>
        <v>9.9791734285404665E-2</v>
      </c>
      <c r="X495" s="140"/>
    </row>
    <row r="496" spans="1:24" ht="15" customHeight="1" x14ac:dyDescent="0.2">
      <c r="A496" s="207" t="s">
        <v>71</v>
      </c>
      <c r="B496" s="208"/>
      <c r="C496" s="167" t="s">
        <v>100</v>
      </c>
      <c r="D496" s="167" t="s">
        <v>100</v>
      </c>
      <c r="E496" s="167">
        <v>6.9230769230769242</v>
      </c>
      <c r="F496" s="167">
        <v>6.4999999999999991</v>
      </c>
      <c r="G496" s="167">
        <v>6.3</v>
      </c>
      <c r="H496" s="167">
        <v>7.0588235294117645</v>
      </c>
      <c r="I496" s="167">
        <v>6.24</v>
      </c>
      <c r="J496" s="167">
        <v>6.354838709677419</v>
      </c>
      <c r="K496" s="167">
        <v>6.0714285714285712</v>
      </c>
      <c r="L496" s="167">
        <v>6.1428571428571432</v>
      </c>
      <c r="M496" s="167">
        <v>5.875</v>
      </c>
      <c r="N496" s="167">
        <v>6.15</v>
      </c>
      <c r="O496" s="167">
        <v>5.9864864864864851</v>
      </c>
      <c r="P496" s="167">
        <v>6.1494252873563218</v>
      </c>
      <c r="Q496" s="167">
        <v>6.0705882352941174</v>
      </c>
      <c r="R496" s="167">
        <v>6.0232558139534884</v>
      </c>
      <c r="S496" s="167">
        <v>5.7831325301204819</v>
      </c>
      <c r="T496" s="167">
        <v>5.7362637362637363</v>
      </c>
      <c r="U496" s="164">
        <f t="shared" si="105"/>
        <v>-0.33516483516483486</v>
      </c>
      <c r="V496" s="164">
        <f t="shared" si="106"/>
        <v>-0.41316155109258546</v>
      </c>
      <c r="W496" s="164">
        <f t="shared" si="107"/>
        <v>-4.6868793856745583E-2</v>
      </c>
      <c r="X496" s="140"/>
    </row>
    <row r="497" spans="1:24" ht="15" customHeight="1" x14ac:dyDescent="0.2">
      <c r="A497" s="205" t="s">
        <v>24</v>
      </c>
      <c r="B497" s="206"/>
      <c r="C497" s="166">
        <v>5.6966292134831464</v>
      </c>
      <c r="D497" s="166">
        <v>5.2976744186046512</v>
      </c>
      <c r="E497" s="166">
        <v>5.2499999999999991</v>
      </c>
      <c r="F497" s="166">
        <v>5.5838926174496635</v>
      </c>
      <c r="G497" s="166">
        <v>5.7957746478873231</v>
      </c>
      <c r="H497" s="166">
        <v>5.7720430107526886</v>
      </c>
      <c r="I497" s="166">
        <v>6.2559852670349914</v>
      </c>
      <c r="J497" s="166">
        <v>6.3155737704918034</v>
      </c>
      <c r="K497" s="166">
        <v>6.4520833333333334</v>
      </c>
      <c r="L497" s="166">
        <v>6.3417721518987333</v>
      </c>
      <c r="M497" s="166">
        <v>6.2954128440366972</v>
      </c>
      <c r="N497" s="166">
        <v>6.3612167300380227</v>
      </c>
      <c r="O497" s="166">
        <v>6.1907790143084265</v>
      </c>
      <c r="P497" s="166">
        <v>6.4645476772616135</v>
      </c>
      <c r="Q497" s="166">
        <v>6.6572916666666666</v>
      </c>
      <c r="R497" s="166">
        <v>6.2351421188630489</v>
      </c>
      <c r="S497" s="166">
        <v>6.3458549222797931</v>
      </c>
      <c r="T497" s="166">
        <v>6.1326034063260337</v>
      </c>
      <c r="U497" s="165">
        <f t="shared" si="105"/>
        <v>-0.31947992700729966</v>
      </c>
      <c r="V497" s="165">
        <f t="shared" si="106"/>
        <v>-0.33194427093557977</v>
      </c>
      <c r="W497" s="165">
        <f t="shared" si="107"/>
        <v>-0.21325151595375935</v>
      </c>
      <c r="X497" s="140"/>
    </row>
    <row r="498" spans="1:24" ht="15" customHeight="1" x14ac:dyDescent="0.2">
      <c r="A498" s="207" t="s">
        <v>72</v>
      </c>
      <c r="B498" s="208"/>
      <c r="C498" s="167">
        <v>5.6190476190476186</v>
      </c>
      <c r="D498" s="167">
        <v>5.2755102040816331</v>
      </c>
      <c r="E498" s="167">
        <v>5.2125000000000004</v>
      </c>
      <c r="F498" s="167">
        <v>5.5970149253731343</v>
      </c>
      <c r="G498" s="167">
        <v>5.7666666666666666</v>
      </c>
      <c r="H498" s="167">
        <v>5.7672209026128263</v>
      </c>
      <c r="I498" s="167">
        <v>6.2174796747967482</v>
      </c>
      <c r="J498" s="167">
        <v>6.3456221198156681</v>
      </c>
      <c r="K498" s="167">
        <v>6.413145539906103</v>
      </c>
      <c r="L498" s="167">
        <v>6.3636363636363633</v>
      </c>
      <c r="M498" s="167">
        <v>6.2827004219409286</v>
      </c>
      <c r="N498" s="167">
        <v>6.3649789029535864</v>
      </c>
      <c r="O498" s="167">
        <v>6.2056239015817223</v>
      </c>
      <c r="P498" s="167">
        <v>6.4406779661016946</v>
      </c>
      <c r="Q498" s="167">
        <v>6.6242707117852975</v>
      </c>
      <c r="R498" s="167">
        <v>6.2054992764109986</v>
      </c>
      <c r="S498" s="167">
        <v>6.3342816500711239</v>
      </c>
      <c r="T498" s="167">
        <v>6.1500682128240109</v>
      </c>
      <c r="U498" s="164">
        <f t="shared" si="105"/>
        <v>-0.26307732708209208</v>
      </c>
      <c r="V498" s="164">
        <f t="shared" si="106"/>
        <v>-0.29060975327768368</v>
      </c>
      <c r="W498" s="164">
        <f t="shared" si="107"/>
        <v>-0.18421343724711292</v>
      </c>
      <c r="X498" s="140"/>
    </row>
    <row r="499" spans="1:24" ht="15" customHeight="1" x14ac:dyDescent="0.2">
      <c r="A499" s="207" t="s">
        <v>71</v>
      </c>
      <c r="B499" s="208"/>
      <c r="C499" s="167" t="s">
        <v>100</v>
      </c>
      <c r="D499" s="167">
        <v>5.5263157894736841</v>
      </c>
      <c r="E499" s="167">
        <v>5.5499999999999989</v>
      </c>
      <c r="F499" s="167">
        <v>5.4666666666666668</v>
      </c>
      <c r="G499" s="167">
        <v>6.1111111111111107</v>
      </c>
      <c r="H499" s="167">
        <v>5.8181818181818183</v>
      </c>
      <c r="I499" s="167">
        <v>6.6274509803921573</v>
      </c>
      <c r="J499" s="167">
        <v>6.0740740740740744</v>
      </c>
      <c r="K499" s="167">
        <v>6.7592592592592595</v>
      </c>
      <c r="L499" s="167">
        <v>6.1063829787234045</v>
      </c>
      <c r="M499" s="167">
        <v>6.380281690140845</v>
      </c>
      <c r="N499" s="167">
        <v>6.3269230769230766</v>
      </c>
      <c r="O499" s="167">
        <v>6.05</v>
      </c>
      <c r="P499" s="167">
        <v>6.6181818181818182</v>
      </c>
      <c r="Q499" s="167">
        <v>6.9320388349514559</v>
      </c>
      <c r="R499" s="167">
        <v>6.4819277108433733</v>
      </c>
      <c r="S499" s="167">
        <v>6.4637681159420293</v>
      </c>
      <c r="T499" s="167">
        <v>5.98876404494382</v>
      </c>
      <c r="U499" s="164">
        <f t="shared" si="105"/>
        <v>-0.77049521431543955</v>
      </c>
      <c r="V499" s="164">
        <f t="shared" si="106"/>
        <v>-0.62941777323799819</v>
      </c>
      <c r="W499" s="164">
        <f t="shared" si="107"/>
        <v>-0.47500407099820929</v>
      </c>
      <c r="X499" s="140"/>
    </row>
    <row r="500" spans="1:24" ht="15" customHeight="1" x14ac:dyDescent="0.2">
      <c r="A500" s="205" t="s">
        <v>27</v>
      </c>
      <c r="B500" s="206"/>
      <c r="C500" s="166">
        <v>6.9512820512820515</v>
      </c>
      <c r="D500" s="166">
        <v>7.1793313069908811</v>
      </c>
      <c r="E500" s="166">
        <v>6.2684365781710918</v>
      </c>
      <c r="F500" s="166">
        <v>6.4957020057306574</v>
      </c>
      <c r="G500" s="166">
        <v>6.3941441441441453</v>
      </c>
      <c r="H500" s="166">
        <v>6.391304347826086</v>
      </c>
      <c r="I500" s="166">
        <v>6.4204545454545459</v>
      </c>
      <c r="J500" s="166">
        <v>6.5088105726872234</v>
      </c>
      <c r="K500" s="166">
        <v>6.1019108280254777</v>
      </c>
      <c r="L500" s="166">
        <v>5.96661101836394</v>
      </c>
      <c r="M500" s="166">
        <v>5.8573717948717938</v>
      </c>
      <c r="N500" s="166">
        <v>6.3946540880503147</v>
      </c>
      <c r="O500" s="166">
        <v>6.3510140405616227</v>
      </c>
      <c r="P500" s="166">
        <v>6.4413223140495868</v>
      </c>
      <c r="Q500" s="166">
        <v>6.5649582836710367</v>
      </c>
      <c r="R500" s="166">
        <v>6.3701923076923075</v>
      </c>
      <c r="S500" s="166">
        <v>6.4168831168831177</v>
      </c>
      <c r="T500" s="166">
        <v>6.2979351032448374</v>
      </c>
      <c r="U500" s="165">
        <f t="shared" si="105"/>
        <v>0.19602427521935972</v>
      </c>
      <c r="V500" s="165">
        <f t="shared" si="106"/>
        <v>-0.14338721080474937</v>
      </c>
      <c r="W500" s="165">
        <f t="shared" si="107"/>
        <v>-0.11894801363828034</v>
      </c>
      <c r="X500" s="140"/>
    </row>
    <row r="501" spans="1:24" ht="15" customHeight="1" x14ac:dyDescent="0.2">
      <c r="A501" s="207" t="s">
        <v>72</v>
      </c>
      <c r="B501" s="208"/>
      <c r="C501" s="167">
        <v>6.8558951965065509</v>
      </c>
      <c r="D501" s="167">
        <v>7.1270718232044201</v>
      </c>
      <c r="E501" s="167">
        <v>6.3056768558951957</v>
      </c>
      <c r="F501" s="167">
        <v>6.579831932773109</v>
      </c>
      <c r="G501" s="167">
        <v>6.3228070175438598</v>
      </c>
      <c r="H501" s="167">
        <v>6.3088803088803092</v>
      </c>
      <c r="I501" s="167">
        <v>6.4563106796116498</v>
      </c>
      <c r="J501" s="167">
        <v>6.4567164179104477</v>
      </c>
      <c r="K501" s="167">
        <v>6.0334346504559271</v>
      </c>
      <c r="L501" s="167">
        <v>5.9830917874396139</v>
      </c>
      <c r="M501" s="167">
        <v>5.8409090909090908</v>
      </c>
      <c r="N501" s="167">
        <v>6.3443708609271523</v>
      </c>
      <c r="O501" s="167">
        <v>6.2982832618025748</v>
      </c>
      <c r="P501" s="167">
        <v>6.3990825688073381</v>
      </c>
      <c r="Q501" s="167">
        <v>6.4927768860353128</v>
      </c>
      <c r="R501" s="167">
        <v>6.3563218390804588</v>
      </c>
      <c r="S501" s="167">
        <v>6.2723880597014929</v>
      </c>
      <c r="T501" s="167">
        <v>6.1904761904761907</v>
      </c>
      <c r="U501" s="164">
        <f t="shared" si="105"/>
        <v>0.1570415400202636</v>
      </c>
      <c r="V501" s="164">
        <f t="shared" si="106"/>
        <v>-0.20860637833114737</v>
      </c>
      <c r="W501" s="164">
        <f t="shared" si="107"/>
        <v>-8.1911869225302247E-2</v>
      </c>
      <c r="X501" s="140"/>
    </row>
    <row r="502" spans="1:24" ht="15" customHeight="1" x14ac:dyDescent="0.2">
      <c r="A502" s="207" t="s">
        <v>71</v>
      </c>
      <c r="B502" s="208"/>
      <c r="C502" s="167">
        <v>7.0869565217391308</v>
      </c>
      <c r="D502" s="167">
        <v>7.243243243243243</v>
      </c>
      <c r="E502" s="167">
        <v>6.1909090909090887</v>
      </c>
      <c r="F502" s="167">
        <v>6.3153153153153143</v>
      </c>
      <c r="G502" s="167">
        <v>6.5220125786163523</v>
      </c>
      <c r="H502" s="167">
        <v>6.5290322580645155</v>
      </c>
      <c r="I502" s="167">
        <v>6.33587786259542</v>
      </c>
      <c r="J502" s="167">
        <v>6.655462184873949</v>
      </c>
      <c r="K502" s="167">
        <v>6.2605633802816891</v>
      </c>
      <c r="L502" s="167">
        <v>5.92972972972973</v>
      </c>
      <c r="M502" s="167">
        <v>5.8967391304347823</v>
      </c>
      <c r="N502" s="167">
        <v>6.5191256830601096</v>
      </c>
      <c r="O502" s="167">
        <v>6.4914285714285711</v>
      </c>
      <c r="P502" s="167">
        <v>6.550295857988166</v>
      </c>
      <c r="Q502" s="167">
        <v>6.7731481481481479</v>
      </c>
      <c r="R502" s="167">
        <v>6.4080717488789238</v>
      </c>
      <c r="S502" s="167">
        <v>6.7478632478632488</v>
      </c>
      <c r="T502" s="167">
        <v>6.5277777777777777</v>
      </c>
      <c r="U502" s="164">
        <f t="shared" si="105"/>
        <v>0.26721439749608855</v>
      </c>
      <c r="V502" s="164">
        <f t="shared" si="106"/>
        <v>-2.2518080210388369E-2</v>
      </c>
      <c r="W502" s="164">
        <f t="shared" si="107"/>
        <v>-0.22008547008547108</v>
      </c>
      <c r="X502" s="140"/>
    </row>
    <row r="503" spans="1:24" ht="15" customHeight="1" x14ac:dyDescent="0.2">
      <c r="A503" s="205" t="s">
        <v>32</v>
      </c>
      <c r="B503" s="206"/>
      <c r="C503" s="166">
        <v>7.0000000000000009</v>
      </c>
      <c r="D503" s="166">
        <v>6.9421052631578934</v>
      </c>
      <c r="E503" s="166">
        <v>7.2105263157894735</v>
      </c>
      <c r="F503" s="166">
        <v>7.1414634146341456</v>
      </c>
      <c r="G503" s="166">
        <v>7.2036363636363641</v>
      </c>
      <c r="H503" s="166">
        <v>6.9243986254295535</v>
      </c>
      <c r="I503" s="166">
        <v>7.114583333333333</v>
      </c>
      <c r="J503" s="166">
        <v>7.2763636363636373</v>
      </c>
      <c r="K503" s="166">
        <v>7.046753246753247</v>
      </c>
      <c r="L503" s="166">
        <v>7.1374663072776281</v>
      </c>
      <c r="M503" s="166">
        <v>6.7682926829268286</v>
      </c>
      <c r="N503" s="166">
        <v>6.8322033898305081</v>
      </c>
      <c r="O503" s="166">
        <v>6.7259923175416132</v>
      </c>
      <c r="P503" s="166">
        <v>6.9099437148217637</v>
      </c>
      <c r="Q503" s="166">
        <v>7.2843256379100847</v>
      </c>
      <c r="R503" s="166">
        <v>7.2468856172140432</v>
      </c>
      <c r="S503" s="166">
        <v>7.5072463768115938</v>
      </c>
      <c r="T503" s="166">
        <v>7.2507936507936508</v>
      </c>
      <c r="U503" s="165">
        <f t="shared" si="105"/>
        <v>0.2040404040404038</v>
      </c>
      <c r="V503" s="165">
        <f t="shared" si="106"/>
        <v>0.34084993597188706</v>
      </c>
      <c r="W503" s="165">
        <f t="shared" si="107"/>
        <v>-0.256452726017943</v>
      </c>
      <c r="X503" s="140"/>
    </row>
    <row r="504" spans="1:24" ht="15" customHeight="1" x14ac:dyDescent="0.2">
      <c r="A504" s="207" t="s">
        <v>72</v>
      </c>
      <c r="B504" s="208"/>
      <c r="C504" s="167">
        <v>6.4285714285714288</v>
      </c>
      <c r="D504" s="167">
        <v>6.9500000000000011</v>
      </c>
      <c r="E504" s="167">
        <v>7</v>
      </c>
      <c r="F504" s="167">
        <v>7.7222222222222223</v>
      </c>
      <c r="G504" s="167">
        <v>6.3214285714285712</v>
      </c>
      <c r="H504" s="167">
        <v>6.92</v>
      </c>
      <c r="I504" s="167">
        <v>7.363636363636366</v>
      </c>
      <c r="J504" s="167">
        <v>6.6874999999999982</v>
      </c>
      <c r="K504" s="167">
        <v>7.1724137931034493</v>
      </c>
      <c r="L504" s="167">
        <v>6.8095238095238093</v>
      </c>
      <c r="M504" s="167">
        <v>6.615384615384615</v>
      </c>
      <c r="N504" s="167">
        <v>7.5</v>
      </c>
      <c r="O504" s="167">
        <v>6.375</v>
      </c>
      <c r="P504" s="167">
        <v>6.3030303030303028</v>
      </c>
      <c r="Q504" s="167">
        <v>7.283018867924528</v>
      </c>
      <c r="R504" s="167">
        <v>7.1363636363636349</v>
      </c>
      <c r="S504" s="167">
        <v>7.3484848484848495</v>
      </c>
      <c r="T504" s="167">
        <v>6.979166666666667</v>
      </c>
      <c r="U504" s="164">
        <f t="shared" si="105"/>
        <v>-0.19324712643678232</v>
      </c>
      <c r="V504" s="164">
        <f t="shared" si="106"/>
        <v>0.6761363636363642</v>
      </c>
      <c r="W504" s="164">
        <f t="shared" si="107"/>
        <v>-0.36931818181818254</v>
      </c>
      <c r="X504" s="140"/>
    </row>
    <row r="505" spans="1:24" ht="15" customHeight="1" x14ac:dyDescent="0.2">
      <c r="A505" s="207" t="s">
        <v>71</v>
      </c>
      <c r="B505" s="208"/>
      <c r="C505" s="167">
        <v>7.043010752688172</v>
      </c>
      <c r="D505" s="167">
        <v>6.9411764705882364</v>
      </c>
      <c r="E505" s="167">
        <v>7.2256410256410257</v>
      </c>
      <c r="F505" s="167">
        <v>7.0855614973262044</v>
      </c>
      <c r="G505" s="167">
        <v>7.3036437246963573</v>
      </c>
      <c r="H505" s="167">
        <v>6.9248120300751879</v>
      </c>
      <c r="I505" s="167">
        <v>7.0696721311475406</v>
      </c>
      <c r="J505" s="167">
        <v>7.3127413127413119</v>
      </c>
      <c r="K505" s="167">
        <v>7.036516853932584</v>
      </c>
      <c r="L505" s="167">
        <v>7.1571428571428575</v>
      </c>
      <c r="M505" s="167">
        <v>6.7724425887265136</v>
      </c>
      <c r="N505" s="167">
        <v>6.8087719298245615</v>
      </c>
      <c r="O505" s="167">
        <v>6.7409879839786377</v>
      </c>
      <c r="P505" s="167">
        <v>6.95</v>
      </c>
      <c r="Q505" s="167">
        <v>7.2844155844155845</v>
      </c>
      <c r="R505" s="167">
        <v>7.2558139534883717</v>
      </c>
      <c r="S505" s="167">
        <v>7.5223665223665224</v>
      </c>
      <c r="T505" s="167">
        <v>7.2731958762886597</v>
      </c>
      <c r="U505" s="164">
        <f t="shared" si="105"/>
        <v>0.23667902235607574</v>
      </c>
      <c r="V505" s="164">
        <f t="shared" si="106"/>
        <v>0.32319587628865953</v>
      </c>
      <c r="W505" s="164">
        <f t="shared" si="107"/>
        <v>-0.24917064607786266</v>
      </c>
      <c r="X505" s="140"/>
    </row>
    <row r="506" spans="1:24" ht="15" customHeight="1" x14ac:dyDescent="0.2">
      <c r="A506" s="205" t="s">
        <v>464</v>
      </c>
      <c r="B506" s="206"/>
      <c r="C506" s="166" t="s">
        <v>100</v>
      </c>
      <c r="D506" s="166">
        <v>5.1999999999999975</v>
      </c>
      <c r="E506" s="166">
        <v>5.2413793103448256</v>
      </c>
      <c r="F506" s="166">
        <v>6</v>
      </c>
      <c r="G506" s="166">
        <v>5.2857142857142856</v>
      </c>
      <c r="H506" s="166">
        <v>6.4230769230769242</v>
      </c>
      <c r="I506" s="166">
        <v>6.125</v>
      </c>
      <c r="J506" s="166">
        <v>6.2916666666666643</v>
      </c>
      <c r="K506" s="166">
        <v>6.1304347826086936</v>
      </c>
      <c r="L506" s="166">
        <v>5.9473684210526327</v>
      </c>
      <c r="M506" s="166">
        <v>5.9166666666666679</v>
      </c>
      <c r="N506" s="166">
        <v>6.089999999999999</v>
      </c>
      <c r="O506" s="166">
        <v>5.916666666666667</v>
      </c>
      <c r="P506" s="166">
        <v>5.887931034482758</v>
      </c>
      <c r="Q506" s="166">
        <v>6.1451104100946363</v>
      </c>
      <c r="R506" s="166">
        <v>5.9347826086956523</v>
      </c>
      <c r="S506" s="166">
        <v>6.145833333333333</v>
      </c>
      <c r="T506" s="166">
        <v>6.0176767676767673</v>
      </c>
      <c r="U506" s="165">
        <f t="shared" si="105"/>
        <v>-0.11275801493192628</v>
      </c>
      <c r="V506" s="165">
        <f t="shared" si="106"/>
        <v>0.12974573319400928</v>
      </c>
      <c r="W506" s="165">
        <f t="shared" si="107"/>
        <v>-0.12815656565656575</v>
      </c>
      <c r="X506" s="140"/>
    </row>
    <row r="507" spans="1:24" ht="15" customHeight="1" x14ac:dyDescent="0.2">
      <c r="A507" s="207" t="s">
        <v>72</v>
      </c>
      <c r="B507" s="208"/>
      <c r="C507" s="167" t="s">
        <v>100</v>
      </c>
      <c r="D507" s="167">
        <v>5.2666666666666648</v>
      </c>
      <c r="E507" s="167">
        <v>5.25</v>
      </c>
      <c r="F507" s="167">
        <v>5.8749999999999991</v>
      </c>
      <c r="G507" s="167">
        <v>5.2173913043478262</v>
      </c>
      <c r="H507" s="167">
        <v>6.4090909090909101</v>
      </c>
      <c r="I507" s="167">
        <v>6.1904761904761907</v>
      </c>
      <c r="J507" s="167">
        <v>6.5</v>
      </c>
      <c r="K507" s="167">
        <v>5.8749999999999991</v>
      </c>
      <c r="L507" s="167">
        <v>6.0434782608695636</v>
      </c>
      <c r="M507" s="167">
        <v>6.0588235294117645</v>
      </c>
      <c r="N507" s="167">
        <v>6.1578947368421071</v>
      </c>
      <c r="O507" s="167">
        <v>5.9333333333333336</v>
      </c>
      <c r="P507" s="167">
        <v>5.8736842105263154</v>
      </c>
      <c r="Q507" s="167">
        <v>6.0769230769230766</v>
      </c>
      <c r="R507" s="167">
        <v>5.8827586206896552</v>
      </c>
      <c r="S507" s="167">
        <v>6.0985401459854014</v>
      </c>
      <c r="T507" s="167">
        <v>5.9269841269841272</v>
      </c>
      <c r="U507" s="164">
        <f t="shared" si="105"/>
        <v>5.1984126984128132E-2</v>
      </c>
      <c r="V507" s="164">
        <f t="shared" si="106"/>
        <v>5.3299916457811847E-2</v>
      </c>
      <c r="W507" s="164">
        <f t="shared" si="107"/>
        <v>-0.17155601900127415</v>
      </c>
      <c r="X507" s="140"/>
    </row>
    <row r="508" spans="1:24" ht="15" customHeight="1" x14ac:dyDescent="0.2">
      <c r="A508" s="207" t="s">
        <v>71</v>
      </c>
      <c r="B508" s="208"/>
      <c r="C508" s="167" t="s">
        <v>100</v>
      </c>
      <c r="D508" s="167" t="s">
        <v>100</v>
      </c>
      <c r="E508" s="167" t="s">
        <v>100</v>
      </c>
      <c r="F508" s="167" t="s">
        <v>100</v>
      </c>
      <c r="G508" s="167" t="s">
        <v>100</v>
      </c>
      <c r="H508" s="167" t="s">
        <v>100</v>
      </c>
      <c r="I508" s="167" t="s">
        <v>100</v>
      </c>
      <c r="J508" s="167" t="s">
        <v>100</v>
      </c>
      <c r="K508" s="167" t="s">
        <v>100</v>
      </c>
      <c r="L508" s="167">
        <v>5.5454545454545459</v>
      </c>
      <c r="M508" s="167">
        <v>5.3913043478260869</v>
      </c>
      <c r="N508" s="167">
        <v>5.875</v>
      </c>
      <c r="O508" s="167">
        <v>5.8571428571428568</v>
      </c>
      <c r="P508" s="167">
        <v>5.9523809523809526</v>
      </c>
      <c r="Q508" s="167">
        <v>6.4561403508771944</v>
      </c>
      <c r="R508" s="167">
        <v>6.1282051282051286</v>
      </c>
      <c r="S508" s="167">
        <v>6.354838709677419</v>
      </c>
      <c r="T508" s="167">
        <v>6.3703703703703702</v>
      </c>
      <c r="U508" s="164" t="str">
        <f t="shared" si="105"/>
        <v>n/a</v>
      </c>
      <c r="V508" s="164">
        <f t="shared" si="106"/>
        <v>0.41798941798941769</v>
      </c>
      <c r="W508" s="164">
        <f t="shared" si="107"/>
        <v>1.5531660692951199E-2</v>
      </c>
      <c r="X508" s="140"/>
    </row>
    <row r="509" spans="1:24" ht="15" customHeight="1" x14ac:dyDescent="0.2">
      <c r="A509" s="205" t="s">
        <v>284</v>
      </c>
      <c r="B509" s="206"/>
      <c r="C509" s="166">
        <v>5.6785714285714253</v>
      </c>
      <c r="D509" s="166" t="s">
        <v>100</v>
      </c>
      <c r="E509" s="166">
        <v>6.6153846153846168</v>
      </c>
      <c r="F509" s="166">
        <v>6.7959183673469408</v>
      </c>
      <c r="G509" s="166">
        <v>7.2333333333333334</v>
      </c>
      <c r="H509" s="166">
        <v>7.2264150943396208</v>
      </c>
      <c r="I509" s="166">
        <v>6.9843750000000018</v>
      </c>
      <c r="J509" s="166">
        <v>7.2289156626506026</v>
      </c>
      <c r="K509" s="166">
        <v>6.8648648648648667</v>
      </c>
      <c r="L509" s="166">
        <v>6.9999999999999991</v>
      </c>
      <c r="M509" s="166">
        <v>6.6966292134831464</v>
      </c>
      <c r="N509" s="166">
        <v>6.4548872180451111</v>
      </c>
      <c r="O509" s="166">
        <v>6.7090909090909099</v>
      </c>
      <c r="P509" s="166">
        <v>7.1058823529411752</v>
      </c>
      <c r="Q509" s="166">
        <v>6.8954869358669821</v>
      </c>
      <c r="R509" s="166">
        <v>6.7392290249433096</v>
      </c>
      <c r="S509" s="166">
        <v>6.3116490166414527</v>
      </c>
      <c r="T509" s="166">
        <v>6.4245283018867925</v>
      </c>
      <c r="U509" s="165">
        <f t="shared" si="105"/>
        <v>-0.44033656297807422</v>
      </c>
      <c r="V509" s="165">
        <f t="shared" si="106"/>
        <v>-0.68135405105438274</v>
      </c>
      <c r="W509" s="165">
        <f t="shared" si="107"/>
        <v>0.11287928524533974</v>
      </c>
      <c r="X509" s="140"/>
    </row>
    <row r="510" spans="1:24" ht="15" customHeight="1" x14ac:dyDescent="0.2">
      <c r="A510" s="207" t="s">
        <v>72</v>
      </c>
      <c r="B510" s="208"/>
      <c r="C510" s="167">
        <v>5.722222222222225</v>
      </c>
      <c r="D510" s="167" t="s">
        <v>100</v>
      </c>
      <c r="E510" s="167" t="s">
        <v>100</v>
      </c>
      <c r="F510" s="167">
        <v>6.75</v>
      </c>
      <c r="G510" s="167">
        <v>7.3043478260869579</v>
      </c>
      <c r="H510" s="167">
        <v>7.1212121212121229</v>
      </c>
      <c r="I510" s="167">
        <v>7.0416666666666643</v>
      </c>
      <c r="J510" s="167">
        <v>6.7894736842105283</v>
      </c>
      <c r="K510" s="167">
        <v>6.6904761904761889</v>
      </c>
      <c r="L510" s="167">
        <v>6.90625</v>
      </c>
      <c r="M510" s="167">
        <v>6.5555555555555554</v>
      </c>
      <c r="N510" s="167">
        <v>6.4590163934426226</v>
      </c>
      <c r="O510" s="167">
        <v>6.6984126984126995</v>
      </c>
      <c r="P510" s="167">
        <v>7.0666666666666664</v>
      </c>
      <c r="Q510" s="167">
        <v>6.790996784565916</v>
      </c>
      <c r="R510" s="167">
        <v>6.6544342507645258</v>
      </c>
      <c r="S510" s="167">
        <v>6.2243713733075436</v>
      </c>
      <c r="T510" s="167">
        <v>6.3671875000000018</v>
      </c>
      <c r="U510" s="164">
        <f t="shared" si="105"/>
        <v>-0.32328869047618713</v>
      </c>
      <c r="V510" s="164">
        <f t="shared" si="106"/>
        <v>-0.69947916666666465</v>
      </c>
      <c r="W510" s="164">
        <f t="shared" si="107"/>
        <v>0.14281612669245813</v>
      </c>
      <c r="X510" s="140"/>
    </row>
    <row r="511" spans="1:24" ht="15" customHeight="1" x14ac:dyDescent="0.2">
      <c r="A511" s="207" t="s">
        <v>71</v>
      </c>
      <c r="B511" s="208"/>
      <c r="C511" s="167">
        <v>5.6000000000000032</v>
      </c>
      <c r="D511" s="167" t="s">
        <v>100</v>
      </c>
      <c r="E511" s="167" t="s">
        <v>100</v>
      </c>
      <c r="F511" s="167" t="s">
        <v>100</v>
      </c>
      <c r="G511" s="167" t="s">
        <v>100</v>
      </c>
      <c r="H511" s="167">
        <v>7.4</v>
      </c>
      <c r="I511" s="167">
        <v>6.8125</v>
      </c>
      <c r="J511" s="167">
        <v>8.1923076923076916</v>
      </c>
      <c r="K511" s="167">
        <v>7.4074074074074074</v>
      </c>
      <c r="L511" s="167">
        <v>7.1875</v>
      </c>
      <c r="M511" s="167">
        <v>7.0384615384615383</v>
      </c>
      <c r="N511" s="167">
        <v>6.4457831325301189</v>
      </c>
      <c r="O511" s="167">
        <v>6.7325581395348841</v>
      </c>
      <c r="P511" s="167">
        <v>7.2</v>
      </c>
      <c r="Q511" s="167">
        <v>7.1909090909090905</v>
      </c>
      <c r="R511" s="167">
        <v>6.9824561403508776</v>
      </c>
      <c r="S511" s="167">
        <v>6.625</v>
      </c>
      <c r="T511" s="167">
        <v>6.6612903225806459</v>
      </c>
      <c r="U511" s="164">
        <f t="shared" si="105"/>
        <v>-0.74611708482676153</v>
      </c>
      <c r="V511" s="164">
        <f t="shared" si="106"/>
        <v>-0.53870967741935427</v>
      </c>
      <c r="W511" s="164">
        <f t="shared" si="107"/>
        <v>3.6290322580645906E-2</v>
      </c>
      <c r="X511" s="140"/>
    </row>
    <row r="512" spans="1:24" ht="15" customHeight="1" x14ac:dyDescent="0.2">
      <c r="A512" s="205" t="s">
        <v>36</v>
      </c>
      <c r="B512" s="206"/>
      <c r="C512" s="166">
        <v>7.012987012987014</v>
      </c>
      <c r="D512" s="178">
        <v>6.9190031152647959</v>
      </c>
      <c r="E512" s="166">
        <v>7.4509803921568629</v>
      </c>
      <c r="F512" s="166">
        <v>7.075441412520064</v>
      </c>
      <c r="G512" s="166">
        <v>6.944839857651246</v>
      </c>
      <c r="H512" s="166">
        <v>7.0078864353312307</v>
      </c>
      <c r="I512" s="166">
        <v>6.9194244604316557</v>
      </c>
      <c r="J512" s="166">
        <v>6.6045454545454545</v>
      </c>
      <c r="K512" s="166">
        <v>6.4828614008941878</v>
      </c>
      <c r="L512" s="166">
        <v>6.3962516733601067</v>
      </c>
      <c r="M512" s="166">
        <v>6.0592885375494072</v>
      </c>
      <c r="N512" s="166">
        <v>6.5720081135902637</v>
      </c>
      <c r="O512" s="166">
        <v>6.3947826086956523</v>
      </c>
      <c r="P512" s="166">
        <v>6.6252821670428892</v>
      </c>
      <c r="Q512" s="166">
        <v>7.0970873786407784</v>
      </c>
      <c r="R512" s="166">
        <v>7.0437756497948021</v>
      </c>
      <c r="S512" s="166">
        <v>7.1497919556171974</v>
      </c>
      <c r="T512" s="166">
        <v>7.2461273666092945</v>
      </c>
      <c r="U512" s="165">
        <f t="shared" si="105"/>
        <v>0.76326596571510663</v>
      </c>
      <c r="V512" s="165">
        <f t="shared" si="106"/>
        <v>0.62084519956640527</v>
      </c>
      <c r="W512" s="165">
        <f t="shared" si="107"/>
        <v>9.6335410992097081E-2</v>
      </c>
      <c r="X512" s="140"/>
    </row>
    <row r="513" spans="1:24" ht="15" customHeight="1" x14ac:dyDescent="0.2">
      <c r="A513" s="207" t="s">
        <v>72</v>
      </c>
      <c r="B513" s="208"/>
      <c r="C513" s="167">
        <v>6.9714285714285715</v>
      </c>
      <c r="D513" s="167">
        <v>6.7700000000000014</v>
      </c>
      <c r="E513" s="167">
        <v>7.3367003367003365</v>
      </c>
      <c r="F513" s="167">
        <v>7.0311004784688986</v>
      </c>
      <c r="G513" s="167">
        <v>6.8089005235602107</v>
      </c>
      <c r="H513" s="167">
        <v>6.8744186046511624</v>
      </c>
      <c r="I513" s="167">
        <v>6.8485477178423233</v>
      </c>
      <c r="J513" s="167">
        <v>6.615044247787611</v>
      </c>
      <c r="K513" s="167">
        <v>6.4062499999999991</v>
      </c>
      <c r="L513" s="167">
        <v>6.2727272727272725</v>
      </c>
      <c r="M513" s="167">
        <v>6.0138067061143987</v>
      </c>
      <c r="N513" s="167">
        <v>6.547770700636943</v>
      </c>
      <c r="O513" s="167">
        <v>6.3049853372434033</v>
      </c>
      <c r="P513" s="167">
        <v>6.496428571428571</v>
      </c>
      <c r="Q513" s="167">
        <v>6.9084158415841586</v>
      </c>
      <c r="R513" s="167">
        <v>6.8755656108597289</v>
      </c>
      <c r="S513" s="167">
        <v>6.9938900203665986</v>
      </c>
      <c r="T513" s="167">
        <v>7.3737373737373737</v>
      </c>
      <c r="U513" s="164">
        <f t="shared" si="105"/>
        <v>0.96748737373737459</v>
      </c>
      <c r="V513" s="164">
        <f t="shared" si="106"/>
        <v>0.8773088023088027</v>
      </c>
      <c r="W513" s="164">
        <f t="shared" si="107"/>
        <v>0.37984735337077513</v>
      </c>
      <c r="X513" s="140"/>
    </row>
    <row r="514" spans="1:24" ht="15" customHeight="1" x14ac:dyDescent="0.2">
      <c r="A514" s="207" t="s">
        <v>71</v>
      </c>
      <c r="B514" s="208"/>
      <c r="C514" s="167">
        <v>7.1020408163265287</v>
      </c>
      <c r="D514" s="167">
        <v>7.1652892561983474</v>
      </c>
      <c r="E514" s="167">
        <v>7.6604938271604937</v>
      </c>
      <c r="F514" s="167">
        <v>7.1658536585365855</v>
      </c>
      <c r="G514" s="167">
        <v>7.2333333333333334</v>
      </c>
      <c r="H514" s="167">
        <v>7.2892156862745097</v>
      </c>
      <c r="I514" s="167">
        <v>7.0798122065727709</v>
      </c>
      <c r="J514" s="167">
        <v>6.5817307692307692</v>
      </c>
      <c r="K514" s="167">
        <v>6.6367713004484301</v>
      </c>
      <c r="L514" s="167">
        <v>6.6388888888888893</v>
      </c>
      <c r="M514" s="167">
        <v>6.1507936507936511</v>
      </c>
      <c r="N514" s="167">
        <v>6.6145251396648046</v>
      </c>
      <c r="O514" s="167">
        <v>6.5256410256410255</v>
      </c>
      <c r="P514" s="167">
        <v>6.8466257668711661</v>
      </c>
      <c r="Q514" s="167">
        <v>7.4532710280373831</v>
      </c>
      <c r="R514" s="167">
        <v>7.3010380622837374</v>
      </c>
      <c r="S514" s="167">
        <v>7.482608695652174</v>
      </c>
      <c r="T514" s="167">
        <v>6.9729729729729728</v>
      </c>
      <c r="U514" s="164">
        <f t="shared" si="105"/>
        <v>0.33620167252454269</v>
      </c>
      <c r="V514" s="164">
        <f t="shared" si="106"/>
        <v>0.12634720610180672</v>
      </c>
      <c r="W514" s="164">
        <f t="shared" si="107"/>
        <v>-0.50963572267920121</v>
      </c>
      <c r="X514" s="117"/>
    </row>
    <row r="515" spans="1:24" ht="15" customHeight="1" x14ac:dyDescent="0.2">
      <c r="A515" s="44"/>
      <c r="B515" s="44"/>
      <c r="C515" s="44"/>
      <c r="D515" s="44"/>
      <c r="E515" s="44"/>
      <c r="F515" s="44"/>
      <c r="G515" s="44"/>
      <c r="H515" s="44"/>
      <c r="I515" s="44"/>
      <c r="J515" s="44"/>
      <c r="K515" s="44"/>
      <c r="L515" s="44"/>
      <c r="M515" s="44"/>
      <c r="N515" s="44"/>
      <c r="O515" s="44"/>
      <c r="P515" s="44"/>
      <c r="Q515" s="44"/>
      <c r="R515" s="44"/>
      <c r="S515" s="44"/>
      <c r="T515" s="44"/>
      <c r="X515" s="117"/>
    </row>
    <row r="516" spans="1:24" ht="15" customHeight="1" x14ac:dyDescent="0.2">
      <c r="A516" s="35" t="s">
        <v>539</v>
      </c>
      <c r="B516" s="35"/>
      <c r="C516" s="35"/>
      <c r="D516" s="35"/>
      <c r="E516" s="35"/>
      <c r="F516" s="35"/>
      <c r="G516" s="35"/>
      <c r="H516" s="35"/>
      <c r="I516" s="35"/>
      <c r="J516" s="35"/>
      <c r="K516" s="35"/>
      <c r="L516" s="35"/>
      <c r="M516" s="35"/>
      <c r="N516" s="35"/>
      <c r="O516" s="35"/>
      <c r="P516" s="35"/>
      <c r="Q516" s="35"/>
      <c r="R516" s="35"/>
      <c r="S516" s="35"/>
      <c r="T516" s="35"/>
      <c r="U516" s="69"/>
      <c r="V516" s="69"/>
      <c r="W516" s="69"/>
    </row>
    <row r="517" spans="1:24" ht="45" customHeight="1" x14ac:dyDescent="0.2">
      <c r="A517" s="36" t="s">
        <v>372</v>
      </c>
      <c r="B517" s="147" t="s">
        <v>530</v>
      </c>
      <c r="C517" s="15">
        <v>2007</v>
      </c>
      <c r="D517" s="15">
        <v>2008</v>
      </c>
      <c r="E517" s="15">
        <v>2009</v>
      </c>
      <c r="F517" s="15">
        <v>2010</v>
      </c>
      <c r="G517" s="15">
        <v>2011</v>
      </c>
      <c r="H517" s="15">
        <v>2012</v>
      </c>
      <c r="I517" s="15">
        <v>2013</v>
      </c>
      <c r="J517" s="15">
        <v>2014</v>
      </c>
      <c r="K517" s="15">
        <v>2015</v>
      </c>
      <c r="L517" s="15">
        <v>2016</v>
      </c>
      <c r="M517" s="15">
        <v>2017</v>
      </c>
      <c r="N517" s="15">
        <v>2018</v>
      </c>
      <c r="O517" s="15">
        <v>2019</v>
      </c>
      <c r="P517" s="15">
        <v>2020</v>
      </c>
      <c r="Q517" s="15">
        <v>2021</v>
      </c>
      <c r="R517" s="15">
        <v>2022</v>
      </c>
      <c r="S517" s="15">
        <v>2023</v>
      </c>
      <c r="T517" s="15">
        <v>2024</v>
      </c>
      <c r="U517" s="27" t="s">
        <v>469</v>
      </c>
      <c r="V517" s="27" t="s">
        <v>470</v>
      </c>
      <c r="W517" s="27" t="s">
        <v>471</v>
      </c>
    </row>
    <row r="518" spans="1:24" ht="15" customHeight="1" x14ac:dyDescent="0.2">
      <c r="A518" s="33" t="s">
        <v>75</v>
      </c>
      <c r="B518" s="29" t="s">
        <v>384</v>
      </c>
      <c r="C518" s="168">
        <v>11.871595330739302</v>
      </c>
      <c r="D518" s="168">
        <v>11.505263157894735</v>
      </c>
      <c r="E518" s="168">
        <v>11.563953488372093</v>
      </c>
      <c r="F518" s="168">
        <v>12.014124293785308</v>
      </c>
      <c r="G518" s="168">
        <v>12.168161434977579</v>
      </c>
      <c r="H518" s="168">
        <v>12.25</v>
      </c>
      <c r="I518" s="168">
        <v>11.852886405959035</v>
      </c>
      <c r="J518" s="168">
        <v>12.311890838206629</v>
      </c>
      <c r="K518" s="168">
        <v>12.420240137221269</v>
      </c>
      <c r="L518" s="168">
        <v>12.449760765550238</v>
      </c>
      <c r="M518" s="168">
        <v>12.325732899022796</v>
      </c>
      <c r="N518" s="168">
        <v>12.250666666666667</v>
      </c>
      <c r="O518" s="168">
        <v>12.114882506527415</v>
      </c>
      <c r="P518" s="168">
        <v>12.159122085048011</v>
      </c>
      <c r="Q518" s="168">
        <v>12.52808988764045</v>
      </c>
      <c r="R518" s="168">
        <v>12.334567901234564</v>
      </c>
      <c r="S518" s="168">
        <v>12.490967056323056</v>
      </c>
      <c r="T518" s="168">
        <v>12.2809756097561</v>
      </c>
      <c r="U518" s="165">
        <f t="shared" ref="U518" si="108">IFERROR((T518-K518),"n/a")</f>
        <v>-0.13926452746516915</v>
      </c>
      <c r="V518" s="165">
        <f t="shared" ref="V518" si="109">IFERROR((T518-P518),"n/a")</f>
        <v>0.1218535247080883</v>
      </c>
      <c r="W518" s="165">
        <f t="shared" ref="W518" si="110">IFERROR((T518-S518),"n/a")</f>
        <v>-0.20999144656695634</v>
      </c>
    </row>
    <row r="519" spans="1:24" ht="15" customHeight="1" x14ac:dyDescent="0.2">
      <c r="A519" s="33"/>
      <c r="B519" s="29" t="s">
        <v>531</v>
      </c>
      <c r="C519" s="168">
        <v>4.2684824902723761</v>
      </c>
      <c r="D519" s="168">
        <v>4.4385964912280684</v>
      </c>
      <c r="E519" s="168">
        <v>4.1715116279069768</v>
      </c>
      <c r="F519" s="168">
        <v>3.42372881355932</v>
      </c>
      <c r="G519" s="168">
        <v>4.0112107623318387</v>
      </c>
      <c r="H519" s="168">
        <v>4.2401574803149611</v>
      </c>
      <c r="I519" s="168">
        <v>3.8994413407821265</v>
      </c>
      <c r="J519" s="168">
        <v>4.0584795321637444</v>
      </c>
      <c r="K519" s="168">
        <v>4.1886792452830175</v>
      </c>
      <c r="L519" s="168">
        <v>4.3636363636363615</v>
      </c>
      <c r="M519" s="168">
        <v>4.1074918566775196</v>
      </c>
      <c r="N519" s="168">
        <v>4.1706666666666674</v>
      </c>
      <c r="O519" s="168">
        <v>3.9804177545691903</v>
      </c>
      <c r="P519" s="168">
        <v>4.0493827160493829</v>
      </c>
      <c r="Q519" s="168">
        <v>4.5380774032459428</v>
      </c>
      <c r="R519" s="168">
        <v>4.3172839506172807</v>
      </c>
      <c r="S519" s="168">
        <v>4.4070138150903251</v>
      </c>
      <c r="T519" s="168">
        <v>4.1648780487804906</v>
      </c>
      <c r="U519" s="165">
        <f t="shared" ref="U519:U531" si="111">IFERROR((T519-K519),"n/a")</f>
        <v>-2.3801196502526878E-2</v>
      </c>
      <c r="V519" s="165">
        <f t="shared" ref="V519:V531" si="112">IFERROR((T519-P519),"n/a")</f>
        <v>0.11549533273110768</v>
      </c>
      <c r="W519" s="165">
        <f t="shared" ref="W519:W531" si="113">IFERROR((T519-S519),"n/a")</f>
        <v>-0.24213576630983447</v>
      </c>
    </row>
    <row r="520" spans="1:24" ht="15" customHeight="1" x14ac:dyDescent="0.2">
      <c r="A520" s="34" t="s">
        <v>72</v>
      </c>
      <c r="B520" s="29" t="s">
        <v>384</v>
      </c>
      <c r="C520" s="167">
        <v>11.767857142857139</v>
      </c>
      <c r="D520" s="167">
        <v>11.500000000000004</v>
      </c>
      <c r="E520" s="167">
        <v>11.895104895104895</v>
      </c>
      <c r="F520" s="167">
        <v>12.025806451612901</v>
      </c>
      <c r="G520" s="167">
        <v>12.280612244897961</v>
      </c>
      <c r="H520" s="167">
        <v>12.521951219512195</v>
      </c>
      <c r="I520" s="167">
        <v>12.067729083665339</v>
      </c>
      <c r="J520" s="167">
        <v>12.244541484716159</v>
      </c>
      <c r="K520" s="167">
        <v>12.636363636363638</v>
      </c>
      <c r="L520" s="167">
        <v>12.505703422053234</v>
      </c>
      <c r="M520" s="167">
        <v>12.653429602888085</v>
      </c>
      <c r="N520" s="167">
        <v>12.457831325301205</v>
      </c>
      <c r="O520" s="167">
        <v>12.563798219584573</v>
      </c>
      <c r="P520" s="167">
        <v>12.380952380952381</v>
      </c>
      <c r="Q520" s="167">
        <v>12.651785714285714</v>
      </c>
      <c r="R520" s="167">
        <v>12.646067415730339</v>
      </c>
      <c r="S520" s="167">
        <v>12.576832151300236</v>
      </c>
      <c r="T520" s="167">
        <v>12.411894273127754</v>
      </c>
      <c r="U520" s="164">
        <f t="shared" si="111"/>
        <v>-0.22446936323588496</v>
      </c>
      <c r="V520" s="164">
        <f t="shared" si="112"/>
        <v>3.0941892175372132E-2</v>
      </c>
      <c r="W520" s="164">
        <f t="shared" si="113"/>
        <v>-0.1649378781724824</v>
      </c>
    </row>
    <row r="521" spans="1:24" ht="15" customHeight="1" x14ac:dyDescent="0.2">
      <c r="A521" s="34"/>
      <c r="B521" s="29" t="s">
        <v>531</v>
      </c>
      <c r="C521" s="167">
        <v>4.21428571428571</v>
      </c>
      <c r="D521" s="167">
        <v>4.5431034482758657</v>
      </c>
      <c r="E521" s="167">
        <v>4.4965034965034967</v>
      </c>
      <c r="F521" s="167">
        <v>3.1806451612903199</v>
      </c>
      <c r="G521" s="167">
        <v>4.0357142857142883</v>
      </c>
      <c r="H521" s="167">
        <v>4.5609756097560972</v>
      </c>
      <c r="I521" s="167">
        <v>4.1912350597609569</v>
      </c>
      <c r="J521" s="167">
        <v>4.0043668122270759</v>
      </c>
      <c r="K521" s="167">
        <v>4.3939393939393963</v>
      </c>
      <c r="L521" s="167">
        <v>4.4334600760456286</v>
      </c>
      <c r="M521" s="167">
        <v>4.440433212996389</v>
      </c>
      <c r="N521" s="167">
        <v>4.3102409638554224</v>
      </c>
      <c r="O521" s="167">
        <v>4.4035608308605365</v>
      </c>
      <c r="P521" s="167">
        <v>4.3904761904761909</v>
      </c>
      <c r="Q521" s="167">
        <v>4.699404761904761</v>
      </c>
      <c r="R521" s="167">
        <v>4.6797752808988786</v>
      </c>
      <c r="S521" s="167">
        <v>4.5082742316784863</v>
      </c>
      <c r="T521" s="167">
        <v>4.3524229074889877</v>
      </c>
      <c r="U521" s="164">
        <f t="shared" si="111"/>
        <v>-4.1516486450408507E-2</v>
      </c>
      <c r="V521" s="164">
        <f t="shared" si="112"/>
        <v>-3.8053282987203119E-2</v>
      </c>
      <c r="W521" s="164">
        <f t="shared" si="113"/>
        <v>-0.15585132418949854</v>
      </c>
    </row>
    <row r="522" spans="1:24" ht="15" customHeight="1" x14ac:dyDescent="0.2">
      <c r="A522" s="34" t="s">
        <v>71</v>
      </c>
      <c r="B522" s="29" t="s">
        <v>384</v>
      </c>
      <c r="C522" s="167">
        <v>11.951724137931032</v>
      </c>
      <c r="D522" s="167">
        <v>11.508875739644967</v>
      </c>
      <c r="E522" s="167">
        <v>11.328358208955224</v>
      </c>
      <c r="F522" s="167">
        <v>12.005025125628146</v>
      </c>
      <c r="G522" s="167">
        <v>12.079999999999998</v>
      </c>
      <c r="H522" s="167">
        <v>12.066006600660064</v>
      </c>
      <c r="I522" s="167">
        <v>11.664335664335665</v>
      </c>
      <c r="J522" s="167">
        <v>12.366197183098592</v>
      </c>
      <c r="K522" s="167">
        <v>12.241379310344829</v>
      </c>
      <c r="L522" s="167">
        <v>12.409340659340659</v>
      </c>
      <c r="M522" s="167">
        <v>12.05637982195846</v>
      </c>
      <c r="N522" s="167">
        <v>12.086124401913876</v>
      </c>
      <c r="O522" s="167">
        <v>11.76223776223776</v>
      </c>
      <c r="P522" s="167">
        <v>11.990338164251208</v>
      </c>
      <c r="Q522" s="167">
        <v>12.438709677419356</v>
      </c>
      <c r="R522" s="167">
        <v>12.090308370044053</v>
      </c>
      <c r="S522" s="167">
        <v>12.42084942084942</v>
      </c>
      <c r="T522" s="167">
        <v>12.176882661996498</v>
      </c>
      <c r="U522" s="164">
        <f t="shared" si="111"/>
        <v>-6.4496648348331576E-2</v>
      </c>
      <c r="V522" s="164">
        <f t="shared" si="112"/>
        <v>0.18654449774528992</v>
      </c>
      <c r="W522" s="164">
        <f t="shared" si="113"/>
        <v>-0.24396675885292218</v>
      </c>
    </row>
    <row r="523" spans="1:24" ht="15" customHeight="1" x14ac:dyDescent="0.2">
      <c r="A523" s="34"/>
      <c r="B523" s="29" t="s">
        <v>531</v>
      </c>
      <c r="C523" s="167">
        <v>4.3103448275862046</v>
      </c>
      <c r="D523" s="167">
        <v>4.3668639053254408</v>
      </c>
      <c r="E523" s="167">
        <v>3.9402985074626873</v>
      </c>
      <c r="F523" s="167">
        <v>3.6130653266331709</v>
      </c>
      <c r="G523" s="167">
        <v>3.9919999999999991</v>
      </c>
      <c r="H523" s="167">
        <v>4.0231023102310211</v>
      </c>
      <c r="I523" s="167">
        <v>3.6433566433566433</v>
      </c>
      <c r="J523" s="167">
        <v>4.102112676056338</v>
      </c>
      <c r="K523" s="167">
        <v>4.0188087774294683</v>
      </c>
      <c r="L523" s="167">
        <v>4.3131868131868121</v>
      </c>
      <c r="M523" s="167">
        <v>3.8338278931750782</v>
      </c>
      <c r="N523" s="167">
        <v>4.0598086124401913</v>
      </c>
      <c r="O523" s="167">
        <v>3.6480186480186454</v>
      </c>
      <c r="P523" s="167">
        <v>3.7898550724637676</v>
      </c>
      <c r="Q523" s="167">
        <v>4.4215053763440864</v>
      </c>
      <c r="R523" s="167">
        <v>4.0330396475770929</v>
      </c>
      <c r="S523" s="167">
        <v>4.3243243243243228</v>
      </c>
      <c r="T523" s="167">
        <v>4.0157618213660253</v>
      </c>
      <c r="U523" s="164">
        <f t="shared" si="111"/>
        <v>-3.0469560634429627E-3</v>
      </c>
      <c r="V523" s="164">
        <f t="shared" si="112"/>
        <v>0.2259067489022577</v>
      </c>
      <c r="W523" s="164">
        <f t="shared" si="113"/>
        <v>-0.30856250295829746</v>
      </c>
    </row>
    <row r="524" spans="1:24" ht="15" customHeight="1" x14ac:dyDescent="0.2">
      <c r="A524" s="33" t="s">
        <v>164</v>
      </c>
      <c r="B524" s="29" t="s">
        <v>384</v>
      </c>
      <c r="C524" s="168">
        <v>5.8786023973476143</v>
      </c>
      <c r="D524" s="168">
        <v>5.7722007722007724</v>
      </c>
      <c r="E524" s="168">
        <v>5.5683234313867551</v>
      </c>
      <c r="F524" s="168">
        <v>5.9207564864020004</v>
      </c>
      <c r="G524" s="167">
        <v>5.7339776195320447</v>
      </c>
      <c r="H524" s="168">
        <v>5.6161843918326442</v>
      </c>
      <c r="I524" s="168">
        <v>5.6062078540261799</v>
      </c>
      <c r="J524" s="168">
        <v>5.7955843904328459</v>
      </c>
      <c r="K524" s="168">
        <v>5.7945355191256827</v>
      </c>
      <c r="L524" s="168">
        <v>5.714272938651404</v>
      </c>
      <c r="M524" s="168">
        <v>5.7899095099880489</v>
      </c>
      <c r="N524" s="168">
        <v>5.8878888362545396</v>
      </c>
      <c r="O524" s="168">
        <v>5.752723224934404</v>
      </c>
      <c r="P524" s="168">
        <v>5.7671415479463466</v>
      </c>
      <c r="Q524" s="168">
        <v>5.9178823979104287</v>
      </c>
      <c r="R524" s="168">
        <v>5.5880320789636029</v>
      </c>
      <c r="S524" s="168">
        <v>5.5725767818172143</v>
      </c>
      <c r="T524" s="168">
        <v>5.4762309479290607</v>
      </c>
      <c r="U524" s="165">
        <f t="shared" si="111"/>
        <v>-0.31830457119662192</v>
      </c>
      <c r="V524" s="165">
        <f t="shared" si="112"/>
        <v>-0.29091060001728586</v>
      </c>
      <c r="W524" s="165">
        <f t="shared" si="113"/>
        <v>-9.6345833888153543E-2</v>
      </c>
    </row>
    <row r="525" spans="1:24" ht="15" customHeight="1" x14ac:dyDescent="0.2">
      <c r="A525" s="33"/>
      <c r="B525" s="29" t="s">
        <v>531</v>
      </c>
      <c r="C525" s="168">
        <v>1.9385360877327202</v>
      </c>
      <c r="D525" s="168">
        <v>1.9290794553952453</v>
      </c>
      <c r="E525" s="168">
        <v>1.7094623967540934</v>
      </c>
      <c r="F525" s="168">
        <v>1.8637074085651761</v>
      </c>
      <c r="G525" s="167">
        <v>1.9098423194303153</v>
      </c>
      <c r="H525" s="168">
        <v>1.8300137792809719</v>
      </c>
      <c r="I525" s="168">
        <v>1.7962118207060689</v>
      </c>
      <c r="J525" s="168">
        <v>2.0074561828217292</v>
      </c>
      <c r="K525" s="168">
        <v>1.9410746812386153</v>
      </c>
      <c r="L525" s="168">
        <v>1.9451797531747452</v>
      </c>
      <c r="M525" s="168">
        <v>1.9824995731603212</v>
      </c>
      <c r="N525" s="168">
        <v>2.0586609821569555</v>
      </c>
      <c r="O525" s="168">
        <v>1.9418780313270254</v>
      </c>
      <c r="P525" s="168">
        <v>2.0237440639840036</v>
      </c>
      <c r="Q525" s="168">
        <v>2.1711792062177486</v>
      </c>
      <c r="R525" s="168">
        <v>1.8890191239975325</v>
      </c>
      <c r="S525" s="168">
        <v>1.8923723851599514</v>
      </c>
      <c r="T525" s="168">
        <v>1.8118873590571698</v>
      </c>
      <c r="U525" s="165">
        <f t="shared" si="111"/>
        <v>-0.12918732218144546</v>
      </c>
      <c r="V525" s="165">
        <f t="shared" si="112"/>
        <v>-0.21185670492683384</v>
      </c>
      <c r="W525" s="165">
        <f t="shared" si="113"/>
        <v>-8.0485026102781632E-2</v>
      </c>
    </row>
    <row r="526" spans="1:24" ht="15" customHeight="1" x14ac:dyDescent="0.2">
      <c r="A526" s="34" t="s">
        <v>72</v>
      </c>
      <c r="B526" s="29" t="s">
        <v>384</v>
      </c>
      <c r="C526" s="167">
        <v>6.1594577146546161</v>
      </c>
      <c r="D526" s="167">
        <v>5.8707317073170735</v>
      </c>
      <c r="E526" s="167">
        <v>5.7379799935463049</v>
      </c>
      <c r="F526" s="167">
        <v>6.0368139223560906</v>
      </c>
      <c r="G526" s="167">
        <v>5.8172628304821155</v>
      </c>
      <c r="H526" s="167">
        <v>5.7213622291021675</v>
      </c>
      <c r="I526" s="167">
        <v>5.6946205768050726</v>
      </c>
      <c r="J526" s="167">
        <v>5.9179404666130333</v>
      </c>
      <c r="K526" s="167">
        <v>5.9353823366043326</v>
      </c>
      <c r="L526" s="167">
        <v>5.8856882406563358</v>
      </c>
      <c r="M526" s="167">
        <v>5.9241982507288631</v>
      </c>
      <c r="N526" s="167">
        <v>5.9750749329547244</v>
      </c>
      <c r="O526" s="167">
        <v>5.7813924249567812</v>
      </c>
      <c r="P526" s="167">
        <v>5.8414473684210524</v>
      </c>
      <c r="Q526" s="167">
        <v>5.9429610129121224</v>
      </c>
      <c r="R526" s="167">
        <v>5.6391814265198663</v>
      </c>
      <c r="S526" s="167">
        <v>5.5941832586260816</v>
      </c>
      <c r="T526" s="167">
        <v>5.4742535211267604</v>
      </c>
      <c r="U526" s="164">
        <f t="shared" si="111"/>
        <v>-0.46112881547757212</v>
      </c>
      <c r="V526" s="164">
        <f t="shared" si="112"/>
        <v>-0.36719384729429194</v>
      </c>
      <c r="W526" s="164">
        <f t="shared" si="113"/>
        <v>-0.11992973749932112</v>
      </c>
    </row>
    <row r="527" spans="1:24" ht="15" customHeight="1" x14ac:dyDescent="0.2">
      <c r="A527" s="34"/>
      <c r="B527" s="29" t="s">
        <v>531</v>
      </c>
      <c r="C527" s="167">
        <v>2.1536475145255007</v>
      </c>
      <c r="D527" s="167">
        <v>2.0258536585365858</v>
      </c>
      <c r="E527" s="167">
        <v>1.81865117779929</v>
      </c>
      <c r="F527" s="167">
        <v>1.9374163319946449</v>
      </c>
      <c r="G527" s="167">
        <v>1.9600829445308454</v>
      </c>
      <c r="H527" s="167">
        <v>1.9001547987616103</v>
      </c>
      <c r="I527" s="167">
        <v>1.8406627122110861</v>
      </c>
      <c r="J527" s="167">
        <v>2.0629525341914725</v>
      </c>
      <c r="K527" s="167">
        <v>2.0499907424551012</v>
      </c>
      <c r="L527" s="167">
        <v>2.0701914311759348</v>
      </c>
      <c r="M527" s="167">
        <v>2.0816326530612246</v>
      </c>
      <c r="N527" s="167">
        <v>2.1187884524372924</v>
      </c>
      <c r="O527" s="167">
        <v>1.951123683796951</v>
      </c>
      <c r="P527" s="167">
        <v>2.0534539473684208</v>
      </c>
      <c r="Q527" s="167">
        <v>2.1528143412310392</v>
      </c>
      <c r="R527" s="167">
        <v>1.9052178075634276</v>
      </c>
      <c r="S527" s="167">
        <v>1.8813718336286875</v>
      </c>
      <c r="T527" s="167">
        <v>1.800901408450704</v>
      </c>
      <c r="U527" s="164">
        <f t="shared" si="111"/>
        <v>-0.24908933400439714</v>
      </c>
      <c r="V527" s="164">
        <f t="shared" si="112"/>
        <v>-0.25255253891771678</v>
      </c>
      <c r="W527" s="164">
        <f t="shared" si="113"/>
        <v>-8.0470425177983529E-2</v>
      </c>
    </row>
    <row r="528" spans="1:24" ht="15" customHeight="1" x14ac:dyDescent="0.2">
      <c r="A528" s="34" t="s">
        <v>71</v>
      </c>
      <c r="B528" s="29" t="s">
        <v>384</v>
      </c>
      <c r="C528" s="167">
        <v>5.6951939291736924</v>
      </c>
      <c r="D528" s="167">
        <v>5.7018460466736327</v>
      </c>
      <c r="E528" s="167">
        <v>5.4300368227248814</v>
      </c>
      <c r="F528" s="167">
        <v>5.8190615835777129</v>
      </c>
      <c r="G528" s="167">
        <v>5.6537693459810283</v>
      </c>
      <c r="H528" s="167">
        <v>5.5169223277331385</v>
      </c>
      <c r="I528" s="167">
        <v>5.5230028873917227</v>
      </c>
      <c r="J528" s="167">
        <v>5.6819794584500469</v>
      </c>
      <c r="K528" s="167">
        <v>5.6581824699766985</v>
      </c>
      <c r="L528" s="167">
        <v>5.5492364402317005</v>
      </c>
      <c r="M528" s="167">
        <v>5.6568077511473742</v>
      </c>
      <c r="N528" s="167">
        <v>5.8005373794847479</v>
      </c>
      <c r="O528" s="167">
        <v>5.7233665915674283</v>
      </c>
      <c r="P528" s="167">
        <v>5.6908661151443525</v>
      </c>
      <c r="Q528" s="167">
        <v>5.8919689119170986</v>
      </c>
      <c r="R528" s="167">
        <v>5.5336134453781511</v>
      </c>
      <c r="S528" s="167">
        <v>5.5496573479821603</v>
      </c>
      <c r="T528" s="167">
        <v>5.4783996352445001</v>
      </c>
      <c r="U528" s="164">
        <f t="shared" si="111"/>
        <v>-0.17978283473219836</v>
      </c>
      <c r="V528" s="164">
        <f t="shared" si="112"/>
        <v>-0.21246647989985235</v>
      </c>
      <c r="W528" s="164">
        <f t="shared" si="113"/>
        <v>-7.1257712737660128E-2</v>
      </c>
    </row>
    <row r="529" spans="1:23" ht="15" customHeight="1" x14ac:dyDescent="0.2">
      <c r="A529" s="34"/>
      <c r="B529" s="29" t="s">
        <v>531</v>
      </c>
      <c r="C529" s="167">
        <v>1.7980607082630686</v>
      </c>
      <c r="D529" s="167">
        <v>1.8599791013584115</v>
      </c>
      <c r="E529" s="167">
        <v>1.6204629142556546</v>
      </c>
      <c r="F529" s="167">
        <v>1.7991202346041062</v>
      </c>
      <c r="G529" s="167">
        <v>1.8614578132800799</v>
      </c>
      <c r="H529" s="167">
        <v>1.7638178719259798</v>
      </c>
      <c r="I529" s="167">
        <v>1.7543792107795957</v>
      </c>
      <c r="J529" s="167">
        <v>1.9559290382819796</v>
      </c>
      <c r="K529" s="167">
        <v>1.835633626097867</v>
      </c>
      <c r="L529" s="167">
        <v>1.8248200807442512</v>
      </c>
      <c r="M529" s="167">
        <v>1.8842427332993377</v>
      </c>
      <c r="N529" s="167">
        <v>1.9984194721036825</v>
      </c>
      <c r="O529" s="167">
        <v>1.9324106855487608</v>
      </c>
      <c r="P529" s="167">
        <v>1.9932466655411107</v>
      </c>
      <c r="Q529" s="167">
        <v>2.1901554404145078</v>
      </c>
      <c r="R529" s="167">
        <v>1.8717850776674303</v>
      </c>
      <c r="S529" s="167">
        <v>1.9035135429130858</v>
      </c>
      <c r="T529" s="167">
        <v>1.8232075686766214</v>
      </c>
      <c r="U529" s="164">
        <f t="shared" si="111"/>
        <v>-1.2426057421245584E-2</v>
      </c>
      <c r="V529" s="164">
        <f t="shared" si="112"/>
        <v>-0.17003909686448937</v>
      </c>
      <c r="W529" s="164">
        <f t="shared" si="113"/>
        <v>-8.0305974236464461E-2</v>
      </c>
    </row>
    <row r="530" spans="1:23" ht="15" customHeight="1" x14ac:dyDescent="0.2">
      <c r="A530" s="42" t="s">
        <v>0</v>
      </c>
      <c r="B530" s="42" t="s">
        <v>384</v>
      </c>
      <c r="C530" s="166">
        <v>6.247247486835807</v>
      </c>
      <c r="D530" s="166">
        <v>6.0860545524394931</v>
      </c>
      <c r="E530" s="166">
        <v>5.8530020703933747</v>
      </c>
      <c r="F530" s="166">
        <v>6.2402251184834121</v>
      </c>
      <c r="G530" s="167">
        <v>6.0793020457280385</v>
      </c>
      <c r="H530" s="166">
        <v>6.0130726651748914</v>
      </c>
      <c r="I530" s="166">
        <v>5.9220412390547033</v>
      </c>
      <c r="J530" s="166">
        <v>6.1039667896678971</v>
      </c>
      <c r="K530" s="166">
        <v>6.1285998443310561</v>
      </c>
      <c r="L530" s="166">
        <v>6.0718943178931326</v>
      </c>
      <c r="M530" s="166">
        <v>6.1154282933160289</v>
      </c>
      <c r="N530" s="166">
        <v>6.2435897435897436</v>
      </c>
      <c r="O530" s="166">
        <v>6.1179644757550777</v>
      </c>
      <c r="P530" s="166">
        <v>6.133129123468426</v>
      </c>
      <c r="Q530" s="166">
        <v>6.2388168262819734</v>
      </c>
      <c r="R530" s="166">
        <v>5.9091069330199764</v>
      </c>
      <c r="S530" s="166">
        <v>5.9025750202757505</v>
      </c>
      <c r="T530" s="166">
        <v>5.8497376030845025</v>
      </c>
      <c r="U530" s="165">
        <f t="shared" si="111"/>
        <v>-0.27886224124655357</v>
      </c>
      <c r="V530" s="165">
        <f t="shared" si="112"/>
        <v>-0.28339152038392346</v>
      </c>
      <c r="W530" s="165">
        <f t="shared" si="113"/>
        <v>-5.2837417191248015E-2</v>
      </c>
    </row>
    <row r="531" spans="1:23" ht="15" customHeight="1" x14ac:dyDescent="0.2">
      <c r="A531" s="42"/>
      <c r="B531" s="42" t="s">
        <v>531</v>
      </c>
      <c r="C531" s="166">
        <v>2.0818573480134042</v>
      </c>
      <c r="D531" s="166">
        <v>2.0664617748751439</v>
      </c>
      <c r="E531" s="166">
        <v>1.8263630089717049</v>
      </c>
      <c r="F531" s="166">
        <v>1.9454976303317535</v>
      </c>
      <c r="G531" s="167">
        <v>2.0226233453670277</v>
      </c>
      <c r="H531" s="166">
        <v>1.974207984925215</v>
      </c>
      <c r="I531" s="166">
        <v>1.9025515488183791</v>
      </c>
      <c r="J531" s="166">
        <v>2.1045202952029523</v>
      </c>
      <c r="K531" s="166">
        <v>2.0543976476692904</v>
      </c>
      <c r="L531" s="166">
        <v>2.0735879414006271</v>
      </c>
      <c r="M531" s="166">
        <v>2.0883354964308891</v>
      </c>
      <c r="N531" s="166">
        <v>2.1767292784734646</v>
      </c>
      <c r="O531" s="166">
        <v>2.0589072922131457</v>
      </c>
      <c r="P531" s="166">
        <v>2.1397266729500473</v>
      </c>
      <c r="Q531" s="166">
        <v>2.286095284276882</v>
      </c>
      <c r="R531" s="166">
        <v>2.0045828437132784</v>
      </c>
      <c r="S531" s="166">
        <v>2.0123175182481754</v>
      </c>
      <c r="T531" s="166">
        <v>1.9410410195994432</v>
      </c>
      <c r="U531" s="165">
        <f t="shared" si="111"/>
        <v>-0.11335662806984725</v>
      </c>
      <c r="V531" s="165">
        <f t="shared" si="112"/>
        <v>-0.19868565335060406</v>
      </c>
      <c r="W531" s="165">
        <f t="shared" si="113"/>
        <v>-7.1276498648732201E-2</v>
      </c>
    </row>
    <row r="532" spans="1:23" ht="15" customHeight="1" x14ac:dyDescent="0.2">
      <c r="C532" s="67"/>
      <c r="D532" s="67"/>
      <c r="E532" s="67"/>
      <c r="F532" s="67"/>
      <c r="G532" s="67"/>
      <c r="H532" s="67"/>
      <c r="I532" s="67"/>
      <c r="J532" s="67"/>
      <c r="K532" s="67"/>
      <c r="L532" s="67"/>
      <c r="M532" s="67"/>
      <c r="N532" s="67"/>
      <c r="O532" s="67"/>
      <c r="P532" s="141"/>
      <c r="Q532" s="141"/>
      <c r="R532" s="141"/>
      <c r="S532" s="141"/>
      <c r="T532" s="141"/>
    </row>
    <row r="533" spans="1:23" ht="15" customHeight="1" x14ac:dyDescent="0.2">
      <c r="A533" s="35" t="s">
        <v>540</v>
      </c>
      <c r="B533" s="35"/>
      <c r="C533" s="41"/>
      <c r="D533" s="41"/>
      <c r="E533" s="41"/>
      <c r="F533" s="41"/>
      <c r="G533" s="41"/>
      <c r="H533" s="41"/>
      <c r="I533" s="41"/>
      <c r="J533" s="41"/>
      <c r="K533" s="41"/>
      <c r="L533" s="41"/>
      <c r="M533" s="41"/>
      <c r="N533" s="41"/>
      <c r="O533" s="41"/>
      <c r="P533" s="41"/>
      <c r="Q533" s="41"/>
      <c r="R533" s="41"/>
      <c r="S533" s="41"/>
      <c r="T533" s="41"/>
      <c r="U533" s="65"/>
      <c r="V533" s="65"/>
      <c r="W533" s="65"/>
    </row>
    <row r="534" spans="1:23" ht="45" customHeight="1" x14ac:dyDescent="0.2">
      <c r="A534" s="36" t="s">
        <v>372</v>
      </c>
      <c r="B534" s="147" t="s">
        <v>530</v>
      </c>
      <c r="C534" s="15">
        <v>2007</v>
      </c>
      <c r="D534" s="15">
        <v>2008</v>
      </c>
      <c r="E534" s="15">
        <v>2009</v>
      </c>
      <c r="F534" s="15">
        <v>2010</v>
      </c>
      <c r="G534" s="15">
        <v>2011</v>
      </c>
      <c r="H534" s="15">
        <v>2012</v>
      </c>
      <c r="I534" s="15">
        <v>2013</v>
      </c>
      <c r="J534" s="15">
        <v>2014</v>
      </c>
      <c r="K534" s="15">
        <v>2015</v>
      </c>
      <c r="L534" s="15">
        <v>2016</v>
      </c>
      <c r="M534" s="15">
        <v>2017</v>
      </c>
      <c r="N534" s="15">
        <v>2018</v>
      </c>
      <c r="O534" s="15">
        <v>2019</v>
      </c>
      <c r="P534" s="15">
        <v>2020</v>
      </c>
      <c r="Q534" s="15">
        <v>2021</v>
      </c>
      <c r="R534" s="15">
        <v>2022</v>
      </c>
      <c r="S534" s="15">
        <v>2023</v>
      </c>
      <c r="T534" s="15">
        <v>2024</v>
      </c>
      <c r="U534" s="27" t="s">
        <v>469</v>
      </c>
      <c r="V534" s="27" t="s">
        <v>470</v>
      </c>
      <c r="W534" s="27" t="s">
        <v>471</v>
      </c>
    </row>
    <row r="535" spans="1:23" ht="15" customHeight="1" x14ac:dyDescent="0.2">
      <c r="A535" s="33" t="s">
        <v>323</v>
      </c>
      <c r="B535" s="42" t="s">
        <v>384</v>
      </c>
      <c r="C535" s="168">
        <v>7</v>
      </c>
      <c r="D535" s="168">
        <v>6.532974427994616</v>
      </c>
      <c r="E535" s="168">
        <v>6.9431524547803614</v>
      </c>
      <c r="F535" s="168">
        <v>7.4032608695652167</v>
      </c>
      <c r="G535" s="168">
        <v>7.3693251533742332</v>
      </c>
      <c r="H535" s="168">
        <v>7.205231388329981</v>
      </c>
      <c r="I535" s="168">
        <v>7.285593220338983</v>
      </c>
      <c r="J535" s="168">
        <v>7.1066030230708019</v>
      </c>
      <c r="K535" s="168">
        <v>7.0569620253164569</v>
      </c>
      <c r="L535" s="168">
        <v>7.0812127774769884</v>
      </c>
      <c r="M535" s="168">
        <v>7.0187651331719119</v>
      </c>
      <c r="N535" s="168">
        <v>7.0593499764484218</v>
      </c>
      <c r="O535" s="168">
        <v>6.9950174389636279</v>
      </c>
      <c r="P535" s="168">
        <v>7.1205496564647071</v>
      </c>
      <c r="Q535" s="168">
        <v>7.1368715083798886</v>
      </c>
      <c r="R535" s="168">
        <v>7.1172349369453523</v>
      </c>
      <c r="S535" s="168">
        <v>7.1426181514010878</v>
      </c>
      <c r="T535" s="168">
        <v>7.0595026642984005</v>
      </c>
      <c r="U535" s="165">
        <f>IFERROR((T535-K535),"n/a")</f>
        <v>2.540638981943566E-3</v>
      </c>
      <c r="V535" s="165">
        <f t="shared" ref="V535:V554" si="114">IFERROR((T535-P535),"n/a")</f>
        <v>-6.1046992166306602E-2</v>
      </c>
      <c r="W535" s="165">
        <f t="shared" ref="W535:W554" si="115">IFERROR((T535-S535),"n/a")</f>
        <v>-8.3115487102687347E-2</v>
      </c>
    </row>
    <row r="536" spans="1:23" ht="15" customHeight="1" x14ac:dyDescent="0.2">
      <c r="A536" s="33"/>
      <c r="B536" s="42" t="s">
        <v>531</v>
      </c>
      <c r="C536" s="168">
        <v>1.9605263157894735</v>
      </c>
      <c r="D536" s="168">
        <v>1.7415881561238216</v>
      </c>
      <c r="E536" s="168">
        <v>1.57235142118863</v>
      </c>
      <c r="F536" s="168">
        <v>2.0413043478260864</v>
      </c>
      <c r="G536" s="168">
        <v>2.095705521472393</v>
      </c>
      <c r="H536" s="168">
        <v>1.8873239436619729</v>
      </c>
      <c r="I536" s="168">
        <v>2.0152542372881355</v>
      </c>
      <c r="J536" s="168">
        <v>1.8870326173428786</v>
      </c>
      <c r="K536" s="168">
        <v>1.8066104078762315</v>
      </c>
      <c r="L536" s="168">
        <v>1.7753113156469942</v>
      </c>
      <c r="M536" s="168">
        <v>1.7857142857142847</v>
      </c>
      <c r="N536" s="168">
        <v>1.7847385774846911</v>
      </c>
      <c r="O536" s="168">
        <v>1.5974090682610864</v>
      </c>
      <c r="P536" s="168">
        <v>1.652717051842596</v>
      </c>
      <c r="Q536" s="168">
        <v>1.7659217877094973</v>
      </c>
      <c r="R536" s="168">
        <v>1.7716020551144318</v>
      </c>
      <c r="S536" s="168">
        <v>1.7691342534504395</v>
      </c>
      <c r="T536" s="168">
        <v>1.6736234458259318</v>
      </c>
      <c r="U536" s="165">
        <f t="shared" ref="U536:U554" si="116">IFERROR((T536-K536),"n/a")</f>
        <v>-0.1329869620502997</v>
      </c>
      <c r="V536" s="165">
        <f t="shared" si="114"/>
        <v>2.0906393983335825E-2</v>
      </c>
      <c r="W536" s="165">
        <f t="shared" si="115"/>
        <v>-9.5510807624507699E-2</v>
      </c>
    </row>
    <row r="537" spans="1:23" ht="15" customHeight="1" x14ac:dyDescent="0.2">
      <c r="A537" s="34" t="s">
        <v>72</v>
      </c>
      <c r="B537" s="29" t="s">
        <v>384</v>
      </c>
      <c r="C537" s="167">
        <v>6.9805447470817121</v>
      </c>
      <c r="D537" s="167">
        <v>6.1475</v>
      </c>
      <c r="E537" s="167">
        <v>6.8934010152284237</v>
      </c>
      <c r="F537" s="167">
        <v>7.3419811320754693</v>
      </c>
      <c r="G537" s="167">
        <v>7.0881612090680104</v>
      </c>
      <c r="H537" s="167">
        <v>7.0196078431372548</v>
      </c>
      <c r="I537" s="167">
        <v>7.0993150684931505</v>
      </c>
      <c r="J537" s="167">
        <v>7.0064935064935066</v>
      </c>
      <c r="K537" s="167">
        <v>6.8323782234957022</v>
      </c>
      <c r="L537" s="167">
        <v>6.9638682252922406</v>
      </c>
      <c r="M537" s="167">
        <v>6.9785794813979729</v>
      </c>
      <c r="N537" s="167">
        <v>7.0472589792060489</v>
      </c>
      <c r="O537" s="167">
        <v>6.8870967741935454</v>
      </c>
      <c r="P537" s="167">
        <v>7.1649746192893424</v>
      </c>
      <c r="Q537" s="167">
        <v>7.0844155844155843</v>
      </c>
      <c r="R537" s="167">
        <v>6.9632286995515695</v>
      </c>
      <c r="S537" s="167">
        <v>7.015923566878981</v>
      </c>
      <c r="T537" s="167">
        <v>7.0392156862745097</v>
      </c>
      <c r="U537" s="164">
        <f t="shared" si="116"/>
        <v>0.20683746277880743</v>
      </c>
      <c r="V537" s="164">
        <f t="shared" si="114"/>
        <v>-0.12575893301483276</v>
      </c>
      <c r="W537" s="164">
        <f t="shared" si="115"/>
        <v>2.3292119395528665E-2</v>
      </c>
    </row>
    <row r="538" spans="1:23" ht="15" customHeight="1" x14ac:dyDescent="0.2">
      <c r="A538" s="34"/>
      <c r="B538" s="29" t="s">
        <v>531</v>
      </c>
      <c r="C538" s="167">
        <v>2.0778210116731515</v>
      </c>
      <c r="D538" s="167">
        <v>1.6550000000000002</v>
      </c>
      <c r="E538" s="167">
        <v>1.6598984771573582</v>
      </c>
      <c r="F538" s="167">
        <v>2.1933962264150919</v>
      </c>
      <c r="G538" s="167">
        <v>2.0629722921914357</v>
      </c>
      <c r="H538" s="167">
        <v>1.8322440087145972</v>
      </c>
      <c r="I538" s="167">
        <v>1.9880136986301364</v>
      </c>
      <c r="J538" s="167">
        <v>1.9577922077922079</v>
      </c>
      <c r="K538" s="167">
        <v>1.7621776504297992</v>
      </c>
      <c r="L538" s="167">
        <v>1.8310308182784256</v>
      </c>
      <c r="M538" s="167">
        <v>1.8804960541149969</v>
      </c>
      <c r="N538" s="167">
        <v>1.9045368620037806</v>
      </c>
      <c r="O538" s="167">
        <v>1.6148007590132796</v>
      </c>
      <c r="P538" s="167">
        <v>1.7817258883248757</v>
      </c>
      <c r="Q538" s="167">
        <v>1.8376623376623371</v>
      </c>
      <c r="R538" s="167">
        <v>1.7488789237668163</v>
      </c>
      <c r="S538" s="167">
        <v>1.7571656050955413</v>
      </c>
      <c r="T538" s="167">
        <v>1.71696504688832</v>
      </c>
      <c r="U538" s="164">
        <f t="shared" si="116"/>
        <v>-4.5212603541479268E-2</v>
      </c>
      <c r="V538" s="164">
        <f t="shared" si="114"/>
        <v>-6.4760841436555694E-2</v>
      </c>
      <c r="W538" s="164">
        <f t="shared" si="115"/>
        <v>-4.0200558207221349E-2</v>
      </c>
    </row>
    <row r="539" spans="1:23" ht="15" customHeight="1" x14ac:dyDescent="0.2">
      <c r="A539" s="34" t="s">
        <v>71</v>
      </c>
      <c r="B539" s="29" t="s">
        <v>384</v>
      </c>
      <c r="C539" s="167">
        <v>7.0142450142450139</v>
      </c>
      <c r="D539" s="167">
        <v>6.9825072886297379</v>
      </c>
      <c r="E539" s="167">
        <v>6.9947368421052634</v>
      </c>
      <c r="F539" s="167">
        <v>7.4556451612903238</v>
      </c>
      <c r="G539" s="167">
        <v>7.6363636363636367</v>
      </c>
      <c r="H539" s="167">
        <v>7.3644859813084125</v>
      </c>
      <c r="I539" s="167">
        <v>7.4681208053691277</v>
      </c>
      <c r="J539" s="167">
        <v>7.2028081123244947</v>
      </c>
      <c r="K539" s="167">
        <v>7.2734806629834239</v>
      </c>
      <c r="L539" s="167">
        <v>7.2030905077262712</v>
      </c>
      <c r="M539" s="167">
        <v>7.0653594771241828</v>
      </c>
      <c r="N539" s="167">
        <v>7.0713615023474183</v>
      </c>
      <c r="O539" s="167">
        <v>7.1143756558237161</v>
      </c>
      <c r="P539" s="167">
        <v>7.0774907749077487</v>
      </c>
      <c r="Q539" s="167">
        <v>7.1928406466512698</v>
      </c>
      <c r="R539" s="167">
        <v>7.2846003898635479</v>
      </c>
      <c r="S539" s="167">
        <v>7.2828193832599117</v>
      </c>
      <c r="T539" s="167">
        <v>7.0815569972196482</v>
      </c>
      <c r="U539" s="164">
        <f t="shared" si="116"/>
        <v>-0.19192366576377573</v>
      </c>
      <c r="V539" s="164">
        <f t="shared" si="114"/>
        <v>4.0662223118994589E-3</v>
      </c>
      <c r="W539" s="164">
        <f t="shared" si="115"/>
        <v>-0.20126238604026359</v>
      </c>
    </row>
    <row r="540" spans="1:23" ht="15" customHeight="1" x14ac:dyDescent="0.2">
      <c r="A540" s="34"/>
      <c r="B540" s="29" t="s">
        <v>531</v>
      </c>
      <c r="C540" s="167">
        <v>1.8746438746438745</v>
      </c>
      <c r="D540" s="167">
        <v>1.8425655976676385</v>
      </c>
      <c r="E540" s="167">
        <v>1.4815789473684209</v>
      </c>
      <c r="F540" s="167">
        <v>1.9112903225806468</v>
      </c>
      <c r="G540" s="167">
        <v>2.1267942583732058</v>
      </c>
      <c r="H540" s="167">
        <v>1.9345794392523379</v>
      </c>
      <c r="I540" s="167">
        <v>2.0419463087248326</v>
      </c>
      <c r="J540" s="167">
        <v>1.8190327613104538</v>
      </c>
      <c r="K540" s="167">
        <v>1.8494475138121533</v>
      </c>
      <c r="L540" s="167">
        <v>1.7174392935982361</v>
      </c>
      <c r="M540" s="167">
        <v>1.6758169934640517</v>
      </c>
      <c r="N540" s="167">
        <v>1.6657276995305166</v>
      </c>
      <c r="O540" s="167">
        <v>1.578174186778595</v>
      </c>
      <c r="P540" s="167">
        <v>1.5276752767527668</v>
      </c>
      <c r="Q540" s="167">
        <v>1.6893764434180136</v>
      </c>
      <c r="R540" s="167">
        <v>1.7962962962962967</v>
      </c>
      <c r="S540" s="167">
        <v>1.7823788546255503</v>
      </c>
      <c r="T540" s="167">
        <v>1.6265060240963862</v>
      </c>
      <c r="U540" s="164">
        <f t="shared" si="116"/>
        <v>-0.2229414897157671</v>
      </c>
      <c r="V540" s="164">
        <f t="shared" si="114"/>
        <v>9.8830747343619407E-2</v>
      </c>
      <c r="W540" s="164">
        <f t="shared" si="115"/>
        <v>-0.15587283052916412</v>
      </c>
    </row>
    <row r="541" spans="1:23" ht="15" customHeight="1" x14ac:dyDescent="0.2">
      <c r="A541" s="33" t="s">
        <v>82</v>
      </c>
      <c r="B541" s="42" t="s">
        <v>384</v>
      </c>
      <c r="C541" s="168">
        <v>3.5905349794238681</v>
      </c>
      <c r="D541" s="168">
        <v>3.4692343823391263</v>
      </c>
      <c r="E541" s="168">
        <v>3.4947981689554721</v>
      </c>
      <c r="F541" s="168">
        <v>3.5852731591448932</v>
      </c>
      <c r="G541" s="178">
        <v>3.3425925925925934</v>
      </c>
      <c r="H541" s="168">
        <v>3.7586384734399174</v>
      </c>
      <c r="I541" s="168">
        <v>3.2635861668119732</v>
      </c>
      <c r="J541" s="168">
        <v>3.2302955665024631</v>
      </c>
      <c r="K541" s="168">
        <v>3.4396</v>
      </c>
      <c r="L541" s="168">
        <v>4.338082075271104</v>
      </c>
      <c r="M541" s="168">
        <v>3.6306888068880689</v>
      </c>
      <c r="N541" s="168">
        <v>3.8158205430932703</v>
      </c>
      <c r="O541" s="168">
        <v>3.9361769352290681</v>
      </c>
      <c r="P541" s="168">
        <v>3.7095571095571094</v>
      </c>
      <c r="Q541" s="168">
        <v>3.406816088424931</v>
      </c>
      <c r="R541" s="168">
        <v>3.5730530668504481</v>
      </c>
      <c r="S541" s="168">
        <v>3.5098559514783929</v>
      </c>
      <c r="T541" s="168">
        <v>3.4592145015105742</v>
      </c>
      <c r="U541" s="165">
        <f t="shared" si="116"/>
        <v>1.96145015105742E-2</v>
      </c>
      <c r="V541" s="165">
        <f t="shared" si="114"/>
        <v>-0.25034260804653519</v>
      </c>
      <c r="W541" s="165">
        <f t="shared" si="115"/>
        <v>-5.0641449967818719E-2</v>
      </c>
    </row>
    <row r="542" spans="1:23" ht="15" customHeight="1" x14ac:dyDescent="0.2">
      <c r="A542" s="33"/>
      <c r="B542" s="42" t="s">
        <v>531</v>
      </c>
      <c r="C542" s="168">
        <v>1.0973936899862822</v>
      </c>
      <c r="D542" s="168">
        <v>1.0558947862846404</v>
      </c>
      <c r="E542" s="168">
        <v>1.2209737827715355</v>
      </c>
      <c r="F542" s="168">
        <v>1.0152019002375297</v>
      </c>
      <c r="G542" s="178">
        <v>0.87927350427350515</v>
      </c>
      <c r="H542" s="168">
        <v>1.2212480660134091</v>
      </c>
      <c r="I542" s="168">
        <v>0.87590816623074685</v>
      </c>
      <c r="J542" s="168">
        <v>0.93041871921182251</v>
      </c>
      <c r="K542" s="168">
        <v>1.3180000000000001</v>
      </c>
      <c r="L542" s="168">
        <v>1.1177971507548379</v>
      </c>
      <c r="M542" s="168">
        <v>0.89698646986469877</v>
      </c>
      <c r="N542" s="168">
        <v>1.168044077134986</v>
      </c>
      <c r="O542" s="168">
        <v>1.1763033175355453</v>
      </c>
      <c r="P542" s="168">
        <v>0.82564102564102537</v>
      </c>
      <c r="Q542" s="168">
        <v>0.65305495855081386</v>
      </c>
      <c r="R542" s="168">
        <v>1.0392832529290148</v>
      </c>
      <c r="S542" s="168">
        <v>1.0564821834723279</v>
      </c>
      <c r="T542" s="168">
        <v>1.0681916271040142</v>
      </c>
      <c r="U542" s="165">
        <f t="shared" si="116"/>
        <v>-0.2498083728959859</v>
      </c>
      <c r="V542" s="165">
        <f t="shared" si="114"/>
        <v>0.24255060146298879</v>
      </c>
      <c r="W542" s="165">
        <f t="shared" si="115"/>
        <v>1.1709443631686245E-2</v>
      </c>
    </row>
    <row r="543" spans="1:23" ht="15" customHeight="1" x14ac:dyDescent="0.2">
      <c r="A543" s="34" t="s">
        <v>72</v>
      </c>
      <c r="B543" s="29" t="s">
        <v>384</v>
      </c>
      <c r="C543" s="167">
        <v>3.7198905109489049</v>
      </c>
      <c r="D543" s="167">
        <v>3.5329890992541597</v>
      </c>
      <c r="E543" s="167">
        <v>3.537117903930131</v>
      </c>
      <c r="F543" s="167">
        <v>3.747736093143597</v>
      </c>
      <c r="G543" s="167">
        <v>3.4333800841514726</v>
      </c>
      <c r="H543" s="167">
        <v>3.784563758389262</v>
      </c>
      <c r="I543" s="167">
        <v>3.2765877489665547</v>
      </c>
      <c r="J543" s="167">
        <v>3.2756842522808411</v>
      </c>
      <c r="K543" s="167">
        <v>3.441926345609065</v>
      </c>
      <c r="L543" s="167">
        <v>4.4572304263025915</v>
      </c>
      <c r="M543" s="167">
        <v>3.718152866242038</v>
      </c>
      <c r="N543" s="167">
        <v>3.8620342396777443</v>
      </c>
      <c r="O543" s="167">
        <v>4.0539867109634553</v>
      </c>
      <c r="P543" s="167">
        <v>3.7140420693575886</v>
      </c>
      <c r="Q543" s="167">
        <v>3.4423300970873778</v>
      </c>
      <c r="R543" s="167">
        <v>3.6032739528165618</v>
      </c>
      <c r="S543" s="167">
        <v>3.5232198142414854</v>
      </c>
      <c r="T543" s="167">
        <v>3.4611338398597313</v>
      </c>
      <c r="U543" s="164">
        <f t="shared" si="116"/>
        <v>1.9207494250666368E-2</v>
      </c>
      <c r="V543" s="164">
        <f t="shared" si="114"/>
        <v>-0.2529082294978573</v>
      </c>
      <c r="W543" s="164">
        <f t="shared" si="115"/>
        <v>-6.2085974381754117E-2</v>
      </c>
    </row>
    <row r="544" spans="1:23" ht="15" customHeight="1" x14ac:dyDescent="0.2">
      <c r="A544" s="34"/>
      <c r="B544" s="29" t="s">
        <v>531</v>
      </c>
      <c r="C544" s="167">
        <v>1.1377737226277369</v>
      </c>
      <c r="D544" s="167">
        <v>1.1101549053356283</v>
      </c>
      <c r="E544" s="167">
        <v>1.2161572052401746</v>
      </c>
      <c r="F544" s="167">
        <v>1.1041397153945671</v>
      </c>
      <c r="G544" s="167">
        <v>0.94717157550257136</v>
      </c>
      <c r="H544" s="167">
        <v>1.2281879194630876</v>
      </c>
      <c r="I544" s="167">
        <v>0.86734310409620541</v>
      </c>
      <c r="J544" s="167">
        <v>0.95914319714399054</v>
      </c>
      <c r="K544" s="167">
        <v>1.3410764872521246</v>
      </c>
      <c r="L544" s="167">
        <v>1.16829200334355</v>
      </c>
      <c r="M544" s="167">
        <v>0.9191878980891719</v>
      </c>
      <c r="N544" s="167">
        <v>1.1701913393756294</v>
      </c>
      <c r="O544" s="167">
        <v>1.1922757475083059</v>
      </c>
      <c r="P544" s="167">
        <v>0.76861853325753193</v>
      </c>
      <c r="Q544" s="167">
        <v>0.61902912621359141</v>
      </c>
      <c r="R544" s="167">
        <v>0.94848338950409206</v>
      </c>
      <c r="S544" s="167">
        <v>1.0196078431372544</v>
      </c>
      <c r="T544" s="167">
        <v>1.0321449444769142</v>
      </c>
      <c r="U544" s="164">
        <f t="shared" si="116"/>
        <v>-0.3089315427752104</v>
      </c>
      <c r="V544" s="164">
        <f t="shared" si="114"/>
        <v>0.26352641121938225</v>
      </c>
      <c r="W544" s="164">
        <f t="shared" si="115"/>
        <v>1.2537101339659795E-2</v>
      </c>
    </row>
    <row r="545" spans="1:23" ht="15" customHeight="1" x14ac:dyDescent="0.2">
      <c r="A545" s="34" t="s">
        <v>71</v>
      </c>
      <c r="B545" s="29" t="s">
        <v>384</v>
      </c>
      <c r="C545" s="167">
        <v>3.1988950276243093</v>
      </c>
      <c r="D545" s="167">
        <v>3.1813471502590676</v>
      </c>
      <c r="E545" s="167">
        <v>3.3590192644483361</v>
      </c>
      <c r="F545" s="167">
        <v>3.1359570661896243</v>
      </c>
      <c r="G545" s="167">
        <v>3.0523168908819134</v>
      </c>
      <c r="H545" s="167">
        <v>3.6726057906458798</v>
      </c>
      <c r="I545" s="167">
        <v>3.2192307692307693</v>
      </c>
      <c r="J545" s="167">
        <v>3.0729023383768914</v>
      </c>
      <c r="K545" s="167">
        <v>3.434013605442177</v>
      </c>
      <c r="L545" s="167">
        <v>3.9542190305206462</v>
      </c>
      <c r="M545" s="167">
        <v>3.3337837837837836</v>
      </c>
      <c r="N545" s="167">
        <v>3.6504504504504505</v>
      </c>
      <c r="O545" s="167">
        <v>3.561426684280053</v>
      </c>
      <c r="P545" s="167">
        <v>3.6891191709844557</v>
      </c>
      <c r="Q545" s="167">
        <v>3.2727272727272729</v>
      </c>
      <c r="R545" s="167">
        <v>3.4969696969696971</v>
      </c>
      <c r="S545" s="167">
        <v>3.4728571428571429</v>
      </c>
      <c r="T545" s="167">
        <v>3.4537953795379539</v>
      </c>
      <c r="U545" s="164">
        <f t="shared" si="116"/>
        <v>1.9781774095776861E-2</v>
      </c>
      <c r="V545" s="164">
        <f t="shared" si="114"/>
        <v>-0.23532379144650184</v>
      </c>
      <c r="W545" s="164">
        <f t="shared" si="115"/>
        <v>-1.9061763319188962E-2</v>
      </c>
    </row>
    <row r="546" spans="1:23" ht="15" customHeight="1" x14ac:dyDescent="0.2">
      <c r="A546" s="34"/>
      <c r="B546" s="29" t="s">
        <v>531</v>
      </c>
      <c r="C546" s="167">
        <v>0.97513812154696122</v>
      </c>
      <c r="D546" s="167">
        <v>0.81088082901554426</v>
      </c>
      <c r="E546" s="167">
        <v>1.2364273204903675</v>
      </c>
      <c r="F546" s="167">
        <v>0.76923076923076916</v>
      </c>
      <c r="G546" s="167">
        <v>0.6621823617339313</v>
      </c>
      <c r="H546" s="167">
        <v>1.1982182628062361</v>
      </c>
      <c r="I546" s="167">
        <v>0.90512820512820502</v>
      </c>
      <c r="J546" s="167">
        <v>0.8308115543328749</v>
      </c>
      <c r="K546" s="167">
        <v>1.2625850340136058</v>
      </c>
      <c r="L546" s="167">
        <v>0.95511669658886866</v>
      </c>
      <c r="M546" s="167">
        <v>0.82162162162162122</v>
      </c>
      <c r="N546" s="167">
        <v>1.1603603603603605</v>
      </c>
      <c r="O546" s="167">
        <v>1.1254953764861297</v>
      </c>
      <c r="P546" s="167">
        <v>1.0854922279792745</v>
      </c>
      <c r="Q546" s="167">
        <v>0.7815249266862172</v>
      </c>
      <c r="R546" s="167">
        <v>1.267878787878788</v>
      </c>
      <c r="S546" s="167">
        <v>1.1585714285714284</v>
      </c>
      <c r="T546" s="167">
        <v>1.16996699669967</v>
      </c>
      <c r="U546" s="164">
        <f t="shared" si="116"/>
        <v>-9.2618037313935808E-2</v>
      </c>
      <c r="V546" s="164">
        <f t="shared" si="114"/>
        <v>8.4474768720395499E-2</v>
      </c>
      <c r="W546" s="164">
        <f t="shared" si="115"/>
        <v>1.1395568128241607E-2</v>
      </c>
    </row>
    <row r="547" spans="1:23" ht="15" customHeight="1" x14ac:dyDescent="0.2">
      <c r="A547" s="33" t="s">
        <v>84</v>
      </c>
      <c r="B547" s="42" t="s">
        <v>384</v>
      </c>
      <c r="C547" s="168">
        <v>2.4698067632850242</v>
      </c>
      <c r="D547" s="168">
        <v>2.4851794071762869</v>
      </c>
      <c r="E547" s="168">
        <v>2.566116720019699</v>
      </c>
      <c r="F547" s="168">
        <v>2.2611722434313948</v>
      </c>
      <c r="G547" s="178">
        <v>2.3733483272420579</v>
      </c>
      <c r="H547" s="168">
        <v>2.2752718485702781</v>
      </c>
      <c r="I547" s="168">
        <v>2.2667177914110428</v>
      </c>
      <c r="J547" s="168">
        <v>2.1913495338529727</v>
      </c>
      <c r="K547" s="168">
        <v>2.2940868655154367</v>
      </c>
      <c r="L547" s="168">
        <v>2.2158995815899583</v>
      </c>
      <c r="M547" s="168">
        <v>2.1955618714473109</v>
      </c>
      <c r="N547" s="168">
        <v>2.1274422735346357</v>
      </c>
      <c r="O547" s="168">
        <v>2.1386181977444432</v>
      </c>
      <c r="P547" s="168">
        <v>2.1273042616451932</v>
      </c>
      <c r="Q547" s="168">
        <v>2.2493014986029971</v>
      </c>
      <c r="R547" s="168">
        <v>2.2653174952339055</v>
      </c>
      <c r="S547" s="168">
        <v>2.2072139718560542</v>
      </c>
      <c r="T547" s="168">
        <v>1.9519096534911342</v>
      </c>
      <c r="U547" s="165">
        <f t="shared" si="116"/>
        <v>-0.34217721202430251</v>
      </c>
      <c r="V547" s="165">
        <f t="shared" si="114"/>
        <v>-0.17539460815405894</v>
      </c>
      <c r="W547" s="165">
        <f t="shared" si="115"/>
        <v>-0.25530431836491996</v>
      </c>
    </row>
    <row r="548" spans="1:23" ht="15" customHeight="1" x14ac:dyDescent="0.2">
      <c r="A548" s="33"/>
      <c r="B548" s="42" t="s">
        <v>531</v>
      </c>
      <c r="C548" s="168">
        <v>0.71376811594202905</v>
      </c>
      <c r="D548" s="168">
        <v>0.78876755070202798</v>
      </c>
      <c r="E548" s="168">
        <v>0.82910613149470525</v>
      </c>
      <c r="F548" s="168">
        <v>0.58949023130473854</v>
      </c>
      <c r="G548" s="178">
        <v>0.64014619061006472</v>
      </c>
      <c r="H548" s="168">
        <v>0.7209021345147002</v>
      </c>
      <c r="I548" s="168">
        <v>0.70567484662576674</v>
      </c>
      <c r="J548" s="168">
        <v>0.67568393703194252</v>
      </c>
      <c r="K548" s="168">
        <v>0.65672422815279941</v>
      </c>
      <c r="L548" s="168">
        <v>0.58279869827986985</v>
      </c>
      <c r="M548" s="168">
        <v>0.64352864013992117</v>
      </c>
      <c r="N548" s="168">
        <v>0.66366404465871587</v>
      </c>
      <c r="O548" s="168">
        <v>0.64726814847257197</v>
      </c>
      <c r="P548" s="168">
        <v>0.64846382556987114</v>
      </c>
      <c r="Q548" s="168">
        <v>0.78460756921513841</v>
      </c>
      <c r="R548" s="168">
        <v>0.77562692476902795</v>
      </c>
      <c r="S548" s="168">
        <v>0.70849324211580167</v>
      </c>
      <c r="T548" s="168">
        <v>0.56189444293959534</v>
      </c>
      <c r="U548" s="165">
        <f t="shared" si="116"/>
        <v>-9.4829785213204065E-2</v>
      </c>
      <c r="V548" s="165">
        <f t="shared" si="114"/>
        <v>-8.6569382630275804E-2</v>
      </c>
      <c r="W548" s="165">
        <f t="shared" si="115"/>
        <v>-0.14659879917620633</v>
      </c>
    </row>
    <row r="549" spans="1:23" ht="15" customHeight="1" x14ac:dyDescent="0.2">
      <c r="A549" s="34" t="s">
        <v>72</v>
      </c>
      <c r="B549" s="29" t="s">
        <v>384</v>
      </c>
      <c r="C549" s="167">
        <v>2.4896347482724579</v>
      </c>
      <c r="D549" s="167">
        <v>2.4521690767519466</v>
      </c>
      <c r="E549" s="167">
        <v>2.5527114967462041</v>
      </c>
      <c r="F549" s="167">
        <v>2.28665568369028</v>
      </c>
      <c r="G549" s="167">
        <v>2.3308092759110268</v>
      </c>
      <c r="H549" s="167">
        <v>2.3202545068928955</v>
      </c>
      <c r="I549" s="167">
        <v>2.2477553310886642</v>
      </c>
      <c r="J549" s="167">
        <v>2.1701058201058201</v>
      </c>
      <c r="K549" s="167">
        <v>2.2635918003565063</v>
      </c>
      <c r="L549" s="167">
        <v>2.2342506631299734</v>
      </c>
      <c r="M549" s="167">
        <v>2.1722805080066263</v>
      </c>
      <c r="N549" s="167">
        <v>2.1323436512950096</v>
      </c>
      <c r="O549" s="167">
        <v>2.1375410434148123</v>
      </c>
      <c r="P549" s="167">
        <v>2.1116416355586423</v>
      </c>
      <c r="Q549" s="167">
        <v>2.249787535410765</v>
      </c>
      <c r="R549" s="167">
        <v>2.2779096212795413</v>
      </c>
      <c r="S549" s="167">
        <v>2.1757151756193398</v>
      </c>
      <c r="T549" s="167">
        <v>1.9550534244175863</v>
      </c>
      <c r="U549" s="164">
        <f t="shared" si="116"/>
        <v>-0.30853837593891997</v>
      </c>
      <c r="V549" s="164">
        <f t="shared" si="114"/>
        <v>-0.15658821114105592</v>
      </c>
      <c r="W549" s="164">
        <f t="shared" si="115"/>
        <v>-0.22066175120175346</v>
      </c>
    </row>
    <row r="550" spans="1:23" ht="15" customHeight="1" x14ac:dyDescent="0.2">
      <c r="A550" s="34"/>
      <c r="B550" s="29" t="s">
        <v>531</v>
      </c>
      <c r="C550" s="167">
        <v>0.78479763079960496</v>
      </c>
      <c r="D550" s="167">
        <v>0.78476084538375979</v>
      </c>
      <c r="E550" s="167">
        <v>0.78741865509761411</v>
      </c>
      <c r="F550" s="167">
        <v>0.55889621087314656</v>
      </c>
      <c r="G550" s="167">
        <v>0.59583530525319439</v>
      </c>
      <c r="H550" s="167">
        <v>0.72145634499823297</v>
      </c>
      <c r="I550" s="167">
        <v>0.68462401795735106</v>
      </c>
      <c r="J550" s="167">
        <v>0.64576719576719577</v>
      </c>
      <c r="K550" s="167">
        <v>0.62522281639928701</v>
      </c>
      <c r="L550" s="167">
        <v>0.6080901856763925</v>
      </c>
      <c r="M550" s="167">
        <v>0.6037180195103995</v>
      </c>
      <c r="N550" s="167">
        <v>0.66129711518214362</v>
      </c>
      <c r="O550" s="167">
        <v>0.64228383801532307</v>
      </c>
      <c r="P550" s="167">
        <v>0.62956853893567155</v>
      </c>
      <c r="Q550" s="167">
        <v>0.78682719546742219</v>
      </c>
      <c r="R550" s="167">
        <v>0.79046771482250588</v>
      </c>
      <c r="S550" s="167">
        <v>0.68791029757055933</v>
      </c>
      <c r="T550" s="167">
        <v>0.56598353476966201</v>
      </c>
      <c r="U550" s="164">
        <f t="shared" si="116"/>
        <v>-5.9239281629624996E-2</v>
      </c>
      <c r="V550" s="164">
        <f t="shared" si="114"/>
        <v>-6.358500416600954E-2</v>
      </c>
      <c r="W550" s="164">
        <f t="shared" si="115"/>
        <v>-0.12192676280089731</v>
      </c>
    </row>
    <row r="551" spans="1:23" ht="15" customHeight="1" x14ac:dyDescent="0.2">
      <c r="A551" s="34" t="s">
        <v>71</v>
      </c>
      <c r="B551" s="29" t="s">
        <v>384</v>
      </c>
      <c r="C551" s="167">
        <v>2.4385692068429239</v>
      </c>
      <c r="D551" s="167">
        <v>2.527363184079602</v>
      </c>
      <c r="E551" s="167">
        <v>2.5837129840546695</v>
      </c>
      <c r="F551" s="167">
        <v>2.2306172839506173</v>
      </c>
      <c r="G551" s="167">
        <v>2.4355955678670358</v>
      </c>
      <c r="H551" s="167">
        <v>2.215722976134769</v>
      </c>
      <c r="I551" s="167">
        <v>2.2895805142083896</v>
      </c>
      <c r="J551" s="167">
        <v>2.220412595005429</v>
      </c>
      <c r="K551" s="167">
        <v>2.3374524714828899</v>
      </c>
      <c r="L551" s="167">
        <v>2.1924624179546899</v>
      </c>
      <c r="M551" s="167">
        <v>2.2296096904441454</v>
      </c>
      <c r="N551" s="167">
        <v>2.1200127673156719</v>
      </c>
      <c r="O551" s="167">
        <v>2.1402355519035878</v>
      </c>
      <c r="P551" s="167">
        <v>2.1481353192472001</v>
      </c>
      <c r="Q551" s="167">
        <v>2.2485792464744265</v>
      </c>
      <c r="R551" s="167">
        <v>2.2469536376090562</v>
      </c>
      <c r="S551" s="167">
        <v>2.2507953340402969</v>
      </c>
      <c r="T551" s="167">
        <v>1.9472953517071163</v>
      </c>
      <c r="U551" s="164">
        <f t="shared" si="116"/>
        <v>-0.39015711977577361</v>
      </c>
      <c r="V551" s="164">
        <f t="shared" si="114"/>
        <v>-0.20083996754008382</v>
      </c>
      <c r="W551" s="164">
        <f t="shared" si="115"/>
        <v>-0.30349998233318054</v>
      </c>
    </row>
    <row r="552" spans="1:23" ht="15" customHeight="1" x14ac:dyDescent="0.2">
      <c r="A552" s="34"/>
      <c r="B552" s="29" t="s">
        <v>531</v>
      </c>
      <c r="C552" s="167">
        <v>0.60186625194401255</v>
      </c>
      <c r="D552" s="167">
        <v>0.79388770433546552</v>
      </c>
      <c r="E552" s="167">
        <v>0.8838268792710704</v>
      </c>
      <c r="F552" s="167">
        <v>0.62617283950617297</v>
      </c>
      <c r="G552" s="167">
        <v>0.70498614958448735</v>
      </c>
      <c r="H552" s="167">
        <v>0.7201684604585874</v>
      </c>
      <c r="I552" s="167">
        <v>0.73105548037889023</v>
      </c>
      <c r="J552" s="167">
        <v>0.71661237785016296</v>
      </c>
      <c r="K552" s="167">
        <v>0.7015209125475288</v>
      </c>
      <c r="L552" s="167">
        <v>0.55049756510692371</v>
      </c>
      <c r="M552" s="167">
        <v>0.70174966352624502</v>
      </c>
      <c r="N552" s="167">
        <v>0.6672518353016279</v>
      </c>
      <c r="O552" s="167">
        <v>0.65475212270610772</v>
      </c>
      <c r="P552" s="167">
        <v>0.67359427317861686</v>
      </c>
      <c r="Q552" s="167">
        <v>0.78130919806356558</v>
      </c>
      <c r="R552" s="167">
        <v>0.75398370466508036</v>
      </c>
      <c r="S552" s="167">
        <v>0.73694326617179207</v>
      </c>
      <c r="T552" s="167">
        <v>0.55589263677498968</v>
      </c>
      <c r="U552" s="164">
        <f t="shared" si="116"/>
        <v>-0.14562827577253912</v>
      </c>
      <c r="V552" s="164">
        <f t="shared" si="114"/>
        <v>-0.11770163640362719</v>
      </c>
      <c r="W552" s="164">
        <f t="shared" si="115"/>
        <v>-0.18105062939680239</v>
      </c>
    </row>
    <row r="553" spans="1:23" ht="15" customHeight="1" x14ac:dyDescent="0.2">
      <c r="A553" s="42" t="s">
        <v>0</v>
      </c>
      <c r="B553" s="42" t="s">
        <v>384</v>
      </c>
      <c r="C553" s="166">
        <v>3.6488447071466954</v>
      </c>
      <c r="D553" s="166">
        <v>3.3248313312489715</v>
      </c>
      <c r="E553" s="166">
        <v>3.3424979276043105</v>
      </c>
      <c r="F553" s="166">
        <v>3.2665151109922439</v>
      </c>
      <c r="G553" s="178">
        <v>3.3194986072423398</v>
      </c>
      <c r="H553" s="166">
        <v>3.2597797189517661</v>
      </c>
      <c r="I553" s="166">
        <v>3.106184364060677</v>
      </c>
      <c r="J553" s="166">
        <v>3.0560282404055035</v>
      </c>
      <c r="K553" s="166">
        <v>3.1272695832612829</v>
      </c>
      <c r="L553" s="166">
        <v>3.3119329673504767</v>
      </c>
      <c r="M553" s="166">
        <v>3.0947196128664958</v>
      </c>
      <c r="N553" s="166">
        <v>2.8500097904836501</v>
      </c>
      <c r="O553" s="166">
        <v>2.7972096595272635</v>
      </c>
      <c r="P553" s="166">
        <v>2.6032767700409596</v>
      </c>
      <c r="Q553" s="166">
        <v>2.6859674212564095</v>
      </c>
      <c r="R553" s="166">
        <v>2.6277019776176607</v>
      </c>
      <c r="S553" s="166">
        <v>2.578964061775685</v>
      </c>
      <c r="T553" s="166">
        <v>2.2371865606331571</v>
      </c>
      <c r="U553" s="165">
        <f t="shared" si="116"/>
        <v>-0.89008302262812578</v>
      </c>
      <c r="V553" s="165">
        <f t="shared" si="114"/>
        <v>-0.36609020940780246</v>
      </c>
      <c r="W553" s="165">
        <f t="shared" si="115"/>
        <v>-0.34177750114252792</v>
      </c>
    </row>
    <row r="554" spans="1:23" ht="15" customHeight="1" x14ac:dyDescent="0.2">
      <c r="A554" s="42"/>
      <c r="B554" s="42" t="s">
        <v>531</v>
      </c>
      <c r="C554" s="166">
        <v>1.0677055346587858</v>
      </c>
      <c r="D554" s="166">
        <v>0.99884811584663469</v>
      </c>
      <c r="E554" s="166">
        <v>1.0386847195357833</v>
      </c>
      <c r="F554" s="166">
        <v>0.8879379513238832</v>
      </c>
      <c r="G554" s="178">
        <v>0.8988857938718664</v>
      </c>
      <c r="H554" s="166">
        <v>0.99050512723129502</v>
      </c>
      <c r="I554" s="166">
        <v>0.89695718517188805</v>
      </c>
      <c r="J554" s="166">
        <v>0.88839608979000761</v>
      </c>
      <c r="K554" s="166">
        <v>0.94103406536399792</v>
      </c>
      <c r="L554" s="166">
        <v>0.85547529615717988</v>
      </c>
      <c r="M554" s="166">
        <v>0.83646456020495297</v>
      </c>
      <c r="N554" s="166">
        <v>0.84291168983747822</v>
      </c>
      <c r="O554" s="166">
        <v>0.80006826521034236</v>
      </c>
      <c r="P554" s="166">
        <v>0.73154727075148362</v>
      </c>
      <c r="Q554" s="166">
        <v>0.83093236597021192</v>
      </c>
      <c r="R554" s="166">
        <v>0.84966017681026118</v>
      </c>
      <c r="S554" s="166">
        <v>0.79276355917730013</v>
      </c>
      <c r="T554" s="166">
        <v>0.63184429816217058</v>
      </c>
      <c r="U554" s="165">
        <f t="shared" si="116"/>
        <v>-0.30918976720182734</v>
      </c>
      <c r="V554" s="165">
        <f t="shared" si="114"/>
        <v>-9.9702972589313044E-2</v>
      </c>
      <c r="W554" s="165">
        <f t="shared" si="115"/>
        <v>-0.16091926101512954</v>
      </c>
    </row>
    <row r="555" spans="1:23" ht="15" customHeight="1" x14ac:dyDescent="0.2">
      <c r="C555" s="67"/>
      <c r="D555" s="67"/>
      <c r="E555" s="67"/>
      <c r="F555" s="67"/>
      <c r="G555" s="67"/>
      <c r="H555" s="67"/>
      <c r="I555" s="67"/>
      <c r="J555" s="67"/>
      <c r="K555" s="67"/>
      <c r="L555" s="67"/>
      <c r="M555" s="67"/>
      <c r="N555" s="67"/>
      <c r="O555" s="67"/>
      <c r="P555" s="141"/>
      <c r="Q555" s="141"/>
      <c r="R555" s="141"/>
      <c r="S555" s="141"/>
      <c r="T555" s="141"/>
    </row>
    <row r="556" spans="1:23" ht="15" customHeight="1" x14ac:dyDescent="0.2">
      <c r="A556" s="122" t="s">
        <v>112</v>
      </c>
      <c r="B556" s="122"/>
      <c r="C556" s="70"/>
      <c r="D556" s="70"/>
      <c r="E556" s="70"/>
      <c r="F556" s="70"/>
      <c r="G556" s="70"/>
      <c r="H556" s="70"/>
      <c r="I556" s="70"/>
      <c r="J556" s="70"/>
      <c r="K556" s="70"/>
      <c r="L556" s="70"/>
      <c r="M556" s="70"/>
      <c r="N556" s="70"/>
      <c r="O556" s="70"/>
      <c r="P556" s="141"/>
      <c r="Q556" s="141"/>
      <c r="R556" s="141"/>
      <c r="S556" s="141"/>
      <c r="T556" s="141"/>
      <c r="U556" s="70"/>
      <c r="V556" s="70"/>
      <c r="W556" s="70"/>
    </row>
    <row r="557" spans="1:23" ht="15" customHeight="1" x14ac:dyDescent="0.2">
      <c r="P557" s="188"/>
      <c r="Q557" s="188"/>
      <c r="R557" s="188"/>
      <c r="S557" s="188"/>
      <c r="T557" s="188"/>
    </row>
    <row r="558" spans="1:23" ht="15" customHeight="1" x14ac:dyDescent="0.2">
      <c r="A558" s="12" t="s">
        <v>94</v>
      </c>
      <c r="B558" s="12"/>
      <c r="C558" s="12"/>
      <c r="D558" s="12"/>
      <c r="E558" s="12"/>
      <c r="F558" s="12"/>
      <c r="G558" s="12"/>
      <c r="H558" s="12"/>
      <c r="I558" s="12"/>
      <c r="J558" s="12"/>
      <c r="K558" s="12"/>
      <c r="L558" s="12"/>
      <c r="M558" s="12"/>
      <c r="N558" s="12"/>
      <c r="O558" s="12"/>
      <c r="P558" s="12"/>
      <c r="Q558" s="12"/>
      <c r="R558" s="12"/>
      <c r="S558" s="12"/>
      <c r="T558" s="12"/>
      <c r="U558" s="71"/>
      <c r="V558" s="71"/>
      <c r="W558" s="71"/>
    </row>
  </sheetData>
  <autoFilter ref="A534:X558" xr:uid="{00000000-0001-0000-0500-000000000000}"/>
  <mergeCells count="203">
    <mergeCell ref="A67:B67"/>
    <mergeCell ref="A72:B72"/>
    <mergeCell ref="A80:B80"/>
    <mergeCell ref="A91:B91"/>
    <mergeCell ref="A16:B16"/>
    <mergeCell ref="A23:B23"/>
    <mergeCell ref="A33:B33"/>
    <mergeCell ref="A38:B38"/>
    <mergeCell ref="A46:B46"/>
    <mergeCell ref="A55:B55"/>
    <mergeCell ref="A106:B106"/>
    <mergeCell ref="A127:B127"/>
    <mergeCell ref="A238:B238"/>
    <mergeCell ref="A259:B259"/>
    <mergeCell ref="A213:B213"/>
    <mergeCell ref="A224:B224"/>
    <mergeCell ref="A196:B196"/>
    <mergeCell ref="A203:B203"/>
    <mergeCell ref="A359:B359"/>
    <mergeCell ref="A328:B328"/>
    <mergeCell ref="A329:B329"/>
    <mergeCell ref="A332:B332"/>
    <mergeCell ref="A335:B335"/>
    <mergeCell ref="A338:B338"/>
    <mergeCell ref="A341:B341"/>
    <mergeCell ref="A344:B344"/>
    <mergeCell ref="A347:B347"/>
    <mergeCell ref="A350:B350"/>
    <mergeCell ref="A151:B151"/>
    <mergeCell ref="A172:B172"/>
    <mergeCell ref="A283:B283"/>
    <mergeCell ref="A304:B304"/>
    <mergeCell ref="A345:B345"/>
    <mergeCell ref="A346:B346"/>
    <mergeCell ref="A396:B396"/>
    <mergeCell ref="A397:B397"/>
    <mergeCell ref="A399:B399"/>
    <mergeCell ref="A400:B400"/>
    <mergeCell ref="A402:B402"/>
    <mergeCell ref="A391:B391"/>
    <mergeCell ref="A392:B392"/>
    <mergeCell ref="A393:B393"/>
    <mergeCell ref="A394:B394"/>
    <mergeCell ref="A401:B401"/>
    <mergeCell ref="A433:B433"/>
    <mergeCell ref="A435:B435"/>
    <mergeCell ref="A436:B436"/>
    <mergeCell ref="A438:B438"/>
    <mergeCell ref="A439:B439"/>
    <mergeCell ref="A426:B426"/>
    <mergeCell ref="A427:B427"/>
    <mergeCell ref="A429:B429"/>
    <mergeCell ref="A430:B430"/>
    <mergeCell ref="A432:B432"/>
    <mergeCell ref="A428:B428"/>
    <mergeCell ref="A431:B431"/>
    <mergeCell ref="A434:B434"/>
    <mergeCell ref="A437:B437"/>
    <mergeCell ref="A504:B504"/>
    <mergeCell ref="A505:B505"/>
    <mergeCell ref="A507:B507"/>
    <mergeCell ref="A508:B508"/>
    <mergeCell ref="A510:B510"/>
    <mergeCell ref="A496:B496"/>
    <mergeCell ref="A498:B498"/>
    <mergeCell ref="A499:B499"/>
    <mergeCell ref="A501:B501"/>
    <mergeCell ref="A503:B503"/>
    <mergeCell ref="A465:B465"/>
    <mergeCell ref="A448:B448"/>
    <mergeCell ref="A450:B450"/>
    <mergeCell ref="A451:B451"/>
    <mergeCell ref="A456:B456"/>
    <mergeCell ref="A457:B457"/>
    <mergeCell ref="A441:B441"/>
    <mergeCell ref="A442:B442"/>
    <mergeCell ref="A444:B444"/>
    <mergeCell ref="A445:B445"/>
    <mergeCell ref="A447:B447"/>
    <mergeCell ref="A449:B449"/>
    <mergeCell ref="A455:B455"/>
    <mergeCell ref="A454:B454"/>
    <mergeCell ref="A418:B418"/>
    <mergeCell ref="A420:B420"/>
    <mergeCell ref="A421:B421"/>
    <mergeCell ref="A423:B423"/>
    <mergeCell ref="A424:B424"/>
    <mergeCell ref="A411:B411"/>
    <mergeCell ref="A412:B412"/>
    <mergeCell ref="A414:B414"/>
    <mergeCell ref="A415:B415"/>
    <mergeCell ref="A417:B417"/>
    <mergeCell ref="A403:B403"/>
    <mergeCell ref="A405:B405"/>
    <mergeCell ref="A406:B406"/>
    <mergeCell ref="A408:B408"/>
    <mergeCell ref="A409:B409"/>
    <mergeCell ref="A473:B473"/>
    <mergeCell ref="A476:B476"/>
    <mergeCell ref="A479:B479"/>
    <mergeCell ref="A482:B482"/>
    <mergeCell ref="A459:B459"/>
    <mergeCell ref="A460:B460"/>
    <mergeCell ref="A462:B462"/>
    <mergeCell ref="A463:B463"/>
    <mergeCell ref="A440:B440"/>
    <mergeCell ref="A443:B443"/>
    <mergeCell ref="A446:B446"/>
    <mergeCell ref="A404:B404"/>
    <mergeCell ref="A407:B407"/>
    <mergeCell ref="A410:B410"/>
    <mergeCell ref="A413:B413"/>
    <mergeCell ref="A416:B416"/>
    <mergeCell ref="A419:B419"/>
    <mergeCell ref="A422:B422"/>
    <mergeCell ref="A425:B425"/>
    <mergeCell ref="A485:B485"/>
    <mergeCell ref="A489:B489"/>
    <mergeCell ref="A490:B490"/>
    <mergeCell ref="A513:B513"/>
    <mergeCell ref="A514:B514"/>
    <mergeCell ref="A466:B466"/>
    <mergeCell ref="A468:B468"/>
    <mergeCell ref="A469:B469"/>
    <mergeCell ref="A471:B471"/>
    <mergeCell ref="A472:B472"/>
    <mergeCell ref="A506:B506"/>
    <mergeCell ref="A509:B509"/>
    <mergeCell ref="A512:B512"/>
    <mergeCell ref="A511:B511"/>
    <mergeCell ref="A502:B502"/>
    <mergeCell ref="A492:B492"/>
    <mergeCell ref="A493:B493"/>
    <mergeCell ref="A495:B495"/>
    <mergeCell ref="A481:B481"/>
    <mergeCell ref="A483:B483"/>
    <mergeCell ref="A484:B484"/>
    <mergeCell ref="A486:B486"/>
    <mergeCell ref="A487:B487"/>
    <mergeCell ref="A488:B488"/>
    <mergeCell ref="A491:B491"/>
    <mergeCell ref="A494:B494"/>
    <mergeCell ref="A497:B497"/>
    <mergeCell ref="A500:B500"/>
    <mergeCell ref="A330:B330"/>
    <mergeCell ref="A331:B331"/>
    <mergeCell ref="A333:B333"/>
    <mergeCell ref="A334:B334"/>
    <mergeCell ref="A336:B336"/>
    <mergeCell ref="A370:B370"/>
    <mergeCell ref="A372:B372"/>
    <mergeCell ref="A373:B373"/>
    <mergeCell ref="A474:B474"/>
    <mergeCell ref="A475:B475"/>
    <mergeCell ref="A477:B477"/>
    <mergeCell ref="A478:B478"/>
    <mergeCell ref="A480:B480"/>
    <mergeCell ref="A388:B388"/>
    <mergeCell ref="A375:B375"/>
    <mergeCell ref="A458:B458"/>
    <mergeCell ref="A461:B461"/>
    <mergeCell ref="A464:B464"/>
    <mergeCell ref="A467:B467"/>
    <mergeCell ref="A470:B470"/>
    <mergeCell ref="A348:B348"/>
    <mergeCell ref="A349:B349"/>
    <mergeCell ref="A351:B351"/>
    <mergeCell ref="A353:B353"/>
    <mergeCell ref="A356:B356"/>
    <mergeCell ref="A337:B337"/>
    <mergeCell ref="A339:B339"/>
    <mergeCell ref="A340:B340"/>
    <mergeCell ref="A342:B342"/>
    <mergeCell ref="A343:B343"/>
    <mergeCell ref="A360:B360"/>
    <mergeCell ref="A361:B361"/>
    <mergeCell ref="A363:B363"/>
    <mergeCell ref="A364:B364"/>
    <mergeCell ref="A366:B366"/>
    <mergeCell ref="A377:B377"/>
    <mergeCell ref="A380:B380"/>
    <mergeCell ref="A352:B352"/>
    <mergeCell ref="A354:B354"/>
    <mergeCell ref="A355:B355"/>
    <mergeCell ref="A357:B357"/>
    <mergeCell ref="A358:B358"/>
    <mergeCell ref="A367:B367"/>
    <mergeCell ref="A369:B369"/>
    <mergeCell ref="A383:B383"/>
    <mergeCell ref="A386:B386"/>
    <mergeCell ref="A387:B387"/>
    <mergeCell ref="A382:B382"/>
    <mergeCell ref="A384:B384"/>
    <mergeCell ref="A385:B385"/>
    <mergeCell ref="A362:B362"/>
    <mergeCell ref="A365:B365"/>
    <mergeCell ref="A368:B368"/>
    <mergeCell ref="A371:B371"/>
    <mergeCell ref="A374:B374"/>
    <mergeCell ref="A376:B376"/>
    <mergeCell ref="A378:B378"/>
    <mergeCell ref="A379:B379"/>
    <mergeCell ref="A381:B381"/>
  </mergeCells>
  <hyperlinks>
    <hyperlink ref="A558" location="Índice!A1" display="Volver al índice" xr:uid="{00000000-0004-0000-0500-000000000000}"/>
    <hyperlink ref="A3" location="Índice!A1" display="Volver al índice" xr:uid="{00000000-0004-0000-0500-000001000000}"/>
  </hyperlinks>
  <pageMargins left="0.7" right="0.7" top="0.75" bottom="0.75" header="0.3" footer="0.3"/>
  <pageSetup paperSize="3" scale="9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45A09-4ECE-4B6A-9B74-6FE079C90901}">
  <sheetPr>
    <tabColor rgb="FF92D050"/>
  </sheetPr>
  <dimension ref="A1:D236"/>
  <sheetViews>
    <sheetView showGridLines="0" zoomScale="80" zoomScaleNormal="80" workbookViewId="0">
      <pane ySplit="3" topLeftCell="A4" activePane="bottomLeft" state="frozen"/>
      <selection pane="bottomLeft" activeCell="A4" sqref="A4"/>
    </sheetView>
  </sheetViews>
  <sheetFormatPr baseColWidth="10" defaultRowHeight="15" x14ac:dyDescent="0.25"/>
  <cols>
    <col min="1" max="1" width="64.140625" customWidth="1"/>
    <col min="2" max="3" width="24.28515625" customWidth="1"/>
  </cols>
  <sheetData>
    <row r="1" spans="1:4" ht="21" x14ac:dyDescent="0.25">
      <c r="A1" s="13" t="s">
        <v>519</v>
      </c>
      <c r="B1" s="13"/>
      <c r="C1" s="13"/>
      <c r="D1" s="1"/>
    </row>
    <row r="2" spans="1:4" x14ac:dyDescent="0.25">
      <c r="A2" s="24" t="s">
        <v>133</v>
      </c>
      <c r="B2" s="24"/>
      <c r="C2" s="24"/>
      <c r="D2" s="1"/>
    </row>
    <row r="3" spans="1:4" ht="15.75" x14ac:dyDescent="0.25">
      <c r="A3" s="12" t="s">
        <v>94</v>
      </c>
      <c r="B3" s="7"/>
      <c r="C3" s="7"/>
      <c r="D3" s="1"/>
    </row>
    <row r="4" spans="1:4" x14ac:dyDescent="0.25">
      <c r="A4" s="8"/>
      <c r="B4" s="8"/>
      <c r="C4" s="8"/>
      <c r="D4" s="1"/>
    </row>
    <row r="5" spans="1:4" ht="15.75" x14ac:dyDescent="0.25">
      <c r="A5" s="54" t="s">
        <v>518</v>
      </c>
      <c r="B5" s="54"/>
      <c r="C5" s="54"/>
      <c r="D5" s="1"/>
    </row>
    <row r="6" spans="1:4" x14ac:dyDescent="0.25">
      <c r="A6" s="47" t="s">
        <v>418</v>
      </c>
      <c r="B6" s="160" t="s">
        <v>504</v>
      </c>
      <c r="C6" s="160" t="s">
        <v>503</v>
      </c>
      <c r="D6" s="1"/>
    </row>
    <row r="7" spans="1:4" x14ac:dyDescent="0.25">
      <c r="A7" s="29" t="s">
        <v>22</v>
      </c>
      <c r="B7" s="164">
        <v>0.44512195121951326</v>
      </c>
      <c r="C7" s="164">
        <v>4.8902439024390256</v>
      </c>
      <c r="D7" s="1"/>
    </row>
    <row r="8" spans="1:4" x14ac:dyDescent="0.25">
      <c r="A8" s="29" t="s">
        <v>21</v>
      </c>
      <c r="B8" s="164">
        <v>0.72173913043478244</v>
      </c>
      <c r="C8" s="164">
        <v>5.5043478260869563</v>
      </c>
      <c r="D8" s="1"/>
    </row>
    <row r="9" spans="1:4" x14ac:dyDescent="0.25">
      <c r="A9" s="29" t="s">
        <v>169</v>
      </c>
      <c r="B9" s="164">
        <v>0.78881987577639645</v>
      </c>
      <c r="C9" s="164">
        <v>4.8447204968944089</v>
      </c>
      <c r="D9" s="1"/>
    </row>
    <row r="10" spans="1:4" x14ac:dyDescent="0.25">
      <c r="A10" s="29" t="s">
        <v>25</v>
      </c>
      <c r="B10" s="164">
        <v>0.91347099311701108</v>
      </c>
      <c r="C10" s="164">
        <v>5.2822025565388397</v>
      </c>
      <c r="D10" s="1"/>
    </row>
    <row r="11" spans="1:4" x14ac:dyDescent="0.25">
      <c r="A11" s="29" t="s">
        <v>30</v>
      </c>
      <c r="B11" s="164">
        <v>0.96262886597938113</v>
      </c>
      <c r="C11" s="164">
        <v>5.9162371134020617</v>
      </c>
      <c r="D11" s="1"/>
    </row>
    <row r="12" spans="1:4" x14ac:dyDescent="0.25">
      <c r="A12" s="29" t="s">
        <v>55</v>
      </c>
      <c r="B12" s="164">
        <v>0.97178683385580023</v>
      </c>
      <c r="C12" s="164">
        <v>10.438871473354233</v>
      </c>
      <c r="D12" s="1"/>
    </row>
    <row r="13" spans="1:4" x14ac:dyDescent="0.25">
      <c r="A13" s="29" t="s">
        <v>54</v>
      </c>
      <c r="B13" s="164">
        <v>1.0686482661004817</v>
      </c>
      <c r="C13" s="164">
        <v>10.599433828733178</v>
      </c>
      <c r="D13" s="1"/>
    </row>
    <row r="14" spans="1:4" x14ac:dyDescent="0.25">
      <c r="A14" s="29" t="s">
        <v>447</v>
      </c>
      <c r="B14" s="164">
        <v>1.0769230769230766</v>
      </c>
      <c r="C14" s="164">
        <v>9.7153846153846146</v>
      </c>
      <c r="D14" s="1"/>
    </row>
    <row r="15" spans="1:4" x14ac:dyDescent="0.25">
      <c r="A15" s="29" t="s">
        <v>420</v>
      </c>
      <c r="B15" s="164">
        <v>1.1337579617834432</v>
      </c>
      <c r="C15" s="164">
        <v>11.252047315741587</v>
      </c>
      <c r="D15" s="1"/>
    </row>
    <row r="16" spans="1:4" x14ac:dyDescent="0.25">
      <c r="A16" s="29" t="s">
        <v>52</v>
      </c>
      <c r="B16" s="164">
        <v>1.1924528301886763</v>
      </c>
      <c r="C16" s="164">
        <v>15.084276729559745</v>
      </c>
      <c r="D16" s="1"/>
    </row>
    <row r="17" spans="1:4" x14ac:dyDescent="0.25">
      <c r="A17" s="29" t="s">
        <v>443</v>
      </c>
      <c r="B17" s="164">
        <v>1.2747933884297566</v>
      </c>
      <c r="C17" s="164">
        <v>9.63842975206612</v>
      </c>
      <c r="D17" s="1"/>
    </row>
    <row r="18" spans="1:4" x14ac:dyDescent="0.25">
      <c r="A18" s="29" t="s">
        <v>43</v>
      </c>
      <c r="B18" s="164">
        <v>1.3203371970495255</v>
      </c>
      <c r="C18" s="164">
        <v>10.216016859852475</v>
      </c>
      <c r="D18" s="1"/>
    </row>
    <row r="19" spans="1:4" x14ac:dyDescent="0.25">
      <c r="A19" s="29" t="s">
        <v>28</v>
      </c>
      <c r="B19" s="164">
        <v>1.3695652173913047</v>
      </c>
      <c r="C19" s="164">
        <v>6.2282608695652177</v>
      </c>
      <c r="D19" s="1"/>
    </row>
    <row r="20" spans="1:4" x14ac:dyDescent="0.25">
      <c r="A20" s="29" t="s">
        <v>58</v>
      </c>
      <c r="B20" s="164">
        <v>1.4200652528548119</v>
      </c>
      <c r="C20" s="164">
        <v>11.501141924959217</v>
      </c>
      <c r="D20" s="1"/>
    </row>
    <row r="21" spans="1:4" x14ac:dyDescent="0.25">
      <c r="A21" s="29" t="s">
        <v>284</v>
      </c>
      <c r="B21" s="164">
        <v>1.4466019417475726</v>
      </c>
      <c r="C21" s="164">
        <v>6.4466019417475726</v>
      </c>
      <c r="D21" s="1"/>
    </row>
    <row r="22" spans="1:4" x14ac:dyDescent="0.25">
      <c r="A22" s="29" t="s">
        <v>298</v>
      </c>
      <c r="B22" s="164">
        <v>1.4675201517306817</v>
      </c>
      <c r="C22" s="164">
        <v>11.467520151730682</v>
      </c>
      <c r="D22" s="1"/>
    </row>
    <row r="23" spans="1:4" x14ac:dyDescent="0.25">
      <c r="A23" s="29" t="s">
        <v>29</v>
      </c>
      <c r="B23" s="164">
        <v>1.4705882352941195</v>
      </c>
      <c r="C23" s="164">
        <v>5.7725490196078448</v>
      </c>
      <c r="D23" s="1"/>
    </row>
    <row r="24" spans="1:4" x14ac:dyDescent="0.25">
      <c r="A24" s="29" t="s">
        <v>46</v>
      </c>
      <c r="B24" s="164">
        <v>1.5043081601621875</v>
      </c>
      <c r="C24" s="164">
        <v>11.295489102889</v>
      </c>
      <c r="D24" s="1"/>
    </row>
    <row r="25" spans="1:4" x14ac:dyDescent="0.25">
      <c r="A25" s="29" t="s">
        <v>26</v>
      </c>
      <c r="B25" s="164">
        <v>1.5150602409638552</v>
      </c>
      <c r="C25" s="164">
        <v>6.0060240963855422</v>
      </c>
      <c r="D25" s="1"/>
    </row>
    <row r="26" spans="1:4" x14ac:dyDescent="0.25">
      <c r="A26" s="29" t="s">
        <v>441</v>
      </c>
      <c r="B26" s="164">
        <v>1.5490196078431406</v>
      </c>
      <c r="C26" s="164">
        <v>11.327731092436979</v>
      </c>
      <c r="D26" s="1"/>
    </row>
    <row r="27" spans="1:4" x14ac:dyDescent="0.25">
      <c r="A27" s="29" t="s">
        <v>56</v>
      </c>
      <c r="B27" s="164">
        <v>1.6149957877000762</v>
      </c>
      <c r="C27" s="164">
        <v>11.080876158382468</v>
      </c>
      <c r="D27" s="1"/>
    </row>
    <row r="28" spans="1:4" x14ac:dyDescent="0.25">
      <c r="A28" s="29" t="s">
        <v>341</v>
      </c>
      <c r="B28" s="164">
        <v>1.700000000000002</v>
      </c>
      <c r="C28" s="164">
        <v>5.8846153846153868</v>
      </c>
      <c r="D28" s="1"/>
    </row>
    <row r="29" spans="1:4" x14ac:dyDescent="0.25">
      <c r="A29" s="29" t="s">
        <v>96</v>
      </c>
      <c r="B29" s="164">
        <v>1.7236842105263159</v>
      </c>
      <c r="C29" s="164">
        <v>6.2105263157894735</v>
      </c>
      <c r="D29" s="1"/>
    </row>
    <row r="30" spans="1:4" x14ac:dyDescent="0.25">
      <c r="A30" s="29" t="s">
        <v>57</v>
      </c>
      <c r="B30" s="164">
        <v>1.8861538461538458</v>
      </c>
      <c r="C30" s="164">
        <v>11.625641025641025</v>
      </c>
      <c r="D30" s="1"/>
    </row>
    <row r="31" spans="1:4" x14ac:dyDescent="0.25">
      <c r="A31" s="29" t="s">
        <v>440</v>
      </c>
      <c r="B31" s="164">
        <v>1.9349593495934805</v>
      </c>
      <c r="C31" s="164">
        <v>11.770325203252018</v>
      </c>
      <c r="D31" s="1"/>
    </row>
    <row r="32" spans="1:4" x14ac:dyDescent="0.25">
      <c r="A32" s="29" t="s">
        <v>437</v>
      </c>
      <c r="B32" s="164">
        <v>1.9416909620991341</v>
      </c>
      <c r="C32" s="164">
        <v>10.163265306122458</v>
      </c>
      <c r="D32" s="1"/>
    </row>
    <row r="33" spans="1:4" x14ac:dyDescent="0.25">
      <c r="A33" s="29" t="s">
        <v>434</v>
      </c>
      <c r="B33" s="164">
        <v>2.0227790432801722</v>
      </c>
      <c r="C33" s="164">
        <v>11.888382687927097</v>
      </c>
      <c r="D33" s="1"/>
    </row>
    <row r="34" spans="1:4" x14ac:dyDescent="0.25">
      <c r="A34" s="29" t="s">
        <v>431</v>
      </c>
      <c r="B34" s="164">
        <v>2.0403726708074519</v>
      </c>
      <c r="C34" s="164">
        <v>10.214285714285714</v>
      </c>
      <c r="D34" s="1"/>
    </row>
    <row r="35" spans="1:4" x14ac:dyDescent="0.25">
      <c r="A35" s="29" t="s">
        <v>346</v>
      </c>
      <c r="B35" s="164">
        <v>2.0670303975058513</v>
      </c>
      <c r="C35" s="164">
        <v>11.434918160561191</v>
      </c>
      <c r="D35" s="1"/>
    </row>
    <row r="36" spans="1:4" x14ac:dyDescent="0.25">
      <c r="A36" s="29" t="s">
        <v>48</v>
      </c>
      <c r="B36" s="164">
        <v>2.072140656153703</v>
      </c>
      <c r="C36" s="164">
        <v>12.061990212071775</v>
      </c>
      <c r="D36" s="1"/>
    </row>
    <row r="37" spans="1:4" x14ac:dyDescent="0.25">
      <c r="A37" s="29" t="s">
        <v>442</v>
      </c>
      <c r="B37" s="164">
        <v>2.1030405405405439</v>
      </c>
      <c r="C37" s="164">
        <v>11.826013513513518</v>
      </c>
      <c r="D37" s="1"/>
    </row>
    <row r="38" spans="1:4" x14ac:dyDescent="0.25">
      <c r="A38" s="29" t="s">
        <v>438</v>
      </c>
      <c r="B38" s="164">
        <v>2.1126373626373667</v>
      </c>
      <c r="C38" s="164">
        <v>11.854395604395608</v>
      </c>
      <c r="D38" s="1"/>
    </row>
    <row r="39" spans="1:4" x14ac:dyDescent="0.25">
      <c r="A39" s="29" t="s">
        <v>425</v>
      </c>
      <c r="B39" s="164">
        <v>2.1464174454828679</v>
      </c>
      <c r="C39" s="164">
        <v>11.36760124610592</v>
      </c>
      <c r="D39" s="1"/>
    </row>
    <row r="40" spans="1:4" x14ac:dyDescent="0.25">
      <c r="A40" s="29" t="s">
        <v>91</v>
      </c>
      <c r="B40" s="164">
        <v>2.1503597122302054</v>
      </c>
      <c r="C40" s="164">
        <v>12.150359712230205</v>
      </c>
      <c r="D40" s="1"/>
    </row>
    <row r="41" spans="1:4" x14ac:dyDescent="0.25">
      <c r="A41" s="29" t="s">
        <v>51</v>
      </c>
      <c r="B41" s="164">
        <v>2.1954238559639894</v>
      </c>
      <c r="C41" s="164">
        <v>12.195423855963989</v>
      </c>
      <c r="D41" s="1"/>
    </row>
    <row r="42" spans="1:4" x14ac:dyDescent="0.25">
      <c r="A42" s="29" t="s">
        <v>427</v>
      </c>
      <c r="B42" s="164">
        <v>2.2518301610541673</v>
      </c>
      <c r="C42" s="164">
        <v>12.108345534407022</v>
      </c>
      <c r="D42" s="1"/>
    </row>
    <row r="43" spans="1:4" x14ac:dyDescent="0.25">
      <c r="A43" s="29" t="s">
        <v>308</v>
      </c>
      <c r="B43" s="164">
        <v>2.2602875557758981</v>
      </c>
      <c r="C43" s="164">
        <v>12.260287555775898</v>
      </c>
      <c r="D43" s="1"/>
    </row>
    <row r="44" spans="1:4" x14ac:dyDescent="0.25">
      <c r="A44" s="29" t="s">
        <v>439</v>
      </c>
      <c r="B44" s="164">
        <v>2.3045186640471478</v>
      </c>
      <c r="C44" s="164">
        <v>11.838899803536343</v>
      </c>
      <c r="D44" s="1"/>
    </row>
    <row r="45" spans="1:4" x14ac:dyDescent="0.25">
      <c r="A45" s="29" t="s">
        <v>50</v>
      </c>
      <c r="B45" s="164">
        <v>2.3082861554297445</v>
      </c>
      <c r="C45" s="164">
        <v>12.290272774060728</v>
      </c>
      <c r="D45" s="1"/>
    </row>
    <row r="46" spans="1:4" x14ac:dyDescent="0.25">
      <c r="A46" s="29" t="s">
        <v>428</v>
      </c>
      <c r="B46" s="164">
        <v>2.3649289099526101</v>
      </c>
      <c r="C46" s="164">
        <v>11.578199052132705</v>
      </c>
      <c r="D46" s="1"/>
    </row>
    <row r="47" spans="1:4" x14ac:dyDescent="0.25">
      <c r="A47" s="29" t="s">
        <v>426</v>
      </c>
      <c r="B47" s="164">
        <v>2.4375000000000142</v>
      </c>
      <c r="C47" s="164">
        <v>11.537500000000014</v>
      </c>
      <c r="D47" s="1"/>
    </row>
    <row r="48" spans="1:4" x14ac:dyDescent="0.25">
      <c r="A48" s="29" t="s">
        <v>423</v>
      </c>
      <c r="B48" s="164">
        <v>2.4799999999999951</v>
      </c>
      <c r="C48" s="164">
        <v>10.862857142857138</v>
      </c>
      <c r="D48" s="1"/>
    </row>
    <row r="49" spans="1:4" x14ac:dyDescent="0.25">
      <c r="A49" s="29" t="s">
        <v>32</v>
      </c>
      <c r="B49" s="164">
        <v>2.4905660377358485</v>
      </c>
      <c r="C49" s="164">
        <v>6.7358490566037732</v>
      </c>
      <c r="D49" s="1"/>
    </row>
    <row r="50" spans="1:4" x14ac:dyDescent="0.25">
      <c r="A50" s="29" t="s">
        <v>305</v>
      </c>
      <c r="B50" s="164">
        <v>2.5093167701863379</v>
      </c>
      <c r="C50" s="164">
        <v>6.9006211180124248</v>
      </c>
      <c r="D50" s="1"/>
    </row>
    <row r="51" spans="1:4" x14ac:dyDescent="0.25">
      <c r="A51" s="29" t="s">
        <v>68</v>
      </c>
      <c r="B51" s="164">
        <v>2.5773776027011799</v>
      </c>
      <c r="C51" s="164">
        <v>12.564434440067528</v>
      </c>
      <c r="D51" s="1"/>
    </row>
    <row r="52" spans="1:4" x14ac:dyDescent="0.25">
      <c r="A52" s="29" t="s">
        <v>38</v>
      </c>
      <c r="B52" s="164">
        <v>2.6269368295590017</v>
      </c>
      <c r="C52" s="164">
        <v>11.779499404052446</v>
      </c>
      <c r="D52" s="1"/>
    </row>
    <row r="53" spans="1:4" x14ac:dyDescent="0.25">
      <c r="A53" s="29" t="s">
        <v>33</v>
      </c>
      <c r="B53" s="164">
        <v>2.6321839080459783</v>
      </c>
      <c r="C53" s="164">
        <v>6.8045977011494267</v>
      </c>
      <c r="D53" s="1"/>
    </row>
    <row r="54" spans="1:4" x14ac:dyDescent="0.25">
      <c r="A54" s="29" t="s">
        <v>44</v>
      </c>
      <c r="B54" s="164">
        <v>2.6456692913385833</v>
      </c>
      <c r="C54" s="164">
        <v>10.677165354330709</v>
      </c>
      <c r="D54" s="1"/>
    </row>
    <row r="55" spans="1:4" x14ac:dyDescent="0.25">
      <c r="A55" s="29" t="s">
        <v>421</v>
      </c>
      <c r="B55" s="164">
        <v>2.6492753623188374</v>
      </c>
      <c r="C55" s="164">
        <v>11.231884057971012</v>
      </c>
      <c r="D55" s="1"/>
    </row>
    <row r="56" spans="1:4" x14ac:dyDescent="0.25">
      <c r="A56" s="29" t="s">
        <v>111</v>
      </c>
      <c r="B56" s="164">
        <v>2.6888786764705888</v>
      </c>
      <c r="C56" s="164">
        <v>12.737591911764707</v>
      </c>
      <c r="D56" s="1"/>
    </row>
    <row r="57" spans="1:4" x14ac:dyDescent="0.25">
      <c r="A57" s="29" t="s">
        <v>302</v>
      </c>
      <c r="B57" s="164">
        <v>2.7340720221606727</v>
      </c>
      <c r="C57" s="164">
        <v>12.76731301939059</v>
      </c>
      <c r="D57" s="1"/>
    </row>
    <row r="58" spans="1:4" x14ac:dyDescent="0.25">
      <c r="A58" s="29" t="s">
        <v>419</v>
      </c>
      <c r="B58" s="164">
        <v>2.7536945812807794</v>
      </c>
      <c r="C58" s="164">
        <v>11.482758620689646</v>
      </c>
      <c r="D58" s="1"/>
    </row>
    <row r="59" spans="1:4" x14ac:dyDescent="0.25">
      <c r="A59" s="29" t="s">
        <v>49</v>
      </c>
      <c r="B59" s="164">
        <v>2.949778434268838</v>
      </c>
      <c r="C59" s="164">
        <v>14.069423929098971</v>
      </c>
      <c r="D59" s="1"/>
    </row>
    <row r="60" spans="1:4" x14ac:dyDescent="0.25">
      <c r="A60" s="29" t="s">
        <v>444</v>
      </c>
      <c r="B60" s="164">
        <v>2.959595959595962</v>
      </c>
      <c r="C60" s="164">
        <v>12.055555555555557</v>
      </c>
      <c r="D60" s="1"/>
    </row>
    <row r="61" spans="1:4" x14ac:dyDescent="0.25">
      <c r="A61" s="29" t="s">
        <v>429</v>
      </c>
      <c r="B61" s="164">
        <v>3.0361990950226279</v>
      </c>
      <c r="C61" s="164">
        <v>12.013574660633488</v>
      </c>
      <c r="D61" s="1"/>
    </row>
    <row r="62" spans="1:4" x14ac:dyDescent="0.25">
      <c r="A62" s="29" t="s">
        <v>64</v>
      </c>
      <c r="B62" s="164">
        <v>3.0403162055336033</v>
      </c>
      <c r="C62" s="164">
        <v>14.116205533596844</v>
      </c>
      <c r="D62" s="1"/>
    </row>
    <row r="63" spans="1:4" x14ac:dyDescent="0.25">
      <c r="A63" s="29" t="s">
        <v>53</v>
      </c>
      <c r="B63" s="164">
        <v>3.1483390607101889</v>
      </c>
      <c r="C63" s="164">
        <v>15.068155784650624</v>
      </c>
      <c r="D63" s="1"/>
    </row>
    <row r="64" spans="1:4" x14ac:dyDescent="0.25">
      <c r="A64" s="29" t="s">
        <v>445</v>
      </c>
      <c r="B64" s="164">
        <v>3.1597374179431252</v>
      </c>
      <c r="C64" s="164">
        <v>12.993435448577699</v>
      </c>
      <c r="D64" s="1"/>
    </row>
    <row r="65" spans="1:4" x14ac:dyDescent="0.25">
      <c r="A65" s="29" t="s">
        <v>433</v>
      </c>
      <c r="B65" s="164">
        <v>3.2849740932642817</v>
      </c>
      <c r="C65" s="164">
        <v>13.160621761658064</v>
      </c>
      <c r="D65" s="1"/>
    </row>
    <row r="66" spans="1:4" x14ac:dyDescent="0.25">
      <c r="A66" s="29" t="s">
        <v>446</v>
      </c>
      <c r="B66" s="164">
        <v>3.3655913978494567</v>
      </c>
      <c r="C66" s="164">
        <v>12.405017921146948</v>
      </c>
      <c r="D66" s="1"/>
    </row>
    <row r="67" spans="1:4" x14ac:dyDescent="0.25">
      <c r="A67" s="29" t="s">
        <v>344</v>
      </c>
      <c r="B67" s="164">
        <v>3.4862385321100806</v>
      </c>
      <c r="C67" s="164">
        <v>13.449541284403658</v>
      </c>
      <c r="D67" s="1"/>
    </row>
    <row r="68" spans="1:4" x14ac:dyDescent="0.25">
      <c r="A68" s="29" t="s">
        <v>65</v>
      </c>
      <c r="B68" s="164">
        <v>3.4903288201160549</v>
      </c>
      <c r="C68" s="164">
        <v>14.24661508704062</v>
      </c>
      <c r="D68" s="1"/>
    </row>
    <row r="69" spans="1:4" x14ac:dyDescent="0.25">
      <c r="A69" s="29" t="s">
        <v>47</v>
      </c>
      <c r="B69" s="164">
        <v>3.5121646912039939</v>
      </c>
      <c r="C69" s="164">
        <v>14.729881472239553</v>
      </c>
      <c r="D69" s="1"/>
    </row>
    <row r="70" spans="1:4" x14ac:dyDescent="0.25">
      <c r="A70" s="29" t="s">
        <v>435</v>
      </c>
      <c r="B70" s="164">
        <v>3.5593220338983258</v>
      </c>
      <c r="C70" s="164">
        <v>13.559322033898326</v>
      </c>
      <c r="D70" s="1"/>
    </row>
    <row r="71" spans="1:4" x14ac:dyDescent="0.25">
      <c r="A71" s="29" t="s">
        <v>97</v>
      </c>
      <c r="B71" s="164">
        <v>3.5691318327974333</v>
      </c>
      <c r="C71" s="164">
        <v>14.109324758842449</v>
      </c>
    </row>
    <row r="72" spans="1:4" x14ac:dyDescent="0.25">
      <c r="A72" s="29" t="s">
        <v>499</v>
      </c>
      <c r="B72" s="164">
        <v>3.5999999999999961</v>
      </c>
      <c r="C72" s="164">
        <v>14.991999999999996</v>
      </c>
    </row>
    <row r="73" spans="1:4" x14ac:dyDescent="0.25">
      <c r="A73" s="29" t="s">
        <v>432</v>
      </c>
      <c r="B73" s="164">
        <v>3.6211180124223663</v>
      </c>
      <c r="C73" s="164">
        <v>13.540372670807459</v>
      </c>
    </row>
    <row r="74" spans="1:4" x14ac:dyDescent="0.25">
      <c r="A74" s="29" t="s">
        <v>424</v>
      </c>
      <c r="B74" s="164">
        <v>3.7415730337078514</v>
      </c>
      <c r="C74" s="164">
        <v>13.696629213483133</v>
      </c>
    </row>
    <row r="75" spans="1:4" x14ac:dyDescent="0.25">
      <c r="A75" s="29" t="s">
        <v>61</v>
      </c>
      <c r="B75" s="164">
        <v>3.8174807197943394</v>
      </c>
      <c r="C75" s="164">
        <v>15.434447300771204</v>
      </c>
    </row>
    <row r="76" spans="1:4" x14ac:dyDescent="0.25">
      <c r="A76" s="29" t="s">
        <v>62</v>
      </c>
      <c r="B76" s="164">
        <v>3.8577405857740352</v>
      </c>
      <c r="C76" s="164">
        <v>15.665271966527174</v>
      </c>
    </row>
    <row r="77" spans="1:4" x14ac:dyDescent="0.25">
      <c r="A77" s="29" t="s">
        <v>39</v>
      </c>
      <c r="B77" s="164">
        <v>3.8972286374134004</v>
      </c>
      <c r="C77" s="164">
        <v>12.265588914549658</v>
      </c>
    </row>
    <row r="78" spans="1:4" x14ac:dyDescent="0.25">
      <c r="A78" s="29" t="s">
        <v>37</v>
      </c>
      <c r="B78" s="164">
        <v>3.9099909990999073</v>
      </c>
      <c r="C78" s="164">
        <v>12.029702970297027</v>
      </c>
    </row>
    <row r="79" spans="1:4" x14ac:dyDescent="0.25">
      <c r="A79" s="29" t="s">
        <v>98</v>
      </c>
      <c r="B79" s="164">
        <v>3.9233038348082587</v>
      </c>
      <c r="C79" s="164">
        <v>15.63716814159292</v>
      </c>
    </row>
    <row r="80" spans="1:4" x14ac:dyDescent="0.25">
      <c r="A80" s="29" t="s">
        <v>404</v>
      </c>
      <c r="B80" s="164">
        <v>3.9254385964912455</v>
      </c>
      <c r="C80" s="164">
        <v>13.877192982456158</v>
      </c>
    </row>
    <row r="81" spans="1:3" x14ac:dyDescent="0.25">
      <c r="A81" s="29" t="s">
        <v>190</v>
      </c>
      <c r="B81" s="164">
        <v>3.9633251833740815</v>
      </c>
      <c r="C81" s="164">
        <v>15.122249388753055</v>
      </c>
    </row>
    <row r="82" spans="1:3" x14ac:dyDescent="0.25">
      <c r="A82" s="29" t="s">
        <v>430</v>
      </c>
      <c r="B82" s="164">
        <v>4.0044444444444611</v>
      </c>
      <c r="C82" s="164">
        <v>14.004444444444461</v>
      </c>
    </row>
    <row r="83" spans="1:3" x14ac:dyDescent="0.25">
      <c r="A83" s="29" t="s">
        <v>345</v>
      </c>
      <c r="B83" s="164">
        <v>4.078431372548998</v>
      </c>
      <c r="C83" s="164">
        <v>14.588235294117625</v>
      </c>
    </row>
    <row r="84" spans="1:3" x14ac:dyDescent="0.25">
      <c r="A84" s="29" t="s">
        <v>88</v>
      </c>
      <c r="B84" s="164">
        <v>4.0865874363327706</v>
      </c>
      <c r="C84" s="164">
        <v>15.623089983022075</v>
      </c>
    </row>
    <row r="85" spans="1:3" x14ac:dyDescent="0.25">
      <c r="A85" s="29" t="s">
        <v>436</v>
      </c>
      <c r="B85" s="164">
        <v>4.2190889370932787</v>
      </c>
      <c r="C85" s="164">
        <v>12.655097613882866</v>
      </c>
    </row>
    <row r="86" spans="1:3" x14ac:dyDescent="0.25">
      <c r="A86" s="29" t="s">
        <v>422</v>
      </c>
      <c r="B86" s="164">
        <v>4.2223529411764833</v>
      </c>
      <c r="C86" s="164">
        <v>14.222352941176483</v>
      </c>
    </row>
    <row r="87" spans="1:3" x14ac:dyDescent="0.25">
      <c r="A87" s="29" t="s">
        <v>40</v>
      </c>
      <c r="B87" s="164">
        <v>4.2270327349524699</v>
      </c>
      <c r="C87" s="164">
        <v>14.054910242872216</v>
      </c>
    </row>
    <row r="88" spans="1:3" x14ac:dyDescent="0.25">
      <c r="A88" s="29" t="s">
        <v>347</v>
      </c>
      <c r="B88" s="164">
        <v>4.2912423625254608</v>
      </c>
      <c r="C88" s="164">
        <v>14.35980991174474</v>
      </c>
    </row>
    <row r="89" spans="1:3" x14ac:dyDescent="0.25">
      <c r="A89" s="29" t="s">
        <v>407</v>
      </c>
      <c r="B89" s="164">
        <v>4.3377192982456165</v>
      </c>
      <c r="C89" s="164">
        <v>14.337719298245617</v>
      </c>
    </row>
    <row r="90" spans="1:3" x14ac:dyDescent="0.25">
      <c r="A90" s="29" t="s">
        <v>63</v>
      </c>
      <c r="B90" s="164">
        <v>4.4806338028168966</v>
      </c>
      <c r="C90" s="164">
        <v>16.218309859154925</v>
      </c>
    </row>
    <row r="91" spans="1:3" x14ac:dyDescent="0.25">
      <c r="A91" s="29" t="s">
        <v>285</v>
      </c>
      <c r="B91" s="164">
        <v>4.5646387832699595</v>
      </c>
      <c r="C91" s="164">
        <v>15.709125475285168</v>
      </c>
    </row>
    <row r="92" spans="1:3" x14ac:dyDescent="0.25">
      <c r="A92" s="29" t="s">
        <v>408</v>
      </c>
      <c r="B92" s="164">
        <v>4.5855855855855872</v>
      </c>
      <c r="C92" s="164">
        <v>14.720720720720722</v>
      </c>
    </row>
    <row r="93" spans="1:3" x14ac:dyDescent="0.25">
      <c r="A93" s="29" t="s">
        <v>300</v>
      </c>
      <c r="B93" s="164">
        <v>4.6091954022988411</v>
      </c>
      <c r="C93" s="164">
        <v>12.902298850574702</v>
      </c>
    </row>
    <row r="94" spans="1:3" x14ac:dyDescent="0.25">
      <c r="A94" s="29" t="s">
        <v>95</v>
      </c>
      <c r="B94" s="164">
        <v>4.6999999999999869</v>
      </c>
      <c r="C94" s="164">
        <v>14.064705882352929</v>
      </c>
    </row>
    <row r="95" spans="1:3" x14ac:dyDescent="0.25">
      <c r="A95" s="29" t="s">
        <v>406</v>
      </c>
      <c r="B95" s="164">
        <v>4.7204724409448779</v>
      </c>
      <c r="C95" s="164">
        <v>14.586614173228343</v>
      </c>
    </row>
    <row r="96" spans="1:3" x14ac:dyDescent="0.25">
      <c r="A96" s="29" t="s">
        <v>405</v>
      </c>
      <c r="B96" s="164">
        <v>5.2384105960264939</v>
      </c>
      <c r="C96" s="164">
        <v>13.238410596026494</v>
      </c>
    </row>
    <row r="97" spans="1:3" x14ac:dyDescent="0.25">
      <c r="A97" s="29" t="s">
        <v>67</v>
      </c>
      <c r="B97" s="164">
        <v>5.4724409448818729</v>
      </c>
      <c r="C97" s="164">
        <v>13.996062992125967</v>
      </c>
    </row>
    <row r="98" spans="1:3" x14ac:dyDescent="0.25">
      <c r="A98" s="29" t="s">
        <v>59</v>
      </c>
      <c r="B98" s="164">
        <v>5.5199115044247833</v>
      </c>
      <c r="C98" s="164">
        <v>16.17256637168142</v>
      </c>
    </row>
    <row r="99" spans="1:3" x14ac:dyDescent="0.25">
      <c r="A99" s="29" t="s">
        <v>60</v>
      </c>
      <c r="B99" s="164">
        <v>5.5612244897959187</v>
      </c>
      <c r="C99" s="164">
        <v>17.091836734693878</v>
      </c>
    </row>
    <row r="100" spans="1:3" x14ac:dyDescent="0.25">
      <c r="A100" s="29" t="s">
        <v>13</v>
      </c>
      <c r="B100" s="164">
        <v>5.7479065667695082</v>
      </c>
      <c r="C100" s="164">
        <v>16.193918025561928</v>
      </c>
    </row>
    <row r="101" spans="1:3" x14ac:dyDescent="0.25">
      <c r="A101" s="29" t="s">
        <v>90</v>
      </c>
      <c r="B101" s="164">
        <v>6.3991031390134641</v>
      </c>
      <c r="C101" s="164">
        <v>14.986547085201805</v>
      </c>
    </row>
    <row r="103" spans="1:3" ht="15.75" x14ac:dyDescent="0.25">
      <c r="A103" s="54" t="s">
        <v>520</v>
      </c>
      <c r="B103" s="54"/>
      <c r="C103" s="54"/>
    </row>
    <row r="104" spans="1:3" x14ac:dyDescent="0.25">
      <c r="A104" s="47" t="s">
        <v>418</v>
      </c>
      <c r="B104" s="160" t="s">
        <v>504</v>
      </c>
      <c r="C104" s="160" t="s">
        <v>503</v>
      </c>
    </row>
    <row r="105" spans="1:3" x14ac:dyDescent="0.25">
      <c r="A105" s="29" t="s">
        <v>467</v>
      </c>
      <c r="B105" s="164">
        <v>9.0909090909091717E-2</v>
      </c>
      <c r="C105" s="164">
        <v>5.0909090909090917</v>
      </c>
    </row>
    <row r="106" spans="1:3" x14ac:dyDescent="0.25">
      <c r="A106" s="29" t="s">
        <v>400</v>
      </c>
      <c r="B106" s="164">
        <v>0.45192307692307487</v>
      </c>
      <c r="C106" s="164">
        <v>5.4519230769230749</v>
      </c>
    </row>
    <row r="107" spans="1:3" x14ac:dyDescent="0.25">
      <c r="A107" s="29" t="s">
        <v>454</v>
      </c>
      <c r="B107" s="164">
        <v>0.47332185886402378</v>
      </c>
      <c r="C107" s="164">
        <v>8.4733218588640238</v>
      </c>
    </row>
    <row r="108" spans="1:3" x14ac:dyDescent="0.25">
      <c r="A108" s="29" t="s">
        <v>342</v>
      </c>
      <c r="B108" s="164">
        <v>0.5014880952380949</v>
      </c>
      <c r="C108" s="164">
        <v>5.5014880952380949</v>
      </c>
    </row>
    <row r="109" spans="1:3" x14ac:dyDescent="0.25">
      <c r="A109" s="29" t="s">
        <v>457</v>
      </c>
      <c r="B109" s="164">
        <v>0.63275434243176321</v>
      </c>
      <c r="C109" s="164">
        <v>5.5186104218362297</v>
      </c>
    </row>
    <row r="110" spans="1:3" x14ac:dyDescent="0.25">
      <c r="A110" s="29" t="s">
        <v>464</v>
      </c>
      <c r="B110" s="164">
        <v>0.66789667896678839</v>
      </c>
      <c r="C110" s="164">
        <v>5.6642066420664197</v>
      </c>
    </row>
    <row r="111" spans="1:3" x14ac:dyDescent="0.25">
      <c r="A111" s="29" t="s">
        <v>465</v>
      </c>
      <c r="B111" s="164">
        <v>0.68041237113401998</v>
      </c>
      <c r="C111" s="164">
        <v>5.5876288659793811</v>
      </c>
    </row>
    <row r="112" spans="1:3" x14ac:dyDescent="0.25">
      <c r="A112" s="29" t="s">
        <v>339</v>
      </c>
      <c r="B112" s="164">
        <v>0.70878378378378404</v>
      </c>
      <c r="C112" s="164">
        <v>5.708783783783784</v>
      </c>
    </row>
    <row r="113" spans="1:3" x14ac:dyDescent="0.25">
      <c r="A113" s="29" t="s">
        <v>24</v>
      </c>
      <c r="B113" s="164">
        <v>0.72275334608030573</v>
      </c>
      <c r="C113" s="164">
        <v>5.6912045889101339</v>
      </c>
    </row>
    <row r="114" spans="1:3" x14ac:dyDescent="0.25">
      <c r="A114" s="29" t="s">
        <v>30</v>
      </c>
      <c r="B114" s="164">
        <v>0.83494983277591928</v>
      </c>
      <c r="C114" s="164">
        <v>5.8478260869565215</v>
      </c>
    </row>
    <row r="115" spans="1:3" x14ac:dyDescent="0.25">
      <c r="A115" s="29" t="s">
        <v>22</v>
      </c>
      <c r="B115" s="164">
        <v>0.97660044150110359</v>
      </c>
      <c r="C115" s="164">
        <v>5.6437086092715232</v>
      </c>
    </row>
    <row r="116" spans="1:3" x14ac:dyDescent="0.25">
      <c r="A116" s="29" t="s">
        <v>306</v>
      </c>
      <c r="B116" s="164">
        <v>1.0275735294117645</v>
      </c>
      <c r="C116" s="164">
        <v>5.8805147058823524</v>
      </c>
    </row>
    <row r="117" spans="1:3" x14ac:dyDescent="0.25">
      <c r="A117" s="29" t="s">
        <v>169</v>
      </c>
      <c r="B117" s="164">
        <v>1.0480895915678525</v>
      </c>
      <c r="C117" s="164">
        <v>5.8853754940711465</v>
      </c>
    </row>
    <row r="118" spans="1:3" x14ac:dyDescent="0.25">
      <c r="A118" s="29" t="s">
        <v>23</v>
      </c>
      <c r="B118" s="164">
        <v>1.0574712643678152</v>
      </c>
      <c r="C118" s="164">
        <v>5.7413793103448265</v>
      </c>
    </row>
    <row r="119" spans="1:3" x14ac:dyDescent="0.25">
      <c r="A119" s="29" t="s">
        <v>420</v>
      </c>
      <c r="B119" s="164">
        <v>1.0705521472392636</v>
      </c>
      <c r="C119" s="164">
        <v>9.1226993865030668</v>
      </c>
    </row>
    <row r="120" spans="1:3" x14ac:dyDescent="0.25">
      <c r="A120" s="29" t="s">
        <v>340</v>
      </c>
      <c r="B120" s="164">
        <v>1.0719999999999983</v>
      </c>
      <c r="C120" s="164">
        <v>6.0719999999999983</v>
      </c>
    </row>
    <row r="121" spans="1:3" x14ac:dyDescent="0.25">
      <c r="A121" s="29" t="s">
        <v>29</v>
      </c>
      <c r="B121" s="164">
        <v>1.0925925925925926</v>
      </c>
      <c r="C121" s="164">
        <v>5.9559082892416226</v>
      </c>
    </row>
    <row r="122" spans="1:3" x14ac:dyDescent="0.25">
      <c r="A122" s="29" t="s">
        <v>28</v>
      </c>
      <c r="B122" s="164">
        <v>1.1657894736842112</v>
      </c>
      <c r="C122" s="164">
        <v>6.1881578947368423</v>
      </c>
    </row>
    <row r="123" spans="1:3" x14ac:dyDescent="0.25">
      <c r="A123" s="29" t="s">
        <v>25</v>
      </c>
      <c r="B123" s="164">
        <v>1.185072982649408</v>
      </c>
      <c r="C123" s="164">
        <v>6.0228587166069953</v>
      </c>
    </row>
    <row r="124" spans="1:3" x14ac:dyDescent="0.25">
      <c r="A124" s="29" t="s">
        <v>35</v>
      </c>
      <c r="B124" s="164">
        <v>1.1977528089887626</v>
      </c>
      <c r="C124" s="164">
        <v>6.1505617977528075</v>
      </c>
    </row>
    <row r="125" spans="1:3" x14ac:dyDescent="0.25">
      <c r="A125" s="29" t="s">
        <v>402</v>
      </c>
      <c r="B125" s="164">
        <v>1.2000000000000011</v>
      </c>
      <c r="C125" s="164">
        <v>6.0384615384615392</v>
      </c>
    </row>
    <row r="126" spans="1:3" x14ac:dyDescent="0.25">
      <c r="A126" s="29" t="s">
        <v>45</v>
      </c>
      <c r="B126" s="164">
        <v>1.2116182572614109</v>
      </c>
      <c r="C126" s="164">
        <v>6.0119294605809133</v>
      </c>
    </row>
    <row r="127" spans="1:3" x14ac:dyDescent="0.25">
      <c r="A127" s="29" t="s">
        <v>31</v>
      </c>
      <c r="B127" s="164">
        <v>1.2203742203742181</v>
      </c>
      <c r="C127" s="164">
        <v>6.1081081081081061</v>
      </c>
    </row>
    <row r="128" spans="1:3" x14ac:dyDescent="0.25">
      <c r="A128" s="29" t="s">
        <v>99</v>
      </c>
      <c r="B128" s="164">
        <v>1.2359550561797752</v>
      </c>
      <c r="C128" s="164">
        <v>6.191011235955056</v>
      </c>
    </row>
    <row r="129" spans="1:3" x14ac:dyDescent="0.25">
      <c r="A129" s="29" t="s">
        <v>284</v>
      </c>
      <c r="B129" s="164">
        <v>1.2597402597402576</v>
      </c>
      <c r="C129" s="164">
        <v>6.2597402597402576</v>
      </c>
    </row>
    <row r="130" spans="1:3" x14ac:dyDescent="0.25">
      <c r="A130" s="29" t="s">
        <v>462</v>
      </c>
      <c r="B130" s="164">
        <v>1.3194444444444446</v>
      </c>
      <c r="C130" s="164">
        <v>6.0879629629629628</v>
      </c>
    </row>
    <row r="131" spans="1:3" x14ac:dyDescent="0.25">
      <c r="A131" s="29" t="s">
        <v>34</v>
      </c>
      <c r="B131" s="164">
        <v>1.3295880149812733</v>
      </c>
      <c r="C131" s="164">
        <v>6.3121098626716607</v>
      </c>
    </row>
    <row r="132" spans="1:3" x14ac:dyDescent="0.25">
      <c r="A132" s="29" t="s">
        <v>459</v>
      </c>
      <c r="B132" s="164">
        <v>1.3608414239482221</v>
      </c>
      <c r="C132" s="164">
        <v>6.0566343042071216</v>
      </c>
    </row>
    <row r="133" spans="1:3" x14ac:dyDescent="0.25">
      <c r="A133" s="29" t="s">
        <v>456</v>
      </c>
      <c r="B133" s="164">
        <v>1.3738317757009346</v>
      </c>
      <c r="C133" s="164">
        <v>5.9485981308411215</v>
      </c>
    </row>
    <row r="134" spans="1:3" x14ac:dyDescent="0.25">
      <c r="A134" s="29" t="s">
        <v>426</v>
      </c>
      <c r="B134" s="164">
        <v>1.3851351351351351</v>
      </c>
      <c r="C134" s="164">
        <v>9.3851351351351351</v>
      </c>
    </row>
    <row r="135" spans="1:3" x14ac:dyDescent="0.25">
      <c r="A135" s="29" t="s">
        <v>305</v>
      </c>
      <c r="B135" s="164">
        <v>1.3978260869565196</v>
      </c>
      <c r="C135" s="164">
        <v>6.3304347826086937</v>
      </c>
    </row>
    <row r="136" spans="1:3" x14ac:dyDescent="0.25">
      <c r="A136" s="29" t="s">
        <v>32</v>
      </c>
      <c r="B136" s="164">
        <v>1.4017758046614857</v>
      </c>
      <c r="C136" s="164">
        <v>6.3029966703662579</v>
      </c>
    </row>
    <row r="137" spans="1:3" x14ac:dyDescent="0.25">
      <c r="A137" s="29" t="s">
        <v>401</v>
      </c>
      <c r="B137" s="164">
        <v>1.4132231404958686</v>
      </c>
      <c r="C137" s="164">
        <v>6.1625344352617084</v>
      </c>
    </row>
    <row r="138" spans="1:3" x14ac:dyDescent="0.25">
      <c r="A138" s="29" t="s">
        <v>451</v>
      </c>
      <c r="B138" s="164">
        <v>1.4140624999999982</v>
      </c>
      <c r="C138" s="164">
        <v>9.4140624999999982</v>
      </c>
    </row>
    <row r="139" spans="1:3" x14ac:dyDescent="0.25">
      <c r="A139" s="29" t="s">
        <v>44</v>
      </c>
      <c r="B139" s="164">
        <v>1.4145907473309602</v>
      </c>
      <c r="C139" s="164">
        <v>9.4670818505338072</v>
      </c>
    </row>
    <row r="140" spans="1:3" x14ac:dyDescent="0.25">
      <c r="A140" s="29" t="s">
        <v>460</v>
      </c>
      <c r="B140" s="164">
        <v>1.4206896551724135</v>
      </c>
      <c r="C140" s="164">
        <v>6.4068965517241381</v>
      </c>
    </row>
    <row r="141" spans="1:3" x14ac:dyDescent="0.25">
      <c r="A141" s="29" t="s">
        <v>453</v>
      </c>
      <c r="B141" s="164">
        <v>1.4460176991150444</v>
      </c>
      <c r="C141" s="164">
        <v>9.4460176991150444</v>
      </c>
    </row>
    <row r="142" spans="1:3" x14ac:dyDescent="0.25">
      <c r="A142" s="29" t="s">
        <v>66</v>
      </c>
      <c r="B142" s="164">
        <v>1.4752475247524721</v>
      </c>
      <c r="C142" s="164">
        <v>9.4752475247524721</v>
      </c>
    </row>
    <row r="143" spans="1:3" x14ac:dyDescent="0.25">
      <c r="A143" s="29" t="s">
        <v>443</v>
      </c>
      <c r="B143" s="164">
        <v>1.4849397590361431</v>
      </c>
      <c r="C143" s="164">
        <v>9.4849397590361431</v>
      </c>
    </row>
    <row r="144" spans="1:3" x14ac:dyDescent="0.25">
      <c r="A144" s="29" t="s">
        <v>92</v>
      </c>
      <c r="B144" s="164">
        <v>1.5140186915887837</v>
      </c>
      <c r="C144" s="164">
        <v>6.4532710280373822</v>
      </c>
    </row>
    <row r="145" spans="1:3" x14ac:dyDescent="0.25">
      <c r="A145" s="29" t="s">
        <v>96</v>
      </c>
      <c r="B145" s="164">
        <v>1.5154211150652444</v>
      </c>
      <c r="C145" s="164">
        <v>6.4116251482799536</v>
      </c>
    </row>
    <row r="146" spans="1:3" x14ac:dyDescent="0.25">
      <c r="A146" s="29" t="s">
        <v>468</v>
      </c>
      <c r="B146" s="164">
        <v>1.5263157894736841</v>
      </c>
      <c r="C146" s="164">
        <v>6.5222672064777329</v>
      </c>
    </row>
    <row r="147" spans="1:3" x14ac:dyDescent="0.25">
      <c r="A147" s="29" t="s">
        <v>36</v>
      </c>
      <c r="B147" s="164">
        <v>1.5278969957081534</v>
      </c>
      <c r="C147" s="164">
        <v>6.4527896995708147</v>
      </c>
    </row>
    <row r="148" spans="1:3" x14ac:dyDescent="0.25">
      <c r="A148" s="29" t="s">
        <v>461</v>
      </c>
      <c r="B148" s="164">
        <v>1.545023696682466</v>
      </c>
      <c r="C148" s="164">
        <v>6.5402843601895748</v>
      </c>
    </row>
    <row r="149" spans="1:3" x14ac:dyDescent="0.25">
      <c r="A149" s="29" t="s">
        <v>26</v>
      </c>
      <c r="B149" s="164">
        <v>1.5481481481481483</v>
      </c>
      <c r="C149" s="164">
        <v>6.4324074074074078</v>
      </c>
    </row>
    <row r="150" spans="1:3" x14ac:dyDescent="0.25">
      <c r="A150" s="29" t="s">
        <v>452</v>
      </c>
      <c r="B150" s="164">
        <v>1.5488151658767748</v>
      </c>
      <c r="C150" s="164">
        <v>9.5696682464454952</v>
      </c>
    </row>
    <row r="151" spans="1:3" x14ac:dyDescent="0.25">
      <c r="A151" s="29" t="s">
        <v>455</v>
      </c>
      <c r="B151" s="164">
        <v>1.550387596899224</v>
      </c>
      <c r="C151" s="164">
        <v>9.550387596899224</v>
      </c>
    </row>
    <row r="152" spans="1:3" x14ac:dyDescent="0.25">
      <c r="A152" s="29" t="s">
        <v>436</v>
      </c>
      <c r="B152" s="164">
        <v>1.5528700906344408</v>
      </c>
      <c r="C152" s="164">
        <v>9.5528700906344408</v>
      </c>
    </row>
    <row r="153" spans="1:3" x14ac:dyDescent="0.25">
      <c r="A153" s="29" t="s">
        <v>33</v>
      </c>
      <c r="B153" s="164">
        <v>1.6038338658146953</v>
      </c>
      <c r="C153" s="164">
        <v>6.2907348242811487</v>
      </c>
    </row>
    <row r="154" spans="1:3" x14ac:dyDescent="0.25">
      <c r="A154" s="29" t="s">
        <v>343</v>
      </c>
      <c r="B154" s="164">
        <v>1.6138353765324052</v>
      </c>
      <c r="C154" s="164">
        <v>9.8318739054290774</v>
      </c>
    </row>
    <row r="155" spans="1:3" x14ac:dyDescent="0.25">
      <c r="A155" s="29" t="s">
        <v>27</v>
      </c>
      <c r="B155" s="164">
        <v>1.6350592638802253</v>
      </c>
      <c r="C155" s="164">
        <v>6.4878353087960079</v>
      </c>
    </row>
    <row r="156" spans="1:3" x14ac:dyDescent="0.25">
      <c r="A156" s="29" t="s">
        <v>299</v>
      </c>
      <c r="B156" s="164">
        <v>1.6444444444444457</v>
      </c>
      <c r="C156" s="164">
        <v>9.6579710144927553</v>
      </c>
    </row>
    <row r="157" spans="1:3" x14ac:dyDescent="0.25">
      <c r="A157" s="29" t="s">
        <v>21</v>
      </c>
      <c r="B157" s="164">
        <v>1.7339449541284404</v>
      </c>
      <c r="C157" s="164">
        <v>6.7339449541284404</v>
      </c>
    </row>
    <row r="158" spans="1:3" x14ac:dyDescent="0.25">
      <c r="A158" s="29" t="s">
        <v>448</v>
      </c>
      <c r="B158" s="164">
        <v>1.7375886524822839</v>
      </c>
      <c r="C158" s="164">
        <v>9.7375886524822839</v>
      </c>
    </row>
    <row r="159" spans="1:3" x14ac:dyDescent="0.25">
      <c r="A159" s="29" t="s">
        <v>450</v>
      </c>
      <c r="B159" s="164">
        <v>1.7448275862068918</v>
      </c>
      <c r="C159" s="164">
        <v>9.7568965517241324</v>
      </c>
    </row>
    <row r="160" spans="1:3" x14ac:dyDescent="0.25">
      <c r="A160" s="29" t="s">
        <v>302</v>
      </c>
      <c r="B160" s="164">
        <v>1.7920353982300892</v>
      </c>
      <c r="C160" s="164">
        <v>10.663716814159292</v>
      </c>
    </row>
    <row r="161" spans="1:3" x14ac:dyDescent="0.25">
      <c r="A161" s="29" t="s">
        <v>46</v>
      </c>
      <c r="B161" s="164">
        <v>1.7989193361636442</v>
      </c>
      <c r="C161" s="164">
        <v>9.8255499807024318</v>
      </c>
    </row>
    <row r="162" spans="1:3" x14ac:dyDescent="0.25">
      <c r="A162" s="29" t="s">
        <v>38</v>
      </c>
      <c r="B162" s="164">
        <v>1.8553355335533546</v>
      </c>
      <c r="C162" s="164">
        <v>10.067106710671066</v>
      </c>
    </row>
    <row r="163" spans="1:3" x14ac:dyDescent="0.25">
      <c r="A163" s="29" t="s">
        <v>463</v>
      </c>
      <c r="B163" s="164">
        <v>1.8943089430894302</v>
      </c>
      <c r="C163" s="164">
        <v>6.8617886178861784</v>
      </c>
    </row>
    <row r="164" spans="1:3" x14ac:dyDescent="0.25">
      <c r="A164" s="29" t="s">
        <v>39</v>
      </c>
      <c r="B164" s="164">
        <v>1.9252491694352205</v>
      </c>
      <c r="C164" s="164">
        <v>9.931893687707646</v>
      </c>
    </row>
    <row r="165" spans="1:3" x14ac:dyDescent="0.25">
      <c r="A165" s="29" t="s">
        <v>307</v>
      </c>
      <c r="B165" s="164">
        <v>1.9375</v>
      </c>
      <c r="C165" s="164">
        <v>6.2410714285714288</v>
      </c>
    </row>
    <row r="166" spans="1:3" x14ac:dyDescent="0.25">
      <c r="A166" s="29" t="s">
        <v>298</v>
      </c>
      <c r="B166" s="164">
        <v>1.940540540540507</v>
      </c>
      <c r="C166" s="164">
        <v>11.767567567567534</v>
      </c>
    </row>
    <row r="167" spans="1:3" x14ac:dyDescent="0.25">
      <c r="A167" s="29" t="s">
        <v>433</v>
      </c>
      <c r="B167" s="164">
        <v>1.9677419354838701</v>
      </c>
      <c r="C167" s="164">
        <v>9.9910394265232974</v>
      </c>
    </row>
    <row r="168" spans="1:3" x14ac:dyDescent="0.25">
      <c r="A168" s="29" t="s">
        <v>466</v>
      </c>
      <c r="B168" s="164">
        <v>1.9932885906040267</v>
      </c>
      <c r="C168" s="164">
        <v>6.9798657718120802</v>
      </c>
    </row>
    <row r="169" spans="1:3" x14ac:dyDescent="0.25">
      <c r="A169" s="29" t="s">
        <v>304</v>
      </c>
      <c r="B169" s="164">
        <v>2.0060240963855449</v>
      </c>
      <c r="C169" s="164">
        <v>10.006024096385545</v>
      </c>
    </row>
    <row r="170" spans="1:3" x14ac:dyDescent="0.25">
      <c r="A170" s="29" t="s">
        <v>404</v>
      </c>
      <c r="B170" s="164">
        <v>2.0414201183432148</v>
      </c>
      <c r="C170" s="164">
        <v>10.041420118343215</v>
      </c>
    </row>
    <row r="171" spans="1:3" x14ac:dyDescent="0.25">
      <c r="A171" s="29" t="s">
        <v>405</v>
      </c>
      <c r="B171" s="164">
        <v>2.056680161943321</v>
      </c>
      <c r="C171" s="164">
        <v>10.056680161943321</v>
      </c>
    </row>
    <row r="172" spans="1:3" x14ac:dyDescent="0.25">
      <c r="A172" s="29" t="s">
        <v>421</v>
      </c>
      <c r="B172" s="164">
        <v>2.0586319218241069</v>
      </c>
      <c r="C172" s="164">
        <v>10.058631921824107</v>
      </c>
    </row>
    <row r="173" spans="1:3" x14ac:dyDescent="0.25">
      <c r="A173" s="29" t="s">
        <v>70</v>
      </c>
      <c r="B173" s="164">
        <v>2.1118421052631575</v>
      </c>
      <c r="C173" s="164">
        <v>7.1118421052631575</v>
      </c>
    </row>
    <row r="174" spans="1:3" x14ac:dyDescent="0.25">
      <c r="A174" s="29" t="s">
        <v>447</v>
      </c>
      <c r="B174" s="164">
        <v>2.1310679611650514</v>
      </c>
      <c r="C174" s="164">
        <v>10.131067961165051</v>
      </c>
    </row>
    <row r="175" spans="1:3" x14ac:dyDescent="0.25">
      <c r="A175" s="29" t="s">
        <v>37</v>
      </c>
      <c r="B175" s="164">
        <v>2.1350775783389082</v>
      </c>
      <c r="C175" s="164">
        <v>10.191055673866746</v>
      </c>
    </row>
    <row r="176" spans="1:3" x14ac:dyDescent="0.25">
      <c r="A176" s="29" t="s">
        <v>458</v>
      </c>
      <c r="B176" s="164">
        <v>2.168571428571429</v>
      </c>
      <c r="C176" s="164">
        <v>7.0771428571428574</v>
      </c>
    </row>
    <row r="177" spans="1:3" x14ac:dyDescent="0.25">
      <c r="A177" s="29" t="s">
        <v>428</v>
      </c>
      <c r="B177" s="164">
        <v>2.1708482676224587</v>
      </c>
      <c r="C177" s="164">
        <v>10.170848267622459</v>
      </c>
    </row>
    <row r="178" spans="1:3" x14ac:dyDescent="0.25">
      <c r="A178" s="29" t="s">
        <v>449</v>
      </c>
      <c r="B178" s="164">
        <v>2.1851851851851958</v>
      </c>
      <c r="C178" s="164">
        <v>10.171296296296306</v>
      </c>
    </row>
    <row r="179" spans="1:3" x14ac:dyDescent="0.25">
      <c r="A179" s="29" t="s">
        <v>40</v>
      </c>
      <c r="B179" s="164">
        <v>2.2951263537906108</v>
      </c>
      <c r="C179" s="164">
        <v>10.370036101083029</v>
      </c>
    </row>
    <row r="180" spans="1:3" x14ac:dyDescent="0.25">
      <c r="A180" s="29" t="s">
        <v>403</v>
      </c>
      <c r="B180" s="164">
        <v>2.3168724279835349</v>
      </c>
      <c r="C180" s="164">
        <v>10.316872427983535</v>
      </c>
    </row>
    <row r="181" spans="1:3" x14ac:dyDescent="0.25">
      <c r="A181" s="29" t="s">
        <v>69</v>
      </c>
      <c r="B181" s="164">
        <v>2.417374881964113</v>
      </c>
      <c r="C181" s="164">
        <v>10.417374881964113</v>
      </c>
    </row>
    <row r="182" spans="1:3" x14ac:dyDescent="0.25">
      <c r="A182" s="29" t="s">
        <v>500</v>
      </c>
      <c r="B182" s="164">
        <v>2.5600000000000112</v>
      </c>
      <c r="C182" s="164">
        <v>10.560000000000011</v>
      </c>
    </row>
    <row r="183" spans="1:3" x14ac:dyDescent="0.25">
      <c r="A183" s="29" t="s">
        <v>67</v>
      </c>
      <c r="B183" s="164">
        <v>2.5859778597786001</v>
      </c>
      <c r="C183" s="164">
        <v>10.5859778597786</v>
      </c>
    </row>
    <row r="184" spans="1:3" x14ac:dyDescent="0.25">
      <c r="A184" s="29" t="s">
        <v>41</v>
      </c>
      <c r="B184" s="164">
        <v>2.6442344045368618</v>
      </c>
      <c r="C184" s="164">
        <v>10.64461247637051</v>
      </c>
    </row>
    <row r="185" spans="1:3" x14ac:dyDescent="0.25">
      <c r="A185" s="29" t="s">
        <v>89</v>
      </c>
      <c r="B185" s="164">
        <v>2.8901098901098958</v>
      </c>
      <c r="C185" s="164">
        <v>10.890109890109896</v>
      </c>
    </row>
    <row r="186" spans="1:3" x14ac:dyDescent="0.25">
      <c r="A186" s="29" t="s">
        <v>51</v>
      </c>
      <c r="B186" s="164">
        <v>2.9561403508771775</v>
      </c>
      <c r="C186" s="164">
        <v>12.956140350877178</v>
      </c>
    </row>
    <row r="187" spans="1:3" x14ac:dyDescent="0.25">
      <c r="A187" s="29" t="s">
        <v>90</v>
      </c>
      <c r="B187" s="164">
        <v>3.2634920634920555</v>
      </c>
      <c r="C187" s="164">
        <v>11.263492063492055</v>
      </c>
    </row>
    <row r="188" spans="1:3" x14ac:dyDescent="0.25">
      <c r="A188" s="29" t="s">
        <v>95</v>
      </c>
      <c r="B188" s="164">
        <v>3.4324534161490714</v>
      </c>
      <c r="C188" s="164">
        <v>11.440993788819879</v>
      </c>
    </row>
    <row r="189" spans="1:3" x14ac:dyDescent="0.25">
      <c r="A189" s="29" t="s">
        <v>300</v>
      </c>
      <c r="B189" s="164">
        <v>3.5538922155688581</v>
      </c>
      <c r="C189" s="164">
        <v>11.553892215568858</v>
      </c>
    </row>
    <row r="190" spans="1:3" x14ac:dyDescent="0.25">
      <c r="A190" s="29" t="s">
        <v>42</v>
      </c>
      <c r="B190" s="164">
        <v>3.6208530805687182</v>
      </c>
      <c r="C190" s="164">
        <v>11.620853080568718</v>
      </c>
    </row>
    <row r="191" spans="1:3" x14ac:dyDescent="0.25">
      <c r="A191" s="29" t="s">
        <v>301</v>
      </c>
      <c r="B191" s="164">
        <v>4.07826086956522</v>
      </c>
      <c r="C191" s="164">
        <v>12.07826086956522</v>
      </c>
    </row>
    <row r="193" spans="1:3" ht="15.75" x14ac:dyDescent="0.25">
      <c r="A193" s="54" t="s">
        <v>521</v>
      </c>
      <c r="B193" s="54"/>
      <c r="C193" s="54"/>
    </row>
    <row r="194" spans="1:3" x14ac:dyDescent="0.25">
      <c r="A194" s="47" t="s">
        <v>418</v>
      </c>
      <c r="B194" s="160" t="s">
        <v>504</v>
      </c>
      <c r="C194" s="160" t="s">
        <v>503</v>
      </c>
    </row>
    <row r="195" spans="1:3" x14ac:dyDescent="0.25">
      <c r="A195" s="29" t="s">
        <v>459</v>
      </c>
      <c r="B195" s="164">
        <v>0.6304985337243405</v>
      </c>
      <c r="C195" s="164">
        <v>5.6363636363636367</v>
      </c>
    </row>
    <row r="196" spans="1:3" x14ac:dyDescent="0.25">
      <c r="A196" s="29" t="s">
        <v>45</v>
      </c>
      <c r="B196" s="164">
        <v>0.75518672199170034</v>
      </c>
      <c r="C196" s="164">
        <v>5.7551867219917003</v>
      </c>
    </row>
    <row r="197" spans="1:3" x14ac:dyDescent="0.25">
      <c r="A197" s="29" t="s">
        <v>505</v>
      </c>
      <c r="B197" s="164">
        <v>0.89682539682539719</v>
      </c>
      <c r="C197" s="164">
        <v>5.8968253968253972</v>
      </c>
    </row>
    <row r="198" spans="1:3" x14ac:dyDescent="0.25">
      <c r="A198" s="29" t="s">
        <v>92</v>
      </c>
      <c r="B198" s="164">
        <v>0.93421052631578938</v>
      </c>
      <c r="C198" s="164">
        <v>5.9342105263157894</v>
      </c>
    </row>
    <row r="199" spans="1:3" x14ac:dyDescent="0.25">
      <c r="A199" s="29" t="s">
        <v>465</v>
      </c>
      <c r="B199" s="164">
        <v>0.94117647058823461</v>
      </c>
      <c r="C199" s="164">
        <v>5.9411764705882346</v>
      </c>
    </row>
    <row r="200" spans="1:3" x14ac:dyDescent="0.25">
      <c r="A200" s="29" t="s">
        <v>339</v>
      </c>
      <c r="B200" s="164">
        <v>0.9959514170040471</v>
      </c>
      <c r="C200" s="164">
        <v>5.9959514170040471</v>
      </c>
    </row>
    <row r="201" spans="1:3" x14ac:dyDescent="0.25">
      <c r="A201" s="29" t="s">
        <v>30</v>
      </c>
      <c r="B201" s="164">
        <v>1.0303283831834342</v>
      </c>
      <c r="C201" s="164">
        <v>6.0560552185735199</v>
      </c>
    </row>
    <row r="202" spans="1:3" x14ac:dyDescent="0.25">
      <c r="A202" s="29" t="s">
        <v>400</v>
      </c>
      <c r="B202" s="164">
        <v>1.0426666666666646</v>
      </c>
      <c r="C202" s="164">
        <v>6.0426666666666646</v>
      </c>
    </row>
    <row r="203" spans="1:3" x14ac:dyDescent="0.25">
      <c r="A203" s="29" t="s">
        <v>464</v>
      </c>
      <c r="B203" s="164">
        <v>1.0707070707070701</v>
      </c>
      <c r="C203" s="164">
        <v>6.0176767676767673</v>
      </c>
    </row>
    <row r="204" spans="1:3" x14ac:dyDescent="0.25">
      <c r="A204" s="29" t="s">
        <v>342</v>
      </c>
      <c r="B204" s="164">
        <v>1.1168091168091197</v>
      </c>
      <c r="C204" s="164">
        <v>6.1168091168091197</v>
      </c>
    </row>
    <row r="205" spans="1:3" x14ac:dyDescent="0.25">
      <c r="A205" s="29" t="s">
        <v>22</v>
      </c>
      <c r="B205" s="164">
        <v>1.1438474870017332</v>
      </c>
      <c r="C205" s="164">
        <v>6.1018197573656847</v>
      </c>
    </row>
    <row r="206" spans="1:3" x14ac:dyDescent="0.25">
      <c r="A206" s="29" t="s">
        <v>24</v>
      </c>
      <c r="B206" s="164">
        <v>1.1496350364963499</v>
      </c>
      <c r="C206" s="164">
        <v>6.1326034063260337</v>
      </c>
    </row>
    <row r="207" spans="1:3" x14ac:dyDescent="0.25">
      <c r="A207" s="29" t="s">
        <v>340</v>
      </c>
      <c r="B207" s="164">
        <v>1.178807947019866</v>
      </c>
      <c r="C207" s="164">
        <v>6.178807947019866</v>
      </c>
    </row>
    <row r="208" spans="1:3" x14ac:dyDescent="0.25">
      <c r="A208" s="29" t="s">
        <v>463</v>
      </c>
      <c r="B208" s="164">
        <v>1.2370370370370374</v>
      </c>
      <c r="C208" s="164">
        <v>5.6518518518518519</v>
      </c>
    </row>
    <row r="209" spans="1:3" x14ac:dyDescent="0.25">
      <c r="A209" s="29" t="s">
        <v>169</v>
      </c>
      <c r="B209" s="164">
        <v>1.257688229056205</v>
      </c>
      <c r="C209" s="164">
        <v>5.8133616118769895</v>
      </c>
    </row>
    <row r="210" spans="1:3" x14ac:dyDescent="0.25">
      <c r="A210" s="29" t="s">
        <v>306</v>
      </c>
      <c r="B210" s="164">
        <v>1.3320000000000007</v>
      </c>
      <c r="C210" s="164">
        <v>6.3320000000000007</v>
      </c>
    </row>
    <row r="211" spans="1:3" x14ac:dyDescent="0.25">
      <c r="A211" s="29" t="s">
        <v>23</v>
      </c>
      <c r="B211" s="164">
        <v>1.3381502890173413</v>
      </c>
      <c r="C211" s="164">
        <v>6.3603082851637769</v>
      </c>
    </row>
    <row r="212" spans="1:3" x14ac:dyDescent="0.25">
      <c r="A212" s="29" t="s">
        <v>284</v>
      </c>
      <c r="B212" s="164">
        <v>1.4245283018867907</v>
      </c>
      <c r="C212" s="164">
        <v>6.4245283018867907</v>
      </c>
    </row>
    <row r="213" spans="1:3" x14ac:dyDescent="0.25">
      <c r="A213" s="29" t="s">
        <v>341</v>
      </c>
      <c r="B213" s="164">
        <v>1.4644549763033172</v>
      </c>
      <c r="C213" s="164">
        <v>6.4454976303317535</v>
      </c>
    </row>
    <row r="214" spans="1:3" x14ac:dyDescent="0.25">
      <c r="A214" s="29" t="s">
        <v>28</v>
      </c>
      <c r="B214" s="164">
        <v>1.5677139761646801</v>
      </c>
      <c r="C214" s="164">
        <v>6.5373781148429035</v>
      </c>
    </row>
    <row r="215" spans="1:3" x14ac:dyDescent="0.25">
      <c r="A215" s="29" t="s">
        <v>27</v>
      </c>
      <c r="B215" s="164">
        <v>1.7359882005899703</v>
      </c>
      <c r="C215" s="164">
        <v>6.2979351032448374</v>
      </c>
    </row>
    <row r="216" spans="1:3" x14ac:dyDescent="0.25">
      <c r="A216" s="29" t="s">
        <v>29</v>
      </c>
      <c r="B216" s="164">
        <v>1.7668863261943981</v>
      </c>
      <c r="C216" s="164">
        <v>6.6803953871499173</v>
      </c>
    </row>
    <row r="217" spans="1:3" x14ac:dyDescent="0.25">
      <c r="A217" s="29" t="s">
        <v>25</v>
      </c>
      <c r="B217" s="164">
        <v>1.8354746609564598</v>
      </c>
      <c r="C217" s="164">
        <v>6.3169164882226978</v>
      </c>
    </row>
    <row r="218" spans="1:3" x14ac:dyDescent="0.25">
      <c r="A218" s="29" t="s">
        <v>21</v>
      </c>
      <c r="B218" s="164">
        <v>2.0253164556962027</v>
      </c>
      <c r="C218" s="164">
        <v>6.6611489776046735</v>
      </c>
    </row>
    <row r="219" spans="1:3" x14ac:dyDescent="0.25">
      <c r="A219" s="29" t="s">
        <v>402</v>
      </c>
      <c r="B219" s="164">
        <v>2.1271676300578033</v>
      </c>
      <c r="C219" s="164">
        <v>6.5491329479768785</v>
      </c>
    </row>
    <row r="220" spans="1:3" x14ac:dyDescent="0.25">
      <c r="A220" s="29" t="s">
        <v>31</v>
      </c>
      <c r="B220" s="164">
        <v>2.2277301528140141</v>
      </c>
      <c r="C220" s="164">
        <v>6.494595601938129</v>
      </c>
    </row>
    <row r="221" spans="1:3" x14ac:dyDescent="0.25">
      <c r="A221" s="29" t="s">
        <v>26</v>
      </c>
      <c r="B221" s="164">
        <v>2.253164556962024</v>
      </c>
      <c r="C221" s="164">
        <v>6.7450271247739586</v>
      </c>
    </row>
    <row r="222" spans="1:3" x14ac:dyDescent="0.25">
      <c r="A222" s="29" t="s">
        <v>401</v>
      </c>
      <c r="B222" s="164">
        <v>2.3557046979865772</v>
      </c>
      <c r="C222" s="164">
        <v>6.852348993288591</v>
      </c>
    </row>
    <row r="223" spans="1:3" x14ac:dyDescent="0.25">
      <c r="A223" s="29" t="s">
        <v>33</v>
      </c>
      <c r="B223" s="164">
        <v>2.3747680890538039</v>
      </c>
      <c r="C223" s="164">
        <v>6.7179962894248613</v>
      </c>
    </row>
    <row r="224" spans="1:3" x14ac:dyDescent="0.25">
      <c r="A224" s="29" t="s">
        <v>99</v>
      </c>
      <c r="B224" s="164">
        <v>2.4592833876221505</v>
      </c>
      <c r="C224" s="164">
        <v>6.9250814332247561</v>
      </c>
    </row>
    <row r="225" spans="1:3" x14ac:dyDescent="0.25">
      <c r="A225" s="29" t="s">
        <v>96</v>
      </c>
      <c r="B225" s="164">
        <v>2.6264317180616734</v>
      </c>
      <c r="C225" s="164">
        <v>7.1048458149779732</v>
      </c>
    </row>
    <row r="226" spans="1:3" x14ac:dyDescent="0.25">
      <c r="A226" s="29" t="s">
        <v>305</v>
      </c>
      <c r="B226" s="164">
        <v>2.6434108527131785</v>
      </c>
      <c r="C226" s="164">
        <v>7.0620155038759691</v>
      </c>
    </row>
    <row r="227" spans="1:3" x14ac:dyDescent="0.25">
      <c r="A227" s="29" t="s">
        <v>34</v>
      </c>
      <c r="B227" s="164">
        <v>2.8482642777155638</v>
      </c>
      <c r="C227" s="164">
        <v>6.9137737961926078</v>
      </c>
    </row>
    <row r="228" spans="1:3" x14ac:dyDescent="0.25">
      <c r="A228" s="29" t="s">
        <v>36</v>
      </c>
      <c r="B228" s="164">
        <v>2.8519793459552494</v>
      </c>
      <c r="C228" s="164">
        <v>7.2461273666092945</v>
      </c>
    </row>
    <row r="229" spans="1:3" x14ac:dyDescent="0.25">
      <c r="A229" s="29" t="s">
        <v>32</v>
      </c>
      <c r="B229" s="164">
        <v>3.0301587301587283</v>
      </c>
      <c r="C229" s="164">
        <v>7.250793650793649</v>
      </c>
    </row>
    <row r="230" spans="1:3" x14ac:dyDescent="0.25">
      <c r="A230" s="29" t="s">
        <v>307</v>
      </c>
      <c r="B230" s="164">
        <v>3.2954545454545459</v>
      </c>
      <c r="C230" s="164">
        <v>7.2954545454545459</v>
      </c>
    </row>
    <row r="231" spans="1:3" x14ac:dyDescent="0.25">
      <c r="A231" s="29" t="s">
        <v>70</v>
      </c>
      <c r="B231" s="164">
        <v>3.6739130434782608</v>
      </c>
      <c r="C231" s="164">
        <v>7.6739130434782608</v>
      </c>
    </row>
    <row r="234" spans="1:3" ht="15.75" x14ac:dyDescent="0.25">
      <c r="A234" s="122" t="s">
        <v>112</v>
      </c>
    </row>
    <row r="235" spans="1:3" x14ac:dyDescent="0.25">
      <c r="A235" s="8"/>
    </row>
    <row r="236" spans="1:3" x14ac:dyDescent="0.25">
      <c r="A236" s="12" t="s">
        <v>94</v>
      </c>
    </row>
  </sheetData>
  <sortState xmlns:xlrd2="http://schemas.microsoft.com/office/spreadsheetml/2017/richdata2" ref="A195:C231">
    <sortCondition ref="C195:C231"/>
  </sortState>
  <hyperlinks>
    <hyperlink ref="A3" location="Índice!A1" display="Volver al índice" xr:uid="{187BC753-2894-4DCE-9B44-E7369AC65406}"/>
    <hyperlink ref="A236" location="Índice!A1" display="Volver al índice" xr:uid="{3701F2CF-BF14-4299-8229-A3B0CCFE13F8}"/>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B476"/>
  <sheetViews>
    <sheetView showGridLines="0" zoomScale="80" zoomScaleNormal="80" workbookViewId="0">
      <pane ySplit="4" topLeftCell="A5" activePane="bottomLeft" state="frozenSplit"/>
      <selection pane="bottomLeft" activeCell="A4" sqref="A4"/>
    </sheetView>
  </sheetViews>
  <sheetFormatPr baseColWidth="10" defaultRowHeight="12.75" x14ac:dyDescent="0.25"/>
  <cols>
    <col min="1" max="1" width="40" style="9" customWidth="1"/>
    <col min="2" max="2" width="9.7109375" style="9" customWidth="1"/>
    <col min="3" max="19" width="9.7109375" style="21" customWidth="1"/>
    <col min="20" max="22" width="12.7109375" style="21" customWidth="1"/>
    <col min="23" max="16384" width="11.42578125" style="8"/>
  </cols>
  <sheetData>
    <row r="1" spans="1:22" ht="30.75" customHeight="1" x14ac:dyDescent="0.25">
      <c r="A1" s="26" t="s">
        <v>474</v>
      </c>
      <c r="B1" s="26"/>
      <c r="C1" s="78"/>
      <c r="D1" s="78"/>
      <c r="E1" s="78"/>
      <c r="F1" s="78"/>
      <c r="G1" s="78"/>
      <c r="H1" s="78"/>
      <c r="I1" s="78"/>
      <c r="J1" s="78"/>
      <c r="K1" s="78"/>
      <c r="L1" s="78"/>
      <c r="M1" s="78"/>
      <c r="N1" s="78"/>
      <c r="O1" s="78"/>
      <c r="P1" s="78"/>
      <c r="Q1" s="78"/>
      <c r="R1" s="78"/>
      <c r="S1" s="78"/>
      <c r="T1" s="78"/>
      <c r="U1" s="78"/>
      <c r="V1" s="78"/>
    </row>
    <row r="2" spans="1:22" ht="12.95" customHeight="1" x14ac:dyDescent="0.2">
      <c r="A2" s="1" t="s">
        <v>506</v>
      </c>
      <c r="B2" s="76"/>
      <c r="C2" s="82"/>
      <c r="D2" s="82"/>
      <c r="E2" s="82"/>
      <c r="F2" s="82"/>
      <c r="G2" s="82"/>
      <c r="H2" s="82"/>
      <c r="I2" s="82"/>
      <c r="J2" s="82"/>
      <c r="K2" s="82"/>
      <c r="L2" s="82"/>
      <c r="M2" s="82"/>
      <c r="N2" s="82"/>
      <c r="O2" s="82"/>
      <c r="P2" s="82"/>
      <c r="Q2" s="82"/>
      <c r="R2" s="82"/>
      <c r="S2" s="82"/>
      <c r="T2" s="82"/>
      <c r="U2" s="82"/>
      <c r="V2" s="82"/>
    </row>
    <row r="3" spans="1:22" ht="12.95" customHeight="1" x14ac:dyDescent="0.2">
      <c r="A3" s="163" t="s">
        <v>507</v>
      </c>
      <c r="B3" s="83"/>
      <c r="C3" s="82"/>
      <c r="D3" s="82"/>
      <c r="E3" s="82"/>
      <c r="F3" s="82"/>
      <c r="G3" s="82"/>
      <c r="H3" s="82"/>
      <c r="I3" s="82"/>
      <c r="J3" s="82"/>
      <c r="K3" s="82"/>
      <c r="L3" s="82"/>
      <c r="M3" s="82"/>
      <c r="N3" s="82"/>
      <c r="O3" s="82"/>
      <c r="P3" s="82"/>
      <c r="Q3" s="82"/>
      <c r="R3" s="82"/>
      <c r="S3" s="82"/>
      <c r="T3" s="82"/>
      <c r="U3" s="82"/>
      <c r="V3" s="82"/>
    </row>
    <row r="4" spans="1:22" ht="15" customHeight="1" x14ac:dyDescent="0.25">
      <c r="A4" s="12" t="s">
        <v>94</v>
      </c>
      <c r="B4" s="21"/>
    </row>
    <row r="5" spans="1:22" ht="15" customHeight="1" x14ac:dyDescent="0.25">
      <c r="A5" s="12"/>
      <c r="B5" s="21"/>
    </row>
    <row r="6" spans="1:22" ht="15" customHeight="1" x14ac:dyDescent="0.25">
      <c r="A6" s="57" t="s">
        <v>170</v>
      </c>
      <c r="B6" s="57"/>
      <c r="C6" s="75"/>
      <c r="D6" s="75"/>
      <c r="E6" s="75"/>
      <c r="F6" s="75"/>
      <c r="G6" s="75"/>
      <c r="H6" s="75"/>
      <c r="I6" s="75"/>
      <c r="J6" s="75"/>
      <c r="K6" s="75"/>
      <c r="L6" s="75"/>
      <c r="M6" s="75"/>
      <c r="N6" s="75"/>
      <c r="O6" s="75"/>
      <c r="P6" s="75"/>
      <c r="Q6" s="75"/>
      <c r="R6" s="75"/>
      <c r="S6" s="75"/>
      <c r="T6" s="75"/>
      <c r="U6" s="75"/>
      <c r="V6" s="75"/>
    </row>
    <row r="7" spans="1:22" ht="31.5" customHeight="1" x14ac:dyDescent="0.25">
      <c r="A7" s="28" t="s">
        <v>117</v>
      </c>
      <c r="B7" s="15">
        <v>2007</v>
      </c>
      <c r="C7" s="15">
        <v>2008</v>
      </c>
      <c r="D7" s="15">
        <v>2009</v>
      </c>
      <c r="E7" s="15">
        <v>2010</v>
      </c>
      <c r="F7" s="15">
        <v>2011</v>
      </c>
      <c r="G7" s="15">
        <v>2012</v>
      </c>
      <c r="H7" s="15">
        <v>2013</v>
      </c>
      <c r="I7" s="15">
        <v>2014</v>
      </c>
      <c r="J7" s="15">
        <v>2015</v>
      </c>
      <c r="K7" s="15">
        <v>2016</v>
      </c>
      <c r="L7" s="15">
        <v>2017</v>
      </c>
      <c r="M7" s="15">
        <v>2018</v>
      </c>
      <c r="N7" s="15">
        <v>2019</v>
      </c>
      <c r="O7" s="15">
        <v>2020</v>
      </c>
      <c r="P7" s="15">
        <v>2021</v>
      </c>
      <c r="Q7" s="15">
        <v>2022</v>
      </c>
      <c r="R7" s="15">
        <v>2023</v>
      </c>
      <c r="S7" s="15">
        <v>2024</v>
      </c>
      <c r="T7" s="27" t="s">
        <v>476</v>
      </c>
      <c r="U7" s="27" t="s">
        <v>477</v>
      </c>
      <c r="V7" s="27" t="s">
        <v>478</v>
      </c>
    </row>
    <row r="8" spans="1:22" ht="15" customHeight="1" x14ac:dyDescent="0.25">
      <c r="A8" s="30" t="s">
        <v>83</v>
      </c>
      <c r="B8" s="18">
        <v>0.32146702439195468</v>
      </c>
      <c r="C8" s="18">
        <v>0.30072228788143157</v>
      </c>
      <c r="D8" s="18">
        <v>0.30191993225704622</v>
      </c>
      <c r="E8" s="18">
        <v>0.31652388252622737</v>
      </c>
      <c r="F8" s="18">
        <v>0.31146168260768825</v>
      </c>
      <c r="G8" s="18">
        <v>0.3098726815733005</v>
      </c>
      <c r="H8" s="18">
        <v>0.3170650492245593</v>
      </c>
      <c r="I8" s="18">
        <v>0.3088674236465927</v>
      </c>
      <c r="J8" s="18">
        <v>0.30042711497084262</v>
      </c>
      <c r="K8" s="18">
        <v>0.29654937033322182</v>
      </c>
      <c r="L8" s="18">
        <v>0.29620939872447899</v>
      </c>
      <c r="M8" s="18">
        <v>0.31547035130867096</v>
      </c>
      <c r="N8" s="18">
        <v>0.30654228103369174</v>
      </c>
      <c r="O8" s="18">
        <v>0.31386530398051615</v>
      </c>
      <c r="P8" s="18">
        <v>0.33155761935676559</v>
      </c>
      <c r="Q8" s="18">
        <v>0.31252383265163591</v>
      </c>
      <c r="R8" s="18">
        <v>0.29569469394321257</v>
      </c>
      <c r="S8" s="18">
        <v>0.27359397626049542</v>
      </c>
      <c r="T8" s="108">
        <f>(S8-J8)*100</f>
        <v>-2.6833138710347204</v>
      </c>
      <c r="U8" s="108">
        <f>(S8-O8)*100</f>
        <v>-4.0271327720020729</v>
      </c>
      <c r="V8" s="108">
        <f>(S8-R8)*100</f>
        <v>-2.2100717682717153</v>
      </c>
    </row>
    <row r="9" spans="1:22" ht="15" customHeight="1" x14ac:dyDescent="0.25">
      <c r="A9" s="29" t="s">
        <v>93</v>
      </c>
      <c r="B9" s="18">
        <v>0.49979888524966976</v>
      </c>
      <c r="C9" s="18">
        <v>0.51409729523081327</v>
      </c>
      <c r="D9" s="18">
        <v>0.45357008192506781</v>
      </c>
      <c r="E9" s="18">
        <v>0.45299675839713083</v>
      </c>
      <c r="F9" s="18">
        <v>0.49859096437364658</v>
      </c>
      <c r="G9" s="18">
        <v>0.48880270601271358</v>
      </c>
      <c r="H9" s="18">
        <v>0.47333161556299935</v>
      </c>
      <c r="I9" s="18">
        <v>0.52620288785348535</v>
      </c>
      <c r="J9" s="18">
        <v>0.50424538314582912</v>
      </c>
      <c r="K9" s="18">
        <v>0.51861657065401567</v>
      </c>
      <c r="L9" s="18">
        <v>0.51857148612174198</v>
      </c>
      <c r="M9" s="18">
        <v>0.53523579113286046</v>
      </c>
      <c r="N9" s="18">
        <v>0.50723781388478595</v>
      </c>
      <c r="O9" s="18">
        <v>0.53581543544961063</v>
      </c>
      <c r="P9" s="18">
        <v>0.57835981107771572</v>
      </c>
      <c r="Q9" s="18">
        <v>0.51340004514333004</v>
      </c>
      <c r="R9" s="18">
        <v>0.51727103339544223</v>
      </c>
      <c r="S9" s="18">
        <v>0.49659547067446674</v>
      </c>
      <c r="T9" s="108">
        <f t="shared" ref="T9:T11" si="0">(S9-J9)*100</f>
        <v>-0.76499124713623745</v>
      </c>
      <c r="U9" s="108">
        <f t="shared" ref="U9:U11" si="1">(S9-O9)*100</f>
        <v>-3.921996477514389</v>
      </c>
      <c r="V9" s="108">
        <f t="shared" ref="V9:V11" si="2">(S9-R9)*100</f>
        <v>-2.0675562720975482</v>
      </c>
    </row>
    <row r="10" spans="1:22" ht="15" customHeight="1" x14ac:dyDescent="0.25">
      <c r="A10" s="90" t="s">
        <v>82</v>
      </c>
      <c r="B10" s="104">
        <v>0.41365670864994286</v>
      </c>
      <c r="C10" s="104">
        <v>0.42943049168730096</v>
      </c>
      <c r="D10" s="104">
        <v>0.45085457271364315</v>
      </c>
      <c r="E10" s="104">
        <v>0.37330634733232126</v>
      </c>
      <c r="F10" s="104">
        <v>0.37134637514384355</v>
      </c>
      <c r="G10" s="104">
        <v>0.43648535564853552</v>
      </c>
      <c r="H10" s="104">
        <v>0.40600495673018344</v>
      </c>
      <c r="I10" s="104">
        <v>0.40984633372306684</v>
      </c>
      <c r="J10" s="104">
        <v>0.43043581428458438</v>
      </c>
      <c r="K10" s="104">
        <v>0.34825566350655146</v>
      </c>
      <c r="L10" s="104">
        <v>0.37040305045221061</v>
      </c>
      <c r="M10" s="104">
        <v>0.41996536669837337</v>
      </c>
      <c r="N10" s="104">
        <v>0.40060672092973582</v>
      </c>
      <c r="O10" s="104">
        <v>0.39084027421119616</v>
      </c>
      <c r="P10" s="104">
        <v>0.44793351133842291</v>
      </c>
      <c r="Q10" s="104">
        <v>0.47786288062768545</v>
      </c>
      <c r="R10" s="104">
        <v>0.44382674734671018</v>
      </c>
      <c r="S10" s="104">
        <v>0.39358852808722461</v>
      </c>
      <c r="T10" s="108">
        <f t="shared" si="0"/>
        <v>-3.6847286197359774</v>
      </c>
      <c r="U10" s="108">
        <f t="shared" si="1"/>
        <v>0.27482538760284503</v>
      </c>
      <c r="V10" s="108">
        <f t="shared" si="2"/>
        <v>-5.0238219259485568</v>
      </c>
    </row>
    <row r="11" spans="1:22" ht="15" customHeight="1" x14ac:dyDescent="0.25">
      <c r="A11" s="42" t="s">
        <v>0</v>
      </c>
      <c r="B11" s="17">
        <v>0.32814592820787586</v>
      </c>
      <c r="C11" s="17">
        <v>0.31050227599891073</v>
      </c>
      <c r="D11" s="17">
        <v>0.31159092595522342</v>
      </c>
      <c r="E11" s="17">
        <v>0.32349938564156583</v>
      </c>
      <c r="F11" s="17">
        <v>0.32077468179905816</v>
      </c>
      <c r="G11" s="17">
        <v>0.31943592748289185</v>
      </c>
      <c r="H11" s="17">
        <v>0.32591389698678414</v>
      </c>
      <c r="I11" s="17">
        <v>0.31965923673695562</v>
      </c>
      <c r="J11" s="17">
        <v>0.31150796550559101</v>
      </c>
      <c r="K11" s="17">
        <v>0.30679198138691993</v>
      </c>
      <c r="L11" s="17">
        <v>0.30662903481775849</v>
      </c>
      <c r="M11" s="17">
        <v>0.32721187670801982</v>
      </c>
      <c r="N11" s="17">
        <v>0.31760516552242685</v>
      </c>
      <c r="O11" s="17">
        <v>0.32774040788955666</v>
      </c>
      <c r="P11" s="17">
        <v>0.34546971077096744</v>
      </c>
      <c r="Q11" s="17">
        <v>0.32776443088907453</v>
      </c>
      <c r="R11" s="17">
        <v>0.31265752163124499</v>
      </c>
      <c r="S11" s="17">
        <v>0.28996833319482451</v>
      </c>
      <c r="T11" s="126">
        <f t="shared" si="0"/>
        <v>-2.1539632310766499</v>
      </c>
      <c r="U11" s="126">
        <f t="shared" si="1"/>
        <v>-3.7772074694732147</v>
      </c>
      <c r="V11" s="126">
        <f t="shared" si="2"/>
        <v>-2.268918843642048</v>
      </c>
    </row>
    <row r="12" spans="1:22" ht="15" customHeight="1" x14ac:dyDescent="0.25">
      <c r="A12" s="59"/>
      <c r="B12" s="59"/>
      <c r="C12" s="59"/>
      <c r="D12" s="59"/>
      <c r="E12" s="59"/>
      <c r="F12" s="59"/>
      <c r="G12" s="59"/>
      <c r="H12" s="59"/>
      <c r="I12" s="59"/>
      <c r="J12" s="59"/>
      <c r="K12" s="59"/>
      <c r="L12" s="59"/>
      <c r="M12" s="59"/>
      <c r="N12" s="59"/>
      <c r="O12" s="59"/>
      <c r="P12" s="59"/>
      <c r="Q12" s="59"/>
      <c r="R12" s="59"/>
      <c r="S12" s="59"/>
      <c r="T12" s="51"/>
      <c r="U12" s="51"/>
      <c r="V12" s="51"/>
    </row>
    <row r="13" spans="1:22" ht="15" customHeight="1" x14ac:dyDescent="0.25">
      <c r="A13" s="60" t="s">
        <v>324</v>
      </c>
      <c r="B13" s="60"/>
      <c r="C13" s="79"/>
      <c r="D13" s="79"/>
      <c r="E13" s="79"/>
      <c r="F13" s="79"/>
      <c r="G13" s="79"/>
      <c r="H13" s="79"/>
      <c r="I13" s="79"/>
      <c r="J13" s="79"/>
      <c r="K13" s="79"/>
      <c r="L13" s="79"/>
      <c r="M13" s="79"/>
      <c r="N13" s="79"/>
      <c r="O13" s="79"/>
      <c r="P13" s="79"/>
      <c r="Q13" s="79"/>
      <c r="R13" s="79"/>
      <c r="S13" s="79"/>
      <c r="T13" s="79"/>
      <c r="U13" s="79"/>
      <c r="V13" s="79"/>
    </row>
    <row r="14" spans="1:22" ht="33.75" customHeight="1" x14ac:dyDescent="0.25">
      <c r="A14" s="28" t="s">
        <v>117</v>
      </c>
      <c r="B14" s="15">
        <v>2007</v>
      </c>
      <c r="C14" s="15">
        <v>2008</v>
      </c>
      <c r="D14" s="15">
        <v>2009</v>
      </c>
      <c r="E14" s="15">
        <v>2010</v>
      </c>
      <c r="F14" s="15">
        <v>2011</v>
      </c>
      <c r="G14" s="15">
        <v>2012</v>
      </c>
      <c r="H14" s="15">
        <v>2013</v>
      </c>
      <c r="I14" s="15">
        <v>2014</v>
      </c>
      <c r="J14" s="15">
        <v>2015</v>
      </c>
      <c r="K14" s="15">
        <v>2016</v>
      </c>
      <c r="L14" s="15">
        <v>2017</v>
      </c>
      <c r="M14" s="15">
        <v>2018</v>
      </c>
      <c r="N14" s="15">
        <v>2019</v>
      </c>
      <c r="O14" s="15">
        <v>2020</v>
      </c>
      <c r="P14" s="15">
        <v>2021</v>
      </c>
      <c r="Q14" s="15">
        <v>2022</v>
      </c>
      <c r="R14" s="15">
        <v>2023</v>
      </c>
      <c r="S14" s="15">
        <v>2024</v>
      </c>
      <c r="T14" s="27" t="s">
        <v>476</v>
      </c>
      <c r="U14" s="27" t="s">
        <v>477</v>
      </c>
      <c r="V14" s="27" t="s">
        <v>478</v>
      </c>
    </row>
    <row r="15" spans="1:22" ht="15" customHeight="1" x14ac:dyDescent="0.25">
      <c r="A15" s="33" t="s">
        <v>83</v>
      </c>
      <c r="B15" s="20">
        <v>0.32146702439195468</v>
      </c>
      <c r="C15" s="20">
        <v>0.30072228788143157</v>
      </c>
      <c r="D15" s="20">
        <v>0.30191993225704622</v>
      </c>
      <c r="E15" s="20">
        <v>0.31652388252622737</v>
      </c>
      <c r="F15" s="20">
        <v>0.31146168260768825</v>
      </c>
      <c r="G15" s="20">
        <v>0.3098726815733005</v>
      </c>
      <c r="H15" s="20">
        <v>0.3170650492245593</v>
      </c>
      <c r="I15" s="20">
        <v>0.3088674236465927</v>
      </c>
      <c r="J15" s="20">
        <v>0.30042711497084262</v>
      </c>
      <c r="K15" s="20">
        <v>0.29654937033322182</v>
      </c>
      <c r="L15" s="20">
        <v>0.29620939872447899</v>
      </c>
      <c r="M15" s="20">
        <v>0.31547035130867096</v>
      </c>
      <c r="N15" s="20">
        <v>0.30654228103369174</v>
      </c>
      <c r="O15" s="20">
        <v>0.31386530398051615</v>
      </c>
      <c r="P15" s="17">
        <v>0.33155761935676559</v>
      </c>
      <c r="Q15" s="17">
        <v>0.31252383265163591</v>
      </c>
      <c r="R15" s="17">
        <v>0.29569469394321257</v>
      </c>
      <c r="S15" s="17">
        <v>0.27359397626049542</v>
      </c>
      <c r="T15" s="126">
        <f t="shared" ref="T15:T26" si="3">(S15-J15)*100</f>
        <v>-2.6833138710347204</v>
      </c>
      <c r="U15" s="126">
        <f t="shared" ref="U15:U26" si="4">(S15-O15)*100</f>
        <v>-4.0271327720020729</v>
      </c>
      <c r="V15" s="126">
        <f t="shared" ref="V15:V26" si="5">(S15-R15)*100</f>
        <v>-2.2100717682717153</v>
      </c>
    </row>
    <row r="16" spans="1:22" ht="15" customHeight="1" x14ac:dyDescent="0.25">
      <c r="A16" s="30" t="s">
        <v>72</v>
      </c>
      <c r="B16" s="97">
        <v>0.27281326135766487</v>
      </c>
      <c r="C16" s="97">
        <v>0.2533632088683167</v>
      </c>
      <c r="D16" s="97">
        <v>0.25557775029857221</v>
      </c>
      <c r="E16" s="97">
        <v>0.27352162353680826</v>
      </c>
      <c r="F16" s="97">
        <v>0.2733857856574935</v>
      </c>
      <c r="G16" s="97">
        <v>0.27040887531687874</v>
      </c>
      <c r="H16" s="97">
        <v>0.28208336462911304</v>
      </c>
      <c r="I16" s="97">
        <v>0.27164323686556857</v>
      </c>
      <c r="J16" s="97">
        <v>0.26492527205307054</v>
      </c>
      <c r="K16" s="97">
        <v>0.25982750685848516</v>
      </c>
      <c r="L16" s="97">
        <v>0.25833667277307071</v>
      </c>
      <c r="M16" s="74">
        <v>0.27413748329609333</v>
      </c>
      <c r="N16" s="74">
        <v>0.26122192278092393</v>
      </c>
      <c r="O16" s="74">
        <v>0.2760758550252575</v>
      </c>
      <c r="P16" s="18">
        <v>0.29236521934544463</v>
      </c>
      <c r="Q16" s="18">
        <v>0.27257475129216929</v>
      </c>
      <c r="R16" s="18">
        <v>0.25593112207570257</v>
      </c>
      <c r="S16" s="18">
        <v>0.23606217566684276</v>
      </c>
      <c r="T16" s="108">
        <f t="shared" si="3"/>
        <v>-2.8863096386227776</v>
      </c>
      <c r="U16" s="108">
        <f t="shared" si="4"/>
        <v>-4.0013679358414738</v>
      </c>
      <c r="V16" s="108">
        <f t="shared" si="5"/>
        <v>-1.9868946408859807</v>
      </c>
    </row>
    <row r="17" spans="1:28" ht="15" customHeight="1" x14ac:dyDescent="0.25">
      <c r="A17" s="30" t="s">
        <v>71</v>
      </c>
      <c r="B17" s="74">
        <v>0.3810789191298411</v>
      </c>
      <c r="C17" s="74">
        <v>0.36058718960678871</v>
      </c>
      <c r="D17" s="74">
        <v>0.36241166306248529</v>
      </c>
      <c r="E17" s="74">
        <v>0.3721935977817783</v>
      </c>
      <c r="F17" s="74">
        <v>0.36211785360185422</v>
      </c>
      <c r="G17" s="74">
        <v>0.36452218661389851</v>
      </c>
      <c r="H17" s="74">
        <v>0.36626489881943131</v>
      </c>
      <c r="I17" s="74">
        <v>0.36013813289751301</v>
      </c>
      <c r="J17" s="74">
        <v>0.34851833943496568</v>
      </c>
      <c r="K17" s="74">
        <v>0.34782390986855843</v>
      </c>
      <c r="L17" s="74">
        <v>0.34857530717125385</v>
      </c>
      <c r="M17" s="74">
        <v>0.37091208603804793</v>
      </c>
      <c r="N17" s="74">
        <v>0.36580074479500108</v>
      </c>
      <c r="O17" s="74">
        <v>0.36244281165577702</v>
      </c>
      <c r="P17" s="18">
        <v>0.38612165644745644</v>
      </c>
      <c r="Q17" s="18">
        <v>0.36719143636692037</v>
      </c>
      <c r="R17" s="18">
        <v>0.3489715419421115</v>
      </c>
      <c r="S17" s="18">
        <v>0.32353657286380638</v>
      </c>
      <c r="T17" s="108">
        <f t="shared" si="3"/>
        <v>-2.4981766571159305</v>
      </c>
      <c r="U17" s="108">
        <f t="shared" si="4"/>
        <v>-3.8906238791970638</v>
      </c>
      <c r="V17" s="108">
        <f t="shared" si="5"/>
        <v>-2.5434969078305114</v>
      </c>
      <c r="X17" s="139"/>
      <c r="Y17" s="139"/>
    </row>
    <row r="18" spans="1:28" s="88" customFormat="1" ht="15" customHeight="1" x14ac:dyDescent="0.25">
      <c r="A18" s="31" t="s">
        <v>93</v>
      </c>
      <c r="B18" s="17">
        <v>0.49979888524966976</v>
      </c>
      <c r="C18" s="17">
        <v>0.51409729523081327</v>
      </c>
      <c r="D18" s="17">
        <v>0.45357008192506781</v>
      </c>
      <c r="E18" s="17">
        <v>0.45299675839713083</v>
      </c>
      <c r="F18" s="17">
        <v>0.49859096437364658</v>
      </c>
      <c r="G18" s="17">
        <v>0.48880270601271358</v>
      </c>
      <c r="H18" s="17">
        <v>0.47333161556299935</v>
      </c>
      <c r="I18" s="17">
        <v>0.52620288785348535</v>
      </c>
      <c r="J18" s="17">
        <v>0.50424538314582912</v>
      </c>
      <c r="K18" s="17">
        <v>0.51861657065401567</v>
      </c>
      <c r="L18" s="17">
        <v>0.51857148612174198</v>
      </c>
      <c r="M18" s="17">
        <v>0.53523579113286046</v>
      </c>
      <c r="N18" s="17">
        <v>0.50723781388478595</v>
      </c>
      <c r="O18" s="17">
        <v>0.53581543544961063</v>
      </c>
      <c r="P18" s="17">
        <v>0.57835981107771572</v>
      </c>
      <c r="Q18" s="17">
        <v>0.51340004514333004</v>
      </c>
      <c r="R18" s="17">
        <v>0.51727103339544223</v>
      </c>
      <c r="S18" s="17">
        <v>0.49659547067446674</v>
      </c>
      <c r="T18" s="126">
        <f t="shared" si="3"/>
        <v>-0.76499124713623745</v>
      </c>
      <c r="U18" s="126">
        <f t="shared" si="4"/>
        <v>-3.921996477514389</v>
      </c>
      <c r="V18" s="126">
        <f t="shared" si="5"/>
        <v>-2.0675562720975482</v>
      </c>
      <c r="X18" s="138"/>
      <c r="Y18" s="138"/>
      <c r="Z18" s="138"/>
      <c r="AA18" s="138"/>
      <c r="AB18" s="138"/>
    </row>
    <row r="19" spans="1:28" ht="15" customHeight="1" x14ac:dyDescent="0.25">
      <c r="A19" s="30" t="s">
        <v>72</v>
      </c>
      <c r="B19" s="74">
        <v>0.54006523897319525</v>
      </c>
      <c r="C19" s="74">
        <v>0.53861203820922998</v>
      </c>
      <c r="D19" s="74">
        <v>0.47553771584368393</v>
      </c>
      <c r="E19" s="74">
        <v>0.46123348017621146</v>
      </c>
      <c r="F19" s="74">
        <v>0.50633448505788914</v>
      </c>
      <c r="G19" s="74">
        <v>0.50477406799245861</v>
      </c>
      <c r="H19" s="74">
        <v>0.48278015274508868</v>
      </c>
      <c r="I19" s="74">
        <v>0.53073050251733633</v>
      </c>
      <c r="J19" s="74">
        <v>0.52812918267777731</v>
      </c>
      <c r="K19" s="74">
        <v>0.54318684655763283</v>
      </c>
      <c r="L19" s="74">
        <v>0.54163121429439653</v>
      </c>
      <c r="M19" s="74">
        <v>0.54740331491712724</v>
      </c>
      <c r="N19" s="74">
        <v>0.51246220780178453</v>
      </c>
      <c r="O19" s="74">
        <v>0.54282135587912939</v>
      </c>
      <c r="P19" s="18">
        <v>0.56986567799185561</v>
      </c>
      <c r="Q19" s="18">
        <v>0.5166730322883919</v>
      </c>
      <c r="R19" s="18">
        <v>0.51127337945170381</v>
      </c>
      <c r="S19" s="18">
        <v>0.49528405956977373</v>
      </c>
      <c r="T19" s="108">
        <f t="shared" si="3"/>
        <v>-3.2845123108003582</v>
      </c>
      <c r="U19" s="108">
        <f t="shared" si="4"/>
        <v>-4.7537296309355659</v>
      </c>
      <c r="V19" s="108">
        <f t="shared" si="5"/>
        <v>-1.5989319881930086</v>
      </c>
    </row>
    <row r="20" spans="1:28" ht="15" customHeight="1" x14ac:dyDescent="0.25">
      <c r="A20" s="30" t="s">
        <v>71</v>
      </c>
      <c r="B20" s="74">
        <v>0.47237248840803714</v>
      </c>
      <c r="C20" s="74">
        <v>0.49669036528560917</v>
      </c>
      <c r="D20" s="74">
        <v>0.43540609931742741</v>
      </c>
      <c r="E20" s="74">
        <v>0.44570165171023535</v>
      </c>
      <c r="F20" s="74">
        <v>0.49116997792494493</v>
      </c>
      <c r="G20" s="74">
        <v>0.47409108733404298</v>
      </c>
      <c r="H20" s="74">
        <v>0.46433796634967078</v>
      </c>
      <c r="I20" s="74">
        <v>0.52192825112107621</v>
      </c>
      <c r="J20" s="74">
        <v>0.48114743830640089</v>
      </c>
      <c r="K20" s="74">
        <v>0.49517897786054205</v>
      </c>
      <c r="L20" s="74">
        <v>0.49577408371720427</v>
      </c>
      <c r="M20" s="74">
        <v>0.52318412316223417</v>
      </c>
      <c r="N20" s="74">
        <v>0.50199718914120872</v>
      </c>
      <c r="O20" s="74">
        <v>0.52873972169512984</v>
      </c>
      <c r="P20" s="18">
        <v>0.58701170061288921</v>
      </c>
      <c r="Q20" s="18">
        <v>0.50996360046887546</v>
      </c>
      <c r="R20" s="18">
        <v>0.52340041895367639</v>
      </c>
      <c r="S20" s="18">
        <v>0.49794429166553228</v>
      </c>
      <c r="T20" s="108">
        <f t="shared" si="3"/>
        <v>1.6796853359131392</v>
      </c>
      <c r="U20" s="108">
        <f t="shared" si="4"/>
        <v>-3.0795430029597561</v>
      </c>
      <c r="V20" s="108">
        <f t="shared" si="5"/>
        <v>-2.5456127288144117</v>
      </c>
      <c r="X20" s="139"/>
      <c r="Y20" s="139"/>
    </row>
    <row r="21" spans="1:28" s="88" customFormat="1" ht="15" customHeight="1" x14ac:dyDescent="0.25">
      <c r="A21" s="31" t="s">
        <v>82</v>
      </c>
      <c r="B21" s="105">
        <v>0.41365670864994286</v>
      </c>
      <c r="C21" s="105">
        <v>0.42943049168730096</v>
      </c>
      <c r="D21" s="105">
        <v>0.45085457271364315</v>
      </c>
      <c r="E21" s="105">
        <v>0.37330634733232126</v>
      </c>
      <c r="F21" s="105">
        <v>0.37134637514384355</v>
      </c>
      <c r="G21" s="105">
        <v>0.43648535564853552</v>
      </c>
      <c r="H21" s="105">
        <v>0.40600495673018344</v>
      </c>
      <c r="I21" s="105">
        <v>0.40984633372306684</v>
      </c>
      <c r="J21" s="105">
        <v>0.43043581428458438</v>
      </c>
      <c r="K21" s="105">
        <v>0.34825566350655146</v>
      </c>
      <c r="L21" s="105">
        <v>0.37040305045221061</v>
      </c>
      <c r="M21" s="105">
        <v>0.41996536669837337</v>
      </c>
      <c r="N21" s="105">
        <v>0.40060672092973582</v>
      </c>
      <c r="O21" s="105">
        <v>0.39084027421119616</v>
      </c>
      <c r="P21" s="105">
        <v>0.44793351133842291</v>
      </c>
      <c r="Q21" s="105">
        <v>0.47786288062768545</v>
      </c>
      <c r="R21" s="105">
        <v>0.44382674734671018</v>
      </c>
      <c r="S21" s="105">
        <v>0.39358852808722461</v>
      </c>
      <c r="T21" s="126">
        <f t="shared" si="3"/>
        <v>-3.6847286197359774</v>
      </c>
      <c r="U21" s="126">
        <f t="shared" si="4"/>
        <v>0.27482538760284503</v>
      </c>
      <c r="V21" s="126">
        <f t="shared" si="5"/>
        <v>-5.0238219259485568</v>
      </c>
      <c r="X21" s="138"/>
      <c r="Y21" s="138"/>
      <c r="Z21" s="138"/>
      <c r="AA21" s="138"/>
      <c r="AB21" s="138"/>
    </row>
    <row r="22" spans="1:28" ht="15" customHeight="1" x14ac:dyDescent="0.25">
      <c r="A22" s="30" t="s">
        <v>72</v>
      </c>
      <c r="B22" s="74">
        <v>0.44283995186522251</v>
      </c>
      <c r="C22" s="74">
        <v>0.44444444444444442</v>
      </c>
      <c r="D22" s="74">
        <v>0.45237407300394872</v>
      </c>
      <c r="E22" s="74">
        <v>0.38165312947921642</v>
      </c>
      <c r="F22" s="74">
        <v>0.37380453593223428</v>
      </c>
      <c r="G22" s="74">
        <v>0.43983944740035458</v>
      </c>
      <c r="H22" s="74">
        <v>0.39480189750785061</v>
      </c>
      <c r="I22" s="74">
        <v>0.41224850462207713</v>
      </c>
      <c r="J22" s="74">
        <v>0.43856164383561652</v>
      </c>
      <c r="K22" s="74">
        <v>0.36243996520818361</v>
      </c>
      <c r="L22" s="74">
        <v>0.3614943960149441</v>
      </c>
      <c r="M22" s="74">
        <v>0.42893493275172651</v>
      </c>
      <c r="N22" s="74">
        <v>0.40271132376395535</v>
      </c>
      <c r="O22" s="74">
        <v>0.37773164748065668</v>
      </c>
      <c r="P22" s="18">
        <v>0.43942028985507242</v>
      </c>
      <c r="Q22" s="18">
        <v>0.4807186149276797</v>
      </c>
      <c r="R22" s="18">
        <v>0.43615019056133247</v>
      </c>
      <c r="S22" s="18">
        <v>0.39832167832167836</v>
      </c>
      <c r="T22" s="108">
        <f t="shared" si="3"/>
        <v>-4.0239965513938163</v>
      </c>
      <c r="U22" s="108">
        <f t="shared" si="4"/>
        <v>2.0590030841021676</v>
      </c>
      <c r="V22" s="108">
        <f t="shared" si="5"/>
        <v>-3.7828512239654111</v>
      </c>
    </row>
    <row r="23" spans="1:28" ht="15" customHeight="1" x14ac:dyDescent="0.25">
      <c r="A23" s="30" t="s">
        <v>71</v>
      </c>
      <c r="B23" s="74">
        <v>0.36886543535620048</v>
      </c>
      <c r="C23" s="74">
        <v>0.40297049052178996</v>
      </c>
      <c r="D23" s="74">
        <v>0.44834710743801642</v>
      </c>
      <c r="E23" s="74">
        <v>0.36137667304015286</v>
      </c>
      <c r="F23" s="74">
        <v>0.36713013591626326</v>
      </c>
      <c r="G23" s="74">
        <v>0.43150305047143656</v>
      </c>
      <c r="H23" s="74">
        <v>0.42338793282189513</v>
      </c>
      <c r="I23" s="74">
        <v>0.40601992204417497</v>
      </c>
      <c r="J23" s="74">
        <v>0.41933370765487543</v>
      </c>
      <c r="K23" s="74">
        <v>0.32490974729241867</v>
      </c>
      <c r="L23" s="74">
        <v>0.3857436953165207</v>
      </c>
      <c r="M23" s="74">
        <v>0.40629232853096903</v>
      </c>
      <c r="N23" s="74">
        <v>0.3972282517949573</v>
      </c>
      <c r="O23" s="74">
        <v>0.40983158355205596</v>
      </c>
      <c r="P23" s="18">
        <v>0.46160631155975884</v>
      </c>
      <c r="Q23" s="18">
        <v>0.47366553094832492</v>
      </c>
      <c r="R23" s="18">
        <v>0.45443590411672741</v>
      </c>
      <c r="S23" s="18">
        <v>0.3866880279638798</v>
      </c>
      <c r="T23" s="108">
        <f t="shared" si="3"/>
        <v>-3.2645679690995633</v>
      </c>
      <c r="U23" s="108">
        <f t="shared" si="4"/>
        <v>-2.3143555588176157</v>
      </c>
      <c r="V23" s="108">
        <f t="shared" si="5"/>
        <v>-6.7747876152847608</v>
      </c>
      <c r="X23" s="139"/>
      <c r="Y23" s="139"/>
    </row>
    <row r="24" spans="1:28" ht="15" customHeight="1" x14ac:dyDescent="0.25">
      <c r="A24" s="42" t="s">
        <v>0</v>
      </c>
      <c r="B24" s="17">
        <v>0.32814592820787586</v>
      </c>
      <c r="C24" s="17">
        <v>0.31050227599891073</v>
      </c>
      <c r="D24" s="17">
        <v>0.31159092595522342</v>
      </c>
      <c r="E24" s="17">
        <v>0.32349938564156583</v>
      </c>
      <c r="F24" s="17">
        <v>0.32077468179905816</v>
      </c>
      <c r="G24" s="17">
        <v>0.31943592748289185</v>
      </c>
      <c r="H24" s="17">
        <v>0.32591389698678414</v>
      </c>
      <c r="I24" s="17">
        <v>0.31965923673695562</v>
      </c>
      <c r="J24" s="17">
        <v>0.31150796550559101</v>
      </c>
      <c r="K24" s="17">
        <v>0.30679198138691993</v>
      </c>
      <c r="L24" s="17">
        <v>0.30662903481775849</v>
      </c>
      <c r="M24" s="17">
        <v>0.32721187670801982</v>
      </c>
      <c r="N24" s="17">
        <v>0.31760516552242685</v>
      </c>
      <c r="O24" s="17">
        <v>0.32774040788955666</v>
      </c>
      <c r="P24" s="17">
        <v>0.34546971077096744</v>
      </c>
      <c r="Q24" s="17">
        <v>0.32776443088907453</v>
      </c>
      <c r="R24" s="17">
        <v>0.31265752163124499</v>
      </c>
      <c r="S24" s="17">
        <v>0.28996833319482451</v>
      </c>
      <c r="T24" s="126">
        <f t="shared" si="3"/>
        <v>-2.1539632310766499</v>
      </c>
      <c r="U24" s="126">
        <f t="shared" si="4"/>
        <v>-3.7772074694732147</v>
      </c>
      <c r="V24" s="126">
        <f t="shared" si="5"/>
        <v>-2.268918843642048</v>
      </c>
      <c r="X24" s="138"/>
      <c r="Y24" s="138"/>
      <c r="Z24" s="138"/>
      <c r="AA24" s="138"/>
      <c r="AB24" s="138"/>
    </row>
    <row r="25" spans="1:28" ht="15" customHeight="1" x14ac:dyDescent="0.25">
      <c r="A25" s="30" t="s">
        <v>321</v>
      </c>
      <c r="B25" s="74">
        <v>0.2816042195048078</v>
      </c>
      <c r="C25" s="74">
        <v>0.26513623168913847</v>
      </c>
      <c r="D25" s="74">
        <v>0.26788374724851061</v>
      </c>
      <c r="E25" s="74">
        <v>0.28275459804787917</v>
      </c>
      <c r="F25" s="74">
        <v>0.28440479400014712</v>
      </c>
      <c r="G25" s="74">
        <v>0.2815848462923059</v>
      </c>
      <c r="H25" s="74">
        <v>0.29216732312908206</v>
      </c>
      <c r="I25" s="74">
        <v>0.28353904389651557</v>
      </c>
      <c r="J25" s="74">
        <v>0.27789852458425024</v>
      </c>
      <c r="K25" s="74">
        <v>0.27269046578864614</v>
      </c>
      <c r="L25" s="74">
        <v>0.27052655364799943</v>
      </c>
      <c r="M25" s="74">
        <v>0.28835763854221813</v>
      </c>
      <c r="N25" s="74">
        <v>0.27517163496872027</v>
      </c>
      <c r="O25" s="74">
        <v>0.29204397361314516</v>
      </c>
      <c r="P25" s="18">
        <v>0.30738335805648076</v>
      </c>
      <c r="Q25" s="18">
        <v>0.29060050217545458</v>
      </c>
      <c r="R25" s="18">
        <v>0.27476675062326283</v>
      </c>
      <c r="S25" s="18">
        <v>0.25516736764396386</v>
      </c>
      <c r="T25" s="108">
        <f t="shared" si="3"/>
        <v>-2.2731156940286379</v>
      </c>
      <c r="U25" s="108">
        <f t="shared" si="4"/>
        <v>-3.6876605969181298</v>
      </c>
      <c r="V25" s="108">
        <f t="shared" si="5"/>
        <v>-1.9599382979298974</v>
      </c>
    </row>
    <row r="26" spans="1:28" ht="15" customHeight="1" x14ac:dyDescent="0.25">
      <c r="A26" s="30" t="s">
        <v>322</v>
      </c>
      <c r="B26" s="74">
        <v>0.38440260782421215</v>
      </c>
      <c r="C26" s="74">
        <v>0.36717620579453447</v>
      </c>
      <c r="D26" s="74">
        <v>0.36787720770526761</v>
      </c>
      <c r="E26" s="74">
        <v>0.37555571191894133</v>
      </c>
      <c r="F26" s="74">
        <v>0.36873995410107752</v>
      </c>
      <c r="G26" s="74">
        <v>0.37108324187057473</v>
      </c>
      <c r="H26" s="74">
        <v>0.37268966437579226</v>
      </c>
      <c r="I26" s="74">
        <v>0.36881323400940741</v>
      </c>
      <c r="J26" s="74">
        <v>0.35641766703688899</v>
      </c>
      <c r="K26" s="74">
        <v>0.353969253037836</v>
      </c>
      <c r="L26" s="74">
        <v>0.35615543582552206</v>
      </c>
      <c r="M26" s="74">
        <v>0.37889488292026063</v>
      </c>
      <c r="N26" s="74">
        <v>0.37288497464638365</v>
      </c>
      <c r="O26" s="74">
        <v>0.37332246788617024</v>
      </c>
      <c r="P26" s="18">
        <v>0.39805763191024801</v>
      </c>
      <c r="Q26" s="18">
        <v>0.37821947355029717</v>
      </c>
      <c r="R26" s="18">
        <v>0.3628753778210877</v>
      </c>
      <c r="S26" s="18">
        <v>0.33586636849333784</v>
      </c>
      <c r="T26" s="108">
        <f t="shared" si="3"/>
        <v>-2.0551298543551146</v>
      </c>
      <c r="U26" s="108">
        <f t="shared" si="4"/>
        <v>-3.7456099392832396</v>
      </c>
      <c r="V26" s="108">
        <f t="shared" si="5"/>
        <v>-2.7009009327749856</v>
      </c>
      <c r="X26" s="139"/>
      <c r="Y26" s="139"/>
    </row>
    <row r="27" spans="1:28" ht="15" customHeight="1" x14ac:dyDescent="0.25">
      <c r="A27" s="59"/>
      <c r="B27" s="89"/>
      <c r="C27" s="89"/>
      <c r="D27" s="89"/>
      <c r="E27" s="89"/>
      <c r="F27" s="89"/>
      <c r="G27" s="89"/>
      <c r="H27" s="89"/>
      <c r="I27" s="89"/>
      <c r="J27" s="89"/>
      <c r="K27" s="89"/>
      <c r="L27" s="89"/>
      <c r="M27" s="89"/>
      <c r="N27" s="89"/>
      <c r="O27" s="89"/>
      <c r="P27" s="89"/>
      <c r="Q27" s="89"/>
      <c r="R27" s="89"/>
      <c r="S27" s="89"/>
      <c r="T27" s="51"/>
      <c r="U27" s="51"/>
      <c r="V27" s="51"/>
      <c r="X27" s="138"/>
      <c r="Y27" s="138"/>
      <c r="Z27" s="138"/>
      <c r="AA27" s="138"/>
      <c r="AB27" s="138"/>
    </row>
    <row r="28" spans="1:28" ht="15" customHeight="1" x14ac:dyDescent="0.25">
      <c r="A28" s="60" t="s">
        <v>171</v>
      </c>
      <c r="B28" s="60"/>
      <c r="C28" s="79"/>
      <c r="D28" s="79"/>
      <c r="E28" s="79"/>
      <c r="F28" s="79"/>
      <c r="G28" s="79"/>
      <c r="H28" s="79"/>
      <c r="I28" s="79"/>
      <c r="J28" s="79"/>
      <c r="K28" s="118"/>
      <c r="L28" s="118"/>
      <c r="M28" s="118"/>
      <c r="N28" s="118"/>
      <c r="O28" s="118"/>
      <c r="P28" s="118"/>
      <c r="Q28" s="118"/>
      <c r="R28" s="118"/>
      <c r="S28" s="118"/>
      <c r="T28" s="79"/>
      <c r="U28" s="79"/>
      <c r="V28" s="79"/>
    </row>
    <row r="29" spans="1:28" ht="25.5" x14ac:dyDescent="0.25">
      <c r="A29" s="28" t="s">
        <v>101</v>
      </c>
      <c r="B29" s="15">
        <v>2007</v>
      </c>
      <c r="C29" s="15">
        <v>2008</v>
      </c>
      <c r="D29" s="15">
        <v>2009</v>
      </c>
      <c r="E29" s="15">
        <v>2010</v>
      </c>
      <c r="F29" s="15">
        <v>2011</v>
      </c>
      <c r="G29" s="15">
        <v>2012</v>
      </c>
      <c r="H29" s="15">
        <v>2013</v>
      </c>
      <c r="I29" s="15">
        <v>2014</v>
      </c>
      <c r="J29" s="15">
        <v>2015</v>
      </c>
      <c r="K29" s="15">
        <v>2016</v>
      </c>
      <c r="L29" s="15">
        <v>2017</v>
      </c>
      <c r="M29" s="15">
        <v>2018</v>
      </c>
      <c r="N29" s="15">
        <v>2019</v>
      </c>
      <c r="O29" s="15">
        <v>2020</v>
      </c>
      <c r="P29" s="15">
        <v>2021</v>
      </c>
      <c r="Q29" s="15">
        <v>2022</v>
      </c>
      <c r="R29" s="15">
        <v>2023</v>
      </c>
      <c r="S29" s="15">
        <v>2024</v>
      </c>
      <c r="T29" s="27" t="s">
        <v>476</v>
      </c>
      <c r="U29" s="27" t="s">
        <v>477</v>
      </c>
      <c r="V29" s="27" t="s">
        <v>478</v>
      </c>
    </row>
    <row r="30" spans="1:28" ht="15" customHeight="1" x14ac:dyDescent="0.25">
      <c r="A30" s="30" t="s">
        <v>1</v>
      </c>
      <c r="B30" s="19">
        <v>0.37303860928445859</v>
      </c>
      <c r="C30" s="19">
        <v>0.27114673099896763</v>
      </c>
      <c r="D30" s="19">
        <v>0.25403953498132364</v>
      </c>
      <c r="E30" s="19">
        <v>0.34176067687348904</v>
      </c>
      <c r="F30" s="19">
        <v>0.34411235614122532</v>
      </c>
      <c r="G30" s="19">
        <v>0.33465055369204616</v>
      </c>
      <c r="H30" s="19">
        <v>0.35814835796810329</v>
      </c>
      <c r="I30" s="19">
        <v>0.35766138474748277</v>
      </c>
      <c r="J30" s="19">
        <v>0.34226984010502015</v>
      </c>
      <c r="K30" s="19">
        <v>0.34382121267631444</v>
      </c>
      <c r="L30" s="19">
        <v>0.33683457903970043</v>
      </c>
      <c r="M30" s="19">
        <v>0.37367208498656096</v>
      </c>
      <c r="N30" s="19">
        <v>0.38763503610010308</v>
      </c>
      <c r="O30" s="19">
        <v>0.38200211672498774</v>
      </c>
      <c r="P30" s="19">
        <v>0.45223156073692505</v>
      </c>
      <c r="Q30" s="19">
        <v>0.42796577655003076</v>
      </c>
      <c r="R30" s="19">
        <v>0.41478307972620276</v>
      </c>
      <c r="S30" s="19">
        <v>0.36910866280045979</v>
      </c>
      <c r="T30" s="108">
        <f t="shared" ref="T30:T33" si="6">(S30-J30)*100</f>
        <v>2.6838822695439637</v>
      </c>
      <c r="U30" s="108">
        <f t="shared" ref="U30:U33" si="7">(S30-O30)*100</f>
        <v>-1.2893453924527953</v>
      </c>
      <c r="V30" s="106">
        <f t="shared" ref="V30:V33" si="8">(S30-R30)*100</f>
        <v>-4.567441692574298</v>
      </c>
    </row>
    <row r="31" spans="1:28" ht="15" customHeight="1" x14ac:dyDescent="0.25">
      <c r="A31" s="30" t="s">
        <v>2</v>
      </c>
      <c r="B31" s="19">
        <v>0.24790377666683153</v>
      </c>
      <c r="C31" s="19">
        <v>0.24516122271474539</v>
      </c>
      <c r="D31" s="19">
        <v>0.27729839844979204</v>
      </c>
      <c r="E31" s="19">
        <v>0.22818384934567509</v>
      </c>
      <c r="F31" s="19">
        <v>0.26918013763156423</v>
      </c>
      <c r="G31" s="19">
        <v>0.26427439870788638</v>
      </c>
      <c r="H31" s="19">
        <v>0.2840383259078319</v>
      </c>
      <c r="I31" s="19">
        <v>0.25796381746550029</v>
      </c>
      <c r="J31" s="19">
        <v>0.25127633957321566</v>
      </c>
      <c r="K31" s="19">
        <v>0.25169431319703656</v>
      </c>
      <c r="L31" s="19">
        <v>0.24769182953361252</v>
      </c>
      <c r="M31" s="19">
        <v>0.300344731160121</v>
      </c>
      <c r="N31" s="19">
        <v>0.26234128945944113</v>
      </c>
      <c r="O31" s="19">
        <v>0.26490661901896789</v>
      </c>
      <c r="P31" s="19">
        <v>0.30600870185418427</v>
      </c>
      <c r="Q31" s="19">
        <v>0.29041523445645506</v>
      </c>
      <c r="R31" s="19">
        <v>0.27452344896944741</v>
      </c>
      <c r="S31" s="19">
        <v>0.25009386166777831</v>
      </c>
      <c r="T31" s="108">
        <f t="shared" si="6"/>
        <v>-0.11824779054373513</v>
      </c>
      <c r="U31" s="108">
        <f t="shared" si="7"/>
        <v>-1.4812757351189587</v>
      </c>
      <c r="V31" s="106">
        <f t="shared" si="8"/>
        <v>-2.4429587301669109</v>
      </c>
    </row>
    <row r="32" spans="1:28" ht="15" customHeight="1" x14ac:dyDescent="0.25">
      <c r="A32" s="58" t="s">
        <v>3</v>
      </c>
      <c r="B32" s="72">
        <v>0.33191930733977587</v>
      </c>
      <c r="C32" s="72">
        <v>0.31915992748926886</v>
      </c>
      <c r="D32" s="72">
        <v>0.31535166012138521</v>
      </c>
      <c r="E32" s="72">
        <v>0.33643735482420739</v>
      </c>
      <c r="F32" s="72">
        <v>0.31921511436292921</v>
      </c>
      <c r="G32" s="72">
        <v>0.32158774373259036</v>
      </c>
      <c r="H32" s="72">
        <v>0.32201158729534618</v>
      </c>
      <c r="I32" s="72">
        <v>0.32233029557231246</v>
      </c>
      <c r="J32" s="72">
        <v>0.31692017002274492</v>
      </c>
      <c r="K32" s="72">
        <v>0.31093948000541566</v>
      </c>
      <c r="L32" s="72">
        <v>0.31526800406119782</v>
      </c>
      <c r="M32" s="72">
        <v>0.31324776144500649</v>
      </c>
      <c r="N32" s="72">
        <v>0.31634443905744536</v>
      </c>
      <c r="O32" s="72">
        <v>0.33071199052934214</v>
      </c>
      <c r="P32" s="72">
        <v>0.32359032787792691</v>
      </c>
      <c r="Q32" s="72">
        <v>0.30334313807883029</v>
      </c>
      <c r="R32" s="72">
        <v>0.28433395882879597</v>
      </c>
      <c r="S32" s="72">
        <v>0.26869742023570836</v>
      </c>
      <c r="T32" s="108">
        <f t="shared" si="6"/>
        <v>-4.8222749787036552</v>
      </c>
      <c r="U32" s="108">
        <f t="shared" si="7"/>
        <v>-6.2014570293633771</v>
      </c>
      <c r="V32" s="106">
        <f t="shared" si="8"/>
        <v>-1.5636538593087612</v>
      </c>
    </row>
    <row r="33" spans="1:22" ht="15" customHeight="1" x14ac:dyDescent="0.25">
      <c r="A33" s="42" t="s">
        <v>0</v>
      </c>
      <c r="B33" s="17">
        <v>0.32146702439195468</v>
      </c>
      <c r="C33" s="17">
        <v>0.30072228788143157</v>
      </c>
      <c r="D33" s="17">
        <v>0.30191993225704622</v>
      </c>
      <c r="E33" s="17">
        <v>0.31652388252622737</v>
      </c>
      <c r="F33" s="17">
        <v>0.31146168260768825</v>
      </c>
      <c r="G33" s="17">
        <v>0.3098726815733005</v>
      </c>
      <c r="H33" s="17">
        <v>0.3170650492245593</v>
      </c>
      <c r="I33" s="17">
        <v>0.3088674236465927</v>
      </c>
      <c r="J33" s="17">
        <v>0.30042711497084262</v>
      </c>
      <c r="K33" s="17">
        <v>0.29654937033322182</v>
      </c>
      <c r="L33" s="17">
        <v>0.29620939872447899</v>
      </c>
      <c r="M33" s="17">
        <v>0.31547035130867096</v>
      </c>
      <c r="N33" s="17">
        <v>0.30654228103369174</v>
      </c>
      <c r="O33" s="17">
        <v>0.31386530398051615</v>
      </c>
      <c r="P33" s="17">
        <v>0.33155761935676559</v>
      </c>
      <c r="Q33" s="17">
        <v>0.31252383265163591</v>
      </c>
      <c r="R33" s="17">
        <v>0.29569469394321257</v>
      </c>
      <c r="S33" s="17">
        <v>0.27359397626049542</v>
      </c>
      <c r="T33" s="126">
        <f t="shared" si="6"/>
        <v>-2.6833138710347204</v>
      </c>
      <c r="U33" s="126">
        <f t="shared" si="7"/>
        <v>-4.0271327720020729</v>
      </c>
      <c r="V33" s="127">
        <f t="shared" si="8"/>
        <v>-2.2100717682717153</v>
      </c>
    </row>
    <row r="34" spans="1:22" ht="15" customHeight="1" x14ac:dyDescent="0.25">
      <c r="C34" s="9"/>
      <c r="D34" s="9"/>
      <c r="E34" s="9"/>
      <c r="F34" s="9"/>
      <c r="G34" s="9"/>
      <c r="H34" s="9"/>
      <c r="I34" s="9"/>
      <c r="J34" s="9"/>
      <c r="K34" s="9"/>
      <c r="L34" s="9"/>
      <c r="M34" s="9"/>
      <c r="N34" s="9"/>
      <c r="O34" s="9"/>
      <c r="P34" s="9"/>
      <c r="Q34" s="9"/>
      <c r="R34" s="9"/>
      <c r="S34" s="9"/>
    </row>
    <row r="35" spans="1:22" ht="15" customHeight="1" x14ac:dyDescent="0.25">
      <c r="A35" s="60" t="s">
        <v>172</v>
      </c>
      <c r="B35" s="60"/>
      <c r="C35" s="79"/>
      <c r="D35" s="79"/>
      <c r="E35" s="79"/>
      <c r="F35" s="79"/>
      <c r="G35" s="79"/>
      <c r="H35" s="79"/>
      <c r="I35" s="79"/>
      <c r="J35" s="79"/>
      <c r="K35" s="79"/>
      <c r="L35" s="79"/>
      <c r="M35" s="79"/>
      <c r="N35" s="79"/>
      <c r="O35" s="79"/>
      <c r="P35" s="79"/>
      <c r="Q35" s="79"/>
      <c r="R35" s="79"/>
      <c r="S35" s="79"/>
      <c r="T35" s="79"/>
      <c r="U35" s="79"/>
      <c r="V35" s="79"/>
    </row>
    <row r="36" spans="1:22" ht="31.5" customHeight="1" x14ac:dyDescent="0.25">
      <c r="A36" s="28" t="s">
        <v>143</v>
      </c>
      <c r="B36" s="15">
        <v>2007</v>
      </c>
      <c r="C36" s="15">
        <v>2008</v>
      </c>
      <c r="D36" s="15">
        <v>2009</v>
      </c>
      <c r="E36" s="15">
        <v>2010</v>
      </c>
      <c r="F36" s="15">
        <v>2011</v>
      </c>
      <c r="G36" s="15">
        <v>2012</v>
      </c>
      <c r="H36" s="15">
        <v>2013</v>
      </c>
      <c r="I36" s="15">
        <v>2014</v>
      </c>
      <c r="J36" s="15">
        <v>2015</v>
      </c>
      <c r="K36" s="15">
        <v>2016</v>
      </c>
      <c r="L36" s="15">
        <v>2017</v>
      </c>
      <c r="M36" s="15">
        <v>2018</v>
      </c>
      <c r="N36" s="15">
        <v>2019</v>
      </c>
      <c r="O36" s="15">
        <v>2020</v>
      </c>
      <c r="P36" s="15">
        <v>2021</v>
      </c>
      <c r="Q36" s="15">
        <v>2022</v>
      </c>
      <c r="R36" s="15">
        <v>2023</v>
      </c>
      <c r="S36" s="15">
        <v>2024</v>
      </c>
      <c r="T36" s="27" t="s">
        <v>476</v>
      </c>
      <c r="U36" s="27" t="s">
        <v>477</v>
      </c>
      <c r="V36" s="27" t="s">
        <v>478</v>
      </c>
    </row>
    <row r="37" spans="1:22" ht="15" customHeight="1" x14ac:dyDescent="0.25">
      <c r="A37" s="30" t="s">
        <v>113</v>
      </c>
      <c r="B37" s="19">
        <v>0.31501597444089446</v>
      </c>
      <c r="C37" s="19">
        <v>0.30273299711777785</v>
      </c>
      <c r="D37" s="19">
        <v>0.30277990612827282</v>
      </c>
      <c r="E37" s="19">
        <v>0.32446044473535895</v>
      </c>
      <c r="F37" s="19">
        <v>0.31028078201122061</v>
      </c>
      <c r="G37" s="19">
        <v>0.31252355941999849</v>
      </c>
      <c r="H37" s="19">
        <v>0.3133688498668597</v>
      </c>
      <c r="I37" s="19">
        <v>0.31370646591028128</v>
      </c>
      <c r="J37" s="19">
        <v>0.30726522194846362</v>
      </c>
      <c r="K37" s="19">
        <v>0.3044604805561677</v>
      </c>
      <c r="L37" s="19">
        <v>0.30713938071931918</v>
      </c>
      <c r="M37" s="19">
        <v>0.30579262026945792</v>
      </c>
      <c r="N37" s="19">
        <v>0.30974327115043299</v>
      </c>
      <c r="O37" s="19">
        <v>0.32508883101546765</v>
      </c>
      <c r="P37" s="19">
        <v>0.31584835020521218</v>
      </c>
      <c r="Q37" s="19">
        <v>0.29360385252637466</v>
      </c>
      <c r="R37" s="19">
        <v>0.27654278449730296</v>
      </c>
      <c r="S37" s="19">
        <v>0.26197303878674527</v>
      </c>
      <c r="T37" s="108">
        <f t="shared" ref="T37:T41" si="9">(S37-J37)*100</f>
        <v>-4.5292183161718347</v>
      </c>
      <c r="U37" s="108">
        <f t="shared" ref="U37:U41" si="10">(S37-O37)*100</f>
        <v>-6.311579222872238</v>
      </c>
      <c r="V37" s="106">
        <f t="shared" ref="V37:V41" si="11">(S37-R37)*100</f>
        <v>-1.4569745710557691</v>
      </c>
    </row>
    <row r="38" spans="1:22" ht="15" customHeight="1" x14ac:dyDescent="0.25">
      <c r="A38" s="30" t="s">
        <v>114</v>
      </c>
      <c r="B38" s="19">
        <v>0.36246221489420222</v>
      </c>
      <c r="C38" s="19">
        <v>0.33891547049441784</v>
      </c>
      <c r="D38" s="19">
        <v>0.33075356415478591</v>
      </c>
      <c r="E38" s="19">
        <v>0.36644295302013441</v>
      </c>
      <c r="F38" s="19">
        <v>0.37039327232253272</v>
      </c>
      <c r="G38" s="19">
        <v>0.37641076522386169</v>
      </c>
      <c r="H38" s="19">
        <v>0.4193304044841687</v>
      </c>
      <c r="I38" s="19">
        <v>0.43634642688121061</v>
      </c>
      <c r="J38" s="19">
        <v>0.46397840391429029</v>
      </c>
      <c r="K38" s="19">
        <v>0.37615094339622585</v>
      </c>
      <c r="L38" s="19">
        <v>0.38408434793523344</v>
      </c>
      <c r="M38" s="19">
        <v>0.40060929169840054</v>
      </c>
      <c r="N38" s="19">
        <v>0.36318273769386372</v>
      </c>
      <c r="O38" s="19">
        <v>0.2914930936198194</v>
      </c>
      <c r="P38" s="19">
        <v>0.34389981410820825</v>
      </c>
      <c r="Q38" s="19">
        <v>0.29529960531036964</v>
      </c>
      <c r="R38" s="19">
        <v>0.26459627329192525</v>
      </c>
      <c r="S38" s="19">
        <v>0.28064097011693351</v>
      </c>
      <c r="T38" s="108">
        <f t="shared" si="9"/>
        <v>-18.333743379735679</v>
      </c>
      <c r="U38" s="108">
        <f t="shared" si="10"/>
        <v>-1.0852123502885891</v>
      </c>
      <c r="V38" s="106">
        <f t="shared" si="11"/>
        <v>1.6044696825008253</v>
      </c>
    </row>
    <row r="39" spans="1:22" ht="15" customHeight="1" x14ac:dyDescent="0.25">
      <c r="A39" s="58" t="s">
        <v>144</v>
      </c>
      <c r="B39" s="72">
        <v>0.33693649297223166</v>
      </c>
      <c r="C39" s="72">
        <v>0.35749789801671683</v>
      </c>
      <c r="D39" s="72">
        <v>0.32276729559748424</v>
      </c>
      <c r="E39" s="72">
        <v>0.2830383640317678</v>
      </c>
      <c r="F39" s="72">
        <v>0.27646072436264307</v>
      </c>
      <c r="G39" s="72">
        <v>0.27863351628432453</v>
      </c>
      <c r="H39" s="72">
        <v>0.26958797825240477</v>
      </c>
      <c r="I39" s="72">
        <v>0.26906502008448274</v>
      </c>
      <c r="J39" s="72">
        <v>0.28722937143243144</v>
      </c>
      <c r="K39" s="72">
        <v>0.28396662196393985</v>
      </c>
      <c r="L39" s="72">
        <v>0.26942762241133011</v>
      </c>
      <c r="M39" s="72">
        <v>0.31052919754969138</v>
      </c>
      <c r="N39" s="72">
        <v>0.30857386669860454</v>
      </c>
      <c r="O39" s="72">
        <v>0.28936674482120239</v>
      </c>
      <c r="P39" s="72">
        <v>0.32847923216945213</v>
      </c>
      <c r="Q39" s="72">
        <v>0.30769481471824778</v>
      </c>
      <c r="R39" s="72">
        <v>0.29337225408543904</v>
      </c>
      <c r="S39" s="72">
        <v>0.27633113648691277</v>
      </c>
      <c r="T39" s="108">
        <f t="shared" si="9"/>
        <v>-1.089823494551867</v>
      </c>
      <c r="U39" s="108">
        <f t="shared" si="10"/>
        <v>-1.3035608334289628</v>
      </c>
      <c r="V39" s="106">
        <f t="shared" si="11"/>
        <v>-1.7041117598526279</v>
      </c>
    </row>
    <row r="40" spans="1:22" ht="15" customHeight="1" x14ac:dyDescent="0.25">
      <c r="A40" s="58" t="s">
        <v>4</v>
      </c>
      <c r="B40" s="72">
        <v>0.32675162719466172</v>
      </c>
      <c r="C40" s="72">
        <v>0.26046812641570488</v>
      </c>
      <c r="D40" s="72">
        <v>0.28548939324414946</v>
      </c>
      <c r="E40" s="72">
        <v>0.30820465338550229</v>
      </c>
      <c r="F40" s="72">
        <v>0.33044347041381983</v>
      </c>
      <c r="G40" s="72">
        <v>0.31842322831107667</v>
      </c>
      <c r="H40" s="72">
        <v>0.34806903575655801</v>
      </c>
      <c r="I40" s="72">
        <v>0.31934477097652947</v>
      </c>
      <c r="J40" s="72">
        <v>0.29215357364161565</v>
      </c>
      <c r="K40" s="72">
        <v>0.28876257812590256</v>
      </c>
      <c r="L40" s="72">
        <v>0.29217573112708972</v>
      </c>
      <c r="M40" s="72">
        <v>0.33479754648328364</v>
      </c>
      <c r="N40" s="72">
        <v>0.29827108716476414</v>
      </c>
      <c r="O40" s="72">
        <v>0.31281209050406211</v>
      </c>
      <c r="P40" s="72">
        <v>0.36650320871635572</v>
      </c>
      <c r="Q40" s="72">
        <v>0.36189264513331648</v>
      </c>
      <c r="R40" s="72">
        <v>0.34388892323428732</v>
      </c>
      <c r="S40" s="72">
        <v>0.29695155520758698</v>
      </c>
      <c r="T40" s="108">
        <f t="shared" si="9"/>
        <v>0.47979815659713321</v>
      </c>
      <c r="U40" s="108">
        <f t="shared" si="10"/>
        <v>-1.5860535296475131</v>
      </c>
      <c r="V40" s="106">
        <f t="shared" si="11"/>
        <v>-4.6937368026700348</v>
      </c>
    </row>
    <row r="41" spans="1:22" ht="15" customHeight="1" x14ac:dyDescent="0.25">
      <c r="A41" s="42" t="s">
        <v>0</v>
      </c>
      <c r="B41" s="17">
        <v>0.32146702439195468</v>
      </c>
      <c r="C41" s="17">
        <v>0.30072228788143157</v>
      </c>
      <c r="D41" s="17">
        <v>0.30191993225704622</v>
      </c>
      <c r="E41" s="17">
        <v>0.31652388252622737</v>
      </c>
      <c r="F41" s="17">
        <v>0.31146168260768825</v>
      </c>
      <c r="G41" s="17">
        <v>0.3098726815733005</v>
      </c>
      <c r="H41" s="17">
        <v>0.3170650492245593</v>
      </c>
      <c r="I41" s="17">
        <v>0.3088674236465927</v>
      </c>
      <c r="J41" s="17">
        <v>0.30042711497084262</v>
      </c>
      <c r="K41" s="17">
        <v>0.29654937033322182</v>
      </c>
      <c r="L41" s="17">
        <v>0.29620939872447899</v>
      </c>
      <c r="M41" s="17">
        <v>0.31547035130867096</v>
      </c>
      <c r="N41" s="17">
        <v>0.30654228103369174</v>
      </c>
      <c r="O41" s="17">
        <v>0.31386530398051615</v>
      </c>
      <c r="P41" s="17">
        <v>0.33155761935676559</v>
      </c>
      <c r="Q41" s="17">
        <v>0.31252383265163591</v>
      </c>
      <c r="R41" s="17">
        <v>0.29569469394321257</v>
      </c>
      <c r="S41" s="17">
        <v>0.27359397626049542</v>
      </c>
      <c r="T41" s="126">
        <f t="shared" si="9"/>
        <v>-2.6833138710347204</v>
      </c>
      <c r="U41" s="126">
        <f t="shared" si="10"/>
        <v>-4.0271327720020729</v>
      </c>
      <c r="V41" s="127">
        <f t="shared" si="11"/>
        <v>-2.2100717682717153</v>
      </c>
    </row>
    <row r="42" spans="1:22" ht="15" customHeight="1" x14ac:dyDescent="0.25">
      <c r="A42" s="59"/>
      <c r="B42" s="59"/>
      <c r="C42" s="51"/>
      <c r="D42" s="51"/>
      <c r="E42" s="51"/>
      <c r="F42" s="51"/>
      <c r="G42" s="51"/>
      <c r="H42" s="51"/>
      <c r="I42" s="51"/>
      <c r="J42" s="51"/>
      <c r="K42" s="51"/>
      <c r="L42" s="51"/>
      <c r="M42" s="51"/>
      <c r="N42" s="51"/>
      <c r="O42" s="51"/>
      <c r="P42" s="51"/>
      <c r="Q42" s="51"/>
      <c r="R42" s="51"/>
      <c r="S42" s="51"/>
      <c r="T42" s="51"/>
      <c r="U42" s="51"/>
      <c r="V42" s="51"/>
    </row>
    <row r="43" spans="1:22" ht="15" customHeight="1" x14ac:dyDescent="0.25">
      <c r="A43" s="60" t="s">
        <v>325</v>
      </c>
      <c r="B43" s="60"/>
      <c r="C43" s="79"/>
      <c r="D43" s="79"/>
      <c r="E43" s="79"/>
      <c r="F43" s="79"/>
      <c r="G43" s="79"/>
      <c r="H43" s="79"/>
      <c r="I43" s="79"/>
      <c r="J43" s="79"/>
      <c r="K43" s="79"/>
      <c r="L43" s="79"/>
      <c r="M43" s="79"/>
      <c r="N43" s="79"/>
      <c r="O43" s="79"/>
      <c r="P43" s="79"/>
      <c r="Q43" s="79"/>
      <c r="R43" s="79"/>
      <c r="S43" s="79"/>
      <c r="T43" s="79"/>
      <c r="U43" s="79"/>
      <c r="V43" s="79"/>
    </row>
    <row r="44" spans="1:22" ht="33" customHeight="1" x14ac:dyDescent="0.25">
      <c r="A44" s="28" t="s">
        <v>326</v>
      </c>
      <c r="B44" s="15">
        <v>2007</v>
      </c>
      <c r="C44" s="15">
        <v>2008</v>
      </c>
      <c r="D44" s="15">
        <v>2009</v>
      </c>
      <c r="E44" s="15">
        <v>2010</v>
      </c>
      <c r="F44" s="15">
        <v>2011</v>
      </c>
      <c r="G44" s="15">
        <v>2012</v>
      </c>
      <c r="H44" s="15">
        <v>2013</v>
      </c>
      <c r="I44" s="15">
        <v>2014</v>
      </c>
      <c r="J44" s="15">
        <v>2015</v>
      </c>
      <c r="K44" s="15">
        <v>2016</v>
      </c>
      <c r="L44" s="15">
        <v>2017</v>
      </c>
      <c r="M44" s="15">
        <v>2018</v>
      </c>
      <c r="N44" s="15">
        <v>2019</v>
      </c>
      <c r="O44" s="15">
        <v>2020</v>
      </c>
      <c r="P44" s="15">
        <v>2021</v>
      </c>
      <c r="Q44" s="15">
        <v>2022</v>
      </c>
      <c r="R44" s="15">
        <v>2023</v>
      </c>
      <c r="S44" s="15">
        <v>2024</v>
      </c>
      <c r="T44" s="27" t="s">
        <v>476</v>
      </c>
      <c r="U44" s="27" t="s">
        <v>477</v>
      </c>
      <c r="V44" s="27" t="s">
        <v>478</v>
      </c>
    </row>
    <row r="45" spans="1:22" ht="15" customHeight="1" x14ac:dyDescent="0.25">
      <c r="A45" s="33" t="s">
        <v>1</v>
      </c>
      <c r="B45" s="73">
        <v>0.37303860928445859</v>
      </c>
      <c r="C45" s="73">
        <v>0.27114673099896763</v>
      </c>
      <c r="D45" s="73">
        <v>0.25403953498132364</v>
      </c>
      <c r="E45" s="73">
        <v>0.34176067687348904</v>
      </c>
      <c r="F45" s="73">
        <v>0.34411235614122532</v>
      </c>
      <c r="G45" s="73">
        <v>0.33465055369204616</v>
      </c>
      <c r="H45" s="73">
        <v>0.35814835796810329</v>
      </c>
      <c r="I45" s="73">
        <v>0.35766138474748277</v>
      </c>
      <c r="J45" s="73">
        <v>0.34226984010502015</v>
      </c>
      <c r="K45" s="73">
        <v>0.34382121267631444</v>
      </c>
      <c r="L45" s="73">
        <v>0.33683457903970043</v>
      </c>
      <c r="M45" s="73">
        <v>0.37367208498656096</v>
      </c>
      <c r="N45" s="73">
        <v>0.38763503610010308</v>
      </c>
      <c r="O45" s="73">
        <v>0.38200211672498774</v>
      </c>
      <c r="P45" s="73">
        <v>0.45223156073692505</v>
      </c>
      <c r="Q45" s="73">
        <v>0.42796577655003076</v>
      </c>
      <c r="R45" s="73">
        <v>0.41478307972620276</v>
      </c>
      <c r="S45" s="73">
        <v>0.36910866280045979</v>
      </c>
      <c r="T45" s="126">
        <f t="shared" ref="T45:T55" si="12">(S45-J45)*100</f>
        <v>2.6838822695439637</v>
      </c>
      <c r="U45" s="126">
        <f t="shared" ref="U45:U55" si="13">(S45-O45)*100</f>
        <v>-1.2893453924527953</v>
      </c>
      <c r="V45" s="127">
        <f t="shared" ref="V45:V55" si="14">(S45-R45)*100</f>
        <v>-4.567441692574298</v>
      </c>
    </row>
    <row r="46" spans="1:22" ht="15" customHeight="1" x14ac:dyDescent="0.25">
      <c r="A46" s="29" t="s">
        <v>4</v>
      </c>
      <c r="B46" s="18">
        <v>0.37303860928445859</v>
      </c>
      <c r="C46" s="18">
        <v>0.27114673099896763</v>
      </c>
      <c r="D46" s="18">
        <v>0.25403953498132364</v>
      </c>
      <c r="E46" s="18">
        <v>0.34176067687348904</v>
      </c>
      <c r="F46" s="18">
        <v>0.34411235614122532</v>
      </c>
      <c r="G46" s="18">
        <v>0.33465055369204616</v>
      </c>
      <c r="H46" s="18">
        <v>0.35814835796810329</v>
      </c>
      <c r="I46" s="18">
        <v>0.35766138474748277</v>
      </c>
      <c r="J46" s="18">
        <v>0.34226984010502015</v>
      </c>
      <c r="K46" s="18">
        <v>0.34382121267631444</v>
      </c>
      <c r="L46" s="18">
        <v>0.33683457903970043</v>
      </c>
      <c r="M46" s="18">
        <v>0.37367208498656096</v>
      </c>
      <c r="N46" s="18">
        <v>0.38763503610010308</v>
      </c>
      <c r="O46" s="18">
        <v>0.38200211672498774</v>
      </c>
      <c r="P46" s="18">
        <v>0.45223156073692505</v>
      </c>
      <c r="Q46" s="18">
        <v>0.42796577655003076</v>
      </c>
      <c r="R46" s="18">
        <v>0.41478307972620276</v>
      </c>
      <c r="S46" s="18">
        <v>0.36910866280045979</v>
      </c>
      <c r="T46" s="108">
        <f t="shared" si="12"/>
        <v>2.6838822695439637</v>
      </c>
      <c r="U46" s="108">
        <f t="shared" si="13"/>
        <v>-1.2893453924527953</v>
      </c>
      <c r="V46" s="106">
        <f t="shared" si="14"/>
        <v>-4.567441692574298</v>
      </c>
    </row>
    <row r="47" spans="1:22" ht="15" customHeight="1" x14ac:dyDescent="0.25">
      <c r="A47" s="33" t="s">
        <v>147</v>
      </c>
      <c r="B47" s="73">
        <v>0.24790377666683153</v>
      </c>
      <c r="C47" s="73">
        <v>0.24516122271474566</v>
      </c>
      <c r="D47" s="73">
        <v>0.27729839844979204</v>
      </c>
      <c r="E47" s="73">
        <v>0.22818384934567509</v>
      </c>
      <c r="F47" s="73">
        <v>0.26918013763156423</v>
      </c>
      <c r="G47" s="73">
        <v>0.26427439870788638</v>
      </c>
      <c r="H47" s="73">
        <v>0.2840383259078319</v>
      </c>
      <c r="I47" s="73">
        <v>0.25796381746550029</v>
      </c>
      <c r="J47" s="73">
        <v>0.25127633957321566</v>
      </c>
      <c r="K47" s="73">
        <v>0.25169431319703656</v>
      </c>
      <c r="L47" s="73">
        <v>0.24769182953361238</v>
      </c>
      <c r="M47" s="73">
        <v>0.300344731160121</v>
      </c>
      <c r="N47" s="73">
        <v>0.26234128945944113</v>
      </c>
      <c r="O47" s="73">
        <v>0.26490661901896789</v>
      </c>
      <c r="P47" s="73">
        <v>0.30600870185418427</v>
      </c>
      <c r="Q47" s="73">
        <v>0.29041523445645506</v>
      </c>
      <c r="R47" s="73">
        <v>0.27452344896944741</v>
      </c>
      <c r="S47" s="73">
        <v>0.25009386166777814</v>
      </c>
      <c r="T47" s="126">
        <f t="shared" si="12"/>
        <v>-0.11824779054375179</v>
      </c>
      <c r="U47" s="126">
        <f t="shared" si="13"/>
        <v>-1.4812757351189754</v>
      </c>
      <c r="V47" s="127">
        <f t="shared" si="14"/>
        <v>-2.4429587301669278</v>
      </c>
    </row>
    <row r="48" spans="1:22" ht="15" customHeight="1" x14ac:dyDescent="0.25">
      <c r="A48" s="29" t="s">
        <v>144</v>
      </c>
      <c r="B48" s="18">
        <v>0.2754862182030513</v>
      </c>
      <c r="C48" s="18">
        <v>0.2723107709591352</v>
      </c>
      <c r="D48" s="18">
        <v>0.27465843984133986</v>
      </c>
      <c r="E48" s="18">
        <v>0.23156865320897377</v>
      </c>
      <c r="F48" s="18">
        <v>0.25116407450076816</v>
      </c>
      <c r="G48" s="18">
        <v>0.2506613290954629</v>
      </c>
      <c r="H48" s="18">
        <v>0.24810043225719319</v>
      </c>
      <c r="I48" s="18">
        <v>0.25261556699779331</v>
      </c>
      <c r="J48" s="18">
        <v>0.27280499105942552</v>
      </c>
      <c r="K48" s="18">
        <v>0.26852205216420511</v>
      </c>
      <c r="L48" s="18">
        <v>0.25246617673276134</v>
      </c>
      <c r="M48" s="18">
        <v>0.29625485420917524</v>
      </c>
      <c r="N48" s="18">
        <v>0.29471895270867166</v>
      </c>
      <c r="O48" s="18">
        <v>0.26810864609010654</v>
      </c>
      <c r="P48" s="18">
        <v>0.31130970374848843</v>
      </c>
      <c r="Q48" s="18">
        <v>0.29059316956261216</v>
      </c>
      <c r="R48" s="18">
        <v>0.2752505488212274</v>
      </c>
      <c r="S48" s="18">
        <v>0.25972556598769136</v>
      </c>
      <c r="T48" s="108">
        <f t="shared" si="12"/>
        <v>-1.3079425071734152</v>
      </c>
      <c r="U48" s="108">
        <f t="shared" si="13"/>
        <v>-0.83830801024151747</v>
      </c>
      <c r="V48" s="106">
        <f t="shared" si="14"/>
        <v>-1.5524982833536038</v>
      </c>
    </row>
    <row r="49" spans="1:22" ht="15" customHeight="1" x14ac:dyDescent="0.25">
      <c r="A49" s="29" t="s">
        <v>4</v>
      </c>
      <c r="B49" s="18">
        <v>0.19407433380084163</v>
      </c>
      <c r="C49" s="18">
        <v>0.2049455264047427</v>
      </c>
      <c r="D49" s="18">
        <v>0.28070907986638333</v>
      </c>
      <c r="E49" s="18">
        <v>0.22410181485328018</v>
      </c>
      <c r="F49" s="18">
        <v>0.2886881943993243</v>
      </c>
      <c r="G49" s="18">
        <v>0.27861608562043028</v>
      </c>
      <c r="H49" s="18">
        <v>0.32135093439921469</v>
      </c>
      <c r="I49" s="18">
        <v>0.26336436601740809</v>
      </c>
      <c r="J49" s="18">
        <v>0.23166243541645601</v>
      </c>
      <c r="K49" s="18">
        <v>0.23520415282855639</v>
      </c>
      <c r="L49" s="18">
        <v>0.24236378608100725</v>
      </c>
      <c r="M49" s="18">
        <v>0.30549085375322232</v>
      </c>
      <c r="N49" s="18">
        <v>0.22163517222777551</v>
      </c>
      <c r="O49" s="18">
        <v>0.26136538166180301</v>
      </c>
      <c r="P49" s="18">
        <v>0.29887459888832946</v>
      </c>
      <c r="Q49" s="18">
        <v>0.2901187330360025</v>
      </c>
      <c r="R49" s="18">
        <v>0.27340718597971997</v>
      </c>
      <c r="S49" s="18">
        <v>0.23592273811408085</v>
      </c>
      <c r="T49" s="108">
        <f t="shared" si="12"/>
        <v>0.42603026976248404</v>
      </c>
      <c r="U49" s="108">
        <f t="shared" si="13"/>
        <v>-2.5442643547722161</v>
      </c>
      <c r="V49" s="106">
        <f t="shared" si="14"/>
        <v>-3.7484447865639119</v>
      </c>
    </row>
    <row r="50" spans="1:22" ht="15" customHeight="1" x14ac:dyDescent="0.25">
      <c r="A50" s="33" t="s">
        <v>3</v>
      </c>
      <c r="B50" s="73">
        <v>0.33191930733977587</v>
      </c>
      <c r="C50" s="73">
        <v>0.31915992748926886</v>
      </c>
      <c r="D50" s="73">
        <v>0.31535166012138521</v>
      </c>
      <c r="E50" s="73">
        <v>0.33643735482420739</v>
      </c>
      <c r="F50" s="73">
        <v>0.31921511436292921</v>
      </c>
      <c r="G50" s="73">
        <v>0.32158774373259036</v>
      </c>
      <c r="H50" s="73">
        <v>0.32201158729534618</v>
      </c>
      <c r="I50" s="73">
        <v>0.32233029557231246</v>
      </c>
      <c r="J50" s="73">
        <v>0.3169201700227447</v>
      </c>
      <c r="K50" s="73">
        <v>0.31093948000541566</v>
      </c>
      <c r="L50" s="73">
        <v>0.31526800406119798</v>
      </c>
      <c r="M50" s="73">
        <v>0.31324776144500649</v>
      </c>
      <c r="N50" s="73">
        <v>0.31634443905744536</v>
      </c>
      <c r="O50" s="73">
        <v>0.33071199052934214</v>
      </c>
      <c r="P50" s="73">
        <v>0.32359032787792691</v>
      </c>
      <c r="Q50" s="73">
        <v>0.30334313807883029</v>
      </c>
      <c r="R50" s="73">
        <v>0.28433395882879597</v>
      </c>
      <c r="S50" s="73">
        <v>0.26869742023570836</v>
      </c>
      <c r="T50" s="126">
        <f t="shared" si="12"/>
        <v>-4.8222749787036339</v>
      </c>
      <c r="U50" s="126">
        <f t="shared" si="13"/>
        <v>-6.2014570293633771</v>
      </c>
      <c r="V50" s="127">
        <f t="shared" si="14"/>
        <v>-1.5636538593087612</v>
      </c>
    </row>
    <row r="51" spans="1:22" ht="15" customHeight="1" x14ac:dyDescent="0.25">
      <c r="A51" s="29" t="s">
        <v>113</v>
      </c>
      <c r="B51" s="18">
        <v>0.31501597444089446</v>
      </c>
      <c r="C51" s="18">
        <v>0.30273299711777785</v>
      </c>
      <c r="D51" s="18">
        <v>0.30277990612827282</v>
      </c>
      <c r="E51" s="18">
        <v>0.32446044473535895</v>
      </c>
      <c r="F51" s="18">
        <v>0.31028078201122061</v>
      </c>
      <c r="G51" s="18">
        <v>0.31252355941999849</v>
      </c>
      <c r="H51" s="18">
        <v>0.3133688498668597</v>
      </c>
      <c r="I51" s="18">
        <v>0.31370646591028128</v>
      </c>
      <c r="J51" s="18">
        <v>0.30726522194846362</v>
      </c>
      <c r="K51" s="18">
        <v>0.3044604805561677</v>
      </c>
      <c r="L51" s="18">
        <v>0.30713938071931918</v>
      </c>
      <c r="M51" s="18">
        <v>0.30579262026945792</v>
      </c>
      <c r="N51" s="18">
        <v>0.30974327115043299</v>
      </c>
      <c r="O51" s="18">
        <v>0.32508883101546765</v>
      </c>
      <c r="P51" s="18">
        <v>0.31584835020521218</v>
      </c>
      <c r="Q51" s="18">
        <v>0.29360385252637466</v>
      </c>
      <c r="R51" s="18">
        <v>0.27654278449730296</v>
      </c>
      <c r="S51" s="18">
        <v>0.26197303878674527</v>
      </c>
      <c r="T51" s="108">
        <f t="shared" si="12"/>
        <v>-4.5292183161718347</v>
      </c>
      <c r="U51" s="108">
        <f t="shared" si="13"/>
        <v>-6.311579222872238</v>
      </c>
      <c r="V51" s="106">
        <f t="shared" si="14"/>
        <v>-1.4569745710557691</v>
      </c>
    </row>
    <row r="52" spans="1:22" ht="15" customHeight="1" x14ac:dyDescent="0.25">
      <c r="A52" s="29" t="s">
        <v>114</v>
      </c>
      <c r="B52" s="18">
        <v>0.36246221489420222</v>
      </c>
      <c r="C52" s="18">
        <v>0.33891547049441784</v>
      </c>
      <c r="D52" s="18">
        <v>0.33075356415478591</v>
      </c>
      <c r="E52" s="18">
        <v>0.36644295302013441</v>
      </c>
      <c r="F52" s="18">
        <v>0.37039327232253272</v>
      </c>
      <c r="G52" s="18">
        <v>0.37641076522386169</v>
      </c>
      <c r="H52" s="18">
        <v>0.4193304044841687</v>
      </c>
      <c r="I52" s="18">
        <v>0.43634642688121061</v>
      </c>
      <c r="J52" s="18">
        <v>0.46397840391429029</v>
      </c>
      <c r="K52" s="18">
        <v>0.37615094339622585</v>
      </c>
      <c r="L52" s="18">
        <v>0.38408434793523344</v>
      </c>
      <c r="M52" s="18">
        <v>0.40060929169840054</v>
      </c>
      <c r="N52" s="18">
        <v>0.36318273769386372</v>
      </c>
      <c r="O52" s="18">
        <v>0.2914930936198194</v>
      </c>
      <c r="P52" s="18">
        <v>0.34389981410820825</v>
      </c>
      <c r="Q52" s="18">
        <v>0.29529960531036964</v>
      </c>
      <c r="R52" s="18">
        <v>0.26459627329192525</v>
      </c>
      <c r="S52" s="18">
        <v>0.28064097011693351</v>
      </c>
      <c r="T52" s="108">
        <f t="shared" si="12"/>
        <v>-18.333743379735679</v>
      </c>
      <c r="U52" s="108">
        <f t="shared" si="13"/>
        <v>-1.0852123502885891</v>
      </c>
      <c r="V52" s="106">
        <f t="shared" si="14"/>
        <v>1.6044696825008253</v>
      </c>
    </row>
    <row r="53" spans="1:22" ht="15" customHeight="1" x14ac:dyDescent="0.25">
      <c r="A53" s="29" t="s">
        <v>144</v>
      </c>
      <c r="B53" s="18">
        <v>0.49150755093586446</v>
      </c>
      <c r="C53" s="18">
        <v>0.56048184708047499</v>
      </c>
      <c r="D53" s="18">
        <v>0.5353456669912372</v>
      </c>
      <c r="E53" s="18">
        <v>0.52262535670607413</v>
      </c>
      <c r="F53" s="18">
        <v>0.40607513988808969</v>
      </c>
      <c r="G53" s="18">
        <v>0.42355393434080246</v>
      </c>
      <c r="H53" s="18">
        <v>0.39537412276366485</v>
      </c>
      <c r="I53" s="18">
        <v>0.36491885143570496</v>
      </c>
      <c r="J53" s="18">
        <v>0.37778597181252044</v>
      </c>
      <c r="K53" s="18">
        <v>0.38918855989755119</v>
      </c>
      <c r="L53" s="18">
        <v>0.39978686153611942</v>
      </c>
      <c r="M53" s="18">
        <v>0.43001274060810596</v>
      </c>
      <c r="N53" s="18">
        <v>0.4203488766714179</v>
      </c>
      <c r="O53" s="18">
        <v>0.44372085206503897</v>
      </c>
      <c r="P53" s="18">
        <v>0.47287634664887018</v>
      </c>
      <c r="Q53" s="18">
        <v>0.47728323905077003</v>
      </c>
      <c r="R53" s="18">
        <v>0.52652519893899152</v>
      </c>
      <c r="S53" s="18">
        <v>0.63450152024323925</v>
      </c>
      <c r="T53" s="108">
        <f t="shared" si="12"/>
        <v>25.671554843071881</v>
      </c>
      <c r="U53" s="108">
        <f t="shared" si="13"/>
        <v>19.078066817820027</v>
      </c>
      <c r="V53" s="106">
        <f t="shared" si="14"/>
        <v>10.797632130424773</v>
      </c>
    </row>
    <row r="54" spans="1:22" ht="15" customHeight="1" x14ac:dyDescent="0.25">
      <c r="A54" s="29" t="s">
        <v>4</v>
      </c>
      <c r="B54" s="18">
        <v>0.44764211426129086</v>
      </c>
      <c r="C54" s="18">
        <v>0.34489469660109812</v>
      </c>
      <c r="D54" s="18">
        <v>0.42845705135537004</v>
      </c>
      <c r="E54" s="18">
        <v>0.46657548298854529</v>
      </c>
      <c r="F54" s="18">
        <v>0.44570416297608506</v>
      </c>
      <c r="G54" s="18">
        <v>0.42119663414382325</v>
      </c>
      <c r="H54" s="18">
        <v>0.42707762364548657</v>
      </c>
      <c r="I54" s="18">
        <v>0.4636187189993532</v>
      </c>
      <c r="J54" s="18">
        <v>0.43250400724789179</v>
      </c>
      <c r="K54" s="18">
        <v>0.35676011239626226</v>
      </c>
      <c r="L54" s="18">
        <v>0.39508881922675043</v>
      </c>
      <c r="M54" s="18">
        <v>0.34110711625044543</v>
      </c>
      <c r="N54" s="18">
        <v>0.34564624874479982</v>
      </c>
      <c r="O54" s="18">
        <v>0.3440795781399808</v>
      </c>
      <c r="P54" s="18">
        <v>0.3671257464360913</v>
      </c>
      <c r="Q54" s="18">
        <v>0.42405322035158127</v>
      </c>
      <c r="R54" s="18">
        <v>0.3661607299526235</v>
      </c>
      <c r="S54" s="18">
        <v>0.297315780475295</v>
      </c>
      <c r="T54" s="108">
        <f t="shared" si="12"/>
        <v>-13.518822677259678</v>
      </c>
      <c r="U54" s="108">
        <f t="shared" si="13"/>
        <v>-4.67637976646858</v>
      </c>
      <c r="V54" s="106">
        <f t="shared" si="14"/>
        <v>-6.8844949477328496</v>
      </c>
    </row>
    <row r="55" spans="1:22" ht="15" customHeight="1" x14ac:dyDescent="0.25">
      <c r="A55" s="31" t="s">
        <v>0</v>
      </c>
      <c r="B55" s="20">
        <v>0.32146702439195468</v>
      </c>
      <c r="C55" s="20">
        <v>0.30072228788143157</v>
      </c>
      <c r="D55" s="20">
        <v>0.30191993225704622</v>
      </c>
      <c r="E55" s="20">
        <v>0.31652388252622737</v>
      </c>
      <c r="F55" s="20">
        <v>0.31146168260768825</v>
      </c>
      <c r="G55" s="20">
        <v>0.3098726815733005</v>
      </c>
      <c r="H55" s="20">
        <v>0.3170650492245593</v>
      </c>
      <c r="I55" s="20">
        <v>0.3088674236465927</v>
      </c>
      <c r="J55" s="20">
        <v>0.30042711497084262</v>
      </c>
      <c r="K55" s="20">
        <v>0.29654937033322182</v>
      </c>
      <c r="L55" s="20">
        <v>0.29620939872447899</v>
      </c>
      <c r="M55" s="20">
        <v>0.31547035130867096</v>
      </c>
      <c r="N55" s="20">
        <v>0.30654228103369174</v>
      </c>
      <c r="O55" s="20">
        <v>0.31386530398051615</v>
      </c>
      <c r="P55" s="20">
        <v>0.33155761935676559</v>
      </c>
      <c r="Q55" s="20">
        <v>0.31252383265163591</v>
      </c>
      <c r="R55" s="20">
        <v>0.29569469394321257</v>
      </c>
      <c r="S55" s="20">
        <v>0.27359397626049542</v>
      </c>
      <c r="T55" s="126">
        <f t="shared" si="12"/>
        <v>-2.6833138710347204</v>
      </c>
      <c r="U55" s="126">
        <f t="shared" si="13"/>
        <v>-4.0271327720020729</v>
      </c>
      <c r="V55" s="127">
        <f t="shared" si="14"/>
        <v>-2.2100717682717153</v>
      </c>
    </row>
    <row r="56" spans="1:22" ht="15" customHeight="1" x14ac:dyDescent="0.25">
      <c r="A56" s="59"/>
      <c r="B56" s="59"/>
      <c r="C56" s="51"/>
      <c r="D56" s="51"/>
      <c r="E56" s="51"/>
      <c r="F56" s="51"/>
      <c r="G56" s="51"/>
      <c r="H56" s="51"/>
      <c r="I56" s="51"/>
      <c r="J56" s="51"/>
      <c r="K56" s="51"/>
      <c r="L56" s="51"/>
      <c r="M56" s="51"/>
      <c r="N56" s="51"/>
      <c r="O56" s="51"/>
      <c r="P56" s="51"/>
      <c r="Q56" s="51"/>
      <c r="R56" s="51"/>
      <c r="S56" s="51"/>
      <c r="T56" s="51"/>
      <c r="U56" s="51"/>
      <c r="V56" s="51"/>
    </row>
    <row r="57" spans="1:22" ht="15" customHeight="1" x14ac:dyDescent="0.25">
      <c r="A57" s="60" t="s">
        <v>320</v>
      </c>
      <c r="B57" s="60"/>
      <c r="C57" s="79"/>
      <c r="D57" s="79"/>
      <c r="E57" s="79"/>
      <c r="F57" s="79"/>
      <c r="G57" s="79"/>
      <c r="H57" s="79"/>
      <c r="I57" s="79"/>
      <c r="J57" s="79"/>
      <c r="K57" s="79"/>
      <c r="L57" s="79"/>
      <c r="M57" s="79"/>
      <c r="N57" s="79"/>
      <c r="O57" s="79"/>
      <c r="P57" s="79"/>
      <c r="Q57" s="79"/>
      <c r="R57" s="79"/>
      <c r="S57" s="79"/>
      <c r="T57" s="79"/>
      <c r="U57" s="79"/>
      <c r="V57" s="79"/>
    </row>
    <row r="58" spans="1:22" ht="36.75" customHeight="1" x14ac:dyDescent="0.25">
      <c r="A58" s="28" t="s">
        <v>107</v>
      </c>
      <c r="B58" s="15">
        <v>2007</v>
      </c>
      <c r="C58" s="15">
        <v>2008</v>
      </c>
      <c r="D58" s="15">
        <v>2009</v>
      </c>
      <c r="E58" s="15">
        <v>2010</v>
      </c>
      <c r="F58" s="15">
        <v>2011</v>
      </c>
      <c r="G58" s="15">
        <v>2012</v>
      </c>
      <c r="H58" s="15">
        <v>2013</v>
      </c>
      <c r="I58" s="15">
        <v>2014</v>
      </c>
      <c r="J58" s="15">
        <v>2015</v>
      </c>
      <c r="K58" s="15">
        <v>2016</v>
      </c>
      <c r="L58" s="15">
        <v>2017</v>
      </c>
      <c r="M58" s="15">
        <v>2018</v>
      </c>
      <c r="N58" s="15">
        <v>2019</v>
      </c>
      <c r="O58" s="15">
        <v>2020</v>
      </c>
      <c r="P58" s="15">
        <v>2021</v>
      </c>
      <c r="Q58" s="15">
        <v>2022</v>
      </c>
      <c r="R58" s="15">
        <v>2023</v>
      </c>
      <c r="S58" s="15">
        <v>2024</v>
      </c>
      <c r="T58" s="27" t="s">
        <v>476</v>
      </c>
      <c r="U58" s="27" t="s">
        <v>477</v>
      </c>
      <c r="V58" s="27" t="s">
        <v>478</v>
      </c>
    </row>
    <row r="59" spans="1:22" ht="15" customHeight="1" x14ac:dyDescent="0.25">
      <c r="A59" s="42" t="s">
        <v>5</v>
      </c>
      <c r="B59" s="20">
        <v>0.32020834961743216</v>
      </c>
      <c r="C59" s="20">
        <v>0.31267224393690679</v>
      </c>
      <c r="D59" s="20">
        <v>0.30633844261268073</v>
      </c>
      <c r="E59" s="20">
        <v>0.31862044048353816</v>
      </c>
      <c r="F59" s="20">
        <v>0.30505830230219333</v>
      </c>
      <c r="G59" s="20">
        <v>0.30672305069597305</v>
      </c>
      <c r="H59" s="20">
        <v>0.30546490858960512</v>
      </c>
      <c r="I59" s="20">
        <v>0.3050096515735452</v>
      </c>
      <c r="J59" s="20">
        <v>0.30385479590235887</v>
      </c>
      <c r="K59" s="20">
        <v>0.29990976034141498</v>
      </c>
      <c r="L59" s="20">
        <v>0.29783145886852036</v>
      </c>
      <c r="M59" s="20">
        <v>0.30785714671462294</v>
      </c>
      <c r="N59" s="20">
        <v>0.30983484041274595</v>
      </c>
      <c r="O59" s="20">
        <v>0.31430857290765879</v>
      </c>
      <c r="P59" s="20">
        <v>0.31949971935608779</v>
      </c>
      <c r="Q59" s="20">
        <v>0.29739888712255547</v>
      </c>
      <c r="R59" s="20">
        <v>0.280597666586269</v>
      </c>
      <c r="S59" s="20">
        <v>0.26587355291793929</v>
      </c>
      <c r="T59" s="126">
        <f t="shared" ref="T59:T81" si="15">(S59-J59)*100</f>
        <v>-3.798124298441957</v>
      </c>
      <c r="U59" s="126">
        <f t="shared" ref="U59:U81" si="16">(S59-O59)*100</f>
        <v>-4.8435019989719494</v>
      </c>
      <c r="V59" s="127">
        <f t="shared" ref="V59:V81" si="17">(S59-R59)*100</f>
        <v>-1.4724113668329708</v>
      </c>
    </row>
    <row r="60" spans="1:22" ht="15" customHeight="1" x14ac:dyDescent="0.25">
      <c r="A60" s="34" t="s">
        <v>8</v>
      </c>
      <c r="B60" s="19">
        <v>0.31646371976647225</v>
      </c>
      <c r="C60" s="19">
        <v>0.33724479057040613</v>
      </c>
      <c r="D60" s="19">
        <v>0.33079327862446278</v>
      </c>
      <c r="E60" s="19">
        <v>0.33234862140329791</v>
      </c>
      <c r="F60" s="19">
        <v>0.30816845022711487</v>
      </c>
      <c r="G60" s="19">
        <v>0.30239584437612582</v>
      </c>
      <c r="H60" s="19">
        <v>0.29161347746144067</v>
      </c>
      <c r="I60" s="19">
        <v>0.2840681763623269</v>
      </c>
      <c r="J60" s="19">
        <v>0.28461118330602481</v>
      </c>
      <c r="K60" s="19">
        <v>0.27686687022361867</v>
      </c>
      <c r="L60" s="19">
        <v>0.26933462862035429</v>
      </c>
      <c r="M60" s="19">
        <v>0.27638848966816792</v>
      </c>
      <c r="N60" s="19">
        <v>0.26482934617115311</v>
      </c>
      <c r="O60" s="19">
        <v>0.27285835392318081</v>
      </c>
      <c r="P60" s="19">
        <v>0.28794377604259658</v>
      </c>
      <c r="Q60" s="19">
        <v>0.2677365772631784</v>
      </c>
      <c r="R60" s="19">
        <v>0.25931124496951941</v>
      </c>
      <c r="S60" s="19">
        <v>0.24883430540408114</v>
      </c>
      <c r="T60" s="108">
        <f t="shared" si="15"/>
        <v>-3.5776877901943669</v>
      </c>
      <c r="U60" s="108">
        <f t="shared" si="16"/>
        <v>-2.4024048519099672</v>
      </c>
      <c r="V60" s="106">
        <f t="shared" si="17"/>
        <v>-1.047693956543827</v>
      </c>
    </row>
    <row r="61" spans="1:22" ht="15" customHeight="1" x14ac:dyDescent="0.25">
      <c r="A61" s="34" t="s">
        <v>9</v>
      </c>
      <c r="B61" s="19">
        <v>0.6189427312775333</v>
      </c>
      <c r="C61" s="19">
        <v>0.54966175350566704</v>
      </c>
      <c r="D61" s="19">
        <v>0.5563467634492576</v>
      </c>
      <c r="E61" s="19">
        <v>0.58442934913523081</v>
      </c>
      <c r="F61" s="19">
        <v>0.57769937217869505</v>
      </c>
      <c r="G61" s="19">
        <v>0.55871176135284073</v>
      </c>
      <c r="H61" s="19">
        <v>0.55912350242729181</v>
      </c>
      <c r="I61" s="19">
        <v>0.54952436770208801</v>
      </c>
      <c r="J61" s="19">
        <v>0.56408671674431887</v>
      </c>
      <c r="K61" s="19">
        <v>0.55225207427894063</v>
      </c>
      <c r="L61" s="19">
        <v>0.52156599089780731</v>
      </c>
      <c r="M61" s="19">
        <v>0.48785436836918034</v>
      </c>
      <c r="N61" s="19">
        <v>0.49353682381055858</v>
      </c>
      <c r="O61" s="19">
        <v>0.45737593473827337</v>
      </c>
      <c r="P61" s="19">
        <v>0.46151368760064415</v>
      </c>
      <c r="Q61" s="19">
        <v>0.42428704277743345</v>
      </c>
      <c r="R61" s="19">
        <v>0.41554941257774664</v>
      </c>
      <c r="S61" s="19">
        <v>0.39590398735635995</v>
      </c>
      <c r="T61" s="108">
        <f t="shared" si="15"/>
        <v>-16.818272938795893</v>
      </c>
      <c r="U61" s="108">
        <f t="shared" si="16"/>
        <v>-6.1471947381913417</v>
      </c>
      <c r="V61" s="106">
        <f t="shared" si="17"/>
        <v>-1.9645425221386681</v>
      </c>
    </row>
    <row r="62" spans="1:22" ht="15" customHeight="1" x14ac:dyDescent="0.25">
      <c r="A62" s="34" t="s">
        <v>10</v>
      </c>
      <c r="B62" s="19">
        <v>0.34240994225752552</v>
      </c>
      <c r="C62" s="19">
        <v>0.34710743801652905</v>
      </c>
      <c r="D62" s="19">
        <v>0.35669989795117385</v>
      </c>
      <c r="E62" s="19">
        <v>0.3478730774560066</v>
      </c>
      <c r="F62" s="19">
        <v>0.37504663433352881</v>
      </c>
      <c r="G62" s="19">
        <v>0.37483135961624997</v>
      </c>
      <c r="H62" s="19">
        <v>0.37799739357080731</v>
      </c>
      <c r="I62" s="19">
        <v>0.37047193289704128</v>
      </c>
      <c r="J62" s="19">
        <v>0.36689058617833792</v>
      </c>
      <c r="K62" s="19">
        <v>0.36433641859181803</v>
      </c>
      <c r="L62" s="19">
        <v>0.361881142221398</v>
      </c>
      <c r="M62" s="19">
        <v>0.36273238218763537</v>
      </c>
      <c r="N62" s="19">
        <v>0.350348843045726</v>
      </c>
      <c r="O62" s="19">
        <v>0.32193098142652982</v>
      </c>
      <c r="P62" s="19">
        <v>0.32746599611384125</v>
      </c>
      <c r="Q62" s="19">
        <v>0.30688961084822397</v>
      </c>
      <c r="R62" s="19">
        <v>0.27527013044289517</v>
      </c>
      <c r="S62" s="19">
        <v>0.2644543714103384</v>
      </c>
      <c r="T62" s="108">
        <f t="shared" si="15"/>
        <v>-10.243621476799952</v>
      </c>
      <c r="U62" s="108">
        <f t="shared" si="16"/>
        <v>-5.7476610016191421</v>
      </c>
      <c r="V62" s="106">
        <f t="shared" si="17"/>
        <v>-1.0815759032556771</v>
      </c>
    </row>
    <row r="63" spans="1:22" ht="15" customHeight="1" x14ac:dyDescent="0.25">
      <c r="A63" s="34" t="s">
        <v>11</v>
      </c>
      <c r="B63" s="19">
        <v>0.51835711951192942</v>
      </c>
      <c r="C63" s="19">
        <v>0.49646694414867892</v>
      </c>
      <c r="D63" s="19">
        <v>0.53108545970028265</v>
      </c>
      <c r="E63" s="19">
        <v>0.54039517014270055</v>
      </c>
      <c r="F63" s="19">
        <v>0.50349726775956261</v>
      </c>
      <c r="G63" s="19">
        <v>0.51243592177710295</v>
      </c>
      <c r="H63" s="19">
        <v>0.53462405244826772</v>
      </c>
      <c r="I63" s="19">
        <v>0.53250661074131489</v>
      </c>
      <c r="J63" s="19">
        <v>0.52177666922486599</v>
      </c>
      <c r="K63" s="19">
        <v>0.51600192215281104</v>
      </c>
      <c r="L63" s="19">
        <v>0.51829209121785536</v>
      </c>
      <c r="M63" s="19">
        <v>0.51004484304932729</v>
      </c>
      <c r="N63" s="19">
        <v>0.51566224038134156</v>
      </c>
      <c r="O63" s="19">
        <v>0.47918461096755666</v>
      </c>
      <c r="P63" s="19">
        <v>0.51615813648294029</v>
      </c>
      <c r="Q63" s="19">
        <v>0.49856665074056378</v>
      </c>
      <c r="R63" s="19">
        <v>0.44705223500661884</v>
      </c>
      <c r="S63" s="19">
        <v>0.41656902948642838</v>
      </c>
      <c r="T63" s="108">
        <f t="shared" si="15"/>
        <v>-10.52076397384376</v>
      </c>
      <c r="U63" s="108">
        <f t="shared" si="16"/>
        <v>-6.2615581481128277</v>
      </c>
      <c r="V63" s="106">
        <f t="shared" si="17"/>
        <v>-3.0483205520190459</v>
      </c>
    </row>
    <row r="64" spans="1:22" ht="15" customHeight="1" x14ac:dyDescent="0.25">
      <c r="A64" s="34" t="s">
        <v>12</v>
      </c>
      <c r="B64" s="19">
        <v>0.25730065283282805</v>
      </c>
      <c r="C64" s="19">
        <v>0.24742324040250424</v>
      </c>
      <c r="D64" s="19">
        <v>0.24863684523348054</v>
      </c>
      <c r="E64" s="19">
        <v>0.2736079150073723</v>
      </c>
      <c r="F64" s="19">
        <v>0.25782151598544112</v>
      </c>
      <c r="G64" s="19">
        <v>0.247052637728574</v>
      </c>
      <c r="H64" s="19">
        <v>0.25144310207935455</v>
      </c>
      <c r="I64" s="19">
        <v>0.25181801138662224</v>
      </c>
      <c r="J64" s="19">
        <v>0.23453316174634573</v>
      </c>
      <c r="K64" s="19">
        <v>0.22745462825693055</v>
      </c>
      <c r="L64" s="19">
        <v>0.21669463686352938</v>
      </c>
      <c r="M64" s="19">
        <v>0.23204170848287972</v>
      </c>
      <c r="N64" s="19">
        <v>0.22376626194586746</v>
      </c>
      <c r="O64" s="19">
        <v>0.21387325109694516</v>
      </c>
      <c r="P64" s="19">
        <v>0.20691004093493723</v>
      </c>
      <c r="Q64" s="19">
        <v>0.19860981605492903</v>
      </c>
      <c r="R64" s="19">
        <v>0.18882774548574613</v>
      </c>
      <c r="S64" s="19">
        <v>0.17902579016821912</v>
      </c>
      <c r="T64" s="108">
        <f t="shared" si="15"/>
        <v>-5.5507371578126605</v>
      </c>
      <c r="U64" s="108">
        <f t="shared" si="16"/>
        <v>-3.4847460928726037</v>
      </c>
      <c r="V64" s="106">
        <f t="shared" si="17"/>
        <v>-0.98019553175270058</v>
      </c>
    </row>
    <row r="65" spans="1:22" ht="15" customHeight="1" x14ac:dyDescent="0.25">
      <c r="A65" s="34" t="s">
        <v>13</v>
      </c>
      <c r="B65" s="19">
        <v>0.61180277518784565</v>
      </c>
      <c r="C65" s="19">
        <v>0.6349318621209975</v>
      </c>
      <c r="D65" s="19">
        <v>0.56394114077669888</v>
      </c>
      <c r="E65" s="19">
        <v>0.59612697919900692</v>
      </c>
      <c r="F65" s="19">
        <v>0.56295229795779267</v>
      </c>
      <c r="G65" s="19">
        <v>0.61493090663970351</v>
      </c>
      <c r="H65" s="19">
        <v>0.61702127659574579</v>
      </c>
      <c r="I65" s="19">
        <v>0.59208533198687119</v>
      </c>
      <c r="J65" s="19">
        <v>0.59221730807313933</v>
      </c>
      <c r="K65" s="19">
        <v>0.57781689090420851</v>
      </c>
      <c r="L65" s="19">
        <v>0.61064017104766666</v>
      </c>
      <c r="M65" s="19">
        <v>0.60758646536031602</v>
      </c>
      <c r="N65" s="19">
        <v>0.59067343807861183</v>
      </c>
      <c r="O65" s="19">
        <v>0.58874712097393389</v>
      </c>
      <c r="P65" s="19">
        <v>0.5933153354070072</v>
      </c>
      <c r="Q65" s="19">
        <v>0.58228090841848623</v>
      </c>
      <c r="R65" s="19">
        <v>0.5544700096601396</v>
      </c>
      <c r="S65" s="19">
        <v>0.5502489241414229</v>
      </c>
      <c r="T65" s="108">
        <f t="shared" si="15"/>
        <v>-4.1968383931716424</v>
      </c>
      <c r="U65" s="108">
        <f t="shared" si="16"/>
        <v>-3.8498196832510989</v>
      </c>
      <c r="V65" s="106">
        <f t="shared" si="17"/>
        <v>-0.4221085518716694</v>
      </c>
    </row>
    <row r="66" spans="1:22" ht="15" customHeight="1" x14ac:dyDescent="0.25">
      <c r="A66" s="34" t="s">
        <v>14</v>
      </c>
      <c r="B66" s="19">
        <v>0.17845128019177714</v>
      </c>
      <c r="C66" s="19">
        <v>0.17186947056868018</v>
      </c>
      <c r="D66" s="19">
        <v>0.17963031881900512</v>
      </c>
      <c r="E66" s="19">
        <v>0.21638605000736089</v>
      </c>
      <c r="F66" s="19">
        <v>0.20148754603253888</v>
      </c>
      <c r="G66" s="19">
        <v>0.21380017052699105</v>
      </c>
      <c r="H66" s="19">
        <v>0.21184501899133279</v>
      </c>
      <c r="I66" s="19">
        <v>0.2264443095980414</v>
      </c>
      <c r="J66" s="19">
        <v>0.23505007472174519</v>
      </c>
      <c r="K66" s="19">
        <v>0.22572911022201778</v>
      </c>
      <c r="L66" s="19">
        <v>0.22478732655298875</v>
      </c>
      <c r="M66" s="19">
        <v>0.23637216772994285</v>
      </c>
      <c r="N66" s="19">
        <v>0.22471360392877271</v>
      </c>
      <c r="O66" s="19">
        <v>0.23037991181006579</v>
      </c>
      <c r="P66" s="19">
        <v>0.23617887704548865</v>
      </c>
      <c r="Q66" s="19">
        <v>0.20198294628173816</v>
      </c>
      <c r="R66" s="19">
        <v>0.18739316649701351</v>
      </c>
      <c r="S66" s="19">
        <v>0.16589165434095574</v>
      </c>
      <c r="T66" s="108">
        <f t="shared" si="15"/>
        <v>-6.9158420380789458</v>
      </c>
      <c r="U66" s="108">
        <f t="shared" si="16"/>
        <v>-6.4488257469110053</v>
      </c>
      <c r="V66" s="106">
        <f t="shared" si="17"/>
        <v>-2.1501512156057778</v>
      </c>
    </row>
    <row r="67" spans="1:22" ht="15" customHeight="1" x14ac:dyDescent="0.25">
      <c r="A67" s="34" t="s">
        <v>15</v>
      </c>
      <c r="B67" s="19">
        <v>0.33731422505307873</v>
      </c>
      <c r="C67" s="19">
        <v>0.31425722831505482</v>
      </c>
      <c r="D67" s="19">
        <v>0.29237210995812779</v>
      </c>
      <c r="E67" s="19">
        <v>0.32486113448914367</v>
      </c>
      <c r="F67" s="19">
        <v>0.28056603773584876</v>
      </c>
      <c r="G67" s="19">
        <v>0.36148300720906285</v>
      </c>
      <c r="H67" s="19">
        <v>0.34011060507482122</v>
      </c>
      <c r="I67" s="19">
        <v>0.29588712897644059</v>
      </c>
      <c r="J67" s="19">
        <v>0.33735527117611219</v>
      </c>
      <c r="K67" s="19">
        <v>0.30851334180432094</v>
      </c>
      <c r="L67" s="19">
        <v>0.32894736842105288</v>
      </c>
      <c r="M67" s="19">
        <v>0.32145205839800084</v>
      </c>
      <c r="N67" s="19">
        <v>0.30588804255833613</v>
      </c>
      <c r="O67" s="19">
        <v>0.25947559709241935</v>
      </c>
      <c r="P67" s="19">
        <v>0.34754422590924122</v>
      </c>
      <c r="Q67" s="19">
        <v>0.32076490924805556</v>
      </c>
      <c r="R67" s="19">
        <v>0.29852796859666386</v>
      </c>
      <c r="S67" s="19">
        <v>0.29704157782516005</v>
      </c>
      <c r="T67" s="108">
        <f t="shared" si="15"/>
        <v>-4.0313693350952136</v>
      </c>
      <c r="U67" s="108">
        <f t="shared" si="16"/>
        <v>3.7565980732740698</v>
      </c>
      <c r="V67" s="106">
        <f t="shared" si="17"/>
        <v>-0.14863907715038094</v>
      </c>
    </row>
    <row r="68" spans="1:22" ht="15" customHeight="1" x14ac:dyDescent="0.25">
      <c r="A68" s="34" t="s">
        <v>16</v>
      </c>
      <c r="B68" s="19">
        <v>0.19411922252831332</v>
      </c>
      <c r="C68" s="19">
        <v>0.16971847646084676</v>
      </c>
      <c r="D68" s="19">
        <v>0.18017437133806158</v>
      </c>
      <c r="E68" s="19">
        <v>0.1870307078866969</v>
      </c>
      <c r="F68" s="19">
        <v>0.20767440809687324</v>
      </c>
      <c r="G68" s="19">
        <v>0.20876802019445051</v>
      </c>
      <c r="H68" s="19">
        <v>0.22638228544125824</v>
      </c>
      <c r="I68" s="19">
        <v>0.22536377538414268</v>
      </c>
      <c r="J68" s="19">
        <v>0.22431674668453117</v>
      </c>
      <c r="K68" s="19">
        <v>0.23121580443820175</v>
      </c>
      <c r="L68" s="19">
        <v>0.24431721164518039</v>
      </c>
      <c r="M68" s="19">
        <v>0.25025268034606318</v>
      </c>
      <c r="N68" s="19">
        <v>0.2655936512981466</v>
      </c>
      <c r="O68" s="19">
        <v>0.35916421808684301</v>
      </c>
      <c r="P68" s="19">
        <v>0.30393051880006394</v>
      </c>
      <c r="Q68" s="19">
        <v>0.26691246756793663</v>
      </c>
      <c r="R68" s="19">
        <v>0.23549456924261264</v>
      </c>
      <c r="S68" s="19">
        <v>0.20891819573417572</v>
      </c>
      <c r="T68" s="108">
        <f t="shared" si="15"/>
        <v>-1.5398550950355445</v>
      </c>
      <c r="U68" s="108">
        <f t="shared" si="16"/>
        <v>-15.024602235266729</v>
      </c>
      <c r="V68" s="106">
        <f t="shared" si="17"/>
        <v>-2.6576373508436917</v>
      </c>
    </row>
    <row r="69" spans="1:22" ht="15" customHeight="1" x14ac:dyDescent="0.25">
      <c r="A69" s="34" t="s">
        <v>17</v>
      </c>
      <c r="B69" s="19">
        <v>0.43960261437908488</v>
      </c>
      <c r="C69" s="19">
        <v>0.42966312812801605</v>
      </c>
      <c r="D69" s="19">
        <v>0.41845302975253318</v>
      </c>
      <c r="E69" s="19">
        <v>0.42415467076650915</v>
      </c>
      <c r="F69" s="19">
        <v>0.39323108384458078</v>
      </c>
      <c r="G69" s="19">
        <v>0.39049425914822389</v>
      </c>
      <c r="H69" s="19">
        <v>0.38064317611601139</v>
      </c>
      <c r="I69" s="19">
        <v>0.38139570778113746</v>
      </c>
      <c r="J69" s="19">
        <v>0.38185638721831755</v>
      </c>
      <c r="K69" s="19">
        <v>0.37925202492020244</v>
      </c>
      <c r="L69" s="19">
        <v>0.35301202858212488</v>
      </c>
      <c r="M69" s="19">
        <v>0.37508443016484427</v>
      </c>
      <c r="N69" s="19">
        <v>0.38466406306501777</v>
      </c>
      <c r="O69" s="19">
        <v>0.36168286587059162</v>
      </c>
      <c r="P69" s="19">
        <v>0.40115411361390441</v>
      </c>
      <c r="Q69" s="19">
        <v>0.38950585293222467</v>
      </c>
      <c r="R69" s="19">
        <v>0.3653435696837391</v>
      </c>
      <c r="S69" s="19">
        <v>0.3476963635602795</v>
      </c>
      <c r="T69" s="108">
        <f t="shared" si="15"/>
        <v>-3.4160023658038052</v>
      </c>
      <c r="U69" s="108">
        <f t="shared" si="16"/>
        <v>-1.3986502310312121</v>
      </c>
      <c r="V69" s="106">
        <f t="shared" si="17"/>
        <v>-1.7647206123459602</v>
      </c>
    </row>
    <row r="70" spans="1:22" ht="15" customHeight="1" x14ac:dyDescent="0.25">
      <c r="A70" s="42" t="s">
        <v>6</v>
      </c>
      <c r="B70" s="20">
        <v>0.32675162719466172</v>
      </c>
      <c r="C70" s="20">
        <v>0.26046812641570488</v>
      </c>
      <c r="D70" s="20">
        <v>0.28548939324414946</v>
      </c>
      <c r="E70" s="20">
        <v>0.30820465338550229</v>
      </c>
      <c r="F70" s="20">
        <v>0.33044347041381983</v>
      </c>
      <c r="G70" s="20">
        <v>0.31842322831107667</v>
      </c>
      <c r="H70" s="20">
        <v>0.34806903575655801</v>
      </c>
      <c r="I70" s="20">
        <v>0.31934477097652947</v>
      </c>
      <c r="J70" s="20">
        <v>0.29215357364161565</v>
      </c>
      <c r="K70" s="20">
        <v>0.28876257812590256</v>
      </c>
      <c r="L70" s="20">
        <v>0.29217573112708972</v>
      </c>
      <c r="M70" s="20">
        <v>0.33479754648328364</v>
      </c>
      <c r="N70" s="20">
        <v>0.29827108716476414</v>
      </c>
      <c r="O70" s="20">
        <v>0.31281209050406211</v>
      </c>
      <c r="P70" s="20">
        <v>0.36650320871635572</v>
      </c>
      <c r="Q70" s="20">
        <v>0.36189264513331648</v>
      </c>
      <c r="R70" s="20">
        <v>0.34388892323428732</v>
      </c>
      <c r="S70" s="20">
        <v>0.29695155520758698</v>
      </c>
      <c r="T70" s="126">
        <f t="shared" si="15"/>
        <v>0.47979815659713321</v>
      </c>
      <c r="U70" s="126">
        <f t="shared" si="16"/>
        <v>-1.5860535296475131</v>
      </c>
      <c r="V70" s="127">
        <f t="shared" si="17"/>
        <v>-4.6937368026700348</v>
      </c>
    </row>
    <row r="71" spans="1:22" ht="15" customHeight="1" x14ac:dyDescent="0.25">
      <c r="A71" s="34" t="s">
        <v>8</v>
      </c>
      <c r="B71" s="19">
        <v>0.32267062105003014</v>
      </c>
      <c r="C71" s="19">
        <v>0.29942636072572032</v>
      </c>
      <c r="D71" s="19">
        <v>0.28553872535010005</v>
      </c>
      <c r="E71" s="19">
        <v>0.2621343576244326</v>
      </c>
      <c r="F71" s="19">
        <v>0.32064619048688964</v>
      </c>
      <c r="G71" s="19">
        <v>0.31602837436874887</v>
      </c>
      <c r="H71" s="19">
        <v>0.33497644317019615</v>
      </c>
      <c r="I71" s="19">
        <v>0.28899133262815552</v>
      </c>
      <c r="J71" s="19">
        <v>0.25797670386979382</v>
      </c>
      <c r="K71" s="19">
        <v>0.25011564379211626</v>
      </c>
      <c r="L71" s="19">
        <v>0.25275621751392663</v>
      </c>
      <c r="M71" s="19">
        <v>0.3177857245617281</v>
      </c>
      <c r="N71" s="19">
        <v>0.28119462377848475</v>
      </c>
      <c r="O71" s="19">
        <v>0.3046738559617006</v>
      </c>
      <c r="P71" s="19">
        <v>0.374099000438055</v>
      </c>
      <c r="Q71" s="19">
        <v>0.37977429157405318</v>
      </c>
      <c r="R71" s="19">
        <v>0.37029678794201859</v>
      </c>
      <c r="S71" s="19">
        <v>0.33461048656244508</v>
      </c>
      <c r="T71" s="108">
        <f t="shared" si="15"/>
        <v>7.6633782692651256</v>
      </c>
      <c r="U71" s="108">
        <f t="shared" si="16"/>
        <v>2.9936630600744474</v>
      </c>
      <c r="V71" s="106">
        <f t="shared" si="17"/>
        <v>-3.5686301379573515</v>
      </c>
    </row>
    <row r="72" spans="1:22" ht="15" customHeight="1" x14ac:dyDescent="0.25">
      <c r="A72" s="34" t="s">
        <v>9</v>
      </c>
      <c r="B72" s="19">
        <v>0.41404612159329157</v>
      </c>
      <c r="C72" s="19">
        <v>0.31210040255742361</v>
      </c>
      <c r="D72" s="19">
        <v>0.34961742201294882</v>
      </c>
      <c r="E72" s="19">
        <v>0.44835363103292752</v>
      </c>
      <c r="F72" s="19">
        <v>0.41398759165256621</v>
      </c>
      <c r="G72" s="19">
        <v>0.44309234073013581</v>
      </c>
      <c r="H72" s="19">
        <v>0.42392807745504818</v>
      </c>
      <c r="I72" s="19">
        <v>0.39907282209774009</v>
      </c>
      <c r="J72" s="19">
        <v>0.40495867768595029</v>
      </c>
      <c r="K72" s="19">
        <v>0.33654618473895598</v>
      </c>
      <c r="L72" s="19">
        <v>0.31288048702338989</v>
      </c>
      <c r="M72" s="19">
        <v>0.33147702822427544</v>
      </c>
      <c r="N72" s="19">
        <v>0.3443733070672248</v>
      </c>
      <c r="O72" s="19">
        <v>0.37800400534045386</v>
      </c>
      <c r="P72" s="19">
        <v>0.390253449456894</v>
      </c>
      <c r="Q72" s="19">
        <v>0.37518309269721706</v>
      </c>
      <c r="R72" s="19">
        <v>0.34982360487491987</v>
      </c>
      <c r="S72" s="19">
        <v>0.34703738238535214</v>
      </c>
      <c r="T72" s="108">
        <f t="shared" si="15"/>
        <v>-5.7921295300598139</v>
      </c>
      <c r="U72" s="108">
        <f t="shared" si="16"/>
        <v>-3.0966622955101721</v>
      </c>
      <c r="V72" s="106">
        <f t="shared" si="17"/>
        <v>-0.27862224895677246</v>
      </c>
    </row>
    <row r="73" spans="1:22" ht="15" customHeight="1" x14ac:dyDescent="0.25">
      <c r="A73" s="34" t="s">
        <v>10</v>
      </c>
      <c r="B73" s="19">
        <v>0.31302657161373937</v>
      </c>
      <c r="C73" s="19">
        <v>0.30675182481751839</v>
      </c>
      <c r="D73" s="19">
        <v>0.31789584061516957</v>
      </c>
      <c r="E73" s="19">
        <v>0.35071876151861436</v>
      </c>
      <c r="F73" s="19">
        <v>0.37567721699458251</v>
      </c>
      <c r="G73" s="19">
        <v>0.39067329659991928</v>
      </c>
      <c r="H73" s="19">
        <v>0.38704622616871248</v>
      </c>
      <c r="I73" s="19">
        <v>0.38150289017341027</v>
      </c>
      <c r="J73" s="19">
        <v>0.30495136080445934</v>
      </c>
      <c r="K73" s="19">
        <v>0.30006914035492049</v>
      </c>
      <c r="L73" s="19">
        <v>0.31729585556011491</v>
      </c>
      <c r="M73" s="19">
        <v>0.35093938319744761</v>
      </c>
      <c r="N73" s="19">
        <v>0.27893883004103454</v>
      </c>
      <c r="O73" s="19">
        <v>0.26892150606253978</v>
      </c>
      <c r="P73" s="19">
        <v>0.32603841000446643</v>
      </c>
      <c r="Q73" s="19">
        <v>0.31034209692746273</v>
      </c>
      <c r="R73" s="19">
        <v>0.2961434467055642</v>
      </c>
      <c r="S73" s="19">
        <v>0.23989665990035056</v>
      </c>
      <c r="T73" s="108">
        <f t="shared" si="15"/>
        <v>-6.5054700904108778</v>
      </c>
      <c r="U73" s="108">
        <f t="shared" si="16"/>
        <v>-2.9024846162189228</v>
      </c>
      <c r="V73" s="106">
        <f t="shared" si="17"/>
        <v>-5.624678680521364</v>
      </c>
    </row>
    <row r="74" spans="1:22" ht="15" customHeight="1" x14ac:dyDescent="0.25">
      <c r="A74" s="34" t="s">
        <v>11</v>
      </c>
      <c r="B74" s="19">
        <v>0.55762081784386619</v>
      </c>
      <c r="C74" s="19">
        <v>0.55508021390374329</v>
      </c>
      <c r="D74" s="19">
        <v>0.52904564315352642</v>
      </c>
      <c r="E74" s="19">
        <v>0.49609374999999989</v>
      </c>
      <c r="F74" s="19">
        <v>0.50258302583025904</v>
      </c>
      <c r="G74" s="19">
        <v>0.4405850091407682</v>
      </c>
      <c r="H74" s="19">
        <v>0.51050847457627146</v>
      </c>
      <c r="I74" s="19">
        <v>0.557677616501146</v>
      </c>
      <c r="J74" s="19">
        <v>0.38692307692307709</v>
      </c>
      <c r="K74" s="19">
        <v>0.39239204934886918</v>
      </c>
      <c r="L74" s="19">
        <v>0.42387249915225472</v>
      </c>
      <c r="M74" s="19">
        <v>0.50851485148514874</v>
      </c>
      <c r="N74" s="19">
        <v>0.47177759056444807</v>
      </c>
      <c r="O74" s="19">
        <v>0.4926568758344459</v>
      </c>
      <c r="P74" s="19">
        <v>0.59167876149008236</v>
      </c>
      <c r="Q74" s="19">
        <v>0.57650542941757155</v>
      </c>
      <c r="R74" s="19">
        <v>0.63617171006333495</v>
      </c>
      <c r="S74" s="19">
        <v>0.47899159663865559</v>
      </c>
      <c r="T74" s="108">
        <f t="shared" si="15"/>
        <v>9.2068519715578496</v>
      </c>
      <c r="U74" s="108">
        <f t="shared" si="16"/>
        <v>-1.3665279195790303</v>
      </c>
      <c r="V74" s="106">
        <f t="shared" si="17"/>
        <v>-15.718011342467936</v>
      </c>
    </row>
    <row r="75" spans="1:22" ht="15" customHeight="1" x14ac:dyDescent="0.25">
      <c r="A75" s="34" t="s">
        <v>12</v>
      </c>
      <c r="B75" s="19">
        <v>0.25026968716289111</v>
      </c>
      <c r="C75" s="19">
        <v>0.25093545369504211</v>
      </c>
      <c r="D75" s="19">
        <v>0.21316614420062707</v>
      </c>
      <c r="E75" s="19">
        <v>0.27433444259567386</v>
      </c>
      <c r="F75" s="19">
        <v>0.2174156516869663</v>
      </c>
      <c r="G75" s="19">
        <v>0.24867066410227393</v>
      </c>
      <c r="H75" s="19">
        <v>0.25848896434634966</v>
      </c>
      <c r="I75" s="19">
        <v>0.21697446765566647</v>
      </c>
      <c r="J75" s="19">
        <v>0.1943119590178414</v>
      </c>
      <c r="K75" s="19">
        <v>0.192201166180758</v>
      </c>
      <c r="L75" s="19">
        <v>0.16679774941012754</v>
      </c>
      <c r="M75" s="19">
        <v>0.20682399772533405</v>
      </c>
      <c r="N75" s="19">
        <v>0.18491550290713479</v>
      </c>
      <c r="O75" s="19">
        <v>0.22065884980457848</v>
      </c>
      <c r="P75" s="19">
        <v>0.2173053464013798</v>
      </c>
      <c r="Q75" s="19">
        <v>0.21436487413583824</v>
      </c>
      <c r="R75" s="19">
        <v>0.23164474297975554</v>
      </c>
      <c r="S75" s="19">
        <v>0.23200786993890443</v>
      </c>
      <c r="T75" s="108">
        <f t="shared" si="15"/>
        <v>3.7695910921063032</v>
      </c>
      <c r="U75" s="108">
        <f t="shared" si="16"/>
        <v>1.1349020134325953</v>
      </c>
      <c r="V75" s="106">
        <f t="shared" si="17"/>
        <v>3.6312695914889059E-2</v>
      </c>
    </row>
    <row r="76" spans="1:22" ht="15" customHeight="1" x14ac:dyDescent="0.25">
      <c r="A76" s="34" t="s">
        <v>13</v>
      </c>
      <c r="B76" s="19">
        <v>0.27661203859702854</v>
      </c>
      <c r="C76" s="19">
        <v>0.2309052797065374</v>
      </c>
      <c r="D76" s="19">
        <v>0.29656524580640453</v>
      </c>
      <c r="E76" s="18">
        <v>0.4119677790563871</v>
      </c>
      <c r="F76" s="18">
        <v>0.40217923604309502</v>
      </c>
      <c r="G76" s="18">
        <v>0.37866492146596853</v>
      </c>
      <c r="H76" s="18">
        <v>0.40275885558583108</v>
      </c>
      <c r="I76" s="19">
        <v>0.36496350364963515</v>
      </c>
      <c r="J76" s="19">
        <v>0.33802403987100554</v>
      </c>
      <c r="K76" s="19">
        <v>0.32486865148861654</v>
      </c>
      <c r="L76" s="19">
        <v>0.25713291579679898</v>
      </c>
      <c r="M76" s="19">
        <v>0.29120683517265916</v>
      </c>
      <c r="N76" s="19">
        <v>0.21835205992509366</v>
      </c>
      <c r="O76" s="19">
        <v>0.250328227571116</v>
      </c>
      <c r="P76" s="19">
        <v>0.28376777251184859</v>
      </c>
      <c r="Q76" s="19">
        <v>0.21317621853240501</v>
      </c>
      <c r="R76" s="19">
        <v>0.21071115013169442</v>
      </c>
      <c r="S76" s="19">
        <v>0.23218797372410302</v>
      </c>
      <c r="T76" s="108">
        <f t="shared" si="15"/>
        <v>-10.583606614690252</v>
      </c>
      <c r="U76" s="108">
        <f t="shared" si="16"/>
        <v>-1.8140253847012984</v>
      </c>
      <c r="V76" s="106">
        <f t="shared" si="17"/>
        <v>2.1476823592408598</v>
      </c>
    </row>
    <row r="77" spans="1:22" ht="15" customHeight="1" x14ac:dyDescent="0.25">
      <c r="A77" s="34" t="s">
        <v>14</v>
      </c>
      <c r="B77" s="19">
        <v>0.22788429196098223</v>
      </c>
      <c r="C77" s="19">
        <v>0.17754714875571931</v>
      </c>
      <c r="D77" s="19">
        <v>0.23061993378239537</v>
      </c>
      <c r="E77" s="19">
        <v>0.27239036442248304</v>
      </c>
      <c r="F77" s="19">
        <v>0.26792632771055608</v>
      </c>
      <c r="G77" s="19">
        <v>0.25273058252427183</v>
      </c>
      <c r="H77" s="19">
        <v>0.28957305664228616</v>
      </c>
      <c r="I77" s="19">
        <v>0.27106523226167517</v>
      </c>
      <c r="J77" s="19">
        <v>0.24429256525859341</v>
      </c>
      <c r="K77" s="19">
        <v>0.23701129928045747</v>
      </c>
      <c r="L77" s="19">
        <v>0.21622540684964775</v>
      </c>
      <c r="M77" s="19">
        <v>0.21566722790657519</v>
      </c>
      <c r="N77" s="19">
        <v>0.1652828184473753</v>
      </c>
      <c r="O77" s="19">
        <v>0.21168674698795184</v>
      </c>
      <c r="P77" s="19">
        <v>0.24330416129082388</v>
      </c>
      <c r="Q77" s="19">
        <v>0.25310536044362297</v>
      </c>
      <c r="R77" s="19">
        <v>0.27749160601447315</v>
      </c>
      <c r="S77" s="19">
        <v>0.23300070146855828</v>
      </c>
      <c r="T77" s="108">
        <f t="shared" si="15"/>
        <v>-1.1291863790035133</v>
      </c>
      <c r="U77" s="108">
        <f t="shared" si="16"/>
        <v>2.1313954480606441</v>
      </c>
      <c r="V77" s="106">
        <f t="shared" si="17"/>
        <v>-4.4490904545914862</v>
      </c>
    </row>
    <row r="78" spans="1:22" ht="15" customHeight="1" x14ac:dyDescent="0.25">
      <c r="A78" s="34" t="s">
        <v>15</v>
      </c>
      <c r="B78" s="19">
        <v>0.14569536423841073</v>
      </c>
      <c r="C78" s="19">
        <v>0.24949966644429625</v>
      </c>
      <c r="D78" s="19">
        <v>0.25830013280212516</v>
      </c>
      <c r="E78" s="19">
        <v>0.31207482993197405</v>
      </c>
      <c r="F78" s="19">
        <v>0.35621139327385071</v>
      </c>
      <c r="G78" s="19">
        <v>0.26981450252951117</v>
      </c>
      <c r="H78" s="19">
        <v>0.31596925704526052</v>
      </c>
      <c r="I78" s="19">
        <v>0.37077625570776251</v>
      </c>
      <c r="J78" s="19">
        <v>0.318673395818313</v>
      </c>
      <c r="K78" s="19">
        <v>0.30505243088655881</v>
      </c>
      <c r="L78" s="19">
        <v>0.2958490566037737</v>
      </c>
      <c r="M78" s="19">
        <v>0.24751718869365899</v>
      </c>
      <c r="N78" s="19">
        <v>0.25442477876106223</v>
      </c>
      <c r="O78" s="19">
        <v>0.23515248796147672</v>
      </c>
      <c r="P78" s="19">
        <v>0.338116591928251</v>
      </c>
      <c r="Q78" s="19">
        <v>0.30881164106709769</v>
      </c>
      <c r="R78" s="19">
        <v>0.28027418126427994</v>
      </c>
      <c r="S78" s="19">
        <v>0.29088471849865954</v>
      </c>
      <c r="T78" s="108">
        <f t="shared" si="15"/>
        <v>-2.7788677319653452</v>
      </c>
      <c r="U78" s="108">
        <f t="shared" si="16"/>
        <v>5.5732230537182819</v>
      </c>
      <c r="V78" s="106">
        <f t="shared" si="17"/>
        <v>1.0610537234379602</v>
      </c>
    </row>
    <row r="79" spans="1:22" ht="15" customHeight="1" x14ac:dyDescent="0.25">
      <c r="A79" s="34" t="s">
        <v>16</v>
      </c>
      <c r="B79" s="19">
        <v>0.24147834274952928</v>
      </c>
      <c r="C79" s="19">
        <v>0.1302357947702272</v>
      </c>
      <c r="D79" s="19">
        <v>0.14322938555938475</v>
      </c>
      <c r="E79" s="19">
        <v>0.21403610015709665</v>
      </c>
      <c r="F79" s="19">
        <v>0.26117897781329674</v>
      </c>
      <c r="G79" s="19">
        <v>0.24772869554595287</v>
      </c>
      <c r="H79" s="19">
        <v>0.29387703994323644</v>
      </c>
      <c r="I79" s="19">
        <v>0.27652015972862176</v>
      </c>
      <c r="J79" s="19">
        <v>0.26326833190933296</v>
      </c>
      <c r="K79" s="19">
        <v>0.24568570135635917</v>
      </c>
      <c r="L79" s="19">
        <v>0.22186244294464175</v>
      </c>
      <c r="M79" s="19">
        <v>0.24673415650484432</v>
      </c>
      <c r="N79" s="19">
        <v>0.20644711435314328</v>
      </c>
      <c r="O79" s="19">
        <v>0.24879928515581368</v>
      </c>
      <c r="P79" s="19">
        <v>0.31865093081823109</v>
      </c>
      <c r="Q79" s="19">
        <v>0.26759206245025063</v>
      </c>
      <c r="R79" s="19">
        <v>0.21686976148510714</v>
      </c>
      <c r="S79" s="19">
        <v>0.1802630005977286</v>
      </c>
      <c r="T79" s="108">
        <f t="shared" si="15"/>
        <v>-8.3005331311604369</v>
      </c>
      <c r="U79" s="108">
        <f t="shared" si="16"/>
        <v>-6.8536284558085079</v>
      </c>
      <c r="V79" s="106">
        <f t="shared" si="17"/>
        <v>-3.6606760887378549</v>
      </c>
    </row>
    <row r="80" spans="1:22" ht="15" customHeight="1" x14ac:dyDescent="0.25">
      <c r="A80" s="34" t="s">
        <v>17</v>
      </c>
      <c r="B80" s="19">
        <v>0.43299572826236749</v>
      </c>
      <c r="C80" s="19">
        <v>0.39568183280777408</v>
      </c>
      <c r="D80" s="19">
        <v>0.44850393700787411</v>
      </c>
      <c r="E80" s="19">
        <v>0.40991546319126454</v>
      </c>
      <c r="F80" s="19">
        <v>0.43267578527733858</v>
      </c>
      <c r="G80" s="19">
        <v>0.41850701633310333</v>
      </c>
      <c r="H80" s="19">
        <v>0.44403467297084309</v>
      </c>
      <c r="I80" s="19">
        <v>0.40010902860702968</v>
      </c>
      <c r="J80" s="19">
        <v>0.35354778977227963</v>
      </c>
      <c r="K80" s="19">
        <v>0.36909729357839149</v>
      </c>
      <c r="L80" s="19">
        <v>0.42306520863422448</v>
      </c>
      <c r="M80" s="19">
        <v>0.49530247248878412</v>
      </c>
      <c r="N80" s="19">
        <v>0.488727521982671</v>
      </c>
      <c r="O80" s="19">
        <v>0.48020621777847211</v>
      </c>
      <c r="P80" s="19">
        <v>0.54290258066070696</v>
      </c>
      <c r="Q80" s="19">
        <v>0.53510713388445585</v>
      </c>
      <c r="R80" s="19">
        <v>0.51235423437201277</v>
      </c>
      <c r="S80" s="19">
        <v>0.41792614303773395</v>
      </c>
      <c r="T80" s="108">
        <f t="shared" si="15"/>
        <v>6.4378353265454322</v>
      </c>
      <c r="U80" s="108">
        <f t="shared" si="16"/>
        <v>-6.2280074740738156</v>
      </c>
      <c r="V80" s="106">
        <f t="shared" si="17"/>
        <v>-9.4428091334278825</v>
      </c>
    </row>
    <row r="81" spans="1:22" ht="15" customHeight="1" x14ac:dyDescent="0.25">
      <c r="A81" s="31" t="s">
        <v>0</v>
      </c>
      <c r="B81" s="20">
        <v>0.32146702439195468</v>
      </c>
      <c r="C81" s="20">
        <v>0.30072228788143157</v>
      </c>
      <c r="D81" s="20">
        <v>0.30191993225704622</v>
      </c>
      <c r="E81" s="20">
        <v>0.31652388252622737</v>
      </c>
      <c r="F81" s="20">
        <v>0.31146168260768825</v>
      </c>
      <c r="G81" s="20">
        <v>0.3098726815733005</v>
      </c>
      <c r="H81" s="20">
        <v>0.3170650492245593</v>
      </c>
      <c r="I81" s="20">
        <v>0.3088674236465927</v>
      </c>
      <c r="J81" s="20">
        <v>0.30042711497084262</v>
      </c>
      <c r="K81" s="20">
        <v>0.29654937033322182</v>
      </c>
      <c r="L81" s="20">
        <v>0.29620939872447899</v>
      </c>
      <c r="M81" s="20">
        <v>0.31547035130867096</v>
      </c>
      <c r="N81" s="20">
        <v>0.30654228103369174</v>
      </c>
      <c r="O81" s="20">
        <v>0.31386530398051615</v>
      </c>
      <c r="P81" s="20">
        <v>0.33155761935676581</v>
      </c>
      <c r="Q81" s="20">
        <v>0.31252383265163591</v>
      </c>
      <c r="R81" s="20">
        <v>0.29569469394321257</v>
      </c>
      <c r="S81" s="20">
        <v>0.27359397626049542</v>
      </c>
      <c r="T81" s="126">
        <f t="shared" si="15"/>
        <v>-2.6833138710347204</v>
      </c>
      <c r="U81" s="126">
        <f t="shared" si="16"/>
        <v>-4.0271327720020729</v>
      </c>
      <c r="V81" s="127">
        <f t="shared" si="17"/>
        <v>-2.2100717682717153</v>
      </c>
    </row>
    <row r="82" spans="1:22" ht="15" customHeight="1" x14ac:dyDescent="0.25">
      <c r="A82" s="59"/>
      <c r="B82" s="59"/>
      <c r="C82" s="51"/>
      <c r="D82" s="51"/>
      <c r="E82" s="51"/>
      <c r="F82" s="51"/>
      <c r="G82" s="51"/>
      <c r="H82" s="51"/>
      <c r="I82" s="51"/>
      <c r="J82" s="51"/>
      <c r="K82" s="51"/>
      <c r="L82" s="51"/>
      <c r="M82" s="51"/>
      <c r="N82" s="51"/>
      <c r="O82" s="51"/>
      <c r="P82" s="51"/>
      <c r="Q82" s="51"/>
      <c r="R82" s="51"/>
      <c r="S82" s="51"/>
      <c r="T82" s="51"/>
      <c r="U82" s="51"/>
      <c r="V82" s="51"/>
    </row>
    <row r="83" spans="1:22" ht="15" customHeight="1" x14ac:dyDescent="0.25">
      <c r="A83" s="60" t="s">
        <v>173</v>
      </c>
      <c r="B83" s="60"/>
      <c r="C83" s="79"/>
      <c r="D83" s="79"/>
      <c r="E83" s="79"/>
      <c r="F83" s="79"/>
      <c r="G83" s="79"/>
      <c r="H83" s="79"/>
      <c r="I83" s="79"/>
      <c r="J83" s="79"/>
      <c r="K83" s="79"/>
      <c r="L83" s="79"/>
      <c r="M83" s="79"/>
      <c r="N83" s="79"/>
      <c r="O83" s="79"/>
      <c r="P83" s="79"/>
      <c r="Q83" s="79"/>
      <c r="R83" s="79"/>
      <c r="S83" s="79"/>
      <c r="T83" s="79"/>
      <c r="U83" s="79"/>
      <c r="V83" s="79"/>
    </row>
    <row r="84" spans="1:22" ht="32.25" customHeight="1" x14ac:dyDescent="0.25">
      <c r="A84" s="28" t="s">
        <v>86</v>
      </c>
      <c r="B84" s="15">
        <v>2007</v>
      </c>
      <c r="C84" s="15">
        <v>2008</v>
      </c>
      <c r="D84" s="15">
        <v>2009</v>
      </c>
      <c r="E84" s="15">
        <v>2010</v>
      </c>
      <c r="F84" s="15">
        <v>2011</v>
      </c>
      <c r="G84" s="15">
        <v>2012</v>
      </c>
      <c r="H84" s="15">
        <v>2013</v>
      </c>
      <c r="I84" s="15">
        <v>2014</v>
      </c>
      <c r="J84" s="15">
        <v>2015</v>
      </c>
      <c r="K84" s="15">
        <v>2016</v>
      </c>
      <c r="L84" s="15">
        <v>2017</v>
      </c>
      <c r="M84" s="15">
        <v>2018</v>
      </c>
      <c r="N84" s="15">
        <v>2019</v>
      </c>
      <c r="O84" s="15">
        <v>2020</v>
      </c>
      <c r="P84" s="15">
        <v>2021</v>
      </c>
      <c r="Q84" s="15">
        <v>2022</v>
      </c>
      <c r="R84" s="15">
        <v>2023</v>
      </c>
      <c r="S84" s="15">
        <v>2024</v>
      </c>
      <c r="T84" s="27" t="s">
        <v>476</v>
      </c>
      <c r="U84" s="27" t="s">
        <v>477</v>
      </c>
      <c r="V84" s="27" t="s">
        <v>478</v>
      </c>
    </row>
    <row r="85" spans="1:22" ht="15" customHeight="1" x14ac:dyDescent="0.25">
      <c r="A85" s="30" t="s">
        <v>18</v>
      </c>
      <c r="B85" s="19">
        <v>0.32281177099786285</v>
      </c>
      <c r="C85" s="19">
        <v>0.29981508725991701</v>
      </c>
      <c r="D85" s="19">
        <v>0.30176090171987519</v>
      </c>
      <c r="E85" s="19">
        <v>0.31733089244851259</v>
      </c>
      <c r="F85" s="19">
        <v>0.30983322376330202</v>
      </c>
      <c r="G85" s="19">
        <v>0.31146080850198615</v>
      </c>
      <c r="H85" s="19">
        <v>0.31881632664222109</v>
      </c>
      <c r="I85" s="19">
        <v>0.31085313538266629</v>
      </c>
      <c r="J85" s="19">
        <v>0.30137854268344882</v>
      </c>
      <c r="K85" s="19">
        <v>0.29711524930812888</v>
      </c>
      <c r="L85" s="19">
        <v>0.29879666221568801</v>
      </c>
      <c r="M85" s="19">
        <v>0.3116218300437279</v>
      </c>
      <c r="N85" s="19">
        <v>0.30119744023450307</v>
      </c>
      <c r="O85" s="19">
        <v>0.31141492928571846</v>
      </c>
      <c r="P85" s="19">
        <v>0.32402854933344688</v>
      </c>
      <c r="Q85" s="19">
        <v>0.30533438899688992</v>
      </c>
      <c r="R85" s="19">
        <v>0.28599640979899499</v>
      </c>
      <c r="S85" s="19">
        <v>0.26683061514612499</v>
      </c>
      <c r="T85" s="108">
        <f t="shared" ref="T85:T90" si="18">(S85-J85)*100</f>
        <v>-3.454792753732383</v>
      </c>
      <c r="U85" s="108">
        <f t="shared" ref="U85:U90" si="19">(S85-O85)*100</f>
        <v>-4.4584314139593459</v>
      </c>
      <c r="V85" s="108">
        <f t="shared" ref="V85:V90" si="20">(S85-R85)*100</f>
        <v>-1.9165794652869994</v>
      </c>
    </row>
    <row r="86" spans="1:22" ht="15" customHeight="1" x14ac:dyDescent="0.25">
      <c r="A86" s="30" t="s">
        <v>20</v>
      </c>
      <c r="B86" s="19">
        <v>0.31077053577569402</v>
      </c>
      <c r="C86" s="19">
        <v>0.3070567907450425</v>
      </c>
      <c r="D86" s="19">
        <v>0.30897156180648544</v>
      </c>
      <c r="E86" s="19">
        <v>0.31691300099472697</v>
      </c>
      <c r="F86" s="19">
        <v>0.31909343254516132</v>
      </c>
      <c r="G86" s="19">
        <v>0.30096814242641073</v>
      </c>
      <c r="H86" s="19">
        <v>0.3102347961729392</v>
      </c>
      <c r="I86" s="19">
        <v>0.30231531952447693</v>
      </c>
      <c r="J86" s="19">
        <v>0.29781225989908827</v>
      </c>
      <c r="K86" s="19">
        <v>0.29730591308064869</v>
      </c>
      <c r="L86" s="19">
        <v>0.30137299610128226</v>
      </c>
      <c r="M86" s="19">
        <v>0.33391266829326105</v>
      </c>
      <c r="N86" s="19">
        <v>0.33066328475115331</v>
      </c>
      <c r="O86" s="19">
        <v>0.33327619222825239</v>
      </c>
      <c r="P86" s="19">
        <v>0.37373690197792236</v>
      </c>
      <c r="Q86" s="19">
        <v>0.35888144521238052</v>
      </c>
      <c r="R86" s="19">
        <v>0.34848551580548953</v>
      </c>
      <c r="S86" s="19">
        <v>0.31437863731252091</v>
      </c>
      <c r="T86" s="108">
        <f t="shared" si="18"/>
        <v>1.6566377413432642</v>
      </c>
      <c r="U86" s="108">
        <f t="shared" si="19"/>
        <v>-1.8897554915731474</v>
      </c>
      <c r="V86" s="108">
        <f t="shared" si="20"/>
        <v>-3.4106878492968615</v>
      </c>
    </row>
    <row r="87" spans="1:22" ht="15" customHeight="1" x14ac:dyDescent="0.25">
      <c r="A87" s="30" t="s">
        <v>292</v>
      </c>
      <c r="B87" s="19" t="s">
        <v>100</v>
      </c>
      <c r="C87" s="19" t="s">
        <v>100</v>
      </c>
      <c r="D87" s="19">
        <v>7.5949367088607653E-2</v>
      </c>
      <c r="E87" s="19">
        <v>0.19805194805194776</v>
      </c>
      <c r="F87" s="19">
        <v>0.11720698254364269</v>
      </c>
      <c r="G87" s="19">
        <v>0.26388888888888945</v>
      </c>
      <c r="H87" s="19">
        <v>0.23846153846153856</v>
      </c>
      <c r="I87" s="19">
        <v>0.21814254859611232</v>
      </c>
      <c r="J87" s="19">
        <v>0.16455368693402328</v>
      </c>
      <c r="K87" s="19">
        <v>0.19039655996177735</v>
      </c>
      <c r="L87" s="19">
        <v>0.24184782608695632</v>
      </c>
      <c r="M87" s="19">
        <v>0.2463382157123836</v>
      </c>
      <c r="N87" s="19">
        <v>0.23279142165340691</v>
      </c>
      <c r="O87" s="19">
        <v>0.22272106187780663</v>
      </c>
      <c r="P87" s="19">
        <v>0.27145397954646455</v>
      </c>
      <c r="Q87" s="19">
        <v>0.24718207134332254</v>
      </c>
      <c r="R87" s="19">
        <v>0.28845157949249006</v>
      </c>
      <c r="S87" s="19">
        <v>0.28616414091714398</v>
      </c>
      <c r="T87" s="108">
        <f t="shared" si="18"/>
        <v>12.161045398312071</v>
      </c>
      <c r="U87" s="108">
        <f t="shared" si="19"/>
        <v>6.3443079039337356</v>
      </c>
      <c r="V87" s="108">
        <f t="shared" si="20"/>
        <v>-0.22874385753460791</v>
      </c>
    </row>
    <row r="88" spans="1:22" ht="15" customHeight="1" x14ac:dyDescent="0.25">
      <c r="A88" s="30" t="s">
        <v>293</v>
      </c>
      <c r="B88" s="19">
        <v>2.3474178403755635E-2</v>
      </c>
      <c r="C88" s="19">
        <v>0.20230263157894696</v>
      </c>
      <c r="D88" s="19">
        <v>0.22099805573558012</v>
      </c>
      <c r="E88" s="19">
        <v>0.28809523809523852</v>
      </c>
      <c r="F88" s="19">
        <v>0.24123711340206158</v>
      </c>
      <c r="G88" s="19">
        <v>0.24578651685393246</v>
      </c>
      <c r="H88" s="19">
        <v>0.2611380679311871</v>
      </c>
      <c r="I88" s="19">
        <v>0.19313178749633078</v>
      </c>
      <c r="J88" s="19">
        <v>0.15898663474965127</v>
      </c>
      <c r="K88" s="19">
        <v>0.16842948717948725</v>
      </c>
      <c r="L88" s="19">
        <v>7.708106026570824E-2</v>
      </c>
      <c r="M88" s="19">
        <v>0.20142042709440522</v>
      </c>
      <c r="N88" s="19">
        <v>0.21865545558131327</v>
      </c>
      <c r="O88" s="19">
        <v>0.24125224499907097</v>
      </c>
      <c r="P88" s="19">
        <v>0.24642285864539723</v>
      </c>
      <c r="Q88" s="19">
        <v>0.23859319164942636</v>
      </c>
      <c r="R88" s="19">
        <v>0.27142491321914292</v>
      </c>
      <c r="S88" s="19">
        <v>0.246642100082822</v>
      </c>
      <c r="T88" s="108">
        <f t="shared" si="18"/>
        <v>8.7655465333170728</v>
      </c>
      <c r="U88" s="108">
        <f t="shared" si="19"/>
        <v>0.53898550837510328</v>
      </c>
      <c r="V88" s="108">
        <f t="shared" si="20"/>
        <v>-2.4782813136320914</v>
      </c>
    </row>
    <row r="89" spans="1:22" ht="15" customHeight="1" x14ac:dyDescent="0.25">
      <c r="A89" s="30" t="s">
        <v>19</v>
      </c>
      <c r="B89" s="19">
        <v>0.4750219106047372</v>
      </c>
      <c r="C89" s="19">
        <v>0.27466367713004464</v>
      </c>
      <c r="D89" s="19">
        <v>0.18123054824036317</v>
      </c>
      <c r="E89" s="19">
        <v>0.20211247502141028</v>
      </c>
      <c r="F89" s="19">
        <v>0.38337893296853526</v>
      </c>
      <c r="G89" s="19">
        <v>0.51714400968132279</v>
      </c>
      <c r="H89" s="19">
        <v>0.40197113692361841</v>
      </c>
      <c r="I89" s="19">
        <v>0.38408691484262658</v>
      </c>
      <c r="J89" s="19">
        <v>0.39425258381648648</v>
      </c>
      <c r="K89" s="19">
        <v>0.35589214738425218</v>
      </c>
      <c r="L89" s="19">
        <v>0.29218390804597705</v>
      </c>
      <c r="M89" s="19">
        <v>0.36871437618746011</v>
      </c>
      <c r="N89" s="19">
        <v>0.37266355140186919</v>
      </c>
      <c r="O89" s="19">
        <v>0.28768506056527615</v>
      </c>
      <c r="P89" s="19">
        <v>0.33185463231530399</v>
      </c>
      <c r="Q89" s="19">
        <v>0.23236074270557108</v>
      </c>
      <c r="R89" s="19">
        <v>0.24861556397551693</v>
      </c>
      <c r="S89" s="19">
        <v>0.20979729729729707</v>
      </c>
      <c r="T89" s="108">
        <f t="shared" si="18"/>
        <v>-18.445528651918941</v>
      </c>
      <c r="U89" s="108">
        <f t="shared" si="19"/>
        <v>-7.7887763267979082</v>
      </c>
      <c r="V89" s="108">
        <f t="shared" si="20"/>
        <v>-3.8818266678219859</v>
      </c>
    </row>
    <row r="90" spans="1:22" ht="15" customHeight="1" x14ac:dyDescent="0.25">
      <c r="A90" s="31" t="s">
        <v>0</v>
      </c>
      <c r="B90" s="20">
        <v>0.32146702439195468</v>
      </c>
      <c r="C90" s="20">
        <v>0.30072228788143157</v>
      </c>
      <c r="D90" s="20">
        <v>0.30191993225704622</v>
      </c>
      <c r="E90" s="20">
        <v>0.31652388252622737</v>
      </c>
      <c r="F90" s="20">
        <v>0.31146168260768825</v>
      </c>
      <c r="G90" s="20">
        <v>0.3098726815733005</v>
      </c>
      <c r="H90" s="20">
        <v>0.3170650492245593</v>
      </c>
      <c r="I90" s="20">
        <v>0.3088674236465927</v>
      </c>
      <c r="J90" s="20">
        <v>0.30042711497084262</v>
      </c>
      <c r="K90" s="20">
        <v>0.29654937033322182</v>
      </c>
      <c r="L90" s="20">
        <v>0.29620939872447899</v>
      </c>
      <c r="M90" s="20">
        <v>0.31547035130867096</v>
      </c>
      <c r="N90" s="20">
        <v>0.30654228103369174</v>
      </c>
      <c r="O90" s="20">
        <v>0.31386530398051615</v>
      </c>
      <c r="P90" s="20">
        <v>0.33155761935676559</v>
      </c>
      <c r="Q90" s="20">
        <v>0.31252383265163591</v>
      </c>
      <c r="R90" s="20">
        <v>0.29569469394321257</v>
      </c>
      <c r="S90" s="20">
        <v>0.27359397626049542</v>
      </c>
      <c r="T90" s="126">
        <f t="shared" si="18"/>
        <v>-2.6833138710347204</v>
      </c>
      <c r="U90" s="126">
        <f t="shared" si="19"/>
        <v>-4.0271327720020729</v>
      </c>
      <c r="V90" s="126">
        <f t="shared" si="20"/>
        <v>-2.2100717682717153</v>
      </c>
    </row>
    <row r="91" spans="1:22" ht="15" customHeight="1" x14ac:dyDescent="0.25">
      <c r="A91" s="59"/>
      <c r="B91" s="59"/>
      <c r="C91" s="51"/>
      <c r="D91" s="51"/>
      <c r="E91" s="51"/>
      <c r="F91" s="51"/>
      <c r="G91" s="51"/>
      <c r="H91" s="51"/>
      <c r="I91" s="51"/>
      <c r="J91" s="51"/>
      <c r="K91" s="51"/>
      <c r="L91" s="51"/>
      <c r="M91" s="51"/>
      <c r="N91" s="51"/>
      <c r="O91" s="51"/>
      <c r="P91" s="51"/>
      <c r="Q91" s="51"/>
      <c r="R91" s="51"/>
      <c r="S91" s="51"/>
      <c r="T91" s="51"/>
      <c r="U91" s="51"/>
      <c r="V91" s="51"/>
    </row>
    <row r="92" spans="1:22" ht="15" customHeight="1" x14ac:dyDescent="0.25">
      <c r="A92" s="60" t="s">
        <v>174</v>
      </c>
      <c r="B92" s="60"/>
      <c r="C92" s="79"/>
      <c r="D92" s="79"/>
      <c r="E92" s="79"/>
      <c r="F92" s="79"/>
      <c r="G92" s="79"/>
      <c r="H92" s="79"/>
      <c r="I92" s="79"/>
      <c r="J92" s="79"/>
      <c r="K92" s="79"/>
      <c r="L92" s="79"/>
      <c r="M92" s="79"/>
      <c r="N92" s="79"/>
      <c r="O92" s="79"/>
      <c r="P92" s="79"/>
      <c r="Q92" s="79"/>
      <c r="R92" s="79"/>
      <c r="S92" s="79"/>
      <c r="T92" s="79"/>
      <c r="U92" s="79"/>
      <c r="V92" s="79"/>
    </row>
    <row r="93" spans="1:22" ht="35.25" customHeight="1" x14ac:dyDescent="0.25">
      <c r="A93" s="28" t="s">
        <v>87</v>
      </c>
      <c r="B93" s="15">
        <v>2007</v>
      </c>
      <c r="C93" s="15">
        <v>2008</v>
      </c>
      <c r="D93" s="15">
        <v>2009</v>
      </c>
      <c r="E93" s="15">
        <v>2010</v>
      </c>
      <c r="F93" s="15">
        <v>2011</v>
      </c>
      <c r="G93" s="15">
        <v>2012</v>
      </c>
      <c r="H93" s="15">
        <v>2013</v>
      </c>
      <c r="I93" s="15">
        <v>2014</v>
      </c>
      <c r="J93" s="15">
        <v>2015</v>
      </c>
      <c r="K93" s="15">
        <v>2016</v>
      </c>
      <c r="L93" s="15">
        <v>2017</v>
      </c>
      <c r="M93" s="15">
        <v>2018</v>
      </c>
      <c r="N93" s="15">
        <v>2019</v>
      </c>
      <c r="O93" s="15">
        <v>2020</v>
      </c>
      <c r="P93" s="15">
        <v>2021</v>
      </c>
      <c r="Q93" s="15">
        <v>2022</v>
      </c>
      <c r="R93" s="15">
        <v>2023</v>
      </c>
      <c r="S93" s="15">
        <v>2024</v>
      </c>
      <c r="T93" s="27" t="s">
        <v>476</v>
      </c>
      <c r="U93" s="27" t="s">
        <v>477</v>
      </c>
      <c r="V93" s="27" t="s">
        <v>478</v>
      </c>
    </row>
    <row r="94" spans="1:22" ht="15" customHeight="1" x14ac:dyDescent="0.25">
      <c r="A94" s="29" t="s">
        <v>150</v>
      </c>
      <c r="B94" s="18">
        <v>0.43035751188262023</v>
      </c>
      <c r="C94" s="18">
        <v>0.44626553734462659</v>
      </c>
      <c r="D94" s="18">
        <v>0.4187161829808162</v>
      </c>
      <c r="E94" s="18">
        <v>0.40182409057553159</v>
      </c>
      <c r="F94" s="18">
        <v>0.39608899531078506</v>
      </c>
      <c r="G94" s="18">
        <v>0.41154277556847174</v>
      </c>
      <c r="H94" s="18">
        <v>0.42924643584521399</v>
      </c>
      <c r="I94" s="18">
        <v>0.41391204369071544</v>
      </c>
      <c r="J94" s="18">
        <v>0.35638816644993465</v>
      </c>
      <c r="K94" s="18">
        <v>0.38622144623890597</v>
      </c>
      <c r="L94" s="18">
        <v>0.37336396546922879</v>
      </c>
      <c r="M94" s="18">
        <v>0.37403903015966877</v>
      </c>
      <c r="N94" s="18">
        <v>0.37322735590118933</v>
      </c>
      <c r="O94" s="18">
        <v>0.42661504266150463</v>
      </c>
      <c r="P94" s="18">
        <v>0.42611116840259866</v>
      </c>
      <c r="Q94" s="18">
        <v>0.38226029986140841</v>
      </c>
      <c r="R94" s="18">
        <v>0.33922350684101554</v>
      </c>
      <c r="S94" s="18">
        <v>0.36866573686657345</v>
      </c>
      <c r="T94" s="108">
        <f t="shared" ref="T94:T110" si="21">(S94-J94)*100</f>
        <v>1.2277570416638794</v>
      </c>
      <c r="U94" s="108">
        <f t="shared" ref="U94:U110" si="22">(S94-O94)*100</f>
        <v>-5.7949305794931183</v>
      </c>
      <c r="V94" s="108">
        <f t="shared" ref="V94:V110" si="23">(S94-R94)*100</f>
        <v>2.9442230025557903</v>
      </c>
    </row>
    <row r="95" spans="1:22" ht="15" customHeight="1" x14ac:dyDescent="0.25">
      <c r="A95" s="29" t="s">
        <v>151</v>
      </c>
      <c r="B95" s="18">
        <v>0.37158908507223215</v>
      </c>
      <c r="C95" s="18">
        <v>0.28957219251336919</v>
      </c>
      <c r="D95" s="18">
        <v>0.28097408145827363</v>
      </c>
      <c r="E95" s="18">
        <v>0.39600942219758895</v>
      </c>
      <c r="F95" s="18">
        <v>0.35296362248791624</v>
      </c>
      <c r="G95" s="18">
        <v>0.38621951219512213</v>
      </c>
      <c r="H95" s="18">
        <v>0.39957347809228388</v>
      </c>
      <c r="I95" s="18">
        <v>0.41907543559270821</v>
      </c>
      <c r="J95" s="18">
        <v>0.40078806642274162</v>
      </c>
      <c r="K95" s="18">
        <v>0.37139671922280626</v>
      </c>
      <c r="L95" s="18">
        <v>0.41056471223993551</v>
      </c>
      <c r="M95" s="18">
        <v>0.44598075810945814</v>
      </c>
      <c r="N95" s="18">
        <v>0.42281693262411346</v>
      </c>
      <c r="O95" s="18">
        <v>0.42240043129590954</v>
      </c>
      <c r="P95" s="18">
        <v>0.37990137596436818</v>
      </c>
      <c r="Q95" s="18">
        <v>0.36913409688488807</v>
      </c>
      <c r="R95" s="18">
        <v>0.40140131318027578</v>
      </c>
      <c r="S95" s="18">
        <v>0.36399520335764946</v>
      </c>
      <c r="T95" s="108">
        <f t="shared" si="21"/>
        <v>-3.6792863065092165</v>
      </c>
      <c r="U95" s="108">
        <f t="shared" si="22"/>
        <v>-5.8405227938260085</v>
      </c>
      <c r="V95" s="108">
        <f t="shared" si="23"/>
        <v>-3.7406109822626323</v>
      </c>
    </row>
    <row r="96" spans="1:22" ht="15" customHeight="1" x14ac:dyDescent="0.25">
      <c r="A96" s="29" t="s">
        <v>152</v>
      </c>
      <c r="B96" s="18">
        <v>0.4947207177635537</v>
      </c>
      <c r="C96" s="18">
        <v>0.43989028618744525</v>
      </c>
      <c r="D96" s="18">
        <v>0.4131268902631694</v>
      </c>
      <c r="E96" s="18">
        <v>0.43129843129843121</v>
      </c>
      <c r="F96" s="18">
        <v>0.38534970737791452</v>
      </c>
      <c r="G96" s="18">
        <v>0.38030413992159545</v>
      </c>
      <c r="H96" s="18">
        <v>0.38552673711175156</v>
      </c>
      <c r="I96" s="18">
        <v>0.38930839802399447</v>
      </c>
      <c r="J96" s="18">
        <v>0.36240452526285505</v>
      </c>
      <c r="K96" s="18">
        <v>0.37622252131000433</v>
      </c>
      <c r="L96" s="18">
        <v>0.36748462764746048</v>
      </c>
      <c r="M96" s="18">
        <v>0.39314090314794298</v>
      </c>
      <c r="N96" s="18">
        <v>0.39546171871263941</v>
      </c>
      <c r="O96" s="18">
        <v>0.4256922686086882</v>
      </c>
      <c r="P96" s="18">
        <v>0.43363740022805031</v>
      </c>
      <c r="Q96" s="18">
        <v>0.42765076581078054</v>
      </c>
      <c r="R96" s="18">
        <v>0.39885095342036969</v>
      </c>
      <c r="S96" s="18">
        <v>0.35573386058488121</v>
      </c>
      <c r="T96" s="108">
        <f t="shared" si="21"/>
        <v>-0.66706646779738366</v>
      </c>
      <c r="U96" s="108">
        <f t="shared" si="22"/>
        <v>-6.9958408023806982</v>
      </c>
      <c r="V96" s="108">
        <f t="shared" si="23"/>
        <v>-4.311709283548848</v>
      </c>
    </row>
    <row r="97" spans="1:22" ht="15" customHeight="1" x14ac:dyDescent="0.25">
      <c r="A97" s="29" t="s">
        <v>153</v>
      </c>
      <c r="B97" s="18">
        <v>0.53065196237431111</v>
      </c>
      <c r="C97" s="18">
        <v>0.39220584561578847</v>
      </c>
      <c r="D97" s="18">
        <v>0.37998451413085582</v>
      </c>
      <c r="E97" s="18">
        <v>0.46046511627906944</v>
      </c>
      <c r="F97" s="18">
        <v>0.37447652633899142</v>
      </c>
      <c r="G97" s="18">
        <v>0.31844042838018771</v>
      </c>
      <c r="H97" s="18">
        <v>0.44587716321683024</v>
      </c>
      <c r="I97" s="18">
        <v>0.35563104259210843</v>
      </c>
      <c r="J97" s="18">
        <v>0.35173875109061448</v>
      </c>
      <c r="K97" s="18">
        <v>0.3728399882846819</v>
      </c>
      <c r="L97" s="18">
        <v>0.3656538969616912</v>
      </c>
      <c r="M97" s="18">
        <v>0.37907860134411148</v>
      </c>
      <c r="N97" s="18">
        <v>0.44207733740654415</v>
      </c>
      <c r="O97" s="18">
        <v>0.43467046162056355</v>
      </c>
      <c r="P97" s="18">
        <v>0.42138532171135767</v>
      </c>
      <c r="Q97" s="18">
        <v>0.43017607771706112</v>
      </c>
      <c r="R97" s="18">
        <v>0.40750090155066737</v>
      </c>
      <c r="S97" s="18">
        <v>0.41407989521938426</v>
      </c>
      <c r="T97" s="108">
        <f t="shared" si="21"/>
        <v>6.2341144128769788</v>
      </c>
      <c r="U97" s="108">
        <f t="shared" si="22"/>
        <v>-2.0590566401179289</v>
      </c>
      <c r="V97" s="108">
        <f t="shared" si="23"/>
        <v>0.65789936687168926</v>
      </c>
    </row>
    <row r="98" spans="1:22" ht="15" customHeight="1" x14ac:dyDescent="0.25">
      <c r="A98" s="29" t="s">
        <v>154</v>
      </c>
      <c r="B98" s="18">
        <v>0.47474747474747447</v>
      </c>
      <c r="C98" s="18">
        <v>0.41781134581068163</v>
      </c>
      <c r="D98" s="18">
        <v>0.34976174268209664</v>
      </c>
      <c r="E98" s="18">
        <v>0.40892576590730545</v>
      </c>
      <c r="F98" s="18">
        <v>0.36684251660805001</v>
      </c>
      <c r="G98" s="18">
        <v>0.40329571634972039</v>
      </c>
      <c r="H98" s="18">
        <v>0.38587737843551767</v>
      </c>
      <c r="I98" s="18">
        <v>0.34390037621394626</v>
      </c>
      <c r="J98" s="18">
        <v>0.35611334161347163</v>
      </c>
      <c r="K98" s="18">
        <v>0.37136103188673886</v>
      </c>
      <c r="L98" s="18">
        <v>0.36588696861342873</v>
      </c>
      <c r="M98" s="18">
        <v>0.36766537730282561</v>
      </c>
      <c r="N98" s="18">
        <v>0.36778371105411423</v>
      </c>
      <c r="O98" s="18">
        <v>0.39027310380533242</v>
      </c>
      <c r="P98" s="18">
        <v>0.40601051308826425</v>
      </c>
      <c r="Q98" s="18">
        <v>0.37534032744037449</v>
      </c>
      <c r="R98" s="18">
        <v>0.33621849334466153</v>
      </c>
      <c r="S98" s="18">
        <v>0.30832751396648045</v>
      </c>
      <c r="T98" s="108">
        <f t="shared" si="21"/>
        <v>-4.7785827646991184</v>
      </c>
      <c r="U98" s="108">
        <f t="shared" si="22"/>
        <v>-8.194558983885198</v>
      </c>
      <c r="V98" s="108">
        <f t="shared" si="23"/>
        <v>-2.789097937818108</v>
      </c>
    </row>
    <row r="99" spans="1:22" ht="15" customHeight="1" x14ac:dyDescent="0.25">
      <c r="A99" s="29" t="s">
        <v>155</v>
      </c>
      <c r="B99" s="18">
        <v>0.31537541604829777</v>
      </c>
      <c r="C99" s="18">
        <v>0.29043038800130433</v>
      </c>
      <c r="D99" s="18">
        <v>0.34923721750474068</v>
      </c>
      <c r="E99" s="18">
        <v>0.36713890165013241</v>
      </c>
      <c r="F99" s="18">
        <v>0.38073631267480534</v>
      </c>
      <c r="G99" s="18">
        <v>0.38102320336725831</v>
      </c>
      <c r="H99" s="18">
        <v>0.39010427890155797</v>
      </c>
      <c r="I99" s="18">
        <v>0.37336051704071777</v>
      </c>
      <c r="J99" s="18">
        <v>0.35092768121569257</v>
      </c>
      <c r="K99" s="18">
        <v>0.33448992681777084</v>
      </c>
      <c r="L99" s="18">
        <v>0.33467624300182003</v>
      </c>
      <c r="M99" s="18">
        <v>0.35381055615775853</v>
      </c>
      <c r="N99" s="18">
        <v>0.33730312280550895</v>
      </c>
      <c r="O99" s="18">
        <v>0.32431339096481432</v>
      </c>
      <c r="P99" s="18">
        <v>0.3527263950689104</v>
      </c>
      <c r="Q99" s="18">
        <v>0.34645908753297028</v>
      </c>
      <c r="R99" s="18">
        <v>0.3061855299572297</v>
      </c>
      <c r="S99" s="18">
        <v>0.28359542303939589</v>
      </c>
      <c r="T99" s="108">
        <f t="shared" si="21"/>
        <v>-6.733225817629668</v>
      </c>
      <c r="U99" s="108">
        <f t="shared" si="22"/>
        <v>-4.0717967925418428</v>
      </c>
      <c r="V99" s="108">
        <f t="shared" si="23"/>
        <v>-2.2590106917833808</v>
      </c>
    </row>
    <row r="100" spans="1:22" ht="15" customHeight="1" x14ac:dyDescent="0.25">
      <c r="A100" s="29" t="s">
        <v>163</v>
      </c>
      <c r="B100" s="18">
        <v>0.29895671427314591</v>
      </c>
      <c r="C100" s="18">
        <v>0.28721483039154366</v>
      </c>
      <c r="D100" s="18">
        <v>0.29375430258107715</v>
      </c>
      <c r="E100" s="18">
        <v>0.29729597335162133</v>
      </c>
      <c r="F100" s="18">
        <v>0.30173652130025586</v>
      </c>
      <c r="G100" s="18">
        <v>0.30017079743424291</v>
      </c>
      <c r="H100" s="18">
        <v>0.29741775749902738</v>
      </c>
      <c r="I100" s="18">
        <v>0.29543090491804647</v>
      </c>
      <c r="J100" s="18">
        <v>0.28969715069375962</v>
      </c>
      <c r="K100" s="18">
        <v>0.28560876029997589</v>
      </c>
      <c r="L100" s="18">
        <v>0.27914749862670057</v>
      </c>
      <c r="M100" s="18">
        <v>0.30872867922561886</v>
      </c>
      <c r="N100" s="18">
        <v>0.29043286949406599</v>
      </c>
      <c r="O100" s="18">
        <v>0.29232866388864254</v>
      </c>
      <c r="P100" s="18">
        <v>0.31240304974728533</v>
      </c>
      <c r="Q100" s="18">
        <v>0.28931115083979875</v>
      </c>
      <c r="R100" s="18">
        <v>0.27623070097604252</v>
      </c>
      <c r="S100" s="18">
        <v>0.25624385190601795</v>
      </c>
      <c r="T100" s="108">
        <f t="shared" si="21"/>
        <v>-3.3453298787741668</v>
      </c>
      <c r="U100" s="108">
        <f t="shared" si="22"/>
        <v>-3.6084811982624587</v>
      </c>
      <c r="V100" s="108">
        <f t="shared" si="23"/>
        <v>-1.998684907002457</v>
      </c>
    </row>
    <row r="101" spans="1:22" ht="15" customHeight="1" x14ac:dyDescent="0.25">
      <c r="A101" s="29" t="s">
        <v>290</v>
      </c>
      <c r="B101" s="18">
        <v>0.25830071960611067</v>
      </c>
      <c r="C101" s="18">
        <v>0.18240386551238177</v>
      </c>
      <c r="D101" s="18">
        <v>0.16695974086071277</v>
      </c>
      <c r="E101" s="18">
        <v>0.25119152691968205</v>
      </c>
      <c r="F101" s="18">
        <v>0.21895878811933583</v>
      </c>
      <c r="G101" s="18">
        <v>0.21493731975751901</v>
      </c>
      <c r="H101" s="18">
        <v>0.2750419111483654</v>
      </c>
      <c r="I101" s="18">
        <v>0.2045741192297989</v>
      </c>
      <c r="J101" s="18">
        <v>0.23015058179329237</v>
      </c>
      <c r="K101" s="18">
        <v>0.2406336914435292</v>
      </c>
      <c r="L101" s="18">
        <v>0.27513987831351039</v>
      </c>
      <c r="M101" s="18">
        <v>0.2626089017957684</v>
      </c>
      <c r="N101" s="18">
        <v>0.26995971174033923</v>
      </c>
      <c r="O101" s="18">
        <v>0.29775431347794495</v>
      </c>
      <c r="P101" s="18">
        <v>0.32488740463862253</v>
      </c>
      <c r="Q101" s="18">
        <v>0.31611532064313425</v>
      </c>
      <c r="R101" s="18">
        <v>0.29834143072541469</v>
      </c>
      <c r="S101" s="18">
        <v>0.26464849704286336</v>
      </c>
      <c r="T101" s="108">
        <f t="shared" si="21"/>
        <v>3.4497915249570994</v>
      </c>
      <c r="U101" s="108">
        <f t="shared" si="22"/>
        <v>-3.3105816435081592</v>
      </c>
      <c r="V101" s="108">
        <f t="shared" si="23"/>
        <v>-3.3692933682551329</v>
      </c>
    </row>
    <row r="102" spans="1:22" ht="15" customHeight="1" x14ac:dyDescent="0.25">
      <c r="A102" s="29" t="s">
        <v>156</v>
      </c>
      <c r="B102" s="18">
        <v>0.29887156435828988</v>
      </c>
      <c r="C102" s="18">
        <v>0.23814382345161095</v>
      </c>
      <c r="D102" s="18">
        <v>0.22317827372949722</v>
      </c>
      <c r="E102" s="18">
        <v>0.25950058241118273</v>
      </c>
      <c r="F102" s="18">
        <v>0.26587253229344415</v>
      </c>
      <c r="G102" s="18">
        <v>0.22618097567254475</v>
      </c>
      <c r="H102" s="18">
        <v>0.25510273583834686</v>
      </c>
      <c r="I102" s="18">
        <v>0.28886366352013382</v>
      </c>
      <c r="J102" s="18">
        <v>0.27002874410377359</v>
      </c>
      <c r="K102" s="18">
        <v>0.2565742342436792</v>
      </c>
      <c r="L102" s="18">
        <v>0.27906028828695295</v>
      </c>
      <c r="M102" s="18">
        <v>0.25949001220373835</v>
      </c>
      <c r="N102" s="18">
        <v>0.28614624724935511</v>
      </c>
      <c r="O102" s="18">
        <v>0.28239308101245736</v>
      </c>
      <c r="P102" s="18">
        <v>0.30189463521902937</v>
      </c>
      <c r="Q102" s="18">
        <v>0.27160178219268127</v>
      </c>
      <c r="R102" s="18">
        <v>0.2514272277163051</v>
      </c>
      <c r="S102" s="18">
        <v>0.24887793244818379</v>
      </c>
      <c r="T102" s="108">
        <f t="shared" si="21"/>
        <v>-2.1150811655589798</v>
      </c>
      <c r="U102" s="108">
        <f t="shared" si="22"/>
        <v>-3.3515148564273565</v>
      </c>
      <c r="V102" s="108">
        <f t="shared" si="23"/>
        <v>-0.25492952681213099</v>
      </c>
    </row>
    <row r="103" spans="1:22" ht="15" customHeight="1" x14ac:dyDescent="0.25">
      <c r="A103" s="29" t="s">
        <v>191</v>
      </c>
      <c r="B103" s="18">
        <v>0.2967713401149934</v>
      </c>
      <c r="C103" s="18">
        <v>0.29823335662241707</v>
      </c>
      <c r="D103" s="18">
        <v>0.24817342432757949</v>
      </c>
      <c r="E103" s="18">
        <v>0.29467011035454332</v>
      </c>
      <c r="F103" s="18">
        <v>0.24958123953098774</v>
      </c>
      <c r="G103" s="18">
        <v>0.27660168686812253</v>
      </c>
      <c r="H103" s="18">
        <v>0.26420402139826621</v>
      </c>
      <c r="I103" s="18">
        <v>0.25528207362230493</v>
      </c>
      <c r="J103" s="18">
        <v>0.26451435744547319</v>
      </c>
      <c r="K103" s="18">
        <v>0.25441670580584591</v>
      </c>
      <c r="L103" s="18">
        <v>0.25985221674876829</v>
      </c>
      <c r="M103" s="18">
        <v>0.27543163393371994</v>
      </c>
      <c r="N103" s="18">
        <v>0.29069312564458194</v>
      </c>
      <c r="O103" s="18">
        <v>0.31133878331033066</v>
      </c>
      <c r="P103" s="18">
        <v>0.3555936648844949</v>
      </c>
      <c r="Q103" s="18">
        <v>0.32638934887726029</v>
      </c>
      <c r="R103" s="18">
        <v>0.30319662043042972</v>
      </c>
      <c r="S103" s="18">
        <v>0.28055526195257752</v>
      </c>
      <c r="T103" s="108">
        <f t="shared" si="21"/>
        <v>1.6040904507104325</v>
      </c>
      <c r="U103" s="108">
        <f t="shared" si="22"/>
        <v>-3.0783521357753143</v>
      </c>
      <c r="V103" s="108">
        <f t="shared" si="23"/>
        <v>-2.2641358477852203</v>
      </c>
    </row>
    <row r="104" spans="1:22" ht="15" customHeight="1" x14ac:dyDescent="0.25">
      <c r="A104" s="29" t="s">
        <v>157</v>
      </c>
      <c r="B104" s="89">
        <v>0.28886693017127801</v>
      </c>
      <c r="C104" s="18">
        <v>0.27320028800825991</v>
      </c>
      <c r="D104" s="18">
        <v>0.27684606089577601</v>
      </c>
      <c r="E104" s="18">
        <v>0.28124829653856626</v>
      </c>
      <c r="F104" s="18">
        <v>0.28192453451969018</v>
      </c>
      <c r="G104" s="18">
        <v>0.28293921566578539</v>
      </c>
      <c r="H104" s="18">
        <v>0.29867027270678392</v>
      </c>
      <c r="I104" s="18">
        <v>0.28889392675837383</v>
      </c>
      <c r="J104" s="18">
        <v>0.28701127876387172</v>
      </c>
      <c r="K104" s="18">
        <v>0.2845155862557564</v>
      </c>
      <c r="L104" s="18">
        <v>0.27951985226223452</v>
      </c>
      <c r="M104" s="18">
        <v>0.30210845822379984</v>
      </c>
      <c r="N104" s="18">
        <v>0.29566607583498417</v>
      </c>
      <c r="O104" s="18">
        <v>0.32077018030232513</v>
      </c>
      <c r="P104" s="18">
        <v>0.32952804886435383</v>
      </c>
      <c r="Q104" s="18">
        <v>0.31247150236413274</v>
      </c>
      <c r="R104" s="18">
        <v>0.29811468970934812</v>
      </c>
      <c r="S104" s="18">
        <v>0.26966517452842398</v>
      </c>
      <c r="T104" s="108">
        <f t="shared" si="21"/>
        <v>-1.7346104235447746</v>
      </c>
      <c r="U104" s="108">
        <f t="shared" si="22"/>
        <v>-5.1105005773901144</v>
      </c>
      <c r="V104" s="108">
        <f t="shared" si="23"/>
        <v>-2.8449515180924143</v>
      </c>
    </row>
    <row r="105" spans="1:22" ht="15" customHeight="1" x14ac:dyDescent="0.25">
      <c r="A105" s="29" t="s">
        <v>158</v>
      </c>
      <c r="B105" s="18">
        <v>0.30444616576297445</v>
      </c>
      <c r="C105" s="18">
        <v>0.3042237442922372</v>
      </c>
      <c r="D105" s="18">
        <v>0.28591391073238942</v>
      </c>
      <c r="E105" s="18">
        <v>0.30719290719290726</v>
      </c>
      <c r="F105" s="18">
        <v>0.26724114197615856</v>
      </c>
      <c r="G105" s="18">
        <v>0.2593897895478805</v>
      </c>
      <c r="H105" s="18">
        <v>0.25783706098985004</v>
      </c>
      <c r="I105" s="18">
        <v>0.24867888771456698</v>
      </c>
      <c r="J105" s="18">
        <v>0.250415249545203</v>
      </c>
      <c r="K105" s="18">
        <v>0.25317721715438601</v>
      </c>
      <c r="L105" s="18">
        <v>0.25855721648601893</v>
      </c>
      <c r="M105" s="18">
        <v>0.27435739450526891</v>
      </c>
      <c r="N105" s="18">
        <v>0.26029813470693824</v>
      </c>
      <c r="O105" s="18">
        <v>0.27379507838664274</v>
      </c>
      <c r="P105" s="18">
        <v>0.2952143044964502</v>
      </c>
      <c r="Q105" s="18">
        <v>0.26913313955782348</v>
      </c>
      <c r="R105" s="18">
        <v>0.28461308719582468</v>
      </c>
      <c r="S105" s="18">
        <v>0.27272050724853386</v>
      </c>
      <c r="T105" s="108">
        <f t="shared" si="21"/>
        <v>2.2305257703330863</v>
      </c>
      <c r="U105" s="108">
        <f t="shared" si="22"/>
        <v>-0.10745711381088818</v>
      </c>
      <c r="V105" s="108">
        <f t="shared" si="23"/>
        <v>-1.1892579947290816</v>
      </c>
    </row>
    <row r="106" spans="1:22" ht="15" customHeight="1" x14ac:dyDescent="0.25">
      <c r="A106" s="29" t="s">
        <v>159</v>
      </c>
      <c r="B106" s="18">
        <v>0.5688720173535794</v>
      </c>
      <c r="C106" s="18">
        <v>0.53094785554912793</v>
      </c>
      <c r="D106" s="18">
        <v>0.45675276233373169</v>
      </c>
      <c r="E106" s="18">
        <v>0.44692395204340674</v>
      </c>
      <c r="F106" s="18">
        <v>0.4358198924731177</v>
      </c>
      <c r="G106" s="18">
        <v>0.40045592705167171</v>
      </c>
      <c r="H106" s="18">
        <v>0.44610794684024901</v>
      </c>
      <c r="I106" s="18">
        <v>0.40586172344689431</v>
      </c>
      <c r="J106" s="18">
        <v>0.35655022987898299</v>
      </c>
      <c r="K106" s="18">
        <v>0.34920939147101066</v>
      </c>
      <c r="L106" s="18">
        <v>0.33644474948524383</v>
      </c>
      <c r="M106" s="18">
        <v>0.31840006859298642</v>
      </c>
      <c r="N106" s="18">
        <v>0.34214007782101163</v>
      </c>
      <c r="O106" s="18">
        <v>0.34132661821095367</v>
      </c>
      <c r="P106" s="18">
        <v>0.38921851161213755</v>
      </c>
      <c r="Q106" s="18">
        <v>0.37990700028469282</v>
      </c>
      <c r="R106" s="18">
        <v>0.38636225266362212</v>
      </c>
      <c r="S106" s="18">
        <v>0.34297053796459898</v>
      </c>
      <c r="T106" s="108">
        <f t="shared" si="21"/>
        <v>-1.3579691914384018</v>
      </c>
      <c r="U106" s="108">
        <f t="shared" si="22"/>
        <v>0.16439197536453065</v>
      </c>
      <c r="V106" s="108">
        <f t="shared" si="23"/>
        <v>-4.3391714699023147</v>
      </c>
    </row>
    <row r="107" spans="1:22" ht="15" customHeight="1" x14ac:dyDescent="0.25">
      <c r="A107" s="29" t="s">
        <v>160</v>
      </c>
      <c r="B107" s="18">
        <v>0.28467253714914642</v>
      </c>
      <c r="C107" s="18">
        <v>0.26052048726467297</v>
      </c>
      <c r="D107" s="18">
        <v>0.23437586187875775</v>
      </c>
      <c r="E107" s="18">
        <v>0.29526285384170953</v>
      </c>
      <c r="F107" s="18">
        <v>0.2858039897599382</v>
      </c>
      <c r="G107" s="18">
        <v>0.28556689212426917</v>
      </c>
      <c r="H107" s="18">
        <v>0.33459105936466882</v>
      </c>
      <c r="I107" s="18">
        <v>0.32539733197166015</v>
      </c>
      <c r="J107" s="18">
        <v>0.31256000698263064</v>
      </c>
      <c r="K107" s="18">
        <v>0.31069581570286803</v>
      </c>
      <c r="L107" s="18">
        <v>0.31943924822289227</v>
      </c>
      <c r="M107" s="18">
        <v>0.31696211753278275</v>
      </c>
      <c r="N107" s="18">
        <v>0.30241593355066315</v>
      </c>
      <c r="O107" s="18">
        <v>0.31981786014675578</v>
      </c>
      <c r="P107" s="18">
        <v>0.32772279223527989</v>
      </c>
      <c r="Q107" s="18">
        <v>0.32751950013448372</v>
      </c>
      <c r="R107" s="18">
        <v>0.29561726846401759</v>
      </c>
      <c r="S107" s="18">
        <v>0.25128786522664437</v>
      </c>
      <c r="T107" s="108">
        <f t="shared" si="21"/>
        <v>-6.1272141755986276</v>
      </c>
      <c r="U107" s="108">
        <f t="shared" si="22"/>
        <v>-6.8529994920111417</v>
      </c>
      <c r="V107" s="108">
        <f t="shared" si="23"/>
        <v>-4.4329403237373217</v>
      </c>
    </row>
    <row r="108" spans="1:22" ht="15" customHeight="1" x14ac:dyDescent="0.25">
      <c r="A108" s="29" t="s">
        <v>161</v>
      </c>
      <c r="B108" s="18">
        <v>0.42162818955042541</v>
      </c>
      <c r="C108" s="18">
        <v>0.58379888268156455</v>
      </c>
      <c r="D108" s="18">
        <v>0.56020066889632103</v>
      </c>
      <c r="E108" s="18">
        <v>0.45982694684796022</v>
      </c>
      <c r="F108" s="18">
        <v>0.49030470914127433</v>
      </c>
      <c r="G108" s="18">
        <v>0.45179584120983002</v>
      </c>
      <c r="H108" s="18">
        <v>0.45582586427656846</v>
      </c>
      <c r="I108" s="18">
        <v>0.34206390780513357</v>
      </c>
      <c r="J108" s="18">
        <v>0.27181767648693694</v>
      </c>
      <c r="K108" s="18">
        <v>0.32810271041369471</v>
      </c>
      <c r="L108" s="18">
        <v>0.25132475397426185</v>
      </c>
      <c r="M108" s="18">
        <v>0.2217913920124078</v>
      </c>
      <c r="N108" s="18">
        <v>0.30057581573896336</v>
      </c>
      <c r="O108" s="18">
        <v>0.29170267934312893</v>
      </c>
      <c r="P108" s="18">
        <v>0.33097686375321334</v>
      </c>
      <c r="Q108" s="18">
        <v>0.35077951002227137</v>
      </c>
      <c r="R108" s="18">
        <v>0.40610687022900771</v>
      </c>
      <c r="S108" s="18">
        <v>0.36506655909640934</v>
      </c>
      <c r="T108" s="108">
        <f t="shared" si="21"/>
        <v>9.3248882609472403</v>
      </c>
      <c r="U108" s="108">
        <f t="shared" si="22"/>
        <v>7.3363879753280408</v>
      </c>
      <c r="V108" s="108">
        <f t="shared" si="23"/>
        <v>-4.104031113259837</v>
      </c>
    </row>
    <row r="109" spans="1:22" ht="15" customHeight="1" x14ac:dyDescent="0.25">
      <c r="A109" s="29" t="s">
        <v>162</v>
      </c>
      <c r="B109" s="18">
        <v>0.34797932330827031</v>
      </c>
      <c r="C109" s="18">
        <v>0.29552932068898857</v>
      </c>
      <c r="D109" s="18">
        <v>0.2578796561604576</v>
      </c>
      <c r="E109" s="18">
        <v>0.30190723883831821</v>
      </c>
      <c r="F109" s="18">
        <v>0.36020826759230029</v>
      </c>
      <c r="G109" s="18">
        <v>0.32893070381762307</v>
      </c>
      <c r="H109" s="18">
        <v>0.34608668042546437</v>
      </c>
      <c r="I109" s="18">
        <v>0.34127861089187056</v>
      </c>
      <c r="J109" s="18">
        <v>0.34334184056448019</v>
      </c>
      <c r="K109" s="18">
        <v>0.32723470987976988</v>
      </c>
      <c r="L109" s="18">
        <v>0.34535234439265106</v>
      </c>
      <c r="M109" s="18">
        <v>0.31715561994446506</v>
      </c>
      <c r="N109" s="18">
        <v>0.3812603648424544</v>
      </c>
      <c r="O109" s="18">
        <v>0.32430355427473512</v>
      </c>
      <c r="P109" s="18">
        <v>0.35424636572302953</v>
      </c>
      <c r="Q109" s="18">
        <v>0.3125940792774709</v>
      </c>
      <c r="R109" s="18">
        <v>0.31322858590978192</v>
      </c>
      <c r="S109" s="18">
        <v>0.2904023961453312</v>
      </c>
      <c r="T109" s="108">
        <f t="shared" si="21"/>
        <v>-5.2939444419148991</v>
      </c>
      <c r="U109" s="108">
        <f t="shared" si="22"/>
        <v>-3.3901158129403921</v>
      </c>
      <c r="V109" s="108">
        <f t="shared" si="23"/>
        <v>-2.2826189764450722</v>
      </c>
    </row>
    <row r="110" spans="1:22" ht="15" customHeight="1" x14ac:dyDescent="0.25">
      <c r="A110" s="31" t="s">
        <v>0</v>
      </c>
      <c r="B110" s="20">
        <v>0.32146702439195468</v>
      </c>
      <c r="C110" s="20">
        <v>0.30072228788143157</v>
      </c>
      <c r="D110" s="20">
        <v>0.30191993225704622</v>
      </c>
      <c r="E110" s="20">
        <v>0.31652388252622737</v>
      </c>
      <c r="F110" s="20">
        <v>0.31146168260768825</v>
      </c>
      <c r="G110" s="20">
        <v>0.3098726815733005</v>
      </c>
      <c r="H110" s="20">
        <v>0.3170650492245593</v>
      </c>
      <c r="I110" s="20">
        <v>0.3088674236465927</v>
      </c>
      <c r="J110" s="20">
        <v>0.30042711497084262</v>
      </c>
      <c r="K110" s="20">
        <v>0.29654937033322182</v>
      </c>
      <c r="L110" s="20">
        <v>0.29620939872447899</v>
      </c>
      <c r="M110" s="20">
        <v>0.31547035130867096</v>
      </c>
      <c r="N110" s="20">
        <v>0.30654228103369174</v>
      </c>
      <c r="O110" s="20">
        <v>0.31386530398051615</v>
      </c>
      <c r="P110" s="20">
        <v>0.33155761935676559</v>
      </c>
      <c r="Q110" s="20">
        <v>0.31252383265163591</v>
      </c>
      <c r="R110" s="20">
        <v>0.29569469394321257</v>
      </c>
      <c r="S110" s="20">
        <v>0.27359397626049542</v>
      </c>
      <c r="T110" s="126">
        <f t="shared" si="21"/>
        <v>-2.6833138710347204</v>
      </c>
      <c r="U110" s="126">
        <f t="shared" si="22"/>
        <v>-4.0271327720020729</v>
      </c>
      <c r="V110" s="126">
        <f t="shared" si="23"/>
        <v>-2.2100717682717153</v>
      </c>
    </row>
    <row r="111" spans="1:22" ht="15" customHeight="1" x14ac:dyDescent="0.25">
      <c r="A111" s="59"/>
      <c r="B111" s="59"/>
      <c r="C111" s="51"/>
      <c r="D111" s="51"/>
      <c r="E111" s="51"/>
      <c r="F111" s="51"/>
      <c r="G111" s="51"/>
      <c r="H111" s="51"/>
      <c r="I111" s="51"/>
      <c r="J111" s="51"/>
      <c r="K111" s="51"/>
      <c r="L111" s="51"/>
      <c r="M111" s="51"/>
      <c r="N111" s="51"/>
      <c r="O111" s="51"/>
      <c r="P111" s="51"/>
      <c r="Q111" s="51"/>
      <c r="R111" s="51"/>
      <c r="S111" s="51"/>
      <c r="T111" s="51"/>
      <c r="U111" s="51"/>
      <c r="V111" s="51"/>
    </row>
    <row r="112" spans="1:22" ht="15" customHeight="1" x14ac:dyDescent="0.25">
      <c r="A112" s="60" t="s">
        <v>508</v>
      </c>
      <c r="B112" s="60"/>
      <c r="C112" s="79"/>
      <c r="D112" s="79"/>
      <c r="E112" s="79"/>
      <c r="F112" s="79"/>
      <c r="G112" s="79"/>
      <c r="H112" s="79"/>
      <c r="I112" s="79"/>
      <c r="J112" s="79"/>
      <c r="K112" s="79"/>
      <c r="L112" s="79"/>
      <c r="M112" s="79"/>
      <c r="N112" s="79"/>
      <c r="O112" s="79"/>
      <c r="P112" s="79"/>
      <c r="Q112" s="79"/>
      <c r="R112" s="79"/>
      <c r="S112" s="79"/>
      <c r="T112" s="79"/>
      <c r="U112" s="79"/>
      <c r="V112" s="79"/>
    </row>
    <row r="113" spans="1:22" ht="32.25" customHeight="1" x14ac:dyDescent="0.25">
      <c r="A113" s="28" t="s">
        <v>327</v>
      </c>
      <c r="B113" s="15">
        <v>2007</v>
      </c>
      <c r="C113" s="15">
        <v>2008</v>
      </c>
      <c r="D113" s="15">
        <v>2009</v>
      </c>
      <c r="E113" s="15">
        <v>2010</v>
      </c>
      <c r="F113" s="15">
        <v>2011</v>
      </c>
      <c r="G113" s="15">
        <v>2012</v>
      </c>
      <c r="H113" s="15">
        <v>2013</v>
      </c>
      <c r="I113" s="15">
        <v>2014</v>
      </c>
      <c r="J113" s="15">
        <v>2015</v>
      </c>
      <c r="K113" s="15">
        <v>2016</v>
      </c>
      <c r="L113" s="15">
        <v>2017</v>
      </c>
      <c r="M113" s="15">
        <v>2018</v>
      </c>
      <c r="N113" s="15">
        <v>2019</v>
      </c>
      <c r="O113" s="15">
        <v>2020</v>
      </c>
      <c r="P113" s="15">
        <v>2021</v>
      </c>
      <c r="Q113" s="15">
        <v>2022</v>
      </c>
      <c r="R113" s="15">
        <v>2023</v>
      </c>
      <c r="S113" s="15">
        <v>2024</v>
      </c>
      <c r="T113" s="27" t="s">
        <v>476</v>
      </c>
      <c r="U113" s="27" t="s">
        <v>477</v>
      </c>
      <c r="V113" s="27" t="s">
        <v>478</v>
      </c>
    </row>
    <row r="114" spans="1:22" ht="15" customHeight="1" x14ac:dyDescent="0.25">
      <c r="A114" s="30" t="s">
        <v>50</v>
      </c>
      <c r="B114" s="19">
        <v>0.28651641581533183</v>
      </c>
      <c r="C114" s="19">
        <v>0.29310408306026997</v>
      </c>
      <c r="D114" s="19">
        <v>0.29715092108776076</v>
      </c>
      <c r="E114" s="19">
        <v>0.30047112876221677</v>
      </c>
      <c r="F114" s="19">
        <v>0.28519520966964462</v>
      </c>
      <c r="G114" s="19">
        <v>0.26491257285595271</v>
      </c>
      <c r="H114" s="19">
        <v>0.24754922380515998</v>
      </c>
      <c r="I114" s="19">
        <v>0.24930410577592155</v>
      </c>
      <c r="J114" s="19">
        <v>0.25694923314706869</v>
      </c>
      <c r="K114" s="19">
        <v>0.24384944277002968</v>
      </c>
      <c r="L114" s="19">
        <v>0.24497547740790876</v>
      </c>
      <c r="M114" s="19">
        <v>0.25564673700664375</v>
      </c>
      <c r="N114" s="19">
        <v>0.26428651371012835</v>
      </c>
      <c r="O114" s="19">
        <v>0.28085415953440601</v>
      </c>
      <c r="P114" s="19">
        <v>0.26589672330299119</v>
      </c>
      <c r="Q114" s="19">
        <v>0.25099021632418173</v>
      </c>
      <c r="R114" s="19">
        <v>0.2368463866202454</v>
      </c>
      <c r="S114" s="19">
        <v>0.23124516627996872</v>
      </c>
      <c r="T114" s="108">
        <f>(S114-J114)*100</f>
        <v>-2.5704066867099975</v>
      </c>
      <c r="U114" s="108">
        <f t="shared" ref="U114:U138" si="24">(S114-O114)*100</f>
        <v>-4.9608993254437292</v>
      </c>
      <c r="V114" s="106">
        <f t="shared" ref="V114:V138" si="25">(S114-R114)*100</f>
        <v>-0.56012203402766858</v>
      </c>
    </row>
    <row r="115" spans="1:22" ht="15" customHeight="1" x14ac:dyDescent="0.25">
      <c r="A115" s="37" t="s">
        <v>58</v>
      </c>
      <c r="B115" s="19">
        <v>0.27628562778426513</v>
      </c>
      <c r="C115" s="19">
        <v>0.24730441096387706</v>
      </c>
      <c r="D115" s="19">
        <v>0.23730166650034903</v>
      </c>
      <c r="E115" s="19">
        <v>0.28972281126931282</v>
      </c>
      <c r="F115" s="19">
        <v>0.2440393208221624</v>
      </c>
      <c r="G115" s="19">
        <v>0.23034701910230054</v>
      </c>
      <c r="H115" s="19">
        <v>0.2400798763205359</v>
      </c>
      <c r="I115" s="19">
        <v>0.23057522258348845</v>
      </c>
      <c r="J115" s="19">
        <v>0.20031273146243114</v>
      </c>
      <c r="K115" s="19">
        <v>0.18070596015541071</v>
      </c>
      <c r="L115" s="19">
        <v>0.18911664226452007</v>
      </c>
      <c r="M115" s="19">
        <v>0.17370645345516825</v>
      </c>
      <c r="N115" s="19">
        <v>0.18535835386786279</v>
      </c>
      <c r="O115" s="19">
        <v>0.18004327846531618</v>
      </c>
      <c r="P115" s="19">
        <v>0.18830659298462304</v>
      </c>
      <c r="Q115" s="19">
        <v>0.16765254291776452</v>
      </c>
      <c r="R115" s="19">
        <v>0.1500825206301574</v>
      </c>
      <c r="S115" s="19">
        <v>0.14086444325776326</v>
      </c>
      <c r="T115" s="108">
        <f t="shared" ref="T115:T138" si="26">(S115-J115)*100</f>
        <v>-5.9448288204667881</v>
      </c>
      <c r="U115" s="108">
        <f t="shared" si="24"/>
        <v>-3.9178835207552916</v>
      </c>
      <c r="V115" s="106">
        <f t="shared" si="25"/>
        <v>-0.92180773723941345</v>
      </c>
    </row>
    <row r="116" spans="1:22" ht="15" customHeight="1" x14ac:dyDescent="0.25">
      <c r="A116" s="30" t="s">
        <v>49</v>
      </c>
      <c r="B116" s="19">
        <v>0.31782301620274261</v>
      </c>
      <c r="C116" s="19">
        <v>0.27704015544041383</v>
      </c>
      <c r="D116" s="19">
        <v>0.31215696170588592</v>
      </c>
      <c r="E116" s="19">
        <v>0.31011940497631862</v>
      </c>
      <c r="F116" s="19">
        <v>0.31533114353372582</v>
      </c>
      <c r="G116" s="19">
        <v>0.33045053468123547</v>
      </c>
      <c r="H116" s="19">
        <v>0.27084150433607801</v>
      </c>
      <c r="I116" s="19">
        <v>0.30354902674922041</v>
      </c>
      <c r="J116" s="19">
        <v>0.28209809359969112</v>
      </c>
      <c r="K116" s="19">
        <v>0.26938917975567217</v>
      </c>
      <c r="L116" s="19">
        <v>0.25556594948550077</v>
      </c>
      <c r="M116" s="19">
        <v>0.28381946576604233</v>
      </c>
      <c r="N116" s="19">
        <v>0.2662354804646252</v>
      </c>
      <c r="O116" s="19">
        <v>0.28071453347207737</v>
      </c>
      <c r="P116" s="19">
        <v>0.2956589640512477</v>
      </c>
      <c r="Q116" s="19">
        <v>0.28501805509961853</v>
      </c>
      <c r="R116" s="19">
        <v>0.27285527506788709</v>
      </c>
      <c r="S116" s="19">
        <v>0.26527630180658918</v>
      </c>
      <c r="T116" s="108">
        <f t="shared" si="26"/>
        <v>-1.6821791793101948</v>
      </c>
      <c r="U116" s="108">
        <f t="shared" si="24"/>
        <v>-1.5438231665488189</v>
      </c>
      <c r="V116" s="106">
        <f t="shared" si="25"/>
        <v>-0.75789732612979166</v>
      </c>
    </row>
    <row r="117" spans="1:22" ht="15" customHeight="1" x14ac:dyDescent="0.25">
      <c r="A117" s="30" t="s">
        <v>48</v>
      </c>
      <c r="B117" s="19">
        <v>0.17409608717186642</v>
      </c>
      <c r="C117" s="19">
        <v>0.19527714932126622</v>
      </c>
      <c r="D117" s="19">
        <v>0.19347486324563637</v>
      </c>
      <c r="E117" s="19">
        <v>0.17630644342973201</v>
      </c>
      <c r="F117" s="19">
        <v>0.1969649561952436</v>
      </c>
      <c r="G117" s="19">
        <v>0.19070043697764175</v>
      </c>
      <c r="H117" s="19">
        <v>0.19980327452722452</v>
      </c>
      <c r="I117" s="19">
        <v>0.1937908496732019</v>
      </c>
      <c r="J117" s="19">
        <v>0.20678189975177111</v>
      </c>
      <c r="K117" s="19">
        <v>0.22497166992891734</v>
      </c>
      <c r="L117" s="19">
        <v>0.23947543476194971</v>
      </c>
      <c r="M117" s="19">
        <v>0.24447108285123587</v>
      </c>
      <c r="N117" s="19">
        <v>0.27477970396820822</v>
      </c>
      <c r="O117" s="19">
        <v>0.37095677513356001</v>
      </c>
      <c r="P117" s="19">
        <v>0.31612097518596993</v>
      </c>
      <c r="Q117" s="19">
        <v>0.28163104943381928</v>
      </c>
      <c r="R117" s="19">
        <v>0.24018402594464086</v>
      </c>
      <c r="S117" s="19">
        <v>0.2074246108066912</v>
      </c>
      <c r="T117" s="108">
        <f t="shared" si="26"/>
        <v>6.4271105492008651E-2</v>
      </c>
      <c r="U117" s="108">
        <f t="shared" si="24"/>
        <v>-16.353216432686882</v>
      </c>
      <c r="V117" s="106">
        <f t="shared" si="25"/>
        <v>-3.2759415137949666</v>
      </c>
    </row>
    <row r="118" spans="1:22" ht="15" customHeight="1" x14ac:dyDescent="0.25">
      <c r="A118" s="30" t="s">
        <v>13</v>
      </c>
      <c r="B118" s="19">
        <v>0.62217636231803197</v>
      </c>
      <c r="C118" s="19">
        <v>0.67647207736317139</v>
      </c>
      <c r="D118" s="19">
        <v>0.6440685590894778</v>
      </c>
      <c r="E118" s="19">
        <v>0.65091009123836741</v>
      </c>
      <c r="F118" s="19">
        <v>0.60157568936409633</v>
      </c>
      <c r="G118" s="19">
        <v>0.62152442768178284</v>
      </c>
      <c r="H118" s="19">
        <v>0.61859779186097597</v>
      </c>
      <c r="I118" s="19">
        <v>0.59003660671653546</v>
      </c>
      <c r="J118" s="19">
        <v>0.58853405922188218</v>
      </c>
      <c r="K118" s="19">
        <v>0.57548468166586852</v>
      </c>
      <c r="L118" s="19">
        <v>0.61046672537426061</v>
      </c>
      <c r="M118" s="19">
        <v>0.60759900393605837</v>
      </c>
      <c r="N118" s="19">
        <v>0.59067343807861217</v>
      </c>
      <c r="O118" s="19">
        <v>0.58874712097393389</v>
      </c>
      <c r="P118" s="19">
        <v>0.5933153354070072</v>
      </c>
      <c r="Q118" s="19">
        <v>0.58228090841848623</v>
      </c>
      <c r="R118" s="19">
        <v>0.55447000966013893</v>
      </c>
      <c r="S118" s="19">
        <v>0.55024892414142323</v>
      </c>
      <c r="T118" s="108">
        <f t="shared" si="26"/>
        <v>-3.8285135080458943</v>
      </c>
      <c r="U118" s="108">
        <f t="shared" si="24"/>
        <v>-3.8498196832510656</v>
      </c>
      <c r="V118" s="106">
        <f t="shared" si="25"/>
        <v>-0.42210855187156948</v>
      </c>
    </row>
    <row r="119" spans="1:22" ht="15" customHeight="1" x14ac:dyDescent="0.25">
      <c r="A119" s="30" t="s">
        <v>46</v>
      </c>
      <c r="B119" s="19">
        <v>0.17258964143426236</v>
      </c>
      <c r="C119" s="19">
        <v>0.14548265200961891</v>
      </c>
      <c r="D119" s="19">
        <v>0.16422406774141005</v>
      </c>
      <c r="E119" s="19">
        <v>0.22121986268561417</v>
      </c>
      <c r="F119" s="19">
        <v>0.22405036125617037</v>
      </c>
      <c r="G119" s="19">
        <v>0.19519967455420739</v>
      </c>
      <c r="H119" s="19">
        <v>0.21068722584075497</v>
      </c>
      <c r="I119" s="19">
        <v>0.20963380281690108</v>
      </c>
      <c r="J119" s="19">
        <v>0.20741137282893155</v>
      </c>
      <c r="K119" s="19">
        <v>0.20536436617088816</v>
      </c>
      <c r="L119" s="19">
        <v>0.20805284680717223</v>
      </c>
      <c r="M119" s="19">
        <v>0.20794361744170717</v>
      </c>
      <c r="N119" s="19">
        <v>0.21710573800072178</v>
      </c>
      <c r="O119" s="19">
        <v>0.21408132029014426</v>
      </c>
      <c r="P119" s="19">
        <v>0.20638442381707028</v>
      </c>
      <c r="Q119" s="19">
        <v>0.17974021205305982</v>
      </c>
      <c r="R119" s="19">
        <v>0.17751722719325344</v>
      </c>
      <c r="S119" s="19">
        <v>0.15363909307381693</v>
      </c>
      <c r="T119" s="108">
        <f t="shared" si="26"/>
        <v>-5.3772279755114614</v>
      </c>
      <c r="U119" s="108">
        <f t="shared" si="24"/>
        <v>-6.0442227216327336</v>
      </c>
      <c r="V119" s="106">
        <f t="shared" si="25"/>
        <v>-2.3878134119436512</v>
      </c>
    </row>
    <row r="120" spans="1:22" ht="15" customHeight="1" x14ac:dyDescent="0.25">
      <c r="A120" s="30" t="s">
        <v>51</v>
      </c>
      <c r="B120" s="19">
        <v>0.23410696266397515</v>
      </c>
      <c r="C120" s="19">
        <v>0.13994685562444678</v>
      </c>
      <c r="D120" s="19">
        <v>0.21643433602347745</v>
      </c>
      <c r="E120" s="19">
        <v>0.27442528735632232</v>
      </c>
      <c r="F120" s="19">
        <v>0.27136116152450102</v>
      </c>
      <c r="G120" s="19">
        <v>0.28815652626105015</v>
      </c>
      <c r="H120" s="19">
        <v>0.31685768863419267</v>
      </c>
      <c r="I120" s="19">
        <v>0.32110666980170915</v>
      </c>
      <c r="J120" s="19">
        <v>0.2828252339269538</v>
      </c>
      <c r="K120" s="19">
        <v>0.28897818599311148</v>
      </c>
      <c r="L120" s="19">
        <v>0.30126732121718541</v>
      </c>
      <c r="M120" s="19">
        <v>0.32193188490898417</v>
      </c>
      <c r="N120" s="19">
        <v>0.34987794955248203</v>
      </c>
      <c r="O120" s="19">
        <v>0.45356643356643411</v>
      </c>
      <c r="P120" s="19">
        <v>0.38167471819645638</v>
      </c>
      <c r="Q120" s="19">
        <v>0.31343918344201871</v>
      </c>
      <c r="R120" s="19">
        <v>0.2627842866988287</v>
      </c>
      <c r="S120" s="19">
        <v>0.21954238559639894</v>
      </c>
      <c r="T120" s="108">
        <f t="shared" si="26"/>
        <v>-6.3282848330554859</v>
      </c>
      <c r="U120" s="108">
        <f t="shared" si="24"/>
        <v>-23.402404797003516</v>
      </c>
      <c r="V120" s="106">
        <f t="shared" si="25"/>
        <v>-4.3241901102429754</v>
      </c>
    </row>
    <row r="121" spans="1:22" ht="15" customHeight="1" x14ac:dyDescent="0.25">
      <c r="A121" s="30" t="s">
        <v>37</v>
      </c>
      <c r="B121" s="19">
        <v>0.32555673382820755</v>
      </c>
      <c r="C121" s="19">
        <v>0.31346958877123893</v>
      </c>
      <c r="D121" s="19">
        <v>0.33667521566798825</v>
      </c>
      <c r="E121" s="19">
        <v>0.32755720053835746</v>
      </c>
      <c r="F121" s="19">
        <v>0.30084521922873714</v>
      </c>
      <c r="G121" s="19">
        <v>0.31504867140226311</v>
      </c>
      <c r="H121" s="19">
        <v>0.32510585562325722</v>
      </c>
      <c r="I121" s="19">
        <v>0.32484318570613924</v>
      </c>
      <c r="J121" s="19">
        <v>0.34576993894757313</v>
      </c>
      <c r="K121" s="19">
        <v>0.33684398429132495</v>
      </c>
      <c r="L121" s="19">
        <v>0.33794257530385735</v>
      </c>
      <c r="M121" s="19">
        <v>0.32331500191840379</v>
      </c>
      <c r="N121" s="19">
        <v>0.33566115075148006</v>
      </c>
      <c r="O121" s="19">
        <v>0.34825611660593414</v>
      </c>
      <c r="P121" s="19">
        <v>0.40417457305502841</v>
      </c>
      <c r="Q121" s="19">
        <v>0.39891696750902489</v>
      </c>
      <c r="R121" s="19">
        <v>0.45067474922421874</v>
      </c>
      <c r="S121" s="19">
        <v>0.48154306617891551</v>
      </c>
      <c r="T121" s="108">
        <f t="shared" si="26"/>
        <v>13.577312723134238</v>
      </c>
      <c r="U121" s="108">
        <f t="shared" si="24"/>
        <v>13.328694957298136</v>
      </c>
      <c r="V121" s="106">
        <f t="shared" si="25"/>
        <v>3.0868316954696775</v>
      </c>
    </row>
    <row r="122" spans="1:22" ht="15" customHeight="1" x14ac:dyDescent="0.25">
      <c r="A122" s="37" t="s">
        <v>52</v>
      </c>
      <c r="B122" s="19">
        <v>0.10970568783068882</v>
      </c>
      <c r="C122" s="19">
        <v>6.0236719740735495E-2</v>
      </c>
      <c r="D122" s="19">
        <v>6.442127773322584E-2</v>
      </c>
      <c r="E122" s="19">
        <v>6.6750932948115807E-2</v>
      </c>
      <c r="F122" s="19">
        <v>6.6775529247098203E-2</v>
      </c>
      <c r="G122" s="19">
        <v>7.6085656178968744E-2</v>
      </c>
      <c r="H122" s="19">
        <v>6.8036009933774774E-2</v>
      </c>
      <c r="I122" s="19">
        <v>8.9702135998432783E-2</v>
      </c>
      <c r="J122" s="19">
        <v>8.6960690316395403E-2</v>
      </c>
      <c r="K122" s="19">
        <v>9.2301168488503629E-2</v>
      </c>
      <c r="L122" s="19">
        <v>9.9653622917056595E-2</v>
      </c>
      <c r="M122" s="19">
        <v>9.0514748409485132E-2</v>
      </c>
      <c r="N122" s="19">
        <v>9.1622824767300895E-2</v>
      </c>
      <c r="O122" s="19">
        <v>0.16903703703703782</v>
      </c>
      <c r="P122" s="19">
        <v>0.14111751861597838</v>
      </c>
      <c r="Q122" s="19">
        <v>0.11705841284617195</v>
      </c>
      <c r="R122" s="19">
        <v>9.994138335287249E-2</v>
      </c>
      <c r="S122" s="19">
        <v>8.5838464324519886E-2</v>
      </c>
      <c r="T122" s="108">
        <f t="shared" si="26"/>
        <v>-0.11222259918755167</v>
      </c>
      <c r="U122" s="108">
        <f t="shared" si="24"/>
        <v>-8.3198572712517933</v>
      </c>
      <c r="V122" s="106">
        <f t="shared" si="25"/>
        <v>-1.4102919028352603</v>
      </c>
    </row>
    <row r="123" spans="1:22" ht="15" customHeight="1" x14ac:dyDescent="0.25">
      <c r="A123" s="30" t="s">
        <v>111</v>
      </c>
      <c r="B123" s="19">
        <v>0.231247013855711</v>
      </c>
      <c r="C123" s="19">
        <v>0.27862595419847319</v>
      </c>
      <c r="D123" s="19">
        <v>0.26804878048780462</v>
      </c>
      <c r="E123" s="19">
        <v>0.29918200408997925</v>
      </c>
      <c r="F123" s="19">
        <v>0.32042198079042522</v>
      </c>
      <c r="G123" s="19">
        <v>0.33227513227513283</v>
      </c>
      <c r="H123" s="19">
        <v>0.33664215686274446</v>
      </c>
      <c r="I123" s="19">
        <v>0.32633371169125935</v>
      </c>
      <c r="J123" s="19">
        <v>0.33036597428288783</v>
      </c>
      <c r="K123" s="19">
        <v>0.33548192164367041</v>
      </c>
      <c r="L123" s="19">
        <v>0.34518392112248825</v>
      </c>
      <c r="M123" s="19">
        <v>0.34290628973150855</v>
      </c>
      <c r="N123" s="19">
        <v>0.32791185729275985</v>
      </c>
      <c r="O123" s="19">
        <v>0.39129269926322963</v>
      </c>
      <c r="P123" s="19">
        <v>0.3810938025327803</v>
      </c>
      <c r="Q123" s="19">
        <v>0.33728010825439703</v>
      </c>
      <c r="R123" s="19">
        <v>0.28628983030155047</v>
      </c>
      <c r="S123" s="19">
        <v>0.26758437757248704</v>
      </c>
      <c r="T123" s="108">
        <f t="shared" si="26"/>
        <v>-6.2781596710400791</v>
      </c>
      <c r="U123" s="108">
        <f t="shared" si="24"/>
        <v>-12.370832169074259</v>
      </c>
      <c r="V123" s="106">
        <f t="shared" si="25"/>
        <v>-1.8705452729063432</v>
      </c>
    </row>
    <row r="124" spans="1:22" ht="15" customHeight="1" x14ac:dyDescent="0.25">
      <c r="A124" s="30" t="s">
        <v>298</v>
      </c>
      <c r="B124" s="19">
        <v>0.17850467289719579</v>
      </c>
      <c r="C124" s="19">
        <v>0.20000000000000248</v>
      </c>
      <c r="D124" s="19">
        <v>0.19091507570770216</v>
      </c>
      <c r="E124" s="19">
        <v>0.25174076057846867</v>
      </c>
      <c r="F124" s="19">
        <v>0.27644230769230832</v>
      </c>
      <c r="G124" s="19">
        <v>0.21763276640055351</v>
      </c>
      <c r="H124" s="19">
        <v>0.2624447717231228</v>
      </c>
      <c r="I124" s="19">
        <v>0.162340337865677</v>
      </c>
      <c r="J124" s="19">
        <v>0.21854912764003759</v>
      </c>
      <c r="K124" s="19">
        <v>0.18701644100580178</v>
      </c>
      <c r="L124" s="19">
        <v>0.20656289440471237</v>
      </c>
      <c r="M124" s="19">
        <v>0.21385357299430033</v>
      </c>
      <c r="N124" s="19">
        <v>0.23051268129993005</v>
      </c>
      <c r="O124" s="19">
        <v>0.3716258631512866</v>
      </c>
      <c r="P124" s="19">
        <v>0.26550978054488539</v>
      </c>
      <c r="Q124" s="19">
        <v>0.17798387096774171</v>
      </c>
      <c r="R124" s="19">
        <v>0.16553578816714989</v>
      </c>
      <c r="S124" s="19">
        <v>0.14675201517306818</v>
      </c>
      <c r="T124" s="108">
        <f t="shared" si="26"/>
        <v>-7.1797112466969404</v>
      </c>
      <c r="U124" s="108">
        <f t="shared" si="24"/>
        <v>-22.487384797821839</v>
      </c>
      <c r="V124" s="106">
        <f t="shared" si="25"/>
        <v>-1.8783772994081711</v>
      </c>
    </row>
    <row r="125" spans="1:22" ht="15" customHeight="1" x14ac:dyDescent="0.25">
      <c r="A125" s="37" t="s">
        <v>38</v>
      </c>
      <c r="B125" s="19">
        <v>0.39777347531461893</v>
      </c>
      <c r="C125" s="19">
        <v>0.4958812260536386</v>
      </c>
      <c r="D125" s="19">
        <v>0.45783650230959289</v>
      </c>
      <c r="E125" s="19">
        <v>0.49058389325257973</v>
      </c>
      <c r="F125" s="19">
        <v>0.42766726943942224</v>
      </c>
      <c r="G125" s="19">
        <v>0.44556985990155162</v>
      </c>
      <c r="H125" s="19">
        <v>0.39865244244806258</v>
      </c>
      <c r="I125" s="19">
        <v>0.39192364170337757</v>
      </c>
      <c r="J125" s="19">
        <v>0.38244536494786513</v>
      </c>
      <c r="K125" s="19">
        <v>0.36622789936910943</v>
      </c>
      <c r="L125" s="19">
        <v>0.35982428115015963</v>
      </c>
      <c r="M125" s="19">
        <v>0.35081678411274847</v>
      </c>
      <c r="N125" s="19">
        <v>0.33180313064418981</v>
      </c>
      <c r="O125" s="19">
        <v>0.34204469522607417</v>
      </c>
      <c r="P125" s="19">
        <v>0.33470182641191581</v>
      </c>
      <c r="Q125" s="19">
        <v>0.28320121620154198</v>
      </c>
      <c r="R125" s="19">
        <v>0.2951826705463963</v>
      </c>
      <c r="S125" s="19">
        <v>0.28701653861179871</v>
      </c>
      <c r="T125" s="108">
        <f t="shared" si="26"/>
        <v>-9.5428826336066415</v>
      </c>
      <c r="U125" s="108">
        <f t="shared" si="24"/>
        <v>-5.5028156614275456</v>
      </c>
      <c r="V125" s="106">
        <f t="shared" si="25"/>
        <v>-0.81661319345975869</v>
      </c>
    </row>
    <row r="126" spans="1:22" ht="15" customHeight="1" x14ac:dyDescent="0.25">
      <c r="A126" s="30" t="s">
        <v>308</v>
      </c>
      <c r="B126" s="19">
        <v>0.27702060221870145</v>
      </c>
      <c r="C126" s="19">
        <v>0.21149571292473815</v>
      </c>
      <c r="D126" s="19">
        <v>0.2424898511502015</v>
      </c>
      <c r="E126" s="19">
        <v>0.2289404167889634</v>
      </c>
      <c r="F126" s="19">
        <v>0.21568627450980241</v>
      </c>
      <c r="G126" s="19">
        <v>0.15300306882946177</v>
      </c>
      <c r="H126" s="19">
        <v>0.21032287403365246</v>
      </c>
      <c r="I126" s="19">
        <v>0.17868281049348766</v>
      </c>
      <c r="J126" s="19">
        <v>0.17329486915310074</v>
      </c>
      <c r="K126" s="19">
        <v>0.1803981623277183</v>
      </c>
      <c r="L126" s="19">
        <v>0.17165492957746559</v>
      </c>
      <c r="M126" s="19">
        <v>0.21114790286975663</v>
      </c>
      <c r="N126" s="19">
        <v>0.23114932305563929</v>
      </c>
      <c r="O126" s="19">
        <v>0.33979797979797921</v>
      </c>
      <c r="P126" s="19">
        <v>0.30288548241659025</v>
      </c>
      <c r="Q126" s="19">
        <v>0.26880000000000026</v>
      </c>
      <c r="R126" s="19">
        <v>0.27076998528690605</v>
      </c>
      <c r="S126" s="19">
        <v>0.22602875557758981</v>
      </c>
      <c r="T126" s="108">
        <f t="shared" si="26"/>
        <v>5.2733886424489063</v>
      </c>
      <c r="U126" s="108">
        <f t="shared" si="24"/>
        <v>-11.376922422038941</v>
      </c>
      <c r="V126" s="106">
        <f t="shared" si="25"/>
        <v>-4.4741229709316235</v>
      </c>
    </row>
    <row r="127" spans="1:22" ht="15" customHeight="1" x14ac:dyDescent="0.25">
      <c r="A127" s="30" t="s">
        <v>55</v>
      </c>
      <c r="B127" s="19">
        <v>0.11774150388011803</v>
      </c>
      <c r="C127" s="19">
        <v>0.10317460317460317</v>
      </c>
      <c r="D127" s="19">
        <v>0.11446028513238374</v>
      </c>
      <c r="E127" s="19">
        <v>0.12149392530373457</v>
      </c>
      <c r="F127" s="19">
        <v>0.13436903788498222</v>
      </c>
      <c r="G127" s="19">
        <v>0.16930903928064436</v>
      </c>
      <c r="H127" s="19">
        <v>0.17668790985499211</v>
      </c>
      <c r="I127" s="19">
        <v>0.1979642887949625</v>
      </c>
      <c r="J127" s="19">
        <v>0.1990148507572414</v>
      </c>
      <c r="K127" s="19">
        <v>0.15055774960160745</v>
      </c>
      <c r="L127" s="19">
        <v>0.15092730761031753</v>
      </c>
      <c r="M127" s="19">
        <v>0.15046774389503079</v>
      </c>
      <c r="N127" s="19">
        <v>0.14522581019189551</v>
      </c>
      <c r="O127" s="19">
        <v>0.1965409892770667</v>
      </c>
      <c r="P127" s="19">
        <v>0.19796987557301929</v>
      </c>
      <c r="Q127" s="19">
        <v>0.14250405499343508</v>
      </c>
      <c r="R127" s="19">
        <v>0.11291193949216632</v>
      </c>
      <c r="S127" s="19">
        <v>0.10264900662251665</v>
      </c>
      <c r="T127" s="108">
        <f t="shared" si="26"/>
        <v>-9.636584413472475</v>
      </c>
      <c r="U127" s="108">
        <f t="shared" si="24"/>
        <v>-9.3891982654550059</v>
      </c>
      <c r="V127" s="106">
        <f t="shared" si="25"/>
        <v>-1.0262932869649675</v>
      </c>
    </row>
    <row r="128" spans="1:22" ht="15" customHeight="1" x14ac:dyDescent="0.25">
      <c r="A128" s="37" t="s">
        <v>436</v>
      </c>
      <c r="B128" s="19">
        <v>0.45609065155807332</v>
      </c>
      <c r="C128" s="19">
        <v>0.55846325167037836</v>
      </c>
      <c r="D128" s="19">
        <v>0.39770867430442003</v>
      </c>
      <c r="E128" s="19">
        <v>0.44517675254643468</v>
      </c>
      <c r="F128" s="19">
        <v>0.54850550603041248</v>
      </c>
      <c r="G128" s="19">
        <v>0.55974557019536575</v>
      </c>
      <c r="H128" s="19">
        <v>0.46190476190476359</v>
      </c>
      <c r="I128" s="19">
        <v>0.507589400565987</v>
      </c>
      <c r="J128" s="19">
        <v>0.442803359397624</v>
      </c>
      <c r="K128" s="19">
        <v>0.49283154121863765</v>
      </c>
      <c r="L128" s="19">
        <v>0.46125084976206682</v>
      </c>
      <c r="M128" s="19">
        <v>0.48243992606284652</v>
      </c>
      <c r="N128" s="19">
        <v>0.34739676840215478</v>
      </c>
      <c r="O128" s="19">
        <v>0.37039376710886551</v>
      </c>
      <c r="P128" s="19">
        <v>0.38662005402828636</v>
      </c>
      <c r="Q128" s="19">
        <v>0.39996170783074947</v>
      </c>
      <c r="R128" s="19">
        <v>0.40107550974680684</v>
      </c>
      <c r="S128" s="19">
        <v>0.50012856775520742</v>
      </c>
      <c r="T128" s="108">
        <f t="shared" si="26"/>
        <v>5.7325208357583426</v>
      </c>
      <c r="U128" s="108">
        <f t="shared" si="24"/>
        <v>12.973480064634192</v>
      </c>
      <c r="V128" s="106">
        <f t="shared" si="25"/>
        <v>9.9053058008400576</v>
      </c>
    </row>
    <row r="129" spans="1:22" ht="15" customHeight="1" x14ac:dyDescent="0.25">
      <c r="A129" s="30" t="s">
        <v>68</v>
      </c>
      <c r="B129" s="19">
        <v>0.14818763326226034</v>
      </c>
      <c r="C129" s="19">
        <v>0.1488717666483208</v>
      </c>
      <c r="D129" s="19">
        <v>0.15143929912390522</v>
      </c>
      <c r="E129" s="19">
        <v>0.16780698595606702</v>
      </c>
      <c r="F129" s="19">
        <v>0.2147831592276043</v>
      </c>
      <c r="G129" s="19">
        <v>0.20751481135017116</v>
      </c>
      <c r="H129" s="19">
        <v>0.22743397713835201</v>
      </c>
      <c r="I129" s="19">
        <v>0.2423117281459356</v>
      </c>
      <c r="J129" s="19">
        <v>0.22048963043817318</v>
      </c>
      <c r="K129" s="19">
        <v>0.22693621867881641</v>
      </c>
      <c r="L129" s="19">
        <v>0.2523049532650854</v>
      </c>
      <c r="M129" s="19">
        <v>0.2764153960976648</v>
      </c>
      <c r="N129" s="19">
        <v>0.28651038827306269</v>
      </c>
      <c r="O129" s="19">
        <v>0.38806156926542312</v>
      </c>
      <c r="P129" s="19">
        <v>0.31842155188768773</v>
      </c>
      <c r="Q129" s="19">
        <v>0.31138246838203354</v>
      </c>
      <c r="R129" s="19">
        <v>0.25556682606385595</v>
      </c>
      <c r="S129" s="19">
        <v>0.25807178678086418</v>
      </c>
      <c r="T129" s="108">
        <f t="shared" si="26"/>
        <v>3.7582156342690993</v>
      </c>
      <c r="U129" s="108">
        <f t="shared" si="24"/>
        <v>-12.998978248455895</v>
      </c>
      <c r="V129" s="106">
        <f t="shared" si="25"/>
        <v>0.25049607170082311</v>
      </c>
    </row>
    <row r="130" spans="1:22" ht="15" customHeight="1" x14ac:dyDescent="0.25">
      <c r="A130" s="30" t="s">
        <v>53</v>
      </c>
      <c r="B130" s="19">
        <v>0.17419002548234425</v>
      </c>
      <c r="C130" s="19">
        <v>0.15278521692554894</v>
      </c>
      <c r="D130" s="19">
        <v>0.15079275834926262</v>
      </c>
      <c r="E130" s="19">
        <v>0.17897066961815133</v>
      </c>
      <c r="F130" s="19">
        <v>0.19699375463109975</v>
      </c>
      <c r="G130" s="19">
        <v>0.20026028957214848</v>
      </c>
      <c r="H130" s="19">
        <v>0.22795524804946299</v>
      </c>
      <c r="I130" s="19">
        <v>0.23869043391804567</v>
      </c>
      <c r="J130" s="19">
        <v>0.25493093478959233</v>
      </c>
      <c r="K130" s="19">
        <v>0.26207261191399367</v>
      </c>
      <c r="L130" s="19">
        <v>0.25671321160043009</v>
      </c>
      <c r="M130" s="19">
        <v>0.27525790076960915</v>
      </c>
      <c r="N130" s="19">
        <v>0.2936544225981812</v>
      </c>
      <c r="O130" s="19">
        <v>0.33125260091552183</v>
      </c>
      <c r="P130" s="19">
        <v>0.35726649357566082</v>
      </c>
      <c r="Q130" s="19">
        <v>0.31013473930872931</v>
      </c>
      <c r="R130" s="19">
        <v>0.29707799607968188</v>
      </c>
      <c r="S130" s="19">
        <v>0.2641264655006722</v>
      </c>
      <c r="T130" s="108">
        <f t="shared" si="26"/>
        <v>0.9195530711079869</v>
      </c>
      <c r="U130" s="108">
        <f t="shared" si="24"/>
        <v>-6.7126135414849628</v>
      </c>
      <c r="V130" s="106">
        <f t="shared" si="25"/>
        <v>-3.295153057900968</v>
      </c>
    </row>
    <row r="131" spans="1:22" ht="15" customHeight="1" x14ac:dyDescent="0.25">
      <c r="A131" s="30" t="s">
        <v>47</v>
      </c>
      <c r="B131" s="19">
        <v>0.43097042651211148</v>
      </c>
      <c r="C131" s="19">
        <v>0.44718792866941032</v>
      </c>
      <c r="D131" s="19">
        <v>0.41699337569284889</v>
      </c>
      <c r="E131" s="19">
        <v>0.42734077107753199</v>
      </c>
      <c r="F131" s="19">
        <v>0.454847331335547</v>
      </c>
      <c r="G131" s="19">
        <v>0.44262029923170254</v>
      </c>
      <c r="H131" s="19">
        <v>0.4208283014846913</v>
      </c>
      <c r="I131" s="19">
        <v>0.42642985171908143</v>
      </c>
      <c r="J131" s="19">
        <v>0.39733914261261905</v>
      </c>
      <c r="K131" s="19">
        <v>0.4249839537869064</v>
      </c>
      <c r="L131" s="19">
        <v>0.39979099798462298</v>
      </c>
      <c r="M131" s="19">
        <v>0.38664448669201601</v>
      </c>
      <c r="N131" s="19">
        <v>0.40997586484312087</v>
      </c>
      <c r="O131" s="19">
        <v>0.38895089285714196</v>
      </c>
      <c r="P131" s="19">
        <v>0.36924321633059415</v>
      </c>
      <c r="Q131" s="19">
        <v>0.34317878488945713</v>
      </c>
      <c r="R131" s="19">
        <v>0.32631956482754454</v>
      </c>
      <c r="S131" s="19">
        <v>0.31309086864642433</v>
      </c>
      <c r="T131" s="108">
        <f t="shared" si="26"/>
        <v>-8.424827396619472</v>
      </c>
      <c r="U131" s="108">
        <f t="shared" si="24"/>
        <v>-7.5860024210717638</v>
      </c>
      <c r="V131" s="106">
        <f t="shared" si="25"/>
        <v>-1.3228696181120214</v>
      </c>
    </row>
    <row r="132" spans="1:22" ht="15" customHeight="1" x14ac:dyDescent="0.25">
      <c r="A132" s="37" t="s">
        <v>64</v>
      </c>
      <c r="B132" s="19">
        <v>0.37527889335118214</v>
      </c>
      <c r="C132" s="19">
        <v>0.35197645079899142</v>
      </c>
      <c r="D132" s="19">
        <v>0.38370370370370377</v>
      </c>
      <c r="E132" s="19">
        <v>0.43660552308002482</v>
      </c>
      <c r="F132" s="19">
        <v>0.41818181818181832</v>
      </c>
      <c r="G132" s="19">
        <v>0.41996455995274679</v>
      </c>
      <c r="H132" s="19">
        <v>0.45834131392453609</v>
      </c>
      <c r="I132" s="19">
        <v>0.45931952662721837</v>
      </c>
      <c r="J132" s="19">
        <v>0.44917087238644532</v>
      </c>
      <c r="K132" s="19">
        <v>0.4227231740306584</v>
      </c>
      <c r="L132" s="19">
        <v>0.42836176848284646</v>
      </c>
      <c r="M132" s="19">
        <v>0.40916895604395565</v>
      </c>
      <c r="N132" s="19">
        <v>0.48213216210820498</v>
      </c>
      <c r="O132" s="19">
        <v>0.35460761966786092</v>
      </c>
      <c r="P132" s="19">
        <v>0.34175977653631306</v>
      </c>
      <c r="Q132" s="19">
        <v>0.34391398950467217</v>
      </c>
      <c r="R132" s="19">
        <v>0.31233980227022967</v>
      </c>
      <c r="S132" s="19">
        <v>0.27449860823638628</v>
      </c>
      <c r="T132" s="108">
        <f t="shared" si="26"/>
        <v>-17.467226415005904</v>
      </c>
      <c r="U132" s="108">
        <f t="shared" si="24"/>
        <v>-8.0109011431474642</v>
      </c>
      <c r="V132" s="106">
        <f t="shared" si="25"/>
        <v>-3.7841194033843397</v>
      </c>
    </row>
    <row r="133" spans="1:22" ht="15" customHeight="1" x14ac:dyDescent="0.25">
      <c r="A133" s="37" t="s">
        <v>54</v>
      </c>
      <c r="B133" s="19">
        <v>0.13575990709827299</v>
      </c>
      <c r="C133" s="19">
        <v>0.10833409485515862</v>
      </c>
      <c r="D133" s="19">
        <v>0.11636223916770125</v>
      </c>
      <c r="E133" s="19">
        <v>0.22172096480660269</v>
      </c>
      <c r="F133" s="19">
        <v>0.16733481811432782</v>
      </c>
      <c r="G133" s="19">
        <v>0.16067420315879669</v>
      </c>
      <c r="H133" s="19">
        <v>0.16769542477500787</v>
      </c>
      <c r="I133" s="19">
        <v>0.18389505748255849</v>
      </c>
      <c r="J133" s="19">
        <v>0.20675392373505624</v>
      </c>
      <c r="K133" s="19">
        <v>0.20801142634551756</v>
      </c>
      <c r="L133" s="19">
        <v>0.19234524506932199</v>
      </c>
      <c r="M133" s="19">
        <v>0.20148416601950123</v>
      </c>
      <c r="N133" s="19">
        <v>0.18243301087235658</v>
      </c>
      <c r="O133" s="19">
        <v>0.19822096431820532</v>
      </c>
      <c r="P133" s="19">
        <v>0.19458837075417332</v>
      </c>
      <c r="Q133" s="19">
        <v>0.15345429169574362</v>
      </c>
      <c r="R133" s="19">
        <v>0.13877822045152691</v>
      </c>
      <c r="S133" s="19">
        <v>0.1121259374767937</v>
      </c>
      <c r="T133" s="108">
        <f t="shared" si="26"/>
        <v>-9.4627986258262542</v>
      </c>
      <c r="U133" s="108">
        <f t="shared" si="24"/>
        <v>-8.6095026841411624</v>
      </c>
      <c r="V133" s="106">
        <f t="shared" si="25"/>
        <v>-2.665228297473321</v>
      </c>
    </row>
    <row r="134" spans="1:22" ht="15" customHeight="1" x14ac:dyDescent="0.25">
      <c r="A134" s="30" t="s">
        <v>347</v>
      </c>
      <c r="B134" s="19">
        <v>0.65542763157894735</v>
      </c>
      <c r="C134" s="19">
        <v>0.58275645059785963</v>
      </c>
      <c r="D134" s="19">
        <v>0.56365113759479912</v>
      </c>
      <c r="E134" s="19">
        <v>0.60204787602047805</v>
      </c>
      <c r="F134" s="19">
        <v>0.63610518834399488</v>
      </c>
      <c r="G134" s="19">
        <v>0.63175373610933694</v>
      </c>
      <c r="H134" s="19">
        <v>0.58695408105984004</v>
      </c>
      <c r="I134" s="19">
        <v>0.58311315336013736</v>
      </c>
      <c r="J134" s="19">
        <v>0.59485080254228118</v>
      </c>
      <c r="K134" s="19">
        <v>0.60488695123187741</v>
      </c>
      <c r="L134" s="19">
        <v>0.57137950772753265</v>
      </c>
      <c r="M134" s="19">
        <v>0.52830188679245182</v>
      </c>
      <c r="N134" s="19">
        <v>0.54432489771177417</v>
      </c>
      <c r="O134" s="19">
        <v>0.55793909212794435</v>
      </c>
      <c r="P134" s="19">
        <v>0.55720456307453814</v>
      </c>
      <c r="Q134" s="19">
        <v>0.46775355791749262</v>
      </c>
      <c r="R134" s="19">
        <v>0.45918439968685443</v>
      </c>
      <c r="S134" s="19">
        <v>0.42620187445216129</v>
      </c>
      <c r="T134" s="108">
        <f t="shared" si="26"/>
        <v>-16.864892809011987</v>
      </c>
      <c r="U134" s="108">
        <f t="shared" si="24"/>
        <v>-13.173721767578305</v>
      </c>
      <c r="V134" s="106">
        <f t="shared" si="25"/>
        <v>-3.2982525234693139</v>
      </c>
    </row>
    <row r="135" spans="1:22" ht="15" customHeight="1" x14ac:dyDescent="0.25">
      <c r="A135" s="30" t="s">
        <v>420</v>
      </c>
      <c r="B135" s="19">
        <v>0.16465863453815308</v>
      </c>
      <c r="C135" s="19">
        <v>0.20623080298376717</v>
      </c>
      <c r="D135" s="19">
        <v>0.17004978935273724</v>
      </c>
      <c r="E135" s="19">
        <v>0.1509854964670882</v>
      </c>
      <c r="F135" s="19">
        <v>0.21261516654854773</v>
      </c>
      <c r="G135" s="19">
        <v>0.15646785437645094</v>
      </c>
      <c r="H135" s="19">
        <v>0.16391543585288207</v>
      </c>
      <c r="I135" s="19">
        <v>0.2429362073987778</v>
      </c>
      <c r="J135" s="19">
        <v>0.1881946159545563</v>
      </c>
      <c r="K135" s="19">
        <v>0.17703349282296549</v>
      </c>
      <c r="L135" s="19">
        <v>0.19460122699386359</v>
      </c>
      <c r="M135" s="19">
        <v>0.17325916769674315</v>
      </c>
      <c r="N135" s="19">
        <v>0.18263001225704695</v>
      </c>
      <c r="O135" s="19">
        <v>0.22487909725953709</v>
      </c>
      <c r="P135" s="19">
        <v>0.14937145674143459</v>
      </c>
      <c r="Q135" s="19">
        <v>0.12952824694234147</v>
      </c>
      <c r="R135" s="19">
        <v>0.10885075202468079</v>
      </c>
      <c r="S135" s="19">
        <v>0.11205035971223058</v>
      </c>
      <c r="T135" s="108">
        <f t="shared" si="26"/>
        <v>-7.6144256242325721</v>
      </c>
      <c r="U135" s="108">
        <f t="shared" si="24"/>
        <v>-11.28287375473065</v>
      </c>
      <c r="V135" s="106">
        <f t="shared" si="25"/>
        <v>0.31996076875497881</v>
      </c>
    </row>
    <row r="136" spans="1:22" ht="15" customHeight="1" x14ac:dyDescent="0.25">
      <c r="A136" s="30" t="s">
        <v>43</v>
      </c>
      <c r="B136" s="19">
        <v>0.14864091559370479</v>
      </c>
      <c r="C136" s="19">
        <v>0.20453304205352282</v>
      </c>
      <c r="D136" s="19">
        <v>0.18729511182341352</v>
      </c>
      <c r="E136" s="19">
        <v>0.19466066259247339</v>
      </c>
      <c r="F136" s="19">
        <v>0.21362330734509696</v>
      </c>
      <c r="G136" s="19">
        <v>0.18109293976864774</v>
      </c>
      <c r="H136" s="19">
        <v>0.20081902661836484</v>
      </c>
      <c r="I136" s="19">
        <v>0.2031708749266003</v>
      </c>
      <c r="J136" s="19">
        <v>0.21374332052123399</v>
      </c>
      <c r="K136" s="19">
        <v>0.20926501554196331</v>
      </c>
      <c r="L136" s="19">
        <v>0.216169724770642</v>
      </c>
      <c r="M136" s="19">
        <v>0.19207627510876613</v>
      </c>
      <c r="N136" s="19">
        <v>0.15309261658031117</v>
      </c>
      <c r="O136" s="19">
        <v>0.20357983984927003</v>
      </c>
      <c r="P136" s="19">
        <v>0.22185983613077703</v>
      </c>
      <c r="Q136" s="19">
        <v>0.19376086359893846</v>
      </c>
      <c r="R136" s="19">
        <v>0.13912896119301843</v>
      </c>
      <c r="S136" s="19">
        <v>0.14842454394693197</v>
      </c>
      <c r="T136" s="108">
        <f t="shared" si="26"/>
        <v>-6.5318776574302015</v>
      </c>
      <c r="U136" s="108">
        <f t="shared" si="24"/>
        <v>-5.5155295902338057</v>
      </c>
      <c r="V136" s="106">
        <f t="shared" si="25"/>
        <v>0.92955827539135394</v>
      </c>
    </row>
    <row r="137" spans="1:22" ht="15" customHeight="1" x14ac:dyDescent="0.25">
      <c r="A137" s="30" t="s">
        <v>91</v>
      </c>
      <c r="B137" s="19">
        <v>0.13719806763284853</v>
      </c>
      <c r="C137" s="19">
        <v>0.10584795321637212</v>
      </c>
      <c r="D137" s="19">
        <v>0.13243761996161252</v>
      </c>
      <c r="E137" s="19">
        <v>0.14305863389079096</v>
      </c>
      <c r="F137" s="19">
        <v>0.16528773671630753</v>
      </c>
      <c r="G137" s="19">
        <v>0.18937788305697498</v>
      </c>
      <c r="H137" s="19">
        <v>0.18728623658450272</v>
      </c>
      <c r="I137" s="19">
        <v>0.1819787985865727</v>
      </c>
      <c r="J137" s="19">
        <v>0.18616849580374403</v>
      </c>
      <c r="K137" s="19">
        <v>0.18836278299282158</v>
      </c>
      <c r="L137" s="19">
        <v>0.22151088348271453</v>
      </c>
      <c r="M137" s="19">
        <v>0.22716613181930415</v>
      </c>
      <c r="N137" s="19">
        <v>0.2604359069080156</v>
      </c>
      <c r="O137" s="19">
        <v>0.3565796390397758</v>
      </c>
      <c r="P137" s="19">
        <v>0.26191587793387355</v>
      </c>
      <c r="Q137" s="19">
        <v>0.23588903327871633</v>
      </c>
      <c r="R137" s="19">
        <v>0.24086507424144604</v>
      </c>
      <c r="S137" s="19">
        <v>0.21503597122302054</v>
      </c>
      <c r="T137" s="108">
        <f t="shared" si="26"/>
        <v>2.8867475419276505</v>
      </c>
      <c r="U137" s="108">
        <f t="shared" si="24"/>
        <v>-14.154366781675526</v>
      </c>
      <c r="V137" s="106">
        <f t="shared" si="25"/>
        <v>-2.5829103018425501</v>
      </c>
    </row>
    <row r="138" spans="1:22" ht="15" customHeight="1" x14ac:dyDescent="0.25">
      <c r="A138" s="30" t="s">
        <v>346</v>
      </c>
      <c r="B138" s="19">
        <v>0.29723934601983332</v>
      </c>
      <c r="C138" s="19">
        <v>0.31801334321719787</v>
      </c>
      <c r="D138" s="19">
        <v>0.31431826147914421</v>
      </c>
      <c r="E138" s="19">
        <v>0.3407926965041197</v>
      </c>
      <c r="F138" s="19">
        <v>0.29081806803959437</v>
      </c>
      <c r="G138" s="19">
        <v>0.35643335643335627</v>
      </c>
      <c r="H138" s="19">
        <v>0.31950920245398789</v>
      </c>
      <c r="I138" s="19">
        <v>0.35787239686961048</v>
      </c>
      <c r="J138" s="19">
        <v>0.32846617548559998</v>
      </c>
      <c r="K138" s="19">
        <v>0.30603096984514966</v>
      </c>
      <c r="L138" s="19">
        <v>0.23217972070431092</v>
      </c>
      <c r="M138" s="19">
        <v>0.2495575221238939</v>
      </c>
      <c r="N138" s="19">
        <v>0.21071566234099998</v>
      </c>
      <c r="O138" s="19">
        <v>0.21803257663203732</v>
      </c>
      <c r="P138" s="19">
        <v>0.23307912297425998</v>
      </c>
      <c r="Q138" s="19">
        <v>0.21321396004310733</v>
      </c>
      <c r="R138" s="19">
        <v>0.23152330610283581</v>
      </c>
      <c r="S138" s="19">
        <v>0.22065063649222125</v>
      </c>
      <c r="T138" s="108">
        <f t="shared" si="26"/>
        <v>-10.781553899337872</v>
      </c>
      <c r="U138" s="108">
        <f t="shared" si="24"/>
        <v>0.261805986018393</v>
      </c>
      <c r="V138" s="106">
        <f t="shared" si="25"/>
        <v>-1.087266961061456</v>
      </c>
    </row>
    <row r="139" spans="1:22" ht="15" customHeight="1" x14ac:dyDescent="0.25">
      <c r="A139" s="8"/>
      <c r="B139" s="8"/>
      <c r="C139" s="8"/>
      <c r="D139" s="8"/>
      <c r="E139" s="8"/>
      <c r="F139" s="8"/>
      <c r="G139" s="8"/>
      <c r="H139" s="8"/>
      <c r="I139" s="8"/>
      <c r="J139" s="8"/>
      <c r="K139" s="8"/>
      <c r="L139" s="8"/>
      <c r="M139" s="8"/>
      <c r="N139" s="8"/>
      <c r="O139" s="8"/>
      <c r="P139" s="8"/>
      <c r="Q139" s="8"/>
      <c r="R139" s="8"/>
      <c r="S139" s="8"/>
      <c r="T139" s="8"/>
      <c r="U139" s="8"/>
      <c r="V139" s="8"/>
    </row>
    <row r="140" spans="1:22" ht="15" customHeight="1" x14ac:dyDescent="0.25">
      <c r="A140" s="59"/>
      <c r="B140" s="59"/>
      <c r="C140" s="51"/>
      <c r="D140" s="51"/>
      <c r="E140" s="51"/>
      <c r="F140" s="51"/>
      <c r="G140" s="51"/>
      <c r="H140" s="51"/>
      <c r="I140" s="51"/>
      <c r="J140" s="51"/>
      <c r="K140" s="51"/>
      <c r="L140" s="51"/>
      <c r="M140" s="51"/>
      <c r="N140" s="51"/>
      <c r="O140" s="51"/>
      <c r="P140" s="51"/>
      <c r="Q140" s="51"/>
      <c r="R140" s="51"/>
      <c r="S140" s="51"/>
      <c r="T140" s="51"/>
      <c r="U140" s="51"/>
      <c r="V140" s="51"/>
    </row>
    <row r="141" spans="1:22" ht="15" customHeight="1" x14ac:dyDescent="0.25">
      <c r="A141" s="60" t="s">
        <v>509</v>
      </c>
      <c r="B141" s="60"/>
      <c r="C141" s="79"/>
      <c r="D141" s="79"/>
      <c r="E141" s="79"/>
      <c r="F141" s="79"/>
      <c r="G141" s="79"/>
      <c r="H141" s="79"/>
      <c r="I141" s="79"/>
      <c r="J141" s="79"/>
      <c r="K141" s="79"/>
      <c r="L141" s="79"/>
      <c r="M141" s="79"/>
      <c r="N141" s="79"/>
      <c r="O141" s="79"/>
      <c r="P141" s="79"/>
      <c r="Q141" s="79"/>
      <c r="R141" s="79"/>
      <c r="S141" s="79"/>
      <c r="T141" s="79"/>
      <c r="U141" s="79"/>
      <c r="V141" s="79"/>
    </row>
    <row r="142" spans="1:22" ht="33" customHeight="1" x14ac:dyDescent="0.25">
      <c r="A142" s="32" t="s">
        <v>327</v>
      </c>
      <c r="B142" s="15">
        <v>2007</v>
      </c>
      <c r="C142" s="15">
        <v>2008</v>
      </c>
      <c r="D142" s="15">
        <v>2009</v>
      </c>
      <c r="E142" s="15">
        <v>2010</v>
      </c>
      <c r="F142" s="15">
        <v>2011</v>
      </c>
      <c r="G142" s="15">
        <v>2012</v>
      </c>
      <c r="H142" s="15">
        <v>2013</v>
      </c>
      <c r="I142" s="15">
        <v>2014</v>
      </c>
      <c r="J142" s="15">
        <v>2015</v>
      </c>
      <c r="K142" s="15">
        <v>2016</v>
      </c>
      <c r="L142" s="15">
        <v>2017</v>
      </c>
      <c r="M142" s="15">
        <v>2018</v>
      </c>
      <c r="N142" s="15">
        <v>2019</v>
      </c>
      <c r="O142" s="15">
        <v>2020</v>
      </c>
      <c r="P142" s="15">
        <v>2021</v>
      </c>
      <c r="Q142" s="15">
        <v>2022</v>
      </c>
      <c r="R142" s="15">
        <v>2023</v>
      </c>
      <c r="S142" s="15">
        <v>2024</v>
      </c>
      <c r="T142" s="27" t="s">
        <v>476</v>
      </c>
      <c r="U142" s="27" t="s">
        <v>477</v>
      </c>
      <c r="V142" s="27" t="s">
        <v>478</v>
      </c>
    </row>
    <row r="143" spans="1:22" ht="15" customHeight="1" x14ac:dyDescent="0.25">
      <c r="A143" s="29" t="s">
        <v>30</v>
      </c>
      <c r="B143" s="18">
        <v>0.21412440977212088</v>
      </c>
      <c r="C143" s="18">
        <v>9.9221467616365924E-2</v>
      </c>
      <c r="D143" s="18">
        <v>0.18757653345207606</v>
      </c>
      <c r="E143" s="18">
        <v>0.13476130256086002</v>
      </c>
      <c r="F143" s="18">
        <v>0.22068454219696038</v>
      </c>
      <c r="G143" s="18">
        <v>0.20225057771526167</v>
      </c>
      <c r="H143" s="18">
        <v>0.27263652622384893</v>
      </c>
      <c r="I143" s="18">
        <v>0.20812057611719542</v>
      </c>
      <c r="J143" s="18">
        <v>0.22610533159947988</v>
      </c>
      <c r="K143" s="18">
        <v>0.2156571247825399</v>
      </c>
      <c r="L143" s="18">
        <v>0.19595881346631816</v>
      </c>
      <c r="M143" s="18">
        <v>0.21476532599207687</v>
      </c>
      <c r="N143" s="18">
        <v>0.17939127749373776</v>
      </c>
      <c r="O143" s="18">
        <v>0.19603421131015705</v>
      </c>
      <c r="P143" s="18">
        <v>0.28614860350126986</v>
      </c>
      <c r="Q143" s="18">
        <v>0.23089637635092181</v>
      </c>
      <c r="R143" s="18">
        <v>0.17823355506282326</v>
      </c>
      <c r="S143" s="18">
        <v>0.16656103012309428</v>
      </c>
      <c r="T143" s="108">
        <f t="shared" ref="T143:T162" si="27">(S143-J143)*100</f>
        <v>-5.9544301476385595</v>
      </c>
      <c r="U143" s="108">
        <f t="shared" ref="U143:U162" si="28">(S143-O143)*100</f>
        <v>-2.9473181187062769</v>
      </c>
      <c r="V143" s="108">
        <f t="shared" ref="V143:V162" si="29">(S143-R143)*100</f>
        <v>-1.1672524939728979</v>
      </c>
    </row>
    <row r="144" spans="1:22" ht="15" customHeight="1" x14ac:dyDescent="0.25">
      <c r="A144" s="29" t="s">
        <v>37</v>
      </c>
      <c r="B144" s="18">
        <v>0.26128688233203046</v>
      </c>
      <c r="C144" s="18">
        <v>0.27925531914893609</v>
      </c>
      <c r="D144" s="18">
        <v>0.2726401533301388</v>
      </c>
      <c r="E144" s="18">
        <v>0.18113491168733545</v>
      </c>
      <c r="F144" s="18">
        <v>0.16953316953316924</v>
      </c>
      <c r="G144" s="18">
        <v>0.18931839912580206</v>
      </c>
      <c r="H144" s="18">
        <v>0.17758064516129071</v>
      </c>
      <c r="I144" s="18">
        <v>0.1672873991309744</v>
      </c>
      <c r="J144" s="18">
        <v>0.21303195893359864</v>
      </c>
      <c r="K144" s="18">
        <v>0.24477230483271317</v>
      </c>
      <c r="L144" s="18">
        <v>0.23695771554091119</v>
      </c>
      <c r="M144" s="18">
        <v>0.24938309685379417</v>
      </c>
      <c r="N144" s="18">
        <v>0.23984318079311628</v>
      </c>
      <c r="O144" s="18">
        <v>0.25142542566159426</v>
      </c>
      <c r="P144" s="18">
        <v>0.26930973979915623</v>
      </c>
      <c r="Q144" s="18">
        <v>0.26613017083156837</v>
      </c>
      <c r="R144" s="18">
        <v>0.27625105004200218</v>
      </c>
      <c r="S144" s="18">
        <v>0.26503021148036199</v>
      </c>
      <c r="T144" s="108">
        <f t="shared" si="27"/>
        <v>5.1998252546763348</v>
      </c>
      <c r="U144" s="108">
        <f t="shared" si="28"/>
        <v>1.3604785818767728</v>
      </c>
      <c r="V144" s="108">
        <f t="shared" si="29"/>
        <v>-1.122083856164019</v>
      </c>
    </row>
    <row r="145" spans="1:22" ht="15" customHeight="1" x14ac:dyDescent="0.25">
      <c r="A145" s="29" t="s">
        <v>25</v>
      </c>
      <c r="B145" s="18">
        <v>0.24035608308605344</v>
      </c>
      <c r="C145" s="18">
        <v>0.23509117792015774</v>
      </c>
      <c r="D145" s="18">
        <v>0.30246060270942787</v>
      </c>
      <c r="E145" s="18">
        <v>0.23291925465838509</v>
      </c>
      <c r="F145" s="18">
        <v>0.25164835164835159</v>
      </c>
      <c r="G145" s="18">
        <v>0.25242404654169387</v>
      </c>
      <c r="H145" s="18">
        <v>0.32214821684512268</v>
      </c>
      <c r="I145" s="18">
        <v>0.19706959706959709</v>
      </c>
      <c r="J145" s="18">
        <v>0.18255991840897509</v>
      </c>
      <c r="K145" s="18">
        <v>0.18796625871568595</v>
      </c>
      <c r="L145" s="18">
        <v>0.22228041690671987</v>
      </c>
      <c r="M145" s="18">
        <v>0.23315427758906718</v>
      </c>
      <c r="N145" s="18">
        <v>0.20009687788982336</v>
      </c>
      <c r="O145" s="18">
        <v>0.25687149230105061</v>
      </c>
      <c r="P145" s="18">
        <v>0.27653617319134061</v>
      </c>
      <c r="Q145" s="18">
        <v>0.27034058656575216</v>
      </c>
      <c r="R145" s="18">
        <v>0.28781827259111337</v>
      </c>
      <c r="S145" s="18">
        <v>0.2449618581350336</v>
      </c>
      <c r="T145" s="108">
        <f t="shared" si="27"/>
        <v>6.2401939726058506</v>
      </c>
      <c r="U145" s="108">
        <f t="shared" si="28"/>
        <v>-1.1909634166017007</v>
      </c>
      <c r="V145" s="108">
        <f t="shared" si="29"/>
        <v>-4.2856414456079763</v>
      </c>
    </row>
    <row r="146" spans="1:22" ht="15" customHeight="1" x14ac:dyDescent="0.25">
      <c r="A146" s="29" t="s">
        <v>46</v>
      </c>
      <c r="B146" s="18">
        <v>0.28108369617803514</v>
      </c>
      <c r="C146" s="18">
        <v>0.39582480556692562</v>
      </c>
      <c r="D146" s="18">
        <v>0.30178100263852187</v>
      </c>
      <c r="E146" s="18">
        <v>0.19499263622975005</v>
      </c>
      <c r="F146" s="18">
        <v>0.18551130678407041</v>
      </c>
      <c r="G146" s="18">
        <v>0.14484272128749098</v>
      </c>
      <c r="H146" s="18">
        <v>0.14580617122989983</v>
      </c>
      <c r="I146" s="18">
        <v>0.18771464252263509</v>
      </c>
      <c r="J146" s="18">
        <v>0.19080671435654037</v>
      </c>
      <c r="K146" s="18">
        <v>0.194892885642379</v>
      </c>
      <c r="L146" s="18">
        <v>0.18871742980015191</v>
      </c>
      <c r="M146" s="18">
        <v>0.24207134637514369</v>
      </c>
      <c r="N146" s="18">
        <v>0.2472392638036813</v>
      </c>
      <c r="O146" s="18">
        <v>0.21021220159151183</v>
      </c>
      <c r="P146" s="18">
        <v>0.15050599296633907</v>
      </c>
      <c r="Q146" s="18">
        <v>0.22363392211548391</v>
      </c>
      <c r="R146" s="18">
        <v>0.23924950471972925</v>
      </c>
      <c r="S146" s="18">
        <v>0.22411886329759134</v>
      </c>
      <c r="T146" s="108">
        <f t="shared" si="27"/>
        <v>3.3312148941050972</v>
      </c>
      <c r="U146" s="108">
        <f t="shared" si="28"/>
        <v>1.3906661706079515</v>
      </c>
      <c r="V146" s="108">
        <f t="shared" si="29"/>
        <v>-1.5130641422137909</v>
      </c>
    </row>
    <row r="147" spans="1:22" ht="15" customHeight="1" x14ac:dyDescent="0.25">
      <c r="A147" s="29" t="s">
        <v>41</v>
      </c>
      <c r="B147" s="18">
        <v>0.51736357193479887</v>
      </c>
      <c r="C147" s="18">
        <v>0.4531951640759932</v>
      </c>
      <c r="D147" s="18">
        <v>0.39906996406679335</v>
      </c>
      <c r="E147" s="18">
        <v>0.43453098625512537</v>
      </c>
      <c r="F147" s="18">
        <v>0.35108344859382168</v>
      </c>
      <c r="G147" s="18">
        <v>0.35642062689585413</v>
      </c>
      <c r="H147" s="18">
        <v>0.37292869111897253</v>
      </c>
      <c r="I147" s="18">
        <v>0.41930592991913662</v>
      </c>
      <c r="J147" s="18">
        <v>0.40960854092526683</v>
      </c>
      <c r="K147" s="18">
        <v>0.39505409582689355</v>
      </c>
      <c r="L147" s="18">
        <v>0.38776018945531671</v>
      </c>
      <c r="M147" s="18">
        <v>0.38816892819027221</v>
      </c>
      <c r="N147" s="18">
        <v>0.4085517912535736</v>
      </c>
      <c r="O147" s="18">
        <v>0.3516734531731055</v>
      </c>
      <c r="P147" s="18">
        <v>0.42312787001059604</v>
      </c>
      <c r="Q147" s="18">
        <v>0.40682603686635987</v>
      </c>
      <c r="R147" s="18">
        <v>0.33599386724386782</v>
      </c>
      <c r="S147" s="18">
        <v>0.33051368082793819</v>
      </c>
      <c r="T147" s="108">
        <f t="shared" si="27"/>
        <v>-7.9094860097328636</v>
      </c>
      <c r="U147" s="108">
        <f t="shared" si="28"/>
        <v>-2.1159772345167305</v>
      </c>
      <c r="V147" s="108">
        <f t="shared" si="29"/>
        <v>-0.54801864159296221</v>
      </c>
    </row>
    <row r="148" spans="1:22" ht="15" customHeight="1" x14ac:dyDescent="0.25">
      <c r="A148" s="29" t="s">
        <v>22</v>
      </c>
      <c r="B148" s="18">
        <v>0.22095238095238087</v>
      </c>
      <c r="C148" s="18">
        <v>0.240875912408759</v>
      </c>
      <c r="D148" s="18">
        <v>0.27058823529411757</v>
      </c>
      <c r="E148" s="18">
        <v>0.18538565629228687</v>
      </c>
      <c r="F148" s="18">
        <v>0.20801104972375667</v>
      </c>
      <c r="G148" s="18">
        <v>0.20687563195146605</v>
      </c>
      <c r="H148" s="18">
        <v>0.28615840118430802</v>
      </c>
      <c r="I148" s="18">
        <v>0.26590450571620716</v>
      </c>
      <c r="J148" s="18">
        <v>0.22870071105365247</v>
      </c>
      <c r="K148" s="18">
        <v>0.23408165944597625</v>
      </c>
      <c r="L148" s="18">
        <v>0.1722704266088215</v>
      </c>
      <c r="M148" s="18">
        <v>0.17301324503311252</v>
      </c>
      <c r="N148" s="18">
        <v>0.1046833614254755</v>
      </c>
      <c r="O148" s="18">
        <v>0.18830250272034818</v>
      </c>
      <c r="P148" s="18">
        <v>0.1749489795918367</v>
      </c>
      <c r="Q148" s="18">
        <v>0.19137284321080283</v>
      </c>
      <c r="R148" s="18">
        <v>0.25716798592788043</v>
      </c>
      <c r="S148" s="18">
        <v>0.20925172642134135</v>
      </c>
      <c r="T148" s="108">
        <f t="shared" si="27"/>
        <v>-1.9448984632311124</v>
      </c>
      <c r="U148" s="108">
        <f t="shared" si="28"/>
        <v>2.0949223700993169</v>
      </c>
      <c r="V148" s="108">
        <f t="shared" si="29"/>
        <v>-4.7916259506539074</v>
      </c>
    </row>
    <row r="149" spans="1:22" ht="15" customHeight="1" x14ac:dyDescent="0.25">
      <c r="A149" s="29" t="s">
        <v>39</v>
      </c>
      <c r="B149" s="18">
        <v>0.38664421997755327</v>
      </c>
      <c r="C149" s="18">
        <v>0.34263689526847441</v>
      </c>
      <c r="D149" s="18">
        <v>0.38072744449693041</v>
      </c>
      <c r="E149" s="18">
        <v>0.32163242009132348</v>
      </c>
      <c r="F149" s="18">
        <v>0.32038600723763622</v>
      </c>
      <c r="G149" s="18">
        <v>0.32752020416843863</v>
      </c>
      <c r="H149" s="18">
        <v>0.31067556296914045</v>
      </c>
      <c r="I149" s="18">
        <v>0.31949282429984732</v>
      </c>
      <c r="J149" s="18">
        <v>0.35803606686850109</v>
      </c>
      <c r="K149" s="18">
        <v>0.41475671038117407</v>
      </c>
      <c r="L149" s="18">
        <v>0.37086994183888222</v>
      </c>
      <c r="M149" s="18">
        <v>0.394903180495636</v>
      </c>
      <c r="N149" s="18">
        <v>0.39044805514524866</v>
      </c>
      <c r="O149" s="18">
        <v>0.27116262732701019</v>
      </c>
      <c r="P149" s="18">
        <v>0.32429726607624187</v>
      </c>
      <c r="Q149" s="18">
        <v>0.27337110481586463</v>
      </c>
      <c r="R149" s="18">
        <v>0.27404266774345454</v>
      </c>
      <c r="S149" s="18">
        <v>0.24045643153526983</v>
      </c>
      <c r="T149" s="108">
        <f t="shared" si="27"/>
        <v>-11.757963533323126</v>
      </c>
      <c r="U149" s="108">
        <f t="shared" si="28"/>
        <v>-3.0706195791740361</v>
      </c>
      <c r="V149" s="108">
        <f t="shared" si="29"/>
        <v>-3.358623620818471</v>
      </c>
    </row>
    <row r="150" spans="1:22" ht="15" customHeight="1" x14ac:dyDescent="0.25">
      <c r="A150" s="29" t="s">
        <v>38</v>
      </c>
      <c r="B150" s="18">
        <v>0.31708662865550902</v>
      </c>
      <c r="C150" s="18">
        <v>0.30259179265658853</v>
      </c>
      <c r="D150" s="18">
        <v>0.27761852260198333</v>
      </c>
      <c r="E150" s="18">
        <v>0.23847139197267195</v>
      </c>
      <c r="F150" s="18">
        <v>0.27046507636862843</v>
      </c>
      <c r="G150" s="18">
        <v>0.28931351733899557</v>
      </c>
      <c r="H150" s="18">
        <v>0.31172937085045899</v>
      </c>
      <c r="I150" s="18">
        <v>0.25074285714285816</v>
      </c>
      <c r="J150" s="18">
        <v>0.2535676147946806</v>
      </c>
      <c r="K150" s="18">
        <v>0.27665593600624361</v>
      </c>
      <c r="L150" s="18">
        <v>0.24342857142857066</v>
      </c>
      <c r="M150" s="18">
        <v>0.27342424859217052</v>
      </c>
      <c r="N150" s="18">
        <v>0.2757414755531637</v>
      </c>
      <c r="O150" s="18">
        <v>0.2400407539480382</v>
      </c>
      <c r="P150" s="18">
        <v>0.27127057936408183</v>
      </c>
      <c r="Q150" s="18">
        <v>0.24553906565802405</v>
      </c>
      <c r="R150" s="18">
        <v>0.22326609560652116</v>
      </c>
      <c r="S150" s="18">
        <v>0.2259360975283001</v>
      </c>
      <c r="T150" s="108">
        <f t="shared" si="27"/>
        <v>-2.7631517266380494</v>
      </c>
      <c r="U150" s="108">
        <f t="shared" si="28"/>
        <v>-1.41046564197381</v>
      </c>
      <c r="V150" s="108">
        <f t="shared" si="29"/>
        <v>0.26700019217789361</v>
      </c>
    </row>
    <row r="151" spans="1:22" ht="15" customHeight="1" x14ac:dyDescent="0.25">
      <c r="A151" s="29" t="s">
        <v>45</v>
      </c>
      <c r="B151" s="18">
        <v>0.24599708879184906</v>
      </c>
      <c r="C151" s="18">
        <v>0.22647527910685819</v>
      </c>
      <c r="D151" s="18">
        <v>0.13292307692307723</v>
      </c>
      <c r="E151" s="18">
        <v>0.36062992125984261</v>
      </c>
      <c r="F151" s="18">
        <v>0.23266932270916332</v>
      </c>
      <c r="G151" s="18">
        <v>0.26384039900249368</v>
      </c>
      <c r="H151" s="18">
        <v>0.32455752212389388</v>
      </c>
      <c r="I151" s="18">
        <v>0.24933837429111527</v>
      </c>
      <c r="J151" s="18">
        <v>0.21212598425196844</v>
      </c>
      <c r="K151" s="18">
        <v>0.23326885880077378</v>
      </c>
      <c r="L151" s="18">
        <v>0.17937264244590029</v>
      </c>
      <c r="M151" s="18">
        <v>0.20249028611797951</v>
      </c>
      <c r="N151" s="18">
        <v>0.19052969502407699</v>
      </c>
      <c r="O151" s="18">
        <v>0.24502754692314893</v>
      </c>
      <c r="P151" s="18">
        <v>0.20550407965703218</v>
      </c>
      <c r="Q151" s="18">
        <v>0.20999786370433685</v>
      </c>
      <c r="R151" s="18">
        <v>0.26692991115498521</v>
      </c>
      <c r="S151" s="18">
        <v>0.25240410588870882</v>
      </c>
      <c r="T151" s="108">
        <f t="shared" si="27"/>
        <v>4.0278121636740387</v>
      </c>
      <c r="U151" s="108">
        <f t="shared" si="28"/>
        <v>0.73765589655598873</v>
      </c>
      <c r="V151" s="108">
        <f t="shared" si="29"/>
        <v>-1.4525805266276393</v>
      </c>
    </row>
    <row r="152" spans="1:22" ht="15" customHeight="1" x14ac:dyDescent="0.25">
      <c r="A152" s="29" t="s">
        <v>67</v>
      </c>
      <c r="B152" s="18">
        <v>0.6648575305291714</v>
      </c>
      <c r="C152" s="18">
        <v>0.77802197802197759</v>
      </c>
      <c r="D152" s="18">
        <v>0.63972286374133835</v>
      </c>
      <c r="E152" s="18">
        <v>0.55042735042734914</v>
      </c>
      <c r="F152" s="18">
        <v>0.38138686131386779</v>
      </c>
      <c r="G152" s="18">
        <v>0.53131313131313151</v>
      </c>
      <c r="H152" s="18">
        <v>0.51378446115288257</v>
      </c>
      <c r="I152" s="18">
        <v>0.44064171122994666</v>
      </c>
      <c r="J152" s="18">
        <v>0.71119402985074687</v>
      </c>
      <c r="K152" s="18">
        <v>0.44196771714065985</v>
      </c>
      <c r="L152" s="18">
        <v>0.36430423509075094</v>
      </c>
      <c r="M152" s="18">
        <v>0.39949575979830559</v>
      </c>
      <c r="N152" s="18">
        <v>0.37800123127436841</v>
      </c>
      <c r="O152" s="18">
        <v>0.25194300518134671</v>
      </c>
      <c r="P152" s="18">
        <v>0.38320633059788944</v>
      </c>
      <c r="Q152" s="18">
        <v>0.34170493685418979</v>
      </c>
      <c r="R152" s="18">
        <v>0.3711722488038276</v>
      </c>
      <c r="S152" s="18">
        <v>0.32324723247232479</v>
      </c>
      <c r="T152" s="108">
        <f t="shared" si="27"/>
        <v>-38.794679737842209</v>
      </c>
      <c r="U152" s="108">
        <f t="shared" si="28"/>
        <v>7.1304227290978073</v>
      </c>
      <c r="V152" s="108">
        <f t="shared" si="29"/>
        <v>-4.7925016331502812</v>
      </c>
    </row>
    <row r="153" spans="1:22" ht="15" customHeight="1" x14ac:dyDescent="0.25">
      <c r="A153" s="29" t="s">
        <v>96</v>
      </c>
      <c r="B153" s="18">
        <v>0.24276246948029295</v>
      </c>
      <c r="C153" s="18">
        <v>0.25554047942107638</v>
      </c>
      <c r="D153" s="18">
        <v>0.39741750358680056</v>
      </c>
      <c r="E153" s="18">
        <v>0.2955706984667798</v>
      </c>
      <c r="F153" s="18">
        <v>0.41552315608919382</v>
      </c>
      <c r="G153" s="18">
        <v>0.44814340588988483</v>
      </c>
      <c r="H153" s="18">
        <v>0.40386384544618209</v>
      </c>
      <c r="I153" s="18">
        <v>0.39963503649635029</v>
      </c>
      <c r="J153" s="18">
        <v>0.37843285462333082</v>
      </c>
      <c r="K153" s="18">
        <v>0.39354984212900301</v>
      </c>
      <c r="L153" s="18">
        <v>0.36370539104024302</v>
      </c>
      <c r="M153" s="18">
        <v>0.45371498172959807</v>
      </c>
      <c r="N153" s="18">
        <v>0.36426961688178661</v>
      </c>
      <c r="O153" s="18">
        <v>0.34004181913225312</v>
      </c>
      <c r="P153" s="18">
        <v>0.39094412331406542</v>
      </c>
      <c r="Q153" s="18">
        <v>0.32182151589242053</v>
      </c>
      <c r="R153" s="18">
        <v>0.31235986547085215</v>
      </c>
      <c r="S153" s="18">
        <v>0.30950938824954599</v>
      </c>
      <c r="T153" s="108">
        <f t="shared" si="27"/>
        <v>-6.8923466373784823</v>
      </c>
      <c r="U153" s="108">
        <f t="shared" si="28"/>
        <v>-3.0532430882707127</v>
      </c>
      <c r="V153" s="108">
        <f t="shared" si="29"/>
        <v>-0.2850477221306158</v>
      </c>
    </row>
    <row r="154" spans="1:22" ht="15" customHeight="1" x14ac:dyDescent="0.25">
      <c r="A154" s="29" t="s">
        <v>27</v>
      </c>
      <c r="B154" s="18">
        <v>0.17367706919945758</v>
      </c>
      <c r="C154" s="18">
        <v>0.17509727626459154</v>
      </c>
      <c r="D154" s="18">
        <v>0.32971372161895368</v>
      </c>
      <c r="E154" s="18">
        <v>0.24230602514087565</v>
      </c>
      <c r="F154" s="18">
        <v>0.24374390640233962</v>
      </c>
      <c r="G154" s="18">
        <v>0.26537515375153736</v>
      </c>
      <c r="H154" s="18">
        <v>0.31010864430798296</v>
      </c>
      <c r="I154" s="18">
        <v>0.23420683200748718</v>
      </c>
      <c r="J154" s="18">
        <v>0.20812500000000009</v>
      </c>
      <c r="K154" s="18">
        <v>0.1980315628712033</v>
      </c>
      <c r="L154" s="18">
        <v>0.2540878192173433</v>
      </c>
      <c r="M154" s="18">
        <v>0.28912875867386256</v>
      </c>
      <c r="N154" s="18">
        <v>0.22380128521997047</v>
      </c>
      <c r="O154" s="18">
        <v>0.27010821877742031</v>
      </c>
      <c r="P154" s="18">
        <v>0.34111240762349243</v>
      </c>
      <c r="Q154" s="18">
        <v>0.39395720667763895</v>
      </c>
      <c r="R154" s="18">
        <v>0.37352941176470605</v>
      </c>
      <c r="S154" s="18">
        <v>0.33693276770793179</v>
      </c>
      <c r="T154" s="108">
        <f t="shared" si="27"/>
        <v>12.880776770793171</v>
      </c>
      <c r="U154" s="108">
        <f t="shared" si="28"/>
        <v>6.6824548930511485</v>
      </c>
      <c r="V154" s="108">
        <f t="shared" si="29"/>
        <v>-3.6596644056774261</v>
      </c>
    </row>
    <row r="155" spans="1:22" ht="15" customHeight="1" x14ac:dyDescent="0.25">
      <c r="A155" s="29" t="s">
        <v>42</v>
      </c>
      <c r="B155" s="18">
        <v>0.29968387776606936</v>
      </c>
      <c r="C155" s="18">
        <v>0.28433966802982946</v>
      </c>
      <c r="D155" s="18">
        <v>0.18703296703296701</v>
      </c>
      <c r="E155" s="18">
        <v>0.20496107188122453</v>
      </c>
      <c r="F155" s="18">
        <v>0.21069306930693077</v>
      </c>
      <c r="G155" s="18">
        <v>0.20354563361785938</v>
      </c>
      <c r="H155" s="18">
        <v>0.224039884708265</v>
      </c>
      <c r="I155" s="18">
        <v>0.2399922645523114</v>
      </c>
      <c r="J155" s="18">
        <v>0.26292384658143414</v>
      </c>
      <c r="K155" s="18">
        <v>0.26819126819126815</v>
      </c>
      <c r="L155" s="18">
        <v>0.25940254962897158</v>
      </c>
      <c r="M155" s="18">
        <v>0.30169779738023772</v>
      </c>
      <c r="N155" s="18">
        <v>0.3447770637008426</v>
      </c>
      <c r="O155" s="18">
        <v>0.39934292511612068</v>
      </c>
      <c r="P155" s="18">
        <v>0.51011932230206347</v>
      </c>
      <c r="Q155" s="18">
        <v>0.52434903597694293</v>
      </c>
      <c r="R155" s="18">
        <v>0.48998125991062408</v>
      </c>
      <c r="S155" s="18">
        <v>0.45260663507108978</v>
      </c>
      <c r="T155" s="108">
        <f t="shared" si="27"/>
        <v>18.968278848965564</v>
      </c>
      <c r="U155" s="108">
        <f t="shared" si="28"/>
        <v>5.3263709954969096</v>
      </c>
      <c r="V155" s="108">
        <f t="shared" si="29"/>
        <v>-3.7374624839534301</v>
      </c>
    </row>
    <row r="156" spans="1:22" ht="15" customHeight="1" x14ac:dyDescent="0.25">
      <c r="A156" s="29" t="s">
        <v>169</v>
      </c>
      <c r="B156" s="18" t="s">
        <v>100</v>
      </c>
      <c r="C156" s="18">
        <v>-3.6363636363635973E-2</v>
      </c>
      <c r="D156" s="18">
        <v>0.31182795698924759</v>
      </c>
      <c r="E156" s="18">
        <v>0.3495934959349587</v>
      </c>
      <c r="F156" s="18">
        <v>0.3492063492063493</v>
      </c>
      <c r="G156" s="18">
        <v>0.36046511627906996</v>
      </c>
      <c r="H156" s="18">
        <v>0.31615925058548011</v>
      </c>
      <c r="I156" s="18">
        <v>0.2241014799154333</v>
      </c>
      <c r="J156" s="18">
        <v>0.12828947368421031</v>
      </c>
      <c r="K156" s="18">
        <v>0.16326530612244877</v>
      </c>
      <c r="L156" s="18">
        <v>0.22493403693931369</v>
      </c>
      <c r="M156" s="18">
        <v>0.48441449031171013</v>
      </c>
      <c r="N156" s="18">
        <v>0.19508128386827839</v>
      </c>
      <c r="O156" s="18">
        <v>0.19869494290375206</v>
      </c>
      <c r="P156" s="18">
        <v>0.21471247199402529</v>
      </c>
      <c r="Q156" s="18">
        <v>0.19563038685107262</v>
      </c>
      <c r="R156" s="18">
        <v>0.20518228382042772</v>
      </c>
      <c r="S156" s="18">
        <v>0.21666893640201554</v>
      </c>
      <c r="T156" s="108">
        <f t="shared" si="27"/>
        <v>8.8379462717805222</v>
      </c>
      <c r="U156" s="108">
        <f t="shared" si="28"/>
        <v>1.7973993498263479</v>
      </c>
      <c r="V156" s="108">
        <f t="shared" si="29"/>
        <v>1.148665258158782</v>
      </c>
    </row>
    <row r="157" spans="1:22" ht="15" customHeight="1" x14ac:dyDescent="0.25">
      <c r="A157" s="29" t="s">
        <v>95</v>
      </c>
      <c r="B157" s="18">
        <v>0.30731364275668011</v>
      </c>
      <c r="C157" s="18">
        <v>0.37000887311446296</v>
      </c>
      <c r="D157" s="18">
        <v>0.27471264367816101</v>
      </c>
      <c r="E157" s="18">
        <v>0.44282945736434076</v>
      </c>
      <c r="F157" s="18">
        <v>0.31051873198847335</v>
      </c>
      <c r="G157" s="18">
        <v>0.24177071509648129</v>
      </c>
      <c r="H157" s="18">
        <v>0.25249559600704624</v>
      </c>
      <c r="I157" s="18">
        <v>0.2900837089504183</v>
      </c>
      <c r="J157" s="18">
        <v>0.32493463275493173</v>
      </c>
      <c r="K157" s="18">
        <v>0.34263414634146333</v>
      </c>
      <c r="L157" s="18">
        <v>0.26815642458100658</v>
      </c>
      <c r="M157" s="18">
        <v>0.27676845767298025</v>
      </c>
      <c r="N157" s="18">
        <v>0.32635106828655314</v>
      </c>
      <c r="O157" s="18">
        <v>0.34184046834979831</v>
      </c>
      <c r="P157" s="18">
        <v>0.35049088359046221</v>
      </c>
      <c r="Q157" s="18">
        <v>0.40344032629898963</v>
      </c>
      <c r="R157" s="18">
        <v>0.45842407444070526</v>
      </c>
      <c r="S157" s="18">
        <v>0.42859912748424661</v>
      </c>
      <c r="T157" s="108">
        <f t="shared" si="27"/>
        <v>10.366449472931489</v>
      </c>
      <c r="U157" s="108">
        <f t="shared" si="28"/>
        <v>8.6758659134448308</v>
      </c>
      <c r="V157" s="108">
        <f t="shared" si="29"/>
        <v>-2.9824946956458653</v>
      </c>
    </row>
    <row r="158" spans="1:22" ht="15" customHeight="1" x14ac:dyDescent="0.25">
      <c r="A158" s="29" t="s">
        <v>339</v>
      </c>
      <c r="B158" s="18">
        <v>0.2</v>
      </c>
      <c r="C158" s="18">
        <v>0.15254237288135625</v>
      </c>
      <c r="D158" s="18">
        <v>0.20408163265306117</v>
      </c>
      <c r="E158" s="18">
        <v>0.25454545454545452</v>
      </c>
      <c r="F158" s="18">
        <v>0.21400000000000041</v>
      </c>
      <c r="G158" s="18">
        <v>0.25166666666666676</v>
      </c>
      <c r="H158" s="18">
        <v>0.35729166666666645</v>
      </c>
      <c r="I158" s="18">
        <v>0.21850746268656723</v>
      </c>
      <c r="J158" s="18">
        <v>0.14598825831702539</v>
      </c>
      <c r="K158" s="18">
        <v>0.13087378640776706</v>
      </c>
      <c r="L158" s="18">
        <v>0.14097222222222233</v>
      </c>
      <c r="M158" s="18">
        <v>9.2676431424767003E-2</v>
      </c>
      <c r="N158" s="18">
        <v>0.12979942693409754</v>
      </c>
      <c r="O158" s="18">
        <v>0.17819905213270157</v>
      </c>
      <c r="P158" s="18">
        <v>0.15981308411214937</v>
      </c>
      <c r="Q158" s="18">
        <v>0.16795679567956795</v>
      </c>
      <c r="R158" s="18">
        <v>0.15209876543209866</v>
      </c>
      <c r="S158" s="18">
        <v>0.14175675675675681</v>
      </c>
      <c r="T158" s="108">
        <f t="shared" si="27"/>
        <v>-0.42315015602685802</v>
      </c>
      <c r="U158" s="108">
        <f t="shared" si="28"/>
        <v>-3.6442295375944762</v>
      </c>
      <c r="V158" s="108">
        <f t="shared" si="29"/>
        <v>-1.0342008675341852</v>
      </c>
    </row>
    <row r="159" spans="1:22" ht="15" customHeight="1" x14ac:dyDescent="0.25">
      <c r="A159" s="29" t="s">
        <v>44</v>
      </c>
      <c r="B159" s="18">
        <v>0.23103251568739344</v>
      </c>
      <c r="C159" s="18">
        <v>0.21099208197485117</v>
      </c>
      <c r="D159" s="18">
        <v>0.20773930753564127</v>
      </c>
      <c r="E159" s="18">
        <v>0.21845018450184481</v>
      </c>
      <c r="F159" s="18">
        <v>0.18504901960784245</v>
      </c>
      <c r="G159" s="18">
        <v>0.14008725157537499</v>
      </c>
      <c r="H159" s="18">
        <v>0.15902366863905412</v>
      </c>
      <c r="I159" s="18">
        <v>0.1338779214885413</v>
      </c>
      <c r="J159" s="18">
        <v>0.20655122052993935</v>
      </c>
      <c r="K159" s="18">
        <v>0.18237780227857425</v>
      </c>
      <c r="L159" s="18">
        <v>0.16032626427406171</v>
      </c>
      <c r="M159" s="18">
        <v>0.1702895578705601</v>
      </c>
      <c r="N159" s="18">
        <v>0.17645429362880888</v>
      </c>
      <c r="O159" s="18">
        <v>0.16411813992459132</v>
      </c>
      <c r="P159" s="18">
        <v>0.14788154897494282</v>
      </c>
      <c r="Q159" s="18">
        <v>0.16746709356101053</v>
      </c>
      <c r="R159" s="18">
        <v>0.17128095145252459</v>
      </c>
      <c r="S159" s="18">
        <v>0.175671196552867</v>
      </c>
      <c r="T159" s="108">
        <f t="shared" si="27"/>
        <v>-3.0880023977072346</v>
      </c>
      <c r="U159" s="108">
        <f t="shared" si="28"/>
        <v>1.1553056628275686</v>
      </c>
      <c r="V159" s="108">
        <f t="shared" si="29"/>
        <v>0.43902451003424159</v>
      </c>
    </row>
    <row r="160" spans="1:22" ht="15" customHeight="1" x14ac:dyDescent="0.25">
      <c r="A160" s="29" t="s">
        <v>452</v>
      </c>
      <c r="B160" s="18">
        <v>5.9210526315790851E-2</v>
      </c>
      <c r="C160" s="18">
        <v>0.10975609756097561</v>
      </c>
      <c r="D160" s="18">
        <v>0.20192307692307709</v>
      </c>
      <c r="E160" s="18">
        <v>0.19642857142857129</v>
      </c>
      <c r="F160" s="18">
        <v>0.14583333333333326</v>
      </c>
      <c r="G160" s="18">
        <v>0.1160714285714286</v>
      </c>
      <c r="H160" s="18">
        <v>0.25</v>
      </c>
      <c r="I160" s="18">
        <v>0.2137096774193552</v>
      </c>
      <c r="J160" s="18">
        <v>0.16118421052631571</v>
      </c>
      <c r="K160" s="18">
        <v>0.13800904977375567</v>
      </c>
      <c r="L160" s="18">
        <v>0.16087751371115158</v>
      </c>
      <c r="M160" s="18">
        <v>0.33604505632040166</v>
      </c>
      <c r="N160" s="18">
        <v>0.19505008839127824</v>
      </c>
      <c r="O160" s="18">
        <v>0.1100702576112417</v>
      </c>
      <c r="P160" s="18">
        <v>0.21895910780669192</v>
      </c>
      <c r="Q160" s="18">
        <v>0.18348623853210977</v>
      </c>
      <c r="R160" s="18">
        <v>0.17938181168483119</v>
      </c>
      <c r="S160" s="18">
        <v>0.19309855826045821</v>
      </c>
      <c r="T160" s="108">
        <f t="shared" si="27"/>
        <v>3.1914347734142505</v>
      </c>
      <c r="U160" s="108">
        <f t="shared" si="28"/>
        <v>8.3028300649216504</v>
      </c>
      <c r="V160" s="108">
        <f t="shared" si="29"/>
        <v>1.3716746575627021</v>
      </c>
    </row>
    <row r="161" spans="1:22" ht="15" customHeight="1" x14ac:dyDescent="0.25">
      <c r="A161" s="29" t="s">
        <v>299</v>
      </c>
      <c r="B161" s="18">
        <v>0.38461538461538658</v>
      </c>
      <c r="C161" s="18">
        <v>0.18632478632478605</v>
      </c>
      <c r="D161" s="18">
        <v>0.10666666666666696</v>
      </c>
      <c r="E161" s="18">
        <v>0.11916264090177107</v>
      </c>
      <c r="F161" s="18">
        <v>0.11095100864553294</v>
      </c>
      <c r="G161" s="18">
        <v>0.14311431143114148</v>
      </c>
      <c r="H161" s="18">
        <v>0.12765957446808551</v>
      </c>
      <c r="I161" s="18">
        <v>0.17855361596009867</v>
      </c>
      <c r="J161" s="18">
        <v>0.17154189390183372</v>
      </c>
      <c r="K161" s="18">
        <v>0.16088019559902209</v>
      </c>
      <c r="L161" s="18">
        <v>0.19757942511346499</v>
      </c>
      <c r="M161" s="18">
        <v>0.28248756218905491</v>
      </c>
      <c r="N161" s="18">
        <v>0.20031971225896641</v>
      </c>
      <c r="O161" s="18">
        <v>0.14738978048330642</v>
      </c>
      <c r="P161" s="18">
        <v>0.23462551750094124</v>
      </c>
      <c r="Q161" s="18">
        <v>0.21757105943152447</v>
      </c>
      <c r="R161" s="18">
        <v>0.2157301186078161</v>
      </c>
      <c r="S161" s="18">
        <v>0.20520858451892948</v>
      </c>
      <c r="T161" s="108">
        <f t="shared" si="27"/>
        <v>3.366669061709576</v>
      </c>
      <c r="U161" s="108">
        <f t="shared" si="28"/>
        <v>5.7818804035623064</v>
      </c>
      <c r="V161" s="108">
        <f t="shared" si="29"/>
        <v>-1.0521534088886619</v>
      </c>
    </row>
    <row r="162" spans="1:22" ht="15" customHeight="1" x14ac:dyDescent="0.25">
      <c r="A162" s="29" t="s">
        <v>40</v>
      </c>
      <c r="B162" s="18">
        <v>0.26206896551723974</v>
      </c>
      <c r="C162" s="18">
        <v>0.32786885245901681</v>
      </c>
      <c r="D162" s="18">
        <v>0.26070038910505633</v>
      </c>
      <c r="E162" s="18">
        <v>6.2831858407080263E-2</v>
      </c>
      <c r="F162" s="18">
        <v>0.11912336514669501</v>
      </c>
      <c r="G162" s="18">
        <v>0.20696882368352096</v>
      </c>
      <c r="H162" s="18">
        <v>0.23227611940298509</v>
      </c>
      <c r="I162" s="18">
        <v>0.24142857142857096</v>
      </c>
      <c r="J162" s="18">
        <v>0.33121980676328339</v>
      </c>
      <c r="K162" s="18">
        <v>0.23913043478260967</v>
      </c>
      <c r="L162" s="18">
        <v>0.31693306693306739</v>
      </c>
      <c r="M162" s="18">
        <v>0.31858276977359751</v>
      </c>
      <c r="N162" s="18">
        <v>0.32722161104999237</v>
      </c>
      <c r="O162" s="18">
        <v>0.18469217970050003</v>
      </c>
      <c r="P162" s="18">
        <v>0.34564138291387292</v>
      </c>
      <c r="Q162" s="18">
        <v>0.34073763621123238</v>
      </c>
      <c r="R162" s="18">
        <v>0.30836454431959887</v>
      </c>
      <c r="S162" s="18">
        <v>0.28422935062031934</v>
      </c>
      <c r="T162" s="108">
        <f t="shared" si="27"/>
        <v>-4.6990456142964039</v>
      </c>
      <c r="U162" s="108">
        <f t="shared" si="28"/>
        <v>9.9537170919819307</v>
      </c>
      <c r="V162" s="108">
        <f t="shared" si="29"/>
        <v>-2.4135193699279522</v>
      </c>
    </row>
    <row r="163" spans="1:22" ht="15" customHeight="1" x14ac:dyDescent="0.25">
      <c r="A163" s="59"/>
      <c r="B163" s="59"/>
      <c r="C163" s="51"/>
      <c r="D163" s="51"/>
      <c r="E163" s="51"/>
      <c r="F163" s="51"/>
      <c r="G163" s="51"/>
      <c r="H163" s="51"/>
      <c r="I163" s="51"/>
      <c r="J163" s="51"/>
      <c r="K163" s="51"/>
      <c r="L163" s="51"/>
      <c r="M163" s="51"/>
      <c r="N163" s="51"/>
      <c r="O163" s="51"/>
      <c r="P163" s="51"/>
      <c r="Q163" s="51"/>
      <c r="R163" s="51"/>
      <c r="S163" s="51"/>
      <c r="T163" s="51"/>
      <c r="U163" s="51"/>
      <c r="V163" s="51"/>
    </row>
    <row r="164" spans="1:22" ht="15" customHeight="1" x14ac:dyDescent="0.25">
      <c r="A164" s="60" t="s">
        <v>510</v>
      </c>
      <c r="B164" s="60"/>
      <c r="C164" s="79"/>
      <c r="D164" s="79"/>
      <c r="E164" s="79"/>
      <c r="F164" s="79"/>
      <c r="G164" s="79"/>
      <c r="H164" s="79"/>
      <c r="I164" s="79"/>
      <c r="J164" s="79"/>
      <c r="K164" s="79"/>
      <c r="L164" s="79"/>
      <c r="M164" s="79"/>
      <c r="N164" s="79"/>
      <c r="O164" s="79"/>
      <c r="P164" s="79"/>
      <c r="Q164" s="79"/>
      <c r="R164" s="79"/>
      <c r="S164" s="79"/>
      <c r="T164" s="79"/>
      <c r="U164" s="79"/>
      <c r="V164" s="79"/>
    </row>
    <row r="165" spans="1:22" ht="35.25" customHeight="1" x14ac:dyDescent="0.25">
      <c r="A165" s="32" t="s">
        <v>328</v>
      </c>
      <c r="B165" s="15">
        <v>2007</v>
      </c>
      <c r="C165" s="15">
        <v>2008</v>
      </c>
      <c r="D165" s="15">
        <v>2009</v>
      </c>
      <c r="E165" s="15">
        <v>2010</v>
      </c>
      <c r="F165" s="15">
        <v>2011</v>
      </c>
      <c r="G165" s="15">
        <v>2012</v>
      </c>
      <c r="H165" s="15">
        <v>2013</v>
      </c>
      <c r="I165" s="15">
        <v>2014</v>
      </c>
      <c r="J165" s="15">
        <v>2015</v>
      </c>
      <c r="K165" s="15">
        <v>2016</v>
      </c>
      <c r="L165" s="15">
        <v>2017</v>
      </c>
      <c r="M165" s="15">
        <v>2018</v>
      </c>
      <c r="N165" s="15">
        <v>2019</v>
      </c>
      <c r="O165" s="15">
        <v>2020</v>
      </c>
      <c r="P165" s="15">
        <v>2021</v>
      </c>
      <c r="Q165" s="15">
        <v>2022</v>
      </c>
      <c r="R165" s="15">
        <v>2023</v>
      </c>
      <c r="S165" s="15">
        <v>2024</v>
      </c>
      <c r="T165" s="27" t="s">
        <v>476</v>
      </c>
      <c r="U165" s="27" t="s">
        <v>477</v>
      </c>
      <c r="V165" s="27" t="s">
        <v>478</v>
      </c>
    </row>
    <row r="166" spans="1:22" s="124" customFormat="1" ht="15" customHeight="1" x14ac:dyDescent="0.25">
      <c r="A166" s="123" t="s">
        <v>30</v>
      </c>
      <c r="B166" s="18">
        <v>0.26984736488432387</v>
      </c>
      <c r="C166" s="18">
        <v>0.15159870362308323</v>
      </c>
      <c r="D166" s="18">
        <v>9.9783334309304944E-2</v>
      </c>
      <c r="E166" s="18">
        <v>0.31137983156985544</v>
      </c>
      <c r="F166" s="18">
        <v>0.29406277692271809</v>
      </c>
      <c r="G166" s="18">
        <v>0.27946018307464054</v>
      </c>
      <c r="H166" s="18">
        <v>0.31307057745187866</v>
      </c>
      <c r="I166" s="18">
        <v>0.32351819360744483</v>
      </c>
      <c r="J166" s="18">
        <v>0.30612164296998423</v>
      </c>
      <c r="K166" s="18">
        <v>0.27593424157089586</v>
      </c>
      <c r="L166" s="18">
        <v>0.2446395563770796</v>
      </c>
      <c r="M166" s="18">
        <v>0.27243537636156756</v>
      </c>
      <c r="N166" s="18">
        <v>0.26195311057781062</v>
      </c>
      <c r="O166" s="18">
        <v>0.32311681404161952</v>
      </c>
      <c r="P166" s="18">
        <v>0.36065147708567963</v>
      </c>
      <c r="Q166" s="18">
        <v>0.32310149041873698</v>
      </c>
      <c r="R166" s="18">
        <v>0.26543258604357428</v>
      </c>
      <c r="S166" s="18">
        <v>0.20501082070917259</v>
      </c>
      <c r="T166" s="106">
        <f t="shared" ref="T166:T185" si="30">(S166-J166)*100</f>
        <v>-10.111082226081164</v>
      </c>
      <c r="U166" s="106">
        <f t="shared" ref="U166:U185" si="31">(S166-O166)*100</f>
        <v>-11.810599333244692</v>
      </c>
      <c r="V166" s="106">
        <f t="shared" ref="V166:V185" si="32">(S166-R166)*100</f>
        <v>-6.0421765334401689</v>
      </c>
    </row>
    <row r="167" spans="1:22" ht="15" customHeight="1" x14ac:dyDescent="0.25">
      <c r="A167" s="87" t="s">
        <v>25</v>
      </c>
      <c r="B167" s="19">
        <v>0.36113685511275873</v>
      </c>
      <c r="C167" s="19">
        <v>0.28265397203213338</v>
      </c>
      <c r="D167" s="19">
        <v>0.21353846153846148</v>
      </c>
      <c r="E167" s="19">
        <v>0.22379746835443026</v>
      </c>
      <c r="F167" s="19">
        <v>0.33346176073974193</v>
      </c>
      <c r="G167" s="19">
        <v>0.29763018397256003</v>
      </c>
      <c r="H167" s="19">
        <v>0.3332413031474325</v>
      </c>
      <c r="I167" s="19">
        <v>0.30895047705588363</v>
      </c>
      <c r="J167" s="19">
        <v>0.30354895544928273</v>
      </c>
      <c r="K167" s="19">
        <v>0.2986039539023706</v>
      </c>
      <c r="L167" s="19">
        <v>0.29920674268715897</v>
      </c>
      <c r="M167" s="19">
        <v>0.36391630477694425</v>
      </c>
      <c r="N167" s="19">
        <v>0.41119302949061654</v>
      </c>
      <c r="O167" s="19">
        <v>0.38913079886116236</v>
      </c>
      <c r="P167" s="19">
        <v>0.45260093659030493</v>
      </c>
      <c r="Q167" s="19">
        <v>0.43784283920428257</v>
      </c>
      <c r="R167" s="19">
        <v>0.43576679525438539</v>
      </c>
      <c r="S167" s="19">
        <v>0.40957235008361875</v>
      </c>
      <c r="T167" s="108">
        <f t="shared" si="30"/>
        <v>10.602339463433601</v>
      </c>
      <c r="U167" s="108">
        <f t="shared" si="31"/>
        <v>2.0441551222456389</v>
      </c>
      <c r="V167" s="108">
        <f t="shared" si="32"/>
        <v>-2.6194445170766634</v>
      </c>
    </row>
    <row r="168" spans="1:22" ht="15" customHeight="1" x14ac:dyDescent="0.25">
      <c r="A168" s="87" t="s">
        <v>31</v>
      </c>
      <c r="B168" s="19">
        <v>0.64972320080523405</v>
      </c>
      <c r="C168" s="19">
        <v>0.4278710164058081</v>
      </c>
      <c r="D168" s="19">
        <v>0.43355566957414043</v>
      </c>
      <c r="E168" s="19">
        <v>0.48735495388277278</v>
      </c>
      <c r="F168" s="19">
        <v>0.49460708782742674</v>
      </c>
      <c r="G168" s="19">
        <v>0.49041733834855811</v>
      </c>
      <c r="H168" s="19">
        <v>0.48891388174807193</v>
      </c>
      <c r="I168" s="19">
        <v>0.54275092936802982</v>
      </c>
      <c r="J168" s="19">
        <v>0.52085373017427039</v>
      </c>
      <c r="K168" s="19">
        <v>0.5172142744851439</v>
      </c>
      <c r="L168" s="19">
        <v>0.41696710229833261</v>
      </c>
      <c r="M168" s="19">
        <v>0.48992528865745971</v>
      </c>
      <c r="N168" s="19">
        <v>0.46607503931700717</v>
      </c>
      <c r="O168" s="19">
        <v>0.54562782940195365</v>
      </c>
      <c r="P168" s="19">
        <v>0.63086816720257222</v>
      </c>
      <c r="Q168" s="19">
        <v>0.58536327049353931</v>
      </c>
      <c r="R168" s="19">
        <v>0.58240360148757098</v>
      </c>
      <c r="S168" s="19">
        <v>0.52209993011879796</v>
      </c>
      <c r="T168" s="108">
        <f t="shared" si="30"/>
        <v>0.12461999445275707</v>
      </c>
      <c r="U168" s="108">
        <f t="shared" si="31"/>
        <v>-2.3527899283155684</v>
      </c>
      <c r="V168" s="108">
        <f t="shared" si="32"/>
        <v>-6.0303671368773015</v>
      </c>
    </row>
    <row r="169" spans="1:22" ht="15" customHeight="1" x14ac:dyDescent="0.25">
      <c r="A169" s="87" t="s">
        <v>22</v>
      </c>
      <c r="B169" s="19">
        <v>0.32614107883817411</v>
      </c>
      <c r="C169" s="19">
        <v>0.28968713789107764</v>
      </c>
      <c r="D169" s="19">
        <v>0.24879807692307707</v>
      </c>
      <c r="E169" s="19">
        <v>0.26345463864684787</v>
      </c>
      <c r="F169" s="19">
        <v>0.20553896280206349</v>
      </c>
      <c r="G169" s="19">
        <v>0.18981145757795481</v>
      </c>
      <c r="H169" s="19">
        <v>0.17448284723114474</v>
      </c>
      <c r="I169" s="19">
        <v>0.19827280255530588</v>
      </c>
      <c r="J169" s="19">
        <v>0.18382886149383609</v>
      </c>
      <c r="K169" s="19">
        <v>0.19041585070844369</v>
      </c>
      <c r="L169" s="19">
        <v>0.17205364995602471</v>
      </c>
      <c r="M169" s="19">
        <v>0.16049041297935113</v>
      </c>
      <c r="N169" s="19">
        <v>0.15144766146993324</v>
      </c>
      <c r="O169" s="19">
        <v>0.15961671270718231</v>
      </c>
      <c r="P169" s="19">
        <v>0.24269705363888186</v>
      </c>
      <c r="Q169" s="19">
        <v>0.21312574493444586</v>
      </c>
      <c r="R169" s="19">
        <v>0.21568472595166624</v>
      </c>
      <c r="S169" s="19">
        <v>0.23070873022808705</v>
      </c>
      <c r="T169" s="108">
        <f t="shared" si="30"/>
        <v>4.6879868734250953</v>
      </c>
      <c r="U169" s="108">
        <f t="shared" si="31"/>
        <v>7.109201752090474</v>
      </c>
      <c r="V169" s="108">
        <f t="shared" si="32"/>
        <v>1.502400427642081</v>
      </c>
    </row>
    <row r="170" spans="1:22" ht="15" customHeight="1" x14ac:dyDescent="0.25">
      <c r="A170" s="87" t="s">
        <v>34</v>
      </c>
      <c r="B170" s="19">
        <v>0.91450216450216459</v>
      </c>
      <c r="C170" s="19">
        <v>0.70152184585174282</v>
      </c>
      <c r="D170" s="19">
        <v>0.67150319210679044</v>
      </c>
      <c r="E170" s="19">
        <v>0.72920461445051621</v>
      </c>
      <c r="F170" s="19">
        <v>0.6634189548272803</v>
      </c>
      <c r="G170" s="19">
        <v>0.67305785123966932</v>
      </c>
      <c r="H170" s="19">
        <v>0.75674837108284199</v>
      </c>
      <c r="I170" s="19">
        <v>0.71443680592279224</v>
      </c>
      <c r="J170" s="19">
        <v>0.63040300689079121</v>
      </c>
      <c r="K170" s="19">
        <v>0.66525871172122486</v>
      </c>
      <c r="L170" s="19">
        <v>0.62048857368006305</v>
      </c>
      <c r="M170" s="19">
        <v>0.72380253257478444</v>
      </c>
      <c r="N170" s="19">
        <v>0.70712809917355379</v>
      </c>
      <c r="O170" s="19">
        <v>0.71065647482014405</v>
      </c>
      <c r="P170" s="19">
        <v>0.88054761546562332</v>
      </c>
      <c r="Q170" s="19">
        <v>0.81206726013847697</v>
      </c>
      <c r="R170" s="19">
        <v>0.82070287539936115</v>
      </c>
      <c r="S170" s="19">
        <v>0.70059220493045027</v>
      </c>
      <c r="T170" s="108">
        <f t="shared" si="30"/>
        <v>7.0189198039659058</v>
      </c>
      <c r="U170" s="108">
        <f t="shared" si="31"/>
        <v>-1.0064269889693778</v>
      </c>
      <c r="V170" s="108">
        <f t="shared" si="32"/>
        <v>-12.011067046891089</v>
      </c>
    </row>
    <row r="171" spans="1:22" ht="15" customHeight="1" x14ac:dyDescent="0.25">
      <c r="A171" s="87" t="s">
        <v>29</v>
      </c>
      <c r="B171" s="19">
        <v>0.55915492957746482</v>
      </c>
      <c r="C171" s="19">
        <v>0.54679802955665024</v>
      </c>
      <c r="D171" s="19">
        <v>0.49208025343189005</v>
      </c>
      <c r="E171" s="19">
        <v>0.4412673879443586</v>
      </c>
      <c r="F171" s="19">
        <v>0.40110803324099742</v>
      </c>
      <c r="G171" s="19">
        <v>0.45291235710397387</v>
      </c>
      <c r="H171" s="19">
        <v>0.52773757838880808</v>
      </c>
      <c r="I171" s="19">
        <v>0.49570982839313588</v>
      </c>
      <c r="J171" s="19">
        <v>0.46793349168646092</v>
      </c>
      <c r="K171" s="19">
        <v>0.45201507683386499</v>
      </c>
      <c r="L171" s="19">
        <v>0.44458999214042438</v>
      </c>
      <c r="M171" s="19">
        <v>0.44800732936326154</v>
      </c>
      <c r="N171" s="19">
        <v>0.48175021987686911</v>
      </c>
      <c r="O171" s="19">
        <v>0.49154664996869107</v>
      </c>
      <c r="P171" s="19">
        <v>0.54521510096575942</v>
      </c>
      <c r="Q171" s="19">
        <v>0.53530751708428259</v>
      </c>
      <c r="R171" s="19">
        <v>0.45879828326180244</v>
      </c>
      <c r="S171" s="19">
        <v>0.35959765297569141</v>
      </c>
      <c r="T171" s="108">
        <f t="shared" si="30"/>
        <v>-10.833583871076952</v>
      </c>
      <c r="U171" s="108">
        <f t="shared" si="31"/>
        <v>-13.194899699299967</v>
      </c>
      <c r="V171" s="108">
        <f t="shared" si="32"/>
        <v>-9.9200630286111036</v>
      </c>
    </row>
    <row r="172" spans="1:22" ht="15" customHeight="1" x14ac:dyDescent="0.25">
      <c r="A172" s="87" t="s">
        <v>26</v>
      </c>
      <c r="B172" s="19">
        <v>0.48828124999999989</v>
      </c>
      <c r="C172" s="19">
        <v>0.29708222811671081</v>
      </c>
      <c r="D172" s="19">
        <v>0.35560344827586199</v>
      </c>
      <c r="E172" s="19">
        <v>0.42843511450381694</v>
      </c>
      <c r="F172" s="19">
        <v>0.34611398963730583</v>
      </c>
      <c r="G172" s="19">
        <v>0.35463800904977372</v>
      </c>
      <c r="H172" s="19">
        <v>0.37357178340784891</v>
      </c>
      <c r="I172" s="19">
        <v>0.34187316253674943</v>
      </c>
      <c r="J172" s="19">
        <v>0.35971855760773963</v>
      </c>
      <c r="K172" s="19">
        <v>0.40092165898617532</v>
      </c>
      <c r="L172" s="19">
        <v>0.39205298013245049</v>
      </c>
      <c r="M172" s="19">
        <v>0.38903462749213008</v>
      </c>
      <c r="N172" s="19">
        <v>0.48345055854364927</v>
      </c>
      <c r="O172" s="19">
        <v>0.43233532934131741</v>
      </c>
      <c r="P172" s="19">
        <v>0.55981143193871541</v>
      </c>
      <c r="Q172" s="19">
        <v>0.53796445880452337</v>
      </c>
      <c r="R172" s="19">
        <v>0.54302925989672979</v>
      </c>
      <c r="S172" s="19">
        <v>0.50161030595813183</v>
      </c>
      <c r="T172" s="108">
        <f t="shared" si="30"/>
        <v>14.18917483503922</v>
      </c>
      <c r="U172" s="108">
        <f t="shared" si="31"/>
        <v>6.9274976616814419</v>
      </c>
      <c r="V172" s="108">
        <f t="shared" si="32"/>
        <v>-4.1418953938597962</v>
      </c>
    </row>
    <row r="173" spans="1:22" ht="15" customHeight="1" x14ac:dyDescent="0.25">
      <c r="A173" s="87" t="s">
        <v>96</v>
      </c>
      <c r="B173" s="19">
        <v>0.55057167985927891</v>
      </c>
      <c r="C173" s="19">
        <v>0.57302118171683392</v>
      </c>
      <c r="D173" s="19">
        <v>0.43660130718954232</v>
      </c>
      <c r="E173" s="19">
        <v>0.31663516068052922</v>
      </c>
      <c r="F173" s="19">
        <v>0.42973192526401288</v>
      </c>
      <c r="G173" s="19">
        <v>0.45288326300984483</v>
      </c>
      <c r="H173" s="19">
        <v>0.50338600451467275</v>
      </c>
      <c r="I173" s="19">
        <v>0.42610364683301344</v>
      </c>
      <c r="J173" s="19">
        <v>0.49031476997578688</v>
      </c>
      <c r="K173" s="19">
        <v>0.47142857142857136</v>
      </c>
      <c r="L173" s="19">
        <v>0.47746478873239417</v>
      </c>
      <c r="M173" s="19">
        <v>0.51221849544801157</v>
      </c>
      <c r="N173" s="19">
        <v>0.49935149156939052</v>
      </c>
      <c r="O173" s="19">
        <v>0.47386759581881549</v>
      </c>
      <c r="P173" s="19">
        <v>0.60040261701056863</v>
      </c>
      <c r="Q173" s="19">
        <v>0.51932938856015765</v>
      </c>
      <c r="R173" s="19">
        <v>0.61372660238230281</v>
      </c>
      <c r="S173" s="19">
        <v>0.58646468620893155</v>
      </c>
      <c r="T173" s="108">
        <f t="shared" si="30"/>
        <v>9.6149916233144666</v>
      </c>
      <c r="U173" s="108">
        <f t="shared" si="31"/>
        <v>11.259709039011605</v>
      </c>
      <c r="V173" s="108">
        <f t="shared" si="32"/>
        <v>-2.7261916173371259</v>
      </c>
    </row>
    <row r="174" spans="1:22" ht="15" customHeight="1" x14ac:dyDescent="0.25">
      <c r="A174" s="87" t="s">
        <v>33</v>
      </c>
      <c r="B174" s="19">
        <v>0.54761904761904767</v>
      </c>
      <c r="C174" s="19">
        <v>0.59071729957805907</v>
      </c>
      <c r="D174" s="19">
        <v>0.55924695459579188</v>
      </c>
      <c r="E174" s="19">
        <v>0.60962072155411651</v>
      </c>
      <c r="F174" s="19">
        <v>0.57231920199501229</v>
      </c>
      <c r="G174" s="19">
        <v>0.55417956656346767</v>
      </c>
      <c r="H174" s="19">
        <v>0.63687499999999986</v>
      </c>
      <c r="I174" s="19">
        <v>0.61000485672656601</v>
      </c>
      <c r="J174" s="19">
        <v>0.57160544779199363</v>
      </c>
      <c r="K174" s="19">
        <v>0.471674253920081</v>
      </c>
      <c r="L174" s="19">
        <v>0.44537313432835823</v>
      </c>
      <c r="M174" s="19">
        <v>0.53945578231292501</v>
      </c>
      <c r="N174" s="19">
        <v>0.58137480120162577</v>
      </c>
      <c r="O174" s="19">
        <v>0.63023463023463022</v>
      </c>
      <c r="P174" s="19">
        <v>0.67579540877970201</v>
      </c>
      <c r="Q174" s="19">
        <v>0.65201757890531364</v>
      </c>
      <c r="R174" s="19">
        <v>0.69027587556251235</v>
      </c>
      <c r="S174" s="19">
        <v>0.54677488252883399</v>
      </c>
      <c r="T174" s="108">
        <f t="shared" si="30"/>
        <v>-2.4830565263159632</v>
      </c>
      <c r="U174" s="108">
        <f t="shared" si="31"/>
        <v>-8.3459747705796232</v>
      </c>
      <c r="V174" s="108">
        <f t="shared" si="32"/>
        <v>-14.350099303367836</v>
      </c>
    </row>
    <row r="175" spans="1:22" ht="15" customHeight="1" x14ac:dyDescent="0.25">
      <c r="A175" s="123" t="s">
        <v>23</v>
      </c>
      <c r="B175" s="18">
        <v>0.25882352941176467</v>
      </c>
      <c r="C175" s="18">
        <v>5.9411764705882143E-2</v>
      </c>
      <c r="D175" s="18">
        <v>-7.0777479892761438E-2</v>
      </c>
      <c r="E175" s="18">
        <v>0.33548387096774218</v>
      </c>
      <c r="F175" s="18">
        <v>0.27030303030303032</v>
      </c>
      <c r="G175" s="18">
        <v>0.29052631578947352</v>
      </c>
      <c r="H175" s="18">
        <v>0.32175182481751818</v>
      </c>
      <c r="I175" s="18">
        <v>0.26449999999999996</v>
      </c>
      <c r="J175" s="18">
        <v>0.26534118802160056</v>
      </c>
      <c r="K175" s="18">
        <v>0.25608287159720561</v>
      </c>
      <c r="L175" s="18">
        <v>0.2530739995528728</v>
      </c>
      <c r="M175" s="18">
        <v>0.24705242154906587</v>
      </c>
      <c r="N175" s="18">
        <v>0.22355898725085294</v>
      </c>
      <c r="O175" s="18">
        <v>0.24240963855421677</v>
      </c>
      <c r="P175" s="18">
        <v>0.31290421927933493</v>
      </c>
      <c r="Q175" s="18">
        <v>0.2604886267902275</v>
      </c>
      <c r="R175" s="18">
        <v>0.25168298653610771</v>
      </c>
      <c r="S175" s="18">
        <v>0.26644926146173037</v>
      </c>
      <c r="T175" s="108">
        <f t="shared" si="30"/>
        <v>0.11080734401298087</v>
      </c>
      <c r="U175" s="108">
        <f t="shared" si="31"/>
        <v>2.4039622907513603</v>
      </c>
      <c r="V175" s="108">
        <f t="shared" si="32"/>
        <v>1.4766274925622658</v>
      </c>
    </row>
    <row r="176" spans="1:22" ht="15" customHeight="1" x14ac:dyDescent="0.25">
      <c r="A176" s="87" t="s">
        <v>169</v>
      </c>
      <c r="B176" s="19">
        <v>0.46370967741935443</v>
      </c>
      <c r="C176" s="19">
        <v>0.30454545454545429</v>
      </c>
      <c r="D176" s="19">
        <v>0.24060150375939887</v>
      </c>
      <c r="E176" s="19">
        <v>0.49778761061946913</v>
      </c>
      <c r="F176" s="19">
        <v>0.28059701492537303</v>
      </c>
      <c r="G176" s="19">
        <v>0.29615674453654822</v>
      </c>
      <c r="H176" s="19">
        <v>0.32900763358778595</v>
      </c>
      <c r="I176" s="19">
        <v>0.29166666666666669</v>
      </c>
      <c r="J176" s="19">
        <v>0.19123020706455521</v>
      </c>
      <c r="K176" s="19">
        <v>0.17032258064516095</v>
      </c>
      <c r="L176" s="19">
        <v>0.2007042253521126</v>
      </c>
      <c r="M176" s="19">
        <v>0.27162977867203214</v>
      </c>
      <c r="N176" s="19">
        <v>0.3761146496815288</v>
      </c>
      <c r="O176" s="19">
        <v>0.36447066535562106</v>
      </c>
      <c r="P176" s="19">
        <v>0.44538606403013192</v>
      </c>
      <c r="Q176" s="19">
        <v>0.391284403669725</v>
      </c>
      <c r="R176" s="19">
        <v>0.31731869137497148</v>
      </c>
      <c r="S176" s="19">
        <v>0.2760707635009314</v>
      </c>
      <c r="T176" s="108">
        <f t="shared" si="30"/>
        <v>8.4840556436376193</v>
      </c>
      <c r="U176" s="108">
        <f t="shared" si="31"/>
        <v>-8.8399901854689649</v>
      </c>
      <c r="V176" s="108">
        <f t="shared" si="32"/>
        <v>-4.124792787404008</v>
      </c>
    </row>
    <row r="177" spans="1:22" ht="15" customHeight="1" x14ac:dyDescent="0.25">
      <c r="A177" s="87" t="s">
        <v>21</v>
      </c>
      <c r="B177" s="19">
        <v>0.38082001389854064</v>
      </c>
      <c r="C177" s="19">
        <v>0.28023715415019768</v>
      </c>
      <c r="D177" s="19">
        <v>0.28413793103448265</v>
      </c>
      <c r="E177" s="19">
        <v>0.58576642335766427</v>
      </c>
      <c r="F177" s="19">
        <v>0.34654088050314463</v>
      </c>
      <c r="G177" s="19">
        <v>0.35162094763092266</v>
      </c>
      <c r="H177" s="19">
        <v>0.36129970902036868</v>
      </c>
      <c r="I177" s="19">
        <v>0.392359318533815</v>
      </c>
      <c r="J177" s="19">
        <v>0.40068935803532973</v>
      </c>
      <c r="K177" s="19">
        <v>0.34914544820369725</v>
      </c>
      <c r="L177" s="19">
        <v>0.33832442067736168</v>
      </c>
      <c r="M177" s="19">
        <v>0.32089552238805974</v>
      </c>
      <c r="N177" s="19">
        <v>0.37350338365434688</v>
      </c>
      <c r="O177" s="19">
        <v>0.40338872596937109</v>
      </c>
      <c r="P177" s="19">
        <v>0.43322545846817689</v>
      </c>
      <c r="Q177" s="19">
        <v>0.39522150323544053</v>
      </c>
      <c r="R177" s="19">
        <v>0.41209536731924784</v>
      </c>
      <c r="S177" s="19">
        <v>0.43688300777147648</v>
      </c>
      <c r="T177" s="108">
        <f t="shared" si="30"/>
        <v>3.6193649736146751</v>
      </c>
      <c r="U177" s="108">
        <f t="shared" si="31"/>
        <v>3.3494281802105395</v>
      </c>
      <c r="V177" s="108">
        <f t="shared" si="32"/>
        <v>2.4787640452228645</v>
      </c>
    </row>
    <row r="178" spans="1:22" ht="15" customHeight="1" x14ac:dyDescent="0.25">
      <c r="A178" s="87" t="s">
        <v>28</v>
      </c>
      <c r="B178" s="19">
        <v>0.31318681318681352</v>
      </c>
      <c r="C178" s="19">
        <v>0.1825783972125434</v>
      </c>
      <c r="D178" s="19">
        <v>0.31934156378600775</v>
      </c>
      <c r="E178" s="19">
        <v>0.62367491166077782</v>
      </c>
      <c r="F178" s="19">
        <v>0.51487710219922356</v>
      </c>
      <c r="G178" s="19">
        <v>0.47246127366609275</v>
      </c>
      <c r="H178" s="19">
        <v>0.50788643533123046</v>
      </c>
      <c r="I178" s="19">
        <v>0.49691991786447642</v>
      </c>
      <c r="J178" s="19">
        <v>0.41666666666666652</v>
      </c>
      <c r="K178" s="19">
        <v>0.4094796863863151</v>
      </c>
      <c r="L178" s="19">
        <v>0.37032799389778809</v>
      </c>
      <c r="M178" s="19">
        <v>0.34852002321532249</v>
      </c>
      <c r="N178" s="19">
        <v>0.30847457627118607</v>
      </c>
      <c r="O178" s="19">
        <v>0.47890295358649793</v>
      </c>
      <c r="P178" s="19">
        <v>0.47620421113354477</v>
      </c>
      <c r="Q178" s="19">
        <v>0.45471014492753592</v>
      </c>
      <c r="R178" s="19">
        <v>0.44061597690086618</v>
      </c>
      <c r="S178" s="19">
        <v>0.3154567255286681</v>
      </c>
      <c r="T178" s="108">
        <f t="shared" si="30"/>
        <v>-10.120994113799842</v>
      </c>
      <c r="U178" s="108">
        <f t="shared" si="31"/>
        <v>-16.344622805782983</v>
      </c>
      <c r="V178" s="108">
        <f t="shared" si="32"/>
        <v>-12.515925137219808</v>
      </c>
    </row>
    <row r="179" spans="1:22" ht="15" customHeight="1" x14ac:dyDescent="0.25">
      <c r="A179" s="87" t="s">
        <v>45</v>
      </c>
      <c r="B179" s="19">
        <v>0.33506493506493501</v>
      </c>
      <c r="C179" s="19">
        <v>0.34366197183098562</v>
      </c>
      <c r="D179" s="19">
        <v>0.18979591836734694</v>
      </c>
      <c r="E179" s="19">
        <v>0.2245862884160752</v>
      </c>
      <c r="F179" s="19">
        <v>0.20353982300884949</v>
      </c>
      <c r="G179" s="19">
        <v>0.24950495049504973</v>
      </c>
      <c r="H179" s="19">
        <v>0.17888563049853434</v>
      </c>
      <c r="I179" s="19">
        <v>0.13631522896698617</v>
      </c>
      <c r="J179" s="19">
        <v>0.1061670569867291</v>
      </c>
      <c r="K179" s="19">
        <v>5.4613935969868216E-2</v>
      </c>
      <c r="L179" s="19">
        <v>5.3254437869822771E-2</v>
      </c>
      <c r="M179" s="19">
        <v>9.5077220077220095E-2</v>
      </c>
      <c r="N179" s="19">
        <v>0.14410480349344978</v>
      </c>
      <c r="O179" s="19">
        <v>0.15372524363407755</v>
      </c>
      <c r="P179" s="19">
        <v>0.21665147371619553</v>
      </c>
      <c r="Q179" s="19">
        <v>0.14639175257731959</v>
      </c>
      <c r="R179" s="19">
        <v>0.1339246119733925</v>
      </c>
      <c r="S179" s="19">
        <v>0.15103734439834024</v>
      </c>
      <c r="T179" s="108">
        <f t="shared" si="30"/>
        <v>4.4870287411611143</v>
      </c>
      <c r="U179" s="108">
        <f t="shared" si="31"/>
        <v>-0.26878992357373122</v>
      </c>
      <c r="V179" s="108">
        <f t="shared" si="32"/>
        <v>1.7112732424947734</v>
      </c>
    </row>
    <row r="180" spans="1:22" ht="15" customHeight="1" x14ac:dyDescent="0.25">
      <c r="A180" s="87" t="s">
        <v>24</v>
      </c>
      <c r="B180" s="19">
        <v>0.248768472906404</v>
      </c>
      <c r="C180" s="19">
        <v>0.1036821705426357</v>
      </c>
      <c r="D180" s="19">
        <v>0.13855421686746977</v>
      </c>
      <c r="E180" s="19">
        <v>0.32063492063492044</v>
      </c>
      <c r="F180" s="19">
        <v>0.25712830957230115</v>
      </c>
      <c r="G180" s="19">
        <v>0.23119266055045873</v>
      </c>
      <c r="H180" s="19">
        <v>0.3374015748031497</v>
      </c>
      <c r="I180" s="19">
        <v>0.34350479511769844</v>
      </c>
      <c r="J180" s="19">
        <v>0.27658697444352853</v>
      </c>
      <c r="K180" s="19">
        <v>0.24937655860349101</v>
      </c>
      <c r="L180" s="19">
        <v>0.22448251249107776</v>
      </c>
      <c r="M180" s="19">
        <v>0.22429564581046466</v>
      </c>
      <c r="N180" s="19">
        <v>0.20370942812983014</v>
      </c>
      <c r="O180" s="19">
        <v>0.29227761485825993</v>
      </c>
      <c r="P180" s="19">
        <v>0.32127351664254711</v>
      </c>
      <c r="Q180" s="19">
        <v>0.23966092987413293</v>
      </c>
      <c r="R180" s="19">
        <v>0.26523760330578516</v>
      </c>
      <c r="S180" s="19">
        <v>0.23071289062499989</v>
      </c>
      <c r="T180" s="108">
        <f t="shared" si="30"/>
        <v>-4.5874083818528639</v>
      </c>
      <c r="U180" s="108">
        <f t="shared" si="31"/>
        <v>-6.1564724233260035</v>
      </c>
      <c r="V180" s="108">
        <f t="shared" si="32"/>
        <v>-3.4524712680785274</v>
      </c>
    </row>
    <row r="181" spans="1:22" s="124" customFormat="1" ht="15" customHeight="1" x14ac:dyDescent="0.25">
      <c r="A181" s="87" t="s">
        <v>27</v>
      </c>
      <c r="B181" s="19">
        <v>0.31219748305905137</v>
      </c>
      <c r="C181" s="19">
        <v>0.39846062759029</v>
      </c>
      <c r="D181" s="19">
        <v>0.18847874720357943</v>
      </c>
      <c r="E181" s="19">
        <v>0.20137784843667175</v>
      </c>
      <c r="F181" s="19">
        <v>0.30468750000000033</v>
      </c>
      <c r="G181" s="19">
        <v>0.29578844270323201</v>
      </c>
      <c r="H181" s="19">
        <v>0.29587155963302769</v>
      </c>
      <c r="I181" s="19">
        <v>0.31743201069995519</v>
      </c>
      <c r="J181" s="19">
        <v>0.25721784776902878</v>
      </c>
      <c r="K181" s="19">
        <v>0.24659923264736663</v>
      </c>
      <c r="L181" s="19">
        <v>0.23982360922659404</v>
      </c>
      <c r="M181" s="19">
        <v>0.36843876177658147</v>
      </c>
      <c r="N181" s="19">
        <v>0.42292904578818585</v>
      </c>
      <c r="O181" s="19">
        <v>0.42538405267008039</v>
      </c>
      <c r="P181" s="19">
        <v>0.47272727272727277</v>
      </c>
      <c r="Q181" s="19">
        <v>0.44139243948871348</v>
      </c>
      <c r="R181" s="19">
        <v>0.41373390557939921</v>
      </c>
      <c r="S181" s="19">
        <v>0.38053669576462978</v>
      </c>
      <c r="T181" s="108">
        <f t="shared" si="30"/>
        <v>12.3318847995601</v>
      </c>
      <c r="U181" s="108">
        <f t="shared" si="31"/>
        <v>-4.4847356905450608</v>
      </c>
      <c r="V181" s="108">
        <f t="shared" si="32"/>
        <v>-3.3197209814769426</v>
      </c>
    </row>
    <row r="182" spans="1:22" ht="15" customHeight="1" x14ac:dyDescent="0.25">
      <c r="A182" s="87" t="s">
        <v>32</v>
      </c>
      <c r="B182" s="19">
        <v>0.55902004454343002</v>
      </c>
      <c r="C182" s="19">
        <v>0.5853365384615381</v>
      </c>
      <c r="D182" s="19">
        <v>0.5879873551106426</v>
      </c>
      <c r="E182" s="19">
        <v>0.57588805166846069</v>
      </c>
      <c r="F182" s="19">
        <v>0.59887005649717506</v>
      </c>
      <c r="G182" s="19">
        <v>0.52883156297420342</v>
      </c>
      <c r="H182" s="19">
        <v>0.56054836252856055</v>
      </c>
      <c r="I182" s="19">
        <v>0.60208166533226593</v>
      </c>
      <c r="J182" s="19">
        <v>0.53103837471783299</v>
      </c>
      <c r="K182" s="19">
        <v>0.51921973608720595</v>
      </c>
      <c r="L182" s="19">
        <v>0.55971896955503486</v>
      </c>
      <c r="M182" s="19">
        <v>0.56361520558572542</v>
      </c>
      <c r="N182" s="19">
        <v>0.57795133673775889</v>
      </c>
      <c r="O182" s="19">
        <v>0.63470927652019515</v>
      </c>
      <c r="P182" s="19">
        <v>0.71041369472182592</v>
      </c>
      <c r="Q182" s="19">
        <v>0.69644750795334032</v>
      </c>
      <c r="R182" s="19">
        <v>0.7739726027397259</v>
      </c>
      <c r="S182" s="19">
        <v>0.71793907484016539</v>
      </c>
      <c r="T182" s="108">
        <f t="shared" si="30"/>
        <v>18.690070012233239</v>
      </c>
      <c r="U182" s="108">
        <f t="shared" si="31"/>
        <v>8.3229798319970243</v>
      </c>
      <c r="V182" s="108">
        <f t="shared" si="32"/>
        <v>-5.6033527899560509</v>
      </c>
    </row>
    <row r="183" spans="1:22" ht="15" customHeight="1" x14ac:dyDescent="0.25">
      <c r="A183" s="87" t="s">
        <v>464</v>
      </c>
      <c r="B183" s="19">
        <v>0.44117647058823573</v>
      </c>
      <c r="C183" s="19">
        <v>0.29999999999999938</v>
      </c>
      <c r="D183" s="19">
        <v>0.29914529914529869</v>
      </c>
      <c r="E183" s="19">
        <v>0.5</v>
      </c>
      <c r="F183" s="19">
        <v>0.30973451327433632</v>
      </c>
      <c r="G183" s="19">
        <v>0.51818181818181841</v>
      </c>
      <c r="H183" s="19">
        <v>0.24576271186440671</v>
      </c>
      <c r="I183" s="19">
        <v>0.23770491803278648</v>
      </c>
      <c r="J183" s="19">
        <v>0.28181818181818141</v>
      </c>
      <c r="K183" s="19">
        <v>0.17708333333333362</v>
      </c>
      <c r="L183" s="19">
        <v>0.12897526501766812</v>
      </c>
      <c r="M183" s="19">
        <v>0.1555977229601517</v>
      </c>
      <c r="N183" s="19">
        <v>0.12031558185404345</v>
      </c>
      <c r="O183" s="19">
        <v>0.17758620689655161</v>
      </c>
      <c r="P183" s="19">
        <v>0.22902208201892726</v>
      </c>
      <c r="Q183" s="19">
        <v>0.18695652173913047</v>
      </c>
      <c r="R183" s="19">
        <v>0.23136553369111496</v>
      </c>
      <c r="S183" s="19">
        <v>0.21643695763144447</v>
      </c>
      <c r="T183" s="108">
        <f t="shared" si="30"/>
        <v>-6.5381224186736944</v>
      </c>
      <c r="U183" s="108">
        <f t="shared" si="31"/>
        <v>3.8850750734892858</v>
      </c>
      <c r="V183" s="108">
        <f t="shared" si="32"/>
        <v>-1.4928576059670489</v>
      </c>
    </row>
    <row r="184" spans="1:22" ht="15" customHeight="1" x14ac:dyDescent="0.25">
      <c r="A184" s="87" t="s">
        <v>284</v>
      </c>
      <c r="B184" s="19">
        <v>0.13571428571428507</v>
      </c>
      <c r="C184" s="19">
        <v>0.5</v>
      </c>
      <c r="D184" s="19">
        <v>0.32307692307692337</v>
      </c>
      <c r="E184" s="19">
        <v>0.35918367346938818</v>
      </c>
      <c r="F184" s="19">
        <v>0.44666666666666666</v>
      </c>
      <c r="G184" s="19">
        <v>0.44528301886792415</v>
      </c>
      <c r="H184" s="19">
        <v>0.39687500000000037</v>
      </c>
      <c r="I184" s="19">
        <v>0.44578313253012053</v>
      </c>
      <c r="J184" s="19">
        <v>0.37297297297297333</v>
      </c>
      <c r="K184" s="19">
        <v>0.3999999999999998</v>
      </c>
      <c r="L184" s="19">
        <v>0.3393258426966293</v>
      </c>
      <c r="M184" s="19">
        <v>0.29097744360902222</v>
      </c>
      <c r="N184" s="19">
        <v>0.34181818181818197</v>
      </c>
      <c r="O184" s="19">
        <v>0.42117647058823504</v>
      </c>
      <c r="P184" s="19">
        <v>0.37909738717339642</v>
      </c>
      <c r="Q184" s="19">
        <v>0.34784580498866191</v>
      </c>
      <c r="R184" s="19">
        <v>0.26232980332829053</v>
      </c>
      <c r="S184" s="19">
        <v>0.28490566037735848</v>
      </c>
      <c r="T184" s="108">
        <f t="shared" si="30"/>
        <v>-8.8067312595614844</v>
      </c>
      <c r="U184" s="108">
        <f t="shared" si="31"/>
        <v>-13.627081021087657</v>
      </c>
      <c r="V184" s="108">
        <f t="shared" si="32"/>
        <v>2.2575857049067949</v>
      </c>
    </row>
    <row r="185" spans="1:22" ht="15" customHeight="1" x14ac:dyDescent="0.25">
      <c r="A185" s="87" t="s">
        <v>36</v>
      </c>
      <c r="B185" s="19">
        <v>0.27408572552103838</v>
      </c>
      <c r="C185" s="19">
        <v>0.414649681528662</v>
      </c>
      <c r="D185" s="19">
        <v>0.35338345864661663</v>
      </c>
      <c r="E185" s="19">
        <v>0.256198347107438</v>
      </c>
      <c r="F185" s="19">
        <v>0.46179775280898883</v>
      </c>
      <c r="G185" s="19">
        <v>0.46827495042961026</v>
      </c>
      <c r="H185" s="19">
        <v>0.45418808587843956</v>
      </c>
      <c r="I185" s="19">
        <v>0.40070694087403608</v>
      </c>
      <c r="J185" s="19">
        <v>0.38800255264837263</v>
      </c>
      <c r="K185" s="19">
        <v>0.38935737132887449</v>
      </c>
      <c r="L185" s="19">
        <v>0.31889876684829371</v>
      </c>
      <c r="M185" s="19">
        <v>0.50627615062761488</v>
      </c>
      <c r="N185" s="19">
        <v>0.46552411319250753</v>
      </c>
      <c r="O185" s="19">
        <v>0.47933467741935482</v>
      </c>
      <c r="P185" s="19">
        <v>0.61309304891504257</v>
      </c>
      <c r="Q185" s="19">
        <v>0.59510532837670382</v>
      </c>
      <c r="R185" s="19">
        <v>0.60641944531006531</v>
      </c>
      <c r="S185" s="19">
        <v>0.64904034469251848</v>
      </c>
      <c r="T185" s="108">
        <f t="shared" si="30"/>
        <v>26.103779204414586</v>
      </c>
      <c r="U185" s="108">
        <f t="shared" si="31"/>
        <v>16.970566727316367</v>
      </c>
      <c r="V185" s="108">
        <f t="shared" si="32"/>
        <v>4.2620899382453175</v>
      </c>
    </row>
    <row r="186" spans="1:22" ht="15" customHeight="1" x14ac:dyDescent="0.25">
      <c r="A186" s="184"/>
      <c r="B186" s="185"/>
      <c r="C186" s="185"/>
      <c r="D186" s="185"/>
      <c r="E186" s="185"/>
      <c r="F186" s="185"/>
      <c r="G186" s="185"/>
      <c r="H186" s="185"/>
      <c r="I186" s="185"/>
      <c r="J186" s="185"/>
      <c r="K186" s="185"/>
      <c r="L186" s="185"/>
      <c r="M186" s="185"/>
      <c r="N186" s="185"/>
      <c r="O186" s="185"/>
      <c r="P186" s="185"/>
      <c r="Q186" s="185"/>
      <c r="R186" s="185"/>
      <c r="S186" s="185"/>
      <c r="T186" s="186"/>
      <c r="U186" s="186"/>
      <c r="V186" s="186"/>
    </row>
    <row r="187" spans="1:22" ht="15" customHeight="1" x14ac:dyDescent="0.25">
      <c r="A187" s="35" t="s">
        <v>529</v>
      </c>
      <c r="B187" s="35"/>
      <c r="C187" s="35"/>
      <c r="D187" s="35"/>
      <c r="E187" s="35"/>
      <c r="F187" s="35"/>
      <c r="G187" s="35"/>
      <c r="H187" s="35"/>
      <c r="I187" s="35"/>
      <c r="J187" s="35"/>
      <c r="K187" s="35"/>
      <c r="L187" s="35"/>
      <c r="M187" s="35"/>
      <c r="N187" s="35"/>
      <c r="O187" s="35"/>
      <c r="P187" s="35"/>
      <c r="Q187" s="35"/>
      <c r="R187" s="35"/>
      <c r="S187" s="35"/>
      <c r="T187" s="75"/>
      <c r="U187" s="75"/>
      <c r="V187" s="35"/>
    </row>
    <row r="188" spans="1:22" ht="38.25" x14ac:dyDescent="0.25">
      <c r="A188" s="36" t="s">
        <v>148</v>
      </c>
      <c r="B188" s="15">
        <v>2007</v>
      </c>
      <c r="C188" s="15">
        <v>2008</v>
      </c>
      <c r="D188" s="15">
        <v>2009</v>
      </c>
      <c r="E188" s="15">
        <v>2010</v>
      </c>
      <c r="F188" s="15">
        <v>2011</v>
      </c>
      <c r="G188" s="15">
        <v>2012</v>
      </c>
      <c r="H188" s="15">
        <v>2013</v>
      </c>
      <c r="I188" s="15">
        <v>2014</v>
      </c>
      <c r="J188" s="15">
        <v>2015</v>
      </c>
      <c r="K188" s="15">
        <v>2016</v>
      </c>
      <c r="L188" s="15">
        <v>2017</v>
      </c>
      <c r="M188" s="15">
        <v>2018</v>
      </c>
      <c r="N188" s="15">
        <v>2019</v>
      </c>
      <c r="O188" s="15">
        <v>2020</v>
      </c>
      <c r="P188" s="15">
        <v>2021</v>
      </c>
      <c r="Q188" s="15">
        <v>2022</v>
      </c>
      <c r="R188" s="15">
        <v>2023</v>
      </c>
      <c r="S188" s="15">
        <v>2024</v>
      </c>
      <c r="T188" s="27" t="s">
        <v>469</v>
      </c>
      <c r="U188" s="27" t="s">
        <v>470</v>
      </c>
      <c r="V188" s="27" t="s">
        <v>471</v>
      </c>
    </row>
    <row r="189" spans="1:22" ht="15" customHeight="1" x14ac:dyDescent="0.25">
      <c r="A189" s="29" t="s">
        <v>55</v>
      </c>
      <c r="B189" s="18">
        <v>0.12277926502798762</v>
      </c>
      <c r="C189" s="18">
        <v>0.10852259424022483</v>
      </c>
      <c r="D189" s="18">
        <v>0.11714250704570583</v>
      </c>
      <c r="E189" s="18">
        <v>0.12118359112306604</v>
      </c>
      <c r="F189" s="18">
        <v>0.13156596794081393</v>
      </c>
      <c r="G189" s="18">
        <v>0.1609113199836541</v>
      </c>
      <c r="H189" s="18">
        <v>0.17004020029621233</v>
      </c>
      <c r="I189" s="18">
        <v>0.18955403208707314</v>
      </c>
      <c r="J189" s="18">
        <v>0.19871711805105619</v>
      </c>
      <c r="K189" s="18">
        <v>0.14434008897676701</v>
      </c>
      <c r="L189" s="18">
        <v>0.14331631688409907</v>
      </c>
      <c r="M189" s="18">
        <v>0.16368390470656596</v>
      </c>
      <c r="N189" s="18">
        <v>0.15512433847379545</v>
      </c>
      <c r="O189" s="18">
        <v>0.19684712715204325</v>
      </c>
      <c r="P189" s="18">
        <v>0.19832438800890179</v>
      </c>
      <c r="Q189" s="18">
        <v>0.14250405499343508</v>
      </c>
      <c r="R189" s="18">
        <v>0.11291193949216613</v>
      </c>
      <c r="S189" s="18">
        <v>0.10264900662251628</v>
      </c>
      <c r="T189" s="164">
        <f t="shared" ref="T189:T198" si="33">(S189-J189)*100</f>
        <v>-9.6068111428539904</v>
      </c>
      <c r="U189" s="164">
        <f t="shared" ref="U189:U198" si="34">(S189-O189)*100</f>
        <v>-9.4198120529526967</v>
      </c>
      <c r="V189" s="174">
        <f t="shared" ref="V189:V198" si="35">(S189-R189)*100</f>
        <v>-1.0262932869649855</v>
      </c>
    </row>
    <row r="190" spans="1:22" ht="15" customHeight="1" x14ac:dyDescent="0.25">
      <c r="A190" s="29" t="s">
        <v>54</v>
      </c>
      <c r="B190" s="18">
        <v>0.12981909123388255</v>
      </c>
      <c r="C190" s="18">
        <v>0.10402820554384834</v>
      </c>
      <c r="D190" s="18">
        <v>0.11378637663344136</v>
      </c>
      <c r="E190" s="18">
        <v>0.2068370085170925</v>
      </c>
      <c r="F190" s="18">
        <v>0.15952119540476095</v>
      </c>
      <c r="G190" s="18">
        <v>0.1586906182022311</v>
      </c>
      <c r="H190" s="18">
        <v>0.15580298461300524</v>
      </c>
      <c r="I190" s="18">
        <v>0.18906366384787285</v>
      </c>
      <c r="J190" s="18">
        <v>0.21324894113168105</v>
      </c>
      <c r="K190" s="18">
        <v>0.21465818577732024</v>
      </c>
      <c r="L190" s="18">
        <v>0.19912987242048305</v>
      </c>
      <c r="M190" s="18">
        <v>0.21359468326743519</v>
      </c>
      <c r="N190" s="18">
        <v>0.18483736019807032</v>
      </c>
      <c r="O190" s="18">
        <v>0.19876780123219914</v>
      </c>
      <c r="P190" s="18">
        <v>0.19458837075417332</v>
      </c>
      <c r="Q190" s="18">
        <v>0.15345429169574362</v>
      </c>
      <c r="R190" s="18">
        <v>0.13877822045152691</v>
      </c>
      <c r="S190" s="18">
        <v>0.1121259374767937</v>
      </c>
      <c r="T190" s="164">
        <f t="shared" si="33"/>
        <v>-10.112300365488736</v>
      </c>
      <c r="U190" s="164">
        <f t="shared" si="34"/>
        <v>-8.6641863755405453</v>
      </c>
      <c r="V190" s="174">
        <f t="shared" si="35"/>
        <v>-2.665228297473321</v>
      </c>
    </row>
    <row r="191" spans="1:22" ht="15" customHeight="1" x14ac:dyDescent="0.25">
      <c r="A191" s="29" t="s">
        <v>43</v>
      </c>
      <c r="B191" s="18">
        <v>0.14930784442979483</v>
      </c>
      <c r="C191" s="18">
        <v>0.20283455594330962</v>
      </c>
      <c r="D191" s="18">
        <v>0.19040992636400517</v>
      </c>
      <c r="E191" s="18">
        <v>0.19097314191873754</v>
      </c>
      <c r="F191" s="18">
        <v>0.20716019417475773</v>
      </c>
      <c r="G191" s="18">
        <v>0.17757228139997658</v>
      </c>
      <c r="H191" s="18">
        <v>0.17595757735121426</v>
      </c>
      <c r="I191" s="18">
        <v>0.17272011202520576</v>
      </c>
      <c r="J191" s="18">
        <v>0.18902155372926036</v>
      </c>
      <c r="K191" s="18">
        <v>0.16541513553815856</v>
      </c>
      <c r="L191" s="18">
        <v>0.17449197595270044</v>
      </c>
      <c r="M191" s="18">
        <v>0.22203830692835172</v>
      </c>
      <c r="N191" s="18">
        <v>0.17370193437230824</v>
      </c>
      <c r="O191" s="18">
        <v>0.2096940207729017</v>
      </c>
      <c r="P191" s="18">
        <v>0.22381897578404109</v>
      </c>
      <c r="Q191" s="18">
        <v>0.19499040131639056</v>
      </c>
      <c r="R191" s="18">
        <v>0.13912896119301862</v>
      </c>
      <c r="S191" s="18">
        <v>0.14842454394693219</v>
      </c>
      <c r="T191" s="164">
        <f t="shared" si="33"/>
        <v>-4.0597009782328168</v>
      </c>
      <c r="U191" s="164">
        <f t="shared" si="34"/>
        <v>-6.1269476825969509</v>
      </c>
      <c r="V191" s="174">
        <f t="shared" si="35"/>
        <v>0.92955827539135671</v>
      </c>
    </row>
    <row r="192" spans="1:22" ht="15" customHeight="1" x14ac:dyDescent="0.25">
      <c r="A192" s="29" t="s">
        <v>441</v>
      </c>
      <c r="B192" s="18">
        <v>0.25225642212450883</v>
      </c>
      <c r="C192" s="18">
        <v>0.23136716963877421</v>
      </c>
      <c r="D192" s="18">
        <v>0.1955017301038052</v>
      </c>
      <c r="E192" s="18">
        <v>0.21804180418041885</v>
      </c>
      <c r="F192" s="18">
        <v>0.19969311705392459</v>
      </c>
      <c r="G192" s="18">
        <v>0.24158444573418436</v>
      </c>
      <c r="H192" s="18">
        <v>0.26883477692433438</v>
      </c>
      <c r="I192" s="18">
        <v>0.23078049494801534</v>
      </c>
      <c r="J192" s="18">
        <v>0.23588342440801505</v>
      </c>
      <c r="K192" s="18">
        <v>0.23833865814696475</v>
      </c>
      <c r="L192" s="18">
        <v>0.22901042619352549</v>
      </c>
      <c r="M192" s="18">
        <v>0.23148363129788715</v>
      </c>
      <c r="N192" s="18">
        <v>0.27609163892696287</v>
      </c>
      <c r="O192" s="18">
        <v>0.22881355932203401</v>
      </c>
      <c r="P192" s="18">
        <v>0.22279697025679004</v>
      </c>
      <c r="Q192" s="18">
        <v>0.19291338582677114</v>
      </c>
      <c r="R192" s="18">
        <v>0.18432745388447588</v>
      </c>
      <c r="S192" s="18">
        <v>0.15840733314236641</v>
      </c>
      <c r="T192" s="164">
        <f t="shared" si="33"/>
        <v>-7.7476091265648641</v>
      </c>
      <c r="U192" s="164">
        <f t="shared" si="34"/>
        <v>-7.0406226179667604</v>
      </c>
      <c r="V192" s="174">
        <f t="shared" si="35"/>
        <v>-2.5920120742109476</v>
      </c>
    </row>
    <row r="193" spans="1:23" ht="15" customHeight="1" x14ac:dyDescent="0.25">
      <c r="A193" s="29" t="s">
        <v>56</v>
      </c>
      <c r="B193" s="18">
        <v>0.18772228235657876</v>
      </c>
      <c r="C193" s="18">
        <v>0.16240345780486137</v>
      </c>
      <c r="D193" s="18">
        <v>0.1812151452891099</v>
      </c>
      <c r="E193" s="18">
        <v>0.20401280439007533</v>
      </c>
      <c r="F193" s="18">
        <v>0.19216882786676853</v>
      </c>
      <c r="G193" s="18">
        <v>0.1970190323320343</v>
      </c>
      <c r="H193" s="18">
        <v>0.1978804960541154</v>
      </c>
      <c r="I193" s="18">
        <v>0.22958513981146383</v>
      </c>
      <c r="J193" s="18">
        <v>0.22273650020300431</v>
      </c>
      <c r="K193" s="18">
        <v>0.23022573764664075</v>
      </c>
      <c r="L193" s="18">
        <v>0.22251607550300798</v>
      </c>
      <c r="M193" s="18">
        <v>0.25705384434516781</v>
      </c>
      <c r="N193" s="18">
        <v>0.22909945869101683</v>
      </c>
      <c r="O193" s="18">
        <v>0.23121123081945882</v>
      </c>
      <c r="P193" s="18">
        <v>0.24782032503313137</v>
      </c>
      <c r="Q193" s="18">
        <v>0.21273598196675184</v>
      </c>
      <c r="R193" s="18">
        <v>0.20237100083593051</v>
      </c>
      <c r="S193" s="18">
        <v>0.17061231755072859</v>
      </c>
      <c r="T193" s="164">
        <f t="shared" si="33"/>
        <v>-5.2124182652275728</v>
      </c>
      <c r="U193" s="164">
        <f t="shared" si="34"/>
        <v>-6.0598913268730232</v>
      </c>
      <c r="V193" s="174">
        <f t="shared" si="35"/>
        <v>-3.1758683285201927</v>
      </c>
    </row>
    <row r="194" spans="1:23" ht="15" customHeight="1" x14ac:dyDescent="0.25">
      <c r="A194" s="29" t="s">
        <v>57</v>
      </c>
      <c r="B194" s="18">
        <v>0.25509049773755665</v>
      </c>
      <c r="C194" s="18">
        <v>0.18040059147734899</v>
      </c>
      <c r="D194" s="18">
        <v>0.24632983794089577</v>
      </c>
      <c r="E194" s="18">
        <v>0.24847288788647665</v>
      </c>
      <c r="F194" s="18">
        <v>0.25692672256653237</v>
      </c>
      <c r="G194" s="18">
        <v>0.25253826337323892</v>
      </c>
      <c r="H194" s="18">
        <v>0.26276860791030848</v>
      </c>
      <c r="I194" s="18">
        <v>0.27903292464526747</v>
      </c>
      <c r="J194" s="18">
        <v>0.24849578820697887</v>
      </c>
      <c r="K194" s="18">
        <v>0.26441981452160185</v>
      </c>
      <c r="L194" s="18">
        <v>0.28697861181676626</v>
      </c>
      <c r="M194" s="18">
        <v>0.27563733946712654</v>
      </c>
      <c r="N194" s="18">
        <v>0.28768720294144012</v>
      </c>
      <c r="O194" s="18">
        <v>0.27261423686664588</v>
      </c>
      <c r="P194" s="18">
        <v>0.27611214292031377</v>
      </c>
      <c r="Q194" s="18">
        <v>0.24226286173633449</v>
      </c>
      <c r="R194" s="18">
        <v>0.21762785636561452</v>
      </c>
      <c r="S194" s="18">
        <v>0.19366048862679019</v>
      </c>
      <c r="T194" s="164">
        <f t="shared" si="33"/>
        <v>-5.4835299580188677</v>
      </c>
      <c r="U194" s="164">
        <f t="shared" si="34"/>
        <v>-7.8953748239855681</v>
      </c>
      <c r="V194" s="174">
        <f t="shared" si="35"/>
        <v>-2.3967367738824326</v>
      </c>
    </row>
    <row r="195" spans="1:23" ht="15" customHeight="1" x14ac:dyDescent="0.25">
      <c r="A195" s="29" t="s">
        <v>440</v>
      </c>
      <c r="B195" s="18">
        <v>0.22297897542197279</v>
      </c>
      <c r="C195" s="18">
        <v>0.1928365845858652</v>
      </c>
      <c r="D195" s="18">
        <v>0.20425188374596237</v>
      </c>
      <c r="E195" s="18">
        <v>0.2349047683371602</v>
      </c>
      <c r="F195" s="18">
        <v>0.24706022092885188</v>
      </c>
      <c r="G195" s="18">
        <v>0.2626713420465413</v>
      </c>
      <c r="H195" s="18">
        <v>0.26967862133209219</v>
      </c>
      <c r="I195" s="18">
        <v>0.304572907679034</v>
      </c>
      <c r="J195" s="18">
        <v>0.30053001002721608</v>
      </c>
      <c r="K195" s="18">
        <v>0.31174919425725145</v>
      </c>
      <c r="L195" s="18">
        <v>0.36062992125984311</v>
      </c>
      <c r="M195" s="18">
        <v>0.31778692272519476</v>
      </c>
      <c r="N195" s="18">
        <v>0.30282159520106711</v>
      </c>
      <c r="O195" s="18">
        <v>0.30494130494130489</v>
      </c>
      <c r="P195" s="18">
        <v>0.31018119068162264</v>
      </c>
      <c r="Q195" s="18">
        <v>0.27120822622107982</v>
      </c>
      <c r="R195" s="18">
        <v>0.21548880013891261</v>
      </c>
      <c r="S195" s="18">
        <v>0.19673486257491077</v>
      </c>
      <c r="T195" s="164">
        <f t="shared" si="33"/>
        <v>-10.37951474523053</v>
      </c>
      <c r="U195" s="164">
        <f t="shared" si="34"/>
        <v>-10.820644236639412</v>
      </c>
      <c r="V195" s="174">
        <f t="shared" si="35"/>
        <v>-1.8753937564001844</v>
      </c>
    </row>
    <row r="196" spans="1:23" ht="15" customHeight="1" x14ac:dyDescent="0.25">
      <c r="A196" s="29" t="s">
        <v>442</v>
      </c>
      <c r="B196" s="18">
        <v>0.1978798586572437</v>
      </c>
      <c r="C196" s="18">
        <v>0.25330313325783466</v>
      </c>
      <c r="D196" s="18">
        <v>0.29605963791267315</v>
      </c>
      <c r="E196" s="18">
        <v>0.29197080291970745</v>
      </c>
      <c r="F196" s="18">
        <v>0.30063913470993137</v>
      </c>
      <c r="G196" s="18">
        <v>0.37480954799390415</v>
      </c>
      <c r="H196" s="18">
        <v>0.31601930590668792</v>
      </c>
      <c r="I196" s="18">
        <v>0.33243658724058328</v>
      </c>
      <c r="J196" s="18">
        <v>0.34251692738734613</v>
      </c>
      <c r="K196" s="18">
        <v>0.35269631031220405</v>
      </c>
      <c r="L196" s="18">
        <v>0.3674966651845254</v>
      </c>
      <c r="M196" s="18">
        <v>0.3686103262265602</v>
      </c>
      <c r="N196" s="18">
        <v>0.35287789133942976</v>
      </c>
      <c r="O196" s="18">
        <v>0.33532369578881266</v>
      </c>
      <c r="P196" s="18">
        <v>0.3262512768130742</v>
      </c>
      <c r="Q196" s="18">
        <v>0.21300222087623646</v>
      </c>
      <c r="R196" s="18">
        <v>0.24800000000000069</v>
      </c>
      <c r="S196" s="18">
        <v>0.21629603891591398</v>
      </c>
      <c r="T196" s="164">
        <f t="shared" si="33"/>
        <v>-12.622088847143214</v>
      </c>
      <c r="U196" s="164">
        <f t="shared" si="34"/>
        <v>-11.902765687289868</v>
      </c>
      <c r="V196" s="174">
        <f t="shared" si="35"/>
        <v>-3.1703961084086711</v>
      </c>
    </row>
    <row r="197" spans="1:23" ht="15" customHeight="1" x14ac:dyDescent="0.25">
      <c r="A197" s="29" t="s">
        <v>438</v>
      </c>
      <c r="B197" s="18">
        <v>0.29619805481874317</v>
      </c>
      <c r="C197" s="18">
        <v>0.27141943734015306</v>
      </c>
      <c r="D197" s="18">
        <v>0.25095057034220514</v>
      </c>
      <c r="E197" s="18">
        <v>0.26427196921103235</v>
      </c>
      <c r="F197" s="18">
        <v>0.21039335979790696</v>
      </c>
      <c r="G197" s="18">
        <v>0.28087431693989062</v>
      </c>
      <c r="H197" s="18">
        <v>0.28308207705192656</v>
      </c>
      <c r="I197" s="18">
        <v>0.32674262734584519</v>
      </c>
      <c r="J197" s="18">
        <v>0.3327556325823221</v>
      </c>
      <c r="K197" s="18">
        <v>0.28953556731334584</v>
      </c>
      <c r="L197" s="18">
        <v>0.35681261898286731</v>
      </c>
      <c r="M197" s="18">
        <v>0.28628571428571342</v>
      </c>
      <c r="N197" s="18">
        <v>0.2692831834287272</v>
      </c>
      <c r="O197" s="18">
        <v>0.3169200264375413</v>
      </c>
      <c r="P197" s="18">
        <v>0.28467519438174066</v>
      </c>
      <c r="Q197" s="18">
        <v>0.29107856191744258</v>
      </c>
      <c r="R197" s="18">
        <v>0.24930857368629034</v>
      </c>
      <c r="S197" s="18">
        <v>0.21686407219402151</v>
      </c>
      <c r="T197" s="164">
        <f t="shared" si="33"/>
        <v>-11.589156038830058</v>
      </c>
      <c r="U197" s="164">
        <f t="shared" si="34"/>
        <v>-10.005595424351979</v>
      </c>
      <c r="V197" s="174">
        <f t="shared" si="35"/>
        <v>-3.2444501492268825</v>
      </c>
    </row>
    <row r="198" spans="1:23" ht="15" customHeight="1" x14ac:dyDescent="0.25">
      <c r="A198" s="29" t="s">
        <v>439</v>
      </c>
      <c r="B198" s="18">
        <v>0.35527272727272613</v>
      </c>
      <c r="C198" s="18">
        <v>0.34348929996372829</v>
      </c>
      <c r="D198" s="18">
        <v>0.30215053763440941</v>
      </c>
      <c r="E198" s="18">
        <v>0.29554841670490928</v>
      </c>
      <c r="F198" s="18">
        <v>0.30952380952380881</v>
      </c>
      <c r="G198" s="18">
        <v>0.3438491693111807</v>
      </c>
      <c r="H198" s="18">
        <v>0.38722168441432686</v>
      </c>
      <c r="I198" s="18">
        <v>0.40204003079291689</v>
      </c>
      <c r="J198" s="18">
        <v>0.39766344641653617</v>
      </c>
      <c r="K198" s="18">
        <v>0.44169696969696876</v>
      </c>
      <c r="L198" s="18">
        <v>0.3865671641791063</v>
      </c>
      <c r="M198" s="18">
        <v>0.48447424135497452</v>
      </c>
      <c r="N198" s="18">
        <v>0.47498999599840103</v>
      </c>
      <c r="O198" s="18">
        <v>0.4394463667820056</v>
      </c>
      <c r="P198" s="18">
        <v>0.36808272778088386</v>
      </c>
      <c r="Q198" s="18">
        <v>0.33103956746129293</v>
      </c>
      <c r="R198" s="18">
        <v>0.28598564795272313</v>
      </c>
      <c r="S198" s="18">
        <v>0.24170616113744037</v>
      </c>
      <c r="T198" s="164">
        <f t="shared" si="33"/>
        <v>-15.59572852790958</v>
      </c>
      <c r="U198" s="164">
        <f t="shared" si="34"/>
        <v>-19.774020564456524</v>
      </c>
      <c r="V198" s="174">
        <f t="shared" si="35"/>
        <v>-4.4279486815282763</v>
      </c>
    </row>
    <row r="199" spans="1:23" ht="15" customHeight="1" x14ac:dyDescent="0.25">
      <c r="A199" s="42" t="s">
        <v>598</v>
      </c>
      <c r="B199" s="17">
        <v>0.17631199448241272</v>
      </c>
      <c r="C199" s="17">
        <v>0.16938956714761366</v>
      </c>
      <c r="D199" s="17">
        <v>0.17733917749479117</v>
      </c>
      <c r="E199" s="17">
        <v>0.21619031375128936</v>
      </c>
      <c r="F199" s="17">
        <v>0.2017182594605543</v>
      </c>
      <c r="G199" s="17">
        <v>0.2154302768208762</v>
      </c>
      <c r="H199" s="17">
        <v>0.21432955135568957</v>
      </c>
      <c r="I199" s="17">
        <v>0.23475123492156899</v>
      </c>
      <c r="J199" s="17">
        <v>0.23812914087562506</v>
      </c>
      <c r="K199" s="17">
        <v>0.2302142321075254</v>
      </c>
      <c r="L199" s="17">
        <v>0.23350714331534178</v>
      </c>
      <c r="M199" s="17">
        <v>0.24854014189484505</v>
      </c>
      <c r="N199" s="17">
        <v>0.22998387377963725</v>
      </c>
      <c r="O199" s="17">
        <v>0.24174641458544049</v>
      </c>
      <c r="P199" s="17">
        <v>0.24803370157079799</v>
      </c>
      <c r="Q199" s="17">
        <v>0.20595279988194273</v>
      </c>
      <c r="R199" s="17">
        <v>0.18654826582179632</v>
      </c>
      <c r="S199" s="17">
        <v>0.16266784604233447</v>
      </c>
      <c r="T199" s="165">
        <f t="shared" ref="T199" si="36">(S199-J199)*100</f>
        <v>-7.5461294833290591</v>
      </c>
      <c r="U199" s="165">
        <f t="shared" ref="U199" si="37">(S199-O199)*100</f>
        <v>-7.9078568543106016</v>
      </c>
      <c r="V199" s="175">
        <f t="shared" ref="V199" si="38">(S199-R199)*100</f>
        <v>-2.3880419779461843</v>
      </c>
    </row>
    <row r="200" spans="1:23" ht="15" customHeight="1" x14ac:dyDescent="0.25">
      <c r="A200" s="52" t="s">
        <v>599</v>
      </c>
      <c r="B200" s="189"/>
      <c r="C200" s="189"/>
      <c r="D200" s="189"/>
      <c r="E200" s="189"/>
      <c r="F200" s="189"/>
      <c r="G200" s="189"/>
      <c r="H200" s="189"/>
      <c r="I200" s="189"/>
      <c r="J200" s="189"/>
      <c r="K200" s="189"/>
      <c r="L200" s="189"/>
      <c r="M200" s="189"/>
      <c r="N200" s="189"/>
      <c r="O200" s="189"/>
      <c r="P200" s="189"/>
      <c r="Q200" s="189"/>
      <c r="R200" s="189"/>
      <c r="S200" s="189"/>
      <c r="T200" s="181"/>
      <c r="U200" s="181"/>
      <c r="V200" s="187"/>
    </row>
    <row r="201" spans="1:23" ht="15" customHeight="1" x14ac:dyDescent="0.25">
      <c r="A201" s="184"/>
      <c r="B201" s="185"/>
      <c r="C201" s="185"/>
      <c r="D201" s="185"/>
      <c r="E201" s="185"/>
      <c r="F201" s="185"/>
      <c r="G201" s="185"/>
      <c r="H201" s="185"/>
      <c r="I201" s="185"/>
      <c r="J201" s="185"/>
      <c r="K201" s="185"/>
      <c r="L201" s="185"/>
      <c r="M201" s="185"/>
      <c r="N201" s="185"/>
      <c r="O201" s="185"/>
      <c r="P201" s="185"/>
      <c r="Q201" s="185"/>
      <c r="R201" s="185"/>
      <c r="S201" s="185"/>
      <c r="T201" s="186"/>
      <c r="U201" s="186"/>
      <c r="V201" s="186"/>
    </row>
    <row r="202" spans="1:23" ht="15" customHeight="1" x14ac:dyDescent="0.25">
      <c r="A202" s="60" t="s">
        <v>175</v>
      </c>
      <c r="B202" s="60"/>
      <c r="C202" s="79"/>
      <c r="D202" s="79"/>
      <c r="E202" s="79"/>
      <c r="F202" s="79"/>
      <c r="G202" s="79"/>
      <c r="H202" s="79"/>
      <c r="I202" s="79"/>
      <c r="J202" s="79"/>
      <c r="K202" s="79"/>
      <c r="L202" s="79"/>
      <c r="M202" s="79"/>
      <c r="N202" s="79"/>
      <c r="O202" s="79"/>
      <c r="P202" s="79"/>
      <c r="Q202" s="79"/>
      <c r="R202" s="79"/>
      <c r="S202" s="79"/>
      <c r="T202" s="79"/>
      <c r="U202" s="79"/>
      <c r="V202" s="79"/>
    </row>
    <row r="203" spans="1:23" ht="32.25" customHeight="1" x14ac:dyDescent="0.25">
      <c r="A203" s="32" t="s">
        <v>145</v>
      </c>
      <c r="B203" s="15">
        <v>2007</v>
      </c>
      <c r="C203" s="15">
        <v>2008</v>
      </c>
      <c r="D203" s="15">
        <v>2009</v>
      </c>
      <c r="E203" s="15">
        <v>2010</v>
      </c>
      <c r="F203" s="15">
        <v>2011</v>
      </c>
      <c r="G203" s="15">
        <v>2012</v>
      </c>
      <c r="H203" s="15">
        <v>2013</v>
      </c>
      <c r="I203" s="15">
        <v>2014</v>
      </c>
      <c r="J203" s="15">
        <v>2015</v>
      </c>
      <c r="K203" s="15">
        <v>2016</v>
      </c>
      <c r="L203" s="15">
        <v>2017</v>
      </c>
      <c r="M203" s="15">
        <v>2018</v>
      </c>
      <c r="N203" s="15">
        <v>2019</v>
      </c>
      <c r="O203" s="15">
        <v>2020</v>
      </c>
      <c r="P203" s="15">
        <v>2021</v>
      </c>
      <c r="Q203" s="15">
        <v>2022</v>
      </c>
      <c r="R203" s="15">
        <v>2023</v>
      </c>
      <c r="S203" s="15">
        <v>2024</v>
      </c>
      <c r="T203" s="27" t="s">
        <v>476</v>
      </c>
      <c r="U203" s="27" t="s">
        <v>477</v>
      </c>
      <c r="V203" s="27" t="s">
        <v>478</v>
      </c>
    </row>
    <row r="204" spans="1:23" ht="15" customHeight="1" x14ac:dyDescent="0.25">
      <c r="A204" s="29" t="s">
        <v>75</v>
      </c>
      <c r="B204" s="19">
        <v>0.561412487205732</v>
      </c>
      <c r="C204" s="74">
        <v>0.62810327706057545</v>
      </c>
      <c r="D204" s="74">
        <v>0.56429414077860796</v>
      </c>
      <c r="E204" s="74">
        <v>0.39855310753041784</v>
      </c>
      <c r="F204" s="74">
        <v>0.49175371083012642</v>
      </c>
      <c r="G204" s="74">
        <v>0.52936839518309198</v>
      </c>
      <c r="H204" s="74">
        <v>0.49028330601732639</v>
      </c>
      <c r="I204" s="74">
        <v>0.49173358526216365</v>
      </c>
      <c r="J204" s="74">
        <v>0.50885601166909755</v>
      </c>
      <c r="K204" s="74">
        <v>0.53964497041420134</v>
      </c>
      <c r="L204" s="74">
        <v>0.4998018232263175</v>
      </c>
      <c r="M204" s="74">
        <v>0.51617161716171622</v>
      </c>
      <c r="N204" s="74">
        <v>0.48932755576953935</v>
      </c>
      <c r="O204" s="74">
        <v>0.49932341001353137</v>
      </c>
      <c r="P204" s="74">
        <v>0.56796875000000024</v>
      </c>
      <c r="Q204" s="74">
        <v>0.53849707422235915</v>
      </c>
      <c r="R204" s="74">
        <v>0.54515577757328793</v>
      </c>
      <c r="S204" s="74">
        <v>0.51316263974035403</v>
      </c>
      <c r="T204" s="108">
        <f>(S204-J204)*100</f>
        <v>0.43066280712564797</v>
      </c>
      <c r="U204" s="108">
        <f t="shared" ref="U204" si="39">(S204-O204)*100</f>
        <v>1.3839229726822666</v>
      </c>
      <c r="V204" s="108">
        <f t="shared" ref="V204" si="40">(S204-R204)*100</f>
        <v>-3.1993137832933893</v>
      </c>
      <c r="W204" s="125"/>
    </row>
    <row r="205" spans="1:23" ht="15" customHeight="1" x14ac:dyDescent="0.25">
      <c r="A205" s="29" t="s">
        <v>76</v>
      </c>
      <c r="B205" s="19">
        <v>0.49200595507799855</v>
      </c>
      <c r="C205" s="19">
        <v>0.50195642978003396</v>
      </c>
      <c r="D205" s="19">
        <v>0.44299662035298532</v>
      </c>
      <c r="E205" s="19">
        <v>0.45937512039141642</v>
      </c>
      <c r="F205" s="19">
        <v>0.49941808266551391</v>
      </c>
      <c r="G205" s="19">
        <v>0.48334160463192716</v>
      </c>
      <c r="H205" s="19">
        <v>0.47144716293597083</v>
      </c>
      <c r="I205" s="19">
        <v>0.52993353783231079</v>
      </c>
      <c r="J205" s="19">
        <v>0.50372243624589341</v>
      </c>
      <c r="K205" s="19">
        <v>0.51608693588952714</v>
      </c>
      <c r="L205" s="19">
        <v>0.52069506726457404</v>
      </c>
      <c r="M205" s="19">
        <v>0.53761778107667879</v>
      </c>
      <c r="N205" s="19">
        <v>0.50956623338688478</v>
      </c>
      <c r="O205" s="19">
        <v>0.54061693225318241</v>
      </c>
      <c r="P205" s="19">
        <v>0.57949058015371013</v>
      </c>
      <c r="Q205" s="19">
        <v>0.510681943263121</v>
      </c>
      <c r="R205" s="19">
        <v>0.51420306624240686</v>
      </c>
      <c r="S205" s="19">
        <v>0.49446437407224131</v>
      </c>
      <c r="T205" s="108">
        <f t="shared" ref="T205:T206" si="41">(S205-J205)*100</f>
        <v>-0.9258062173652104</v>
      </c>
      <c r="U205" s="108">
        <f t="shared" ref="U205:U206" si="42">(S205-O205)*100</f>
        <v>-4.615255818094111</v>
      </c>
      <c r="V205" s="108">
        <f t="shared" ref="V205:V206" si="43">(S205-R205)*100</f>
        <v>-1.973869217016555</v>
      </c>
      <c r="W205" s="125"/>
    </row>
    <row r="206" spans="1:23" ht="15" customHeight="1" x14ac:dyDescent="0.25">
      <c r="A206" s="42" t="s">
        <v>0</v>
      </c>
      <c r="B206" s="20">
        <v>0.49979888524966976</v>
      </c>
      <c r="C206" s="17">
        <v>0.51409729523081327</v>
      </c>
      <c r="D206" s="17">
        <v>0.45357008192506781</v>
      </c>
      <c r="E206" s="17">
        <v>0.45299675839713083</v>
      </c>
      <c r="F206" s="17">
        <v>0.49859096437364658</v>
      </c>
      <c r="G206" s="17">
        <v>0.48880270601271358</v>
      </c>
      <c r="H206" s="17">
        <v>0.47333161556299935</v>
      </c>
      <c r="I206" s="17">
        <v>0.52620288785348535</v>
      </c>
      <c r="J206" s="17">
        <v>0.50424538314582912</v>
      </c>
      <c r="K206" s="17">
        <v>0.51861657065401567</v>
      </c>
      <c r="L206" s="17">
        <v>0.51857148612174198</v>
      </c>
      <c r="M206" s="17">
        <v>0.53523579113286046</v>
      </c>
      <c r="N206" s="17">
        <v>0.50723781388478595</v>
      </c>
      <c r="O206" s="17">
        <v>0.53581543544961063</v>
      </c>
      <c r="P206" s="17">
        <v>0.57835981107771572</v>
      </c>
      <c r="Q206" s="17">
        <v>0.51340004514333004</v>
      </c>
      <c r="R206" s="17">
        <v>0.51727103339544223</v>
      </c>
      <c r="S206" s="17">
        <v>0.49659547067446674</v>
      </c>
      <c r="T206" s="126">
        <f t="shared" si="41"/>
        <v>-0.76499124713623745</v>
      </c>
      <c r="U206" s="126">
        <f t="shared" si="42"/>
        <v>-3.921996477514389</v>
      </c>
      <c r="V206" s="126">
        <f t="shared" si="43"/>
        <v>-2.0675562720975482</v>
      </c>
      <c r="W206" s="125"/>
    </row>
    <row r="207" spans="1:23" ht="15" customHeight="1" x14ac:dyDescent="0.25">
      <c r="A207" s="59"/>
      <c r="B207" s="59"/>
      <c r="C207" s="59"/>
      <c r="D207" s="59"/>
      <c r="E207" s="59"/>
      <c r="F207" s="59"/>
      <c r="G207" s="59"/>
      <c r="H207" s="59"/>
      <c r="I207" s="59"/>
      <c r="J207" s="59"/>
      <c r="K207" s="59"/>
      <c r="L207" s="59"/>
      <c r="M207" s="59"/>
      <c r="N207" s="59"/>
      <c r="O207" s="59"/>
      <c r="P207" s="59"/>
      <c r="Q207" s="59"/>
      <c r="R207" s="59"/>
      <c r="S207" s="59"/>
      <c r="T207" s="51"/>
      <c r="U207" s="51"/>
      <c r="V207" s="51"/>
    </row>
    <row r="208" spans="1:23" ht="15" customHeight="1" x14ac:dyDescent="0.25">
      <c r="A208" s="60" t="s">
        <v>330</v>
      </c>
      <c r="B208" s="60"/>
      <c r="C208" s="79"/>
      <c r="D208" s="79"/>
      <c r="E208" s="79"/>
      <c r="F208" s="79"/>
      <c r="G208" s="79"/>
      <c r="H208" s="79"/>
      <c r="I208" s="79"/>
      <c r="J208" s="79"/>
      <c r="K208" s="79"/>
      <c r="L208" s="79"/>
      <c r="M208" s="79"/>
      <c r="N208" s="79"/>
      <c r="O208" s="79"/>
      <c r="P208" s="79"/>
      <c r="Q208" s="79"/>
      <c r="R208" s="79"/>
      <c r="S208" s="79"/>
      <c r="T208" s="79"/>
      <c r="U208" s="79"/>
      <c r="V208" s="79"/>
    </row>
    <row r="209" spans="1:22" ht="36" customHeight="1" x14ac:dyDescent="0.25">
      <c r="A209" s="32" t="s">
        <v>329</v>
      </c>
      <c r="B209" s="15">
        <v>2007</v>
      </c>
      <c r="C209" s="15">
        <v>2008</v>
      </c>
      <c r="D209" s="15">
        <v>2009</v>
      </c>
      <c r="E209" s="15">
        <v>2010</v>
      </c>
      <c r="F209" s="15">
        <v>2011</v>
      </c>
      <c r="G209" s="15">
        <v>2012</v>
      </c>
      <c r="H209" s="15">
        <v>2013</v>
      </c>
      <c r="I209" s="15">
        <v>2014</v>
      </c>
      <c r="J209" s="15">
        <v>2015</v>
      </c>
      <c r="K209" s="15">
        <v>2016</v>
      </c>
      <c r="L209" s="15">
        <v>2017</v>
      </c>
      <c r="M209" s="15">
        <v>2018</v>
      </c>
      <c r="N209" s="15">
        <v>2019</v>
      </c>
      <c r="O209" s="15">
        <v>2020</v>
      </c>
      <c r="P209" s="15">
        <v>2021</v>
      </c>
      <c r="Q209" s="15">
        <v>2022</v>
      </c>
      <c r="R209" s="15">
        <v>2023</v>
      </c>
      <c r="S209" s="15">
        <v>2024</v>
      </c>
      <c r="T209" s="27" t="s">
        <v>476</v>
      </c>
      <c r="U209" s="27" t="s">
        <v>477</v>
      </c>
      <c r="V209" s="27" t="s">
        <v>478</v>
      </c>
    </row>
    <row r="210" spans="1:22" ht="15" customHeight="1" x14ac:dyDescent="0.25">
      <c r="A210" s="42" t="s">
        <v>75</v>
      </c>
      <c r="B210" s="73">
        <v>0.561412487205732</v>
      </c>
      <c r="C210" s="73">
        <v>0.62810327706057545</v>
      </c>
      <c r="D210" s="73">
        <v>0.56429414077860796</v>
      </c>
      <c r="E210" s="73">
        <v>0.39855310753041784</v>
      </c>
      <c r="F210" s="73">
        <v>0.49175371083012642</v>
      </c>
      <c r="G210" s="73">
        <v>0.52936839518309198</v>
      </c>
      <c r="H210" s="73">
        <v>0.49028330601732639</v>
      </c>
      <c r="I210" s="73">
        <v>0.49173358526216365</v>
      </c>
      <c r="J210" s="73">
        <v>0.50885601166909755</v>
      </c>
      <c r="K210" s="73">
        <v>0.53964497041420134</v>
      </c>
      <c r="L210" s="73">
        <v>0.4998018232263175</v>
      </c>
      <c r="M210" s="73">
        <v>0.51617161716171622</v>
      </c>
      <c r="N210" s="73">
        <v>0.48932755576953935</v>
      </c>
      <c r="O210" s="73">
        <v>0.49932341001353137</v>
      </c>
      <c r="P210" s="73">
        <v>0.56796875000000024</v>
      </c>
      <c r="Q210" s="73">
        <v>0.53849707422235915</v>
      </c>
      <c r="R210" s="73">
        <v>0.54515577757328793</v>
      </c>
      <c r="S210" s="73">
        <v>0.51316263974035403</v>
      </c>
      <c r="T210" s="126">
        <f t="shared" ref="T210:T216" si="44">(S210-J210)*100</f>
        <v>0.43066280712564797</v>
      </c>
      <c r="U210" s="126">
        <f t="shared" ref="U210:U216" si="45">(S210-O210)*100</f>
        <v>1.3839229726822666</v>
      </c>
      <c r="V210" s="126">
        <f t="shared" ref="V210:V216" si="46">(S210-R210)*100</f>
        <v>-3.1993137832933893</v>
      </c>
    </row>
    <row r="211" spans="1:22" ht="15" customHeight="1" x14ac:dyDescent="0.25">
      <c r="A211" s="29" t="s">
        <v>72</v>
      </c>
      <c r="B211" s="18">
        <v>0.55791962174940835</v>
      </c>
      <c r="C211" s="18">
        <v>0.65303593556381689</v>
      </c>
      <c r="D211" s="18">
        <v>0.60775047258979209</v>
      </c>
      <c r="E211" s="18">
        <v>0.3595915390226111</v>
      </c>
      <c r="F211" s="18">
        <v>0.48948019801980275</v>
      </c>
      <c r="G211" s="18">
        <v>0.57291666666666663</v>
      </c>
      <c r="H211" s="18">
        <v>0.53211937278705113</v>
      </c>
      <c r="I211" s="18">
        <v>0.48595654478007422</v>
      </c>
      <c r="J211" s="18">
        <v>0.53308823529411842</v>
      </c>
      <c r="K211" s="18">
        <v>0.54922279792746109</v>
      </c>
      <c r="L211" s="18">
        <v>0.54065934065934018</v>
      </c>
      <c r="M211" s="18">
        <v>0.52902033271719118</v>
      </c>
      <c r="N211" s="18">
        <v>0.53963636363636391</v>
      </c>
      <c r="O211" s="18">
        <v>0.5494636471990465</v>
      </c>
      <c r="P211" s="18">
        <v>0.59094311377245501</v>
      </c>
      <c r="Q211" s="18">
        <v>0.58744710860366722</v>
      </c>
      <c r="R211" s="18">
        <v>0.55874597128625836</v>
      </c>
      <c r="S211" s="18">
        <v>0.54003826182016956</v>
      </c>
      <c r="T211" s="108">
        <f t="shared" si="44"/>
        <v>0.69500265260511451</v>
      </c>
      <c r="U211" s="108">
        <f t="shared" si="45"/>
        <v>-0.94253853788769382</v>
      </c>
      <c r="V211" s="108">
        <f t="shared" si="46"/>
        <v>-1.8707709466088795</v>
      </c>
    </row>
    <row r="212" spans="1:22" ht="15" customHeight="1" x14ac:dyDescent="0.25">
      <c r="A212" s="29" t="s">
        <v>71</v>
      </c>
      <c r="B212" s="18">
        <v>0.56407942238267095</v>
      </c>
      <c r="C212" s="18">
        <v>0.611433305716653</v>
      </c>
      <c r="D212" s="18">
        <v>0.53333333333333344</v>
      </c>
      <c r="E212" s="18">
        <v>0.43053892215568879</v>
      </c>
      <c r="F212" s="18">
        <v>0.49357072205736913</v>
      </c>
      <c r="G212" s="18">
        <v>0.50020517029134159</v>
      </c>
      <c r="H212" s="18">
        <v>0.45422842197035718</v>
      </c>
      <c r="I212" s="18">
        <v>0.49637835534725178</v>
      </c>
      <c r="J212" s="18">
        <v>0.48875333587495184</v>
      </c>
      <c r="K212" s="18">
        <v>0.532745164574143</v>
      </c>
      <c r="L212" s="18">
        <v>0.46625766871165697</v>
      </c>
      <c r="M212" s="18">
        <v>0.50581222056631892</v>
      </c>
      <c r="N212" s="18">
        <v>0.44958345303073793</v>
      </c>
      <c r="O212" s="18">
        <v>0.46215022091310742</v>
      </c>
      <c r="P212" s="18">
        <v>0.55150214592274682</v>
      </c>
      <c r="Q212" s="18">
        <v>0.5005467468562057</v>
      </c>
      <c r="R212" s="18">
        <v>0.53409632808774443</v>
      </c>
      <c r="S212" s="18">
        <v>0.49206008583691002</v>
      </c>
      <c r="T212" s="108">
        <f t="shared" si="44"/>
        <v>0.33067499619581775</v>
      </c>
      <c r="U212" s="108">
        <f t="shared" si="45"/>
        <v>2.9909864923802596</v>
      </c>
      <c r="V212" s="108">
        <f t="shared" si="46"/>
        <v>-4.2036242250834412</v>
      </c>
    </row>
    <row r="213" spans="1:22" ht="15" customHeight="1" x14ac:dyDescent="0.25">
      <c r="A213" s="42" t="s">
        <v>164</v>
      </c>
      <c r="B213" s="73">
        <v>0.49200595507799855</v>
      </c>
      <c r="C213" s="73">
        <v>0.50195642978003396</v>
      </c>
      <c r="D213" s="73">
        <v>0.44299662035298532</v>
      </c>
      <c r="E213" s="73">
        <v>0.45937512039141642</v>
      </c>
      <c r="F213" s="73">
        <v>0.49941808266551391</v>
      </c>
      <c r="G213" s="73">
        <v>0.48334160463192716</v>
      </c>
      <c r="H213" s="73">
        <v>0.47144716293597083</v>
      </c>
      <c r="I213" s="73">
        <v>0.52993353783231079</v>
      </c>
      <c r="J213" s="73">
        <v>0.50372243624589341</v>
      </c>
      <c r="K213" s="73">
        <v>0.51608693588952714</v>
      </c>
      <c r="L213" s="73">
        <v>0.52069506726457404</v>
      </c>
      <c r="M213" s="73">
        <v>0.53761778107667879</v>
      </c>
      <c r="N213" s="73">
        <v>0.50956623338688478</v>
      </c>
      <c r="O213" s="73">
        <v>0.54061693225318241</v>
      </c>
      <c r="P213" s="73">
        <v>0.57949058015371013</v>
      </c>
      <c r="Q213" s="73">
        <v>0.510681943263121</v>
      </c>
      <c r="R213" s="73">
        <v>0.51420306624240686</v>
      </c>
      <c r="S213" s="73">
        <v>0.49446437407224131</v>
      </c>
      <c r="T213" s="126">
        <f t="shared" si="44"/>
        <v>-0.9258062173652104</v>
      </c>
      <c r="U213" s="126">
        <f t="shared" si="45"/>
        <v>-4.615255818094111</v>
      </c>
      <c r="V213" s="126">
        <f t="shared" si="46"/>
        <v>-1.973869217016555</v>
      </c>
    </row>
    <row r="214" spans="1:22" ht="15" customHeight="1" x14ac:dyDescent="0.25">
      <c r="A214" s="29" t="s">
        <v>72</v>
      </c>
      <c r="B214" s="18">
        <v>0.53763094278807422</v>
      </c>
      <c r="C214" s="18">
        <v>0.52689672671910692</v>
      </c>
      <c r="D214" s="18">
        <v>0.46402107689774413</v>
      </c>
      <c r="E214" s="18">
        <v>0.47261000898032485</v>
      </c>
      <c r="F214" s="18">
        <v>0.50816477387272374</v>
      </c>
      <c r="G214" s="18">
        <v>0.49726554587806371</v>
      </c>
      <c r="H214" s="18">
        <v>0.47760322683366946</v>
      </c>
      <c r="I214" s="18">
        <v>0.53513851933009871</v>
      </c>
      <c r="J214" s="18">
        <v>0.5276149630688588</v>
      </c>
      <c r="K214" s="18">
        <v>0.54257454128440386</v>
      </c>
      <c r="L214" s="18">
        <v>0.54172989377845226</v>
      </c>
      <c r="M214" s="18">
        <v>0.54943751278380015</v>
      </c>
      <c r="N214" s="18">
        <v>0.50939602822911534</v>
      </c>
      <c r="O214" s="18">
        <v>0.54209543658547166</v>
      </c>
      <c r="P214" s="18">
        <v>0.56800291063041608</v>
      </c>
      <c r="Q214" s="18">
        <v>0.51024005640844849</v>
      </c>
      <c r="R214" s="18">
        <v>0.50672431703961585</v>
      </c>
      <c r="S214" s="18">
        <v>0.49026103493757855</v>
      </c>
      <c r="T214" s="108">
        <f t="shared" si="44"/>
        <v>-3.7353928131280245</v>
      </c>
      <c r="U214" s="108">
        <f t="shared" si="45"/>
        <v>-5.1834401647893102</v>
      </c>
      <c r="V214" s="108">
        <f t="shared" si="46"/>
        <v>-1.6463282102037291</v>
      </c>
    </row>
    <row r="215" spans="1:22" ht="15" customHeight="1" x14ac:dyDescent="0.25">
      <c r="A215" s="29" t="s">
        <v>71</v>
      </c>
      <c r="B215" s="18">
        <v>0.46138035482475132</v>
      </c>
      <c r="C215" s="18">
        <v>0.48413417951042603</v>
      </c>
      <c r="D215" s="18">
        <v>0.42536592101629372</v>
      </c>
      <c r="E215" s="18">
        <v>0.4475488765684274</v>
      </c>
      <c r="F215" s="18">
        <v>0.49085044760400209</v>
      </c>
      <c r="G215" s="18">
        <v>0.46996237186972872</v>
      </c>
      <c r="H215" s="18">
        <v>0.46552252528348143</v>
      </c>
      <c r="I215" s="18">
        <v>0.52493359394577255</v>
      </c>
      <c r="J215" s="18">
        <v>0.48021194785707583</v>
      </c>
      <c r="K215" s="18">
        <v>0.48996135356772552</v>
      </c>
      <c r="L215" s="18">
        <v>0.49945931332792665</v>
      </c>
      <c r="M215" s="18">
        <v>0.52560691719321584</v>
      </c>
      <c r="N215" s="18">
        <v>0.50974232712145007</v>
      </c>
      <c r="O215" s="18">
        <v>0.53906214328112867</v>
      </c>
      <c r="P215" s="18">
        <v>0.59164392189796344</v>
      </c>
      <c r="Q215" s="18">
        <v>0.51116133518776063</v>
      </c>
      <c r="R215" s="18">
        <v>0.52206211402488134</v>
      </c>
      <c r="S215" s="18">
        <v>0.49879938877974239</v>
      </c>
      <c r="T215" s="108">
        <f t="shared" si="44"/>
        <v>1.8587440922666565</v>
      </c>
      <c r="U215" s="108">
        <f t="shared" si="45"/>
        <v>-4.0262754501386278</v>
      </c>
      <c r="V215" s="108">
        <f t="shared" si="46"/>
        <v>-2.3262725245138949</v>
      </c>
    </row>
    <row r="216" spans="1:22" ht="15" customHeight="1" x14ac:dyDescent="0.25">
      <c r="A216" s="42" t="s">
        <v>0</v>
      </c>
      <c r="B216" s="20">
        <v>0.49979888524966976</v>
      </c>
      <c r="C216" s="17">
        <v>0.51409729523081327</v>
      </c>
      <c r="D216" s="17">
        <v>0.45357008192506781</v>
      </c>
      <c r="E216" s="17">
        <v>0.45299675839713083</v>
      </c>
      <c r="F216" s="17">
        <v>0.49859096437364658</v>
      </c>
      <c r="G216" s="17">
        <v>0.48880270601271358</v>
      </c>
      <c r="H216" s="17">
        <v>0.47333161556299935</v>
      </c>
      <c r="I216" s="17">
        <v>0.52620288785348535</v>
      </c>
      <c r="J216" s="17">
        <v>0.50424538314582912</v>
      </c>
      <c r="K216" s="17">
        <v>0.51861657065401567</v>
      </c>
      <c r="L216" s="17">
        <v>0.51857148612174198</v>
      </c>
      <c r="M216" s="17">
        <v>0.53523579113286046</v>
      </c>
      <c r="N216" s="17">
        <v>0.50723781388478595</v>
      </c>
      <c r="O216" s="17">
        <v>0.53581543544961063</v>
      </c>
      <c r="P216" s="17">
        <v>0.57835981107771572</v>
      </c>
      <c r="Q216" s="17">
        <v>0.51340004514333004</v>
      </c>
      <c r="R216" s="17">
        <v>0.51727103339544223</v>
      </c>
      <c r="S216" s="17">
        <v>0.49659547067446674</v>
      </c>
      <c r="T216" s="126">
        <f t="shared" si="44"/>
        <v>-0.76499124713623745</v>
      </c>
      <c r="U216" s="126">
        <f t="shared" si="45"/>
        <v>-3.921996477514389</v>
      </c>
      <c r="V216" s="126">
        <f t="shared" si="46"/>
        <v>-2.0675562720975482</v>
      </c>
    </row>
    <row r="217" spans="1:22" ht="15" customHeight="1" x14ac:dyDescent="0.25">
      <c r="Q217" s="142"/>
      <c r="R217" s="142"/>
      <c r="S217" s="142"/>
    </row>
    <row r="218" spans="1:22" ht="15" customHeight="1" x14ac:dyDescent="0.25">
      <c r="A218" s="60" t="s">
        <v>192</v>
      </c>
      <c r="B218" s="60"/>
      <c r="C218" s="79"/>
      <c r="D218" s="79"/>
      <c r="E218" s="79"/>
      <c r="F218" s="79"/>
      <c r="G218" s="79"/>
      <c r="H218" s="79"/>
      <c r="I218" s="79"/>
      <c r="J218" s="79"/>
      <c r="K218" s="79"/>
      <c r="L218" s="79"/>
      <c r="M218" s="79"/>
      <c r="N218" s="79"/>
      <c r="O218" s="79"/>
      <c r="P218" s="79"/>
      <c r="Q218" s="79"/>
      <c r="R218" s="79"/>
      <c r="S218" s="79"/>
      <c r="T218" s="79"/>
      <c r="U218" s="79"/>
      <c r="V218" s="79"/>
    </row>
    <row r="219" spans="1:22" ht="32.25" customHeight="1" x14ac:dyDescent="0.25">
      <c r="A219" s="32" t="s">
        <v>145</v>
      </c>
      <c r="B219" s="15">
        <v>2007</v>
      </c>
      <c r="C219" s="15">
        <v>2008</v>
      </c>
      <c r="D219" s="15">
        <v>2009</v>
      </c>
      <c r="E219" s="15">
        <v>2010</v>
      </c>
      <c r="F219" s="15">
        <v>2011</v>
      </c>
      <c r="G219" s="15">
        <v>2012</v>
      </c>
      <c r="H219" s="15">
        <v>2013</v>
      </c>
      <c r="I219" s="15">
        <v>2014</v>
      </c>
      <c r="J219" s="15">
        <v>2015</v>
      </c>
      <c r="K219" s="15">
        <v>2016</v>
      </c>
      <c r="L219" s="15">
        <v>2017</v>
      </c>
      <c r="M219" s="15">
        <v>2018</v>
      </c>
      <c r="N219" s="15">
        <v>2019</v>
      </c>
      <c r="O219" s="15">
        <v>2020</v>
      </c>
      <c r="P219" s="15">
        <v>2021</v>
      </c>
      <c r="Q219" s="15">
        <v>2022</v>
      </c>
      <c r="R219" s="15">
        <v>2023</v>
      </c>
      <c r="S219" s="15">
        <v>2024</v>
      </c>
      <c r="T219" s="27" t="s">
        <v>476</v>
      </c>
      <c r="U219" s="27" t="s">
        <v>477</v>
      </c>
      <c r="V219" s="27" t="s">
        <v>478</v>
      </c>
    </row>
    <row r="220" spans="1:22" ht="15" customHeight="1" x14ac:dyDescent="0.25">
      <c r="A220" s="29" t="s">
        <v>323</v>
      </c>
      <c r="B220" s="19">
        <v>0.38903394255874668</v>
      </c>
      <c r="C220" s="74">
        <v>0.36348314606741555</v>
      </c>
      <c r="D220" s="74">
        <v>0.29275920134712524</v>
      </c>
      <c r="E220" s="74">
        <v>0.38070139874315823</v>
      </c>
      <c r="F220" s="74">
        <v>0.39739413680781766</v>
      </c>
      <c r="G220" s="74">
        <v>0.35489973514945156</v>
      </c>
      <c r="H220" s="74">
        <v>0.38237658787586426</v>
      </c>
      <c r="I220" s="74">
        <v>0.36153025453436954</v>
      </c>
      <c r="J220" s="74">
        <v>0.3440932226091617</v>
      </c>
      <c r="K220" s="74">
        <v>0.33459183673469389</v>
      </c>
      <c r="L220" s="74">
        <v>0.3412377096587621</v>
      </c>
      <c r="M220" s="74">
        <v>0.33836399357028035</v>
      </c>
      <c r="N220" s="74">
        <v>0.29594756761746516</v>
      </c>
      <c r="O220" s="74">
        <v>0.30226182316655198</v>
      </c>
      <c r="P220" s="74">
        <v>0.32879134595381732</v>
      </c>
      <c r="Q220" s="74">
        <v>0.33141109654871109</v>
      </c>
      <c r="R220" s="74">
        <v>0.32923412204234126</v>
      </c>
      <c r="S220" s="74">
        <v>0.31074284772033955</v>
      </c>
      <c r="T220" s="108">
        <f t="shared" ref="T220:T223" si="47">(S220-J220)*100</f>
        <v>-3.3350374888822145</v>
      </c>
      <c r="U220" s="108">
        <f t="shared" ref="U220:U223" si="48">(S220-O220)*100</f>
        <v>0.8481024553787575</v>
      </c>
      <c r="V220" s="108">
        <f t="shared" ref="V220:V223" si="49">(S220-R220)*100</f>
        <v>-1.8491274322001705</v>
      </c>
    </row>
    <row r="221" spans="1:22" ht="15" customHeight="1" x14ac:dyDescent="0.25">
      <c r="A221" s="29" t="s">
        <v>82</v>
      </c>
      <c r="B221" s="19">
        <v>0.44016506189821164</v>
      </c>
      <c r="C221" s="19">
        <v>0.43752432853250295</v>
      </c>
      <c r="D221" s="19">
        <v>0.53696925329428991</v>
      </c>
      <c r="E221" s="19">
        <v>0.39500924214417743</v>
      </c>
      <c r="F221" s="19">
        <v>0.35694665317334107</v>
      </c>
      <c r="G221" s="19">
        <v>0.48130081300813016</v>
      </c>
      <c r="H221" s="19">
        <v>0.36684518013631939</v>
      </c>
      <c r="I221" s="19">
        <v>0.40455153949129863</v>
      </c>
      <c r="J221" s="19">
        <v>0.6212292609351433</v>
      </c>
      <c r="K221" s="19">
        <v>0.34711125784087149</v>
      </c>
      <c r="L221" s="19">
        <v>0.3281214848143984</v>
      </c>
      <c r="M221" s="19">
        <v>0.44114149821640891</v>
      </c>
      <c r="N221" s="19">
        <v>0.42621637092157999</v>
      </c>
      <c r="O221" s="19">
        <v>0.28629162625282889</v>
      </c>
      <c r="P221" s="19">
        <v>0.23715018396699752</v>
      </c>
      <c r="Q221" s="19">
        <v>0.41017271861825122</v>
      </c>
      <c r="R221" s="19">
        <v>0.43062422744128576</v>
      </c>
      <c r="S221" s="19">
        <v>0.446750902527076</v>
      </c>
      <c r="T221" s="108">
        <f t="shared" si="47"/>
        <v>-17.447835840806729</v>
      </c>
      <c r="U221" s="108">
        <f t="shared" si="48"/>
        <v>16.04592762742471</v>
      </c>
      <c r="V221" s="108">
        <f t="shared" si="49"/>
        <v>1.6126675085790243</v>
      </c>
    </row>
    <row r="222" spans="1:22" ht="15" customHeight="1" x14ac:dyDescent="0.25">
      <c r="A222" s="29" t="s">
        <v>84</v>
      </c>
      <c r="B222" s="19">
        <v>0.40646492434663029</v>
      </c>
      <c r="C222" s="18">
        <v>0.46496229538348349</v>
      </c>
      <c r="D222" s="18">
        <v>0.47731783385313298</v>
      </c>
      <c r="E222" s="18">
        <v>0.3526329930145084</v>
      </c>
      <c r="F222" s="18">
        <v>0.36934306569343073</v>
      </c>
      <c r="G222" s="18">
        <v>0.46379064645679507</v>
      </c>
      <c r="H222" s="18">
        <v>0.45205344861465901</v>
      </c>
      <c r="I222" s="18">
        <v>0.44580014117172528</v>
      </c>
      <c r="J222" s="18">
        <v>0.40108660914030031</v>
      </c>
      <c r="K222" s="18">
        <v>0.35686631746754727</v>
      </c>
      <c r="L222" s="18">
        <v>0.41463586420622611</v>
      </c>
      <c r="M222" s="18">
        <v>0.45339111592632708</v>
      </c>
      <c r="N222" s="18">
        <v>0.43401490400499249</v>
      </c>
      <c r="O222" s="18">
        <v>0.43849478939784875</v>
      </c>
      <c r="P222" s="18">
        <v>0.53568022197173326</v>
      </c>
      <c r="Q222" s="18">
        <v>0.52066310960603268</v>
      </c>
      <c r="R222" s="18">
        <v>0.47273199606613342</v>
      </c>
      <c r="S222" s="18">
        <v>0.40423618293834596</v>
      </c>
      <c r="T222" s="108">
        <f t="shared" si="47"/>
        <v>0.31495737980456462</v>
      </c>
      <c r="U222" s="108">
        <f t="shared" si="48"/>
        <v>-3.4258606459502792</v>
      </c>
      <c r="V222" s="108">
        <f t="shared" si="49"/>
        <v>-6.8495813127787466</v>
      </c>
    </row>
    <row r="223" spans="1:22" ht="15" customHeight="1" x14ac:dyDescent="0.25">
      <c r="A223" s="42" t="s">
        <v>0</v>
      </c>
      <c r="B223" s="20">
        <v>0.41365670864994286</v>
      </c>
      <c r="C223" s="20">
        <v>0.42943049168730096</v>
      </c>
      <c r="D223" s="20">
        <v>0.45085457271364315</v>
      </c>
      <c r="E223" s="20">
        <v>0.37330634733232126</v>
      </c>
      <c r="F223" s="20">
        <v>0.37134637514384355</v>
      </c>
      <c r="G223" s="20">
        <v>0.43648535564853552</v>
      </c>
      <c r="H223" s="20">
        <v>0.40600495673018344</v>
      </c>
      <c r="I223" s="20">
        <v>0.40984633372306684</v>
      </c>
      <c r="J223" s="20">
        <v>0.43043581428458438</v>
      </c>
      <c r="K223" s="20">
        <v>0.34825566350655146</v>
      </c>
      <c r="L223" s="20">
        <v>0.37040305045221061</v>
      </c>
      <c r="M223" s="20">
        <v>0.41996536669837337</v>
      </c>
      <c r="N223" s="20">
        <v>0.40060672092973582</v>
      </c>
      <c r="O223" s="20">
        <v>0.39084027421119616</v>
      </c>
      <c r="P223" s="20">
        <v>0.44793351133842291</v>
      </c>
      <c r="Q223" s="20">
        <v>0.47786288062768545</v>
      </c>
      <c r="R223" s="20">
        <v>0.44382674734671018</v>
      </c>
      <c r="S223" s="20">
        <v>0.39358852808722461</v>
      </c>
      <c r="T223" s="126">
        <f t="shared" si="47"/>
        <v>-3.6847286197359774</v>
      </c>
      <c r="U223" s="126">
        <f t="shared" si="48"/>
        <v>0.27482538760284503</v>
      </c>
      <c r="V223" s="126">
        <f t="shared" si="49"/>
        <v>-5.0238219259485568</v>
      </c>
    </row>
    <row r="224" spans="1:22" ht="15" customHeight="1" x14ac:dyDescent="0.25">
      <c r="C224" s="9"/>
      <c r="D224" s="9"/>
      <c r="E224" s="9"/>
      <c r="F224" s="9"/>
      <c r="G224" s="9"/>
      <c r="H224" s="9"/>
      <c r="I224" s="9"/>
      <c r="J224" s="9"/>
      <c r="K224" s="9"/>
      <c r="L224" s="9"/>
      <c r="M224" s="9"/>
      <c r="N224" s="9"/>
      <c r="O224" s="9"/>
      <c r="P224" s="9"/>
      <c r="Q224" s="9"/>
      <c r="R224" s="9"/>
      <c r="S224" s="9"/>
    </row>
    <row r="225" spans="1:22" ht="15" customHeight="1" x14ac:dyDescent="0.25">
      <c r="A225" s="60" t="s">
        <v>331</v>
      </c>
      <c r="B225" s="60"/>
      <c r="C225" s="79"/>
      <c r="D225" s="79"/>
      <c r="E225" s="79"/>
      <c r="F225" s="79"/>
      <c r="G225" s="79"/>
      <c r="H225" s="79"/>
      <c r="I225" s="79"/>
      <c r="J225" s="79"/>
      <c r="K225" s="79"/>
      <c r="L225" s="79"/>
      <c r="M225" s="79"/>
      <c r="N225" s="79"/>
      <c r="O225" s="79"/>
      <c r="P225" s="79"/>
      <c r="Q225" s="79"/>
      <c r="R225" s="79"/>
      <c r="S225" s="79"/>
      <c r="T225" s="79"/>
      <c r="U225" s="79"/>
      <c r="V225" s="79"/>
    </row>
    <row r="226" spans="1:22" ht="31.5" customHeight="1" x14ac:dyDescent="0.25">
      <c r="A226" s="32" t="s">
        <v>329</v>
      </c>
      <c r="B226" s="15">
        <v>2007</v>
      </c>
      <c r="C226" s="15">
        <v>2008</v>
      </c>
      <c r="D226" s="15">
        <v>2009</v>
      </c>
      <c r="E226" s="15">
        <v>2010</v>
      </c>
      <c r="F226" s="15">
        <v>2011</v>
      </c>
      <c r="G226" s="15">
        <v>2012</v>
      </c>
      <c r="H226" s="15">
        <v>2013</v>
      </c>
      <c r="I226" s="15">
        <v>2014</v>
      </c>
      <c r="J226" s="15">
        <v>2015</v>
      </c>
      <c r="K226" s="15">
        <v>2016</v>
      </c>
      <c r="L226" s="15">
        <v>2017</v>
      </c>
      <c r="M226" s="15">
        <v>2018</v>
      </c>
      <c r="N226" s="15">
        <v>2019</v>
      </c>
      <c r="O226" s="15">
        <v>2020</v>
      </c>
      <c r="P226" s="15">
        <v>2021</v>
      </c>
      <c r="Q226" s="15">
        <v>2022</v>
      </c>
      <c r="R226" s="15">
        <v>2023</v>
      </c>
      <c r="S226" s="15">
        <v>2024</v>
      </c>
      <c r="T226" s="27" t="s">
        <v>476</v>
      </c>
      <c r="U226" s="27" t="s">
        <v>477</v>
      </c>
      <c r="V226" s="27" t="s">
        <v>478</v>
      </c>
    </row>
    <row r="227" spans="1:22" ht="15" customHeight="1" x14ac:dyDescent="0.25">
      <c r="A227" s="31" t="s">
        <v>116</v>
      </c>
      <c r="B227" s="73">
        <v>0.38903394255874668</v>
      </c>
      <c r="C227" s="73">
        <v>0.36348314606741555</v>
      </c>
      <c r="D227" s="73">
        <v>0.29275920134712524</v>
      </c>
      <c r="E227" s="73">
        <v>0.38070139874315823</v>
      </c>
      <c r="F227" s="73">
        <v>0.39739413680781766</v>
      </c>
      <c r="G227" s="73">
        <v>0.35489973514945156</v>
      </c>
      <c r="H227" s="73">
        <v>0.38237658787586426</v>
      </c>
      <c r="I227" s="73">
        <v>0.36153025453436954</v>
      </c>
      <c r="J227" s="73">
        <v>0.3440932226091617</v>
      </c>
      <c r="K227" s="73">
        <v>0.33459183673469389</v>
      </c>
      <c r="L227" s="73">
        <v>0.3412377096587621</v>
      </c>
      <c r="M227" s="73">
        <v>0.33836399357028035</v>
      </c>
      <c r="N227" s="73">
        <v>0.29594756761746516</v>
      </c>
      <c r="O227" s="73">
        <v>0.30226182316655198</v>
      </c>
      <c r="P227" s="73">
        <v>0.32879134595381732</v>
      </c>
      <c r="Q227" s="73">
        <v>0.33141109654871109</v>
      </c>
      <c r="R227" s="73">
        <v>0.32923412204234126</v>
      </c>
      <c r="S227" s="73">
        <v>0.31074284772033955</v>
      </c>
      <c r="T227" s="126">
        <f t="shared" ref="T227:T236" si="50">(S227-J227)*100</f>
        <v>-3.3350374888822145</v>
      </c>
      <c r="U227" s="126">
        <f t="shared" ref="U227:U236" si="51">(S227-O227)*100</f>
        <v>0.8481024553787575</v>
      </c>
      <c r="V227" s="126">
        <f t="shared" ref="V227:V236" si="52">(S227-R227)*100</f>
        <v>-1.8491274322001705</v>
      </c>
    </row>
    <row r="228" spans="1:22" ht="15" customHeight="1" x14ac:dyDescent="0.25">
      <c r="A228" s="30" t="s">
        <v>72</v>
      </c>
      <c r="B228" s="18">
        <v>0.42380952380952375</v>
      </c>
      <c r="C228" s="18">
        <v>0.3683917640511965</v>
      </c>
      <c r="D228" s="18">
        <v>0.31716779825412217</v>
      </c>
      <c r="E228" s="18">
        <v>0.42601923957856114</v>
      </c>
      <c r="F228" s="18">
        <v>0.41052631578947363</v>
      </c>
      <c r="G228" s="18">
        <v>0.35321293574128526</v>
      </c>
      <c r="H228" s="18">
        <v>0.38894472361809029</v>
      </c>
      <c r="I228" s="18">
        <v>0.3877813504823151</v>
      </c>
      <c r="J228" s="18">
        <v>0.34755580672506353</v>
      </c>
      <c r="K228" s="18">
        <v>0.35672877846790862</v>
      </c>
      <c r="L228" s="18">
        <v>0.36886333480760775</v>
      </c>
      <c r="M228" s="18">
        <v>0.37033633523249399</v>
      </c>
      <c r="N228" s="18">
        <v>0.3062803671045522</v>
      </c>
      <c r="O228" s="18">
        <v>0.33097595473833147</v>
      </c>
      <c r="P228" s="18">
        <v>0.35024752475247511</v>
      </c>
      <c r="Q228" s="18">
        <v>0.33539731682146545</v>
      </c>
      <c r="R228" s="18">
        <v>0.33414080242240723</v>
      </c>
      <c r="S228" s="18">
        <v>0.3226013134710875</v>
      </c>
      <c r="T228" s="108">
        <f t="shared" si="50"/>
        <v>-2.4954493253976029</v>
      </c>
      <c r="U228" s="108">
        <f t="shared" si="51"/>
        <v>-0.83746412672439652</v>
      </c>
      <c r="V228" s="108">
        <f t="shared" si="52"/>
        <v>-1.1539488951319732</v>
      </c>
    </row>
    <row r="229" spans="1:22" ht="15" customHeight="1" x14ac:dyDescent="0.25">
      <c r="A229" s="30" t="s">
        <v>71</v>
      </c>
      <c r="B229" s="18">
        <v>0.36474501108647434</v>
      </c>
      <c r="C229" s="18">
        <v>0.35847986386840613</v>
      </c>
      <c r="D229" s="18">
        <v>0.26873508353221953</v>
      </c>
      <c r="E229" s="18">
        <v>0.34472727272727305</v>
      </c>
      <c r="F229" s="18">
        <v>0.38601823708206684</v>
      </c>
      <c r="G229" s="18">
        <v>0.35628227194492268</v>
      </c>
      <c r="H229" s="18">
        <v>0.37631416202844781</v>
      </c>
      <c r="I229" s="18">
        <v>0.3378730802665893</v>
      </c>
      <c r="J229" s="18">
        <v>0.3409727527374587</v>
      </c>
      <c r="K229" s="18">
        <v>0.31307847082494994</v>
      </c>
      <c r="L229" s="18">
        <v>0.31093863691486767</v>
      </c>
      <c r="M229" s="18">
        <v>0.30814660413409745</v>
      </c>
      <c r="N229" s="18">
        <v>0.28506444275966641</v>
      </c>
      <c r="O229" s="18">
        <v>0.27526595744680837</v>
      </c>
      <c r="P229" s="18">
        <v>0.30696600923206041</v>
      </c>
      <c r="Q229" s="18">
        <v>0.32729532942638973</v>
      </c>
      <c r="R229" s="18">
        <v>0.3240429280794489</v>
      </c>
      <c r="S229" s="18">
        <v>0.29816513761467905</v>
      </c>
      <c r="T229" s="108">
        <f t="shared" si="50"/>
        <v>-4.2807615122779641</v>
      </c>
      <c r="U229" s="108">
        <f t="shared" si="51"/>
        <v>2.2899180167870679</v>
      </c>
      <c r="V229" s="108">
        <f t="shared" si="52"/>
        <v>-2.5877790464769843</v>
      </c>
    </row>
    <row r="230" spans="1:22" ht="15" customHeight="1" x14ac:dyDescent="0.25">
      <c r="A230" s="31" t="s">
        <v>82</v>
      </c>
      <c r="B230" s="73">
        <v>0.44016506189821164</v>
      </c>
      <c r="C230" s="73">
        <v>0.43752432853250295</v>
      </c>
      <c r="D230" s="73">
        <v>0.53696925329428991</v>
      </c>
      <c r="E230" s="73">
        <v>0.39500924214417743</v>
      </c>
      <c r="F230" s="73">
        <v>0.35694665317334107</v>
      </c>
      <c r="G230" s="73">
        <v>0.48130081300813016</v>
      </c>
      <c r="H230" s="73">
        <v>0.36684518013631939</v>
      </c>
      <c r="I230" s="73">
        <v>0.40455153949129863</v>
      </c>
      <c r="J230" s="73">
        <v>0.6212292609351433</v>
      </c>
      <c r="K230" s="73">
        <v>0.34711125784087149</v>
      </c>
      <c r="L230" s="73">
        <v>0.3281214848143984</v>
      </c>
      <c r="M230" s="73">
        <v>0.44114149821640891</v>
      </c>
      <c r="N230" s="73">
        <v>0.42621637092157999</v>
      </c>
      <c r="O230" s="73">
        <v>0.28629162625282889</v>
      </c>
      <c r="P230" s="73">
        <v>0.23715018396699752</v>
      </c>
      <c r="Q230" s="73">
        <v>0.41017271861825122</v>
      </c>
      <c r="R230" s="73">
        <v>0.43062422744128576</v>
      </c>
      <c r="S230" s="73">
        <v>0.446750902527076</v>
      </c>
      <c r="T230" s="126">
        <f t="shared" si="50"/>
        <v>-17.447835840806729</v>
      </c>
      <c r="U230" s="126">
        <f t="shared" si="51"/>
        <v>16.04592762742471</v>
      </c>
      <c r="V230" s="126">
        <f t="shared" si="52"/>
        <v>1.6126675085790243</v>
      </c>
    </row>
    <row r="231" spans="1:22" ht="15" customHeight="1" x14ac:dyDescent="0.25">
      <c r="A231" s="30" t="s">
        <v>72</v>
      </c>
      <c r="B231" s="18">
        <v>0.44063604240282689</v>
      </c>
      <c r="C231" s="18">
        <v>0.45820506748756828</v>
      </c>
      <c r="D231" s="18">
        <v>0.52398871119473178</v>
      </c>
      <c r="E231" s="18">
        <v>0.41766576951309031</v>
      </c>
      <c r="F231" s="18">
        <v>0.38097028958254986</v>
      </c>
      <c r="G231" s="18">
        <v>0.48044106064583914</v>
      </c>
      <c r="H231" s="18">
        <v>0.36000623927624437</v>
      </c>
      <c r="I231" s="18">
        <v>0.41404109589041094</v>
      </c>
      <c r="J231" s="18">
        <v>0.63834951456310685</v>
      </c>
      <c r="K231" s="18">
        <v>0.35521856997627932</v>
      </c>
      <c r="L231" s="18">
        <v>0.32840278765467218</v>
      </c>
      <c r="M231" s="18">
        <v>0.4347175458286569</v>
      </c>
      <c r="N231" s="18">
        <v>0.41663038746190661</v>
      </c>
      <c r="O231" s="18">
        <v>0.2609534838834201</v>
      </c>
      <c r="P231" s="18">
        <v>0.21925722145804633</v>
      </c>
      <c r="Q231" s="18">
        <v>0.35727239753355067</v>
      </c>
      <c r="R231" s="18">
        <v>0.40725474031327286</v>
      </c>
      <c r="S231" s="18">
        <v>0.42492781520692979</v>
      </c>
      <c r="T231" s="108">
        <f t="shared" si="50"/>
        <v>-21.342169935617704</v>
      </c>
      <c r="U231" s="108">
        <f t="shared" si="51"/>
        <v>16.397433132350969</v>
      </c>
      <c r="V231" s="108">
        <f t="shared" si="52"/>
        <v>1.7673074893656937</v>
      </c>
    </row>
    <row r="232" spans="1:22" ht="15" customHeight="1" x14ac:dyDescent="0.25">
      <c r="A232" s="30" t="s">
        <v>71</v>
      </c>
      <c r="B232" s="18">
        <v>0.43850931677018629</v>
      </c>
      <c r="C232" s="18">
        <v>0.34207650273224055</v>
      </c>
      <c r="D232" s="18">
        <v>0.5825082508250824</v>
      </c>
      <c r="E232" s="18">
        <v>0.32501889644746784</v>
      </c>
      <c r="F232" s="18">
        <v>0.27704815509693559</v>
      </c>
      <c r="G232" s="18">
        <v>0.48424842484248426</v>
      </c>
      <c r="H232" s="18">
        <v>0.39113573407202207</v>
      </c>
      <c r="I232" s="18">
        <v>0.37055214723926383</v>
      </c>
      <c r="J232" s="18">
        <v>0.58145363408521322</v>
      </c>
      <c r="K232" s="18">
        <v>0.31846752469320549</v>
      </c>
      <c r="L232" s="18">
        <v>0.32705755782678841</v>
      </c>
      <c r="M232" s="18">
        <v>0.4659913169319827</v>
      </c>
      <c r="N232" s="18">
        <v>0.46203904555314546</v>
      </c>
      <c r="O232" s="18">
        <v>0.4169154228855721</v>
      </c>
      <c r="P232" s="18">
        <v>0.31371394938198949</v>
      </c>
      <c r="Q232" s="18">
        <v>0.56878738444806975</v>
      </c>
      <c r="R232" s="18">
        <v>0.50061728395061711</v>
      </c>
      <c r="S232" s="18">
        <v>0.51228323699421985</v>
      </c>
      <c r="T232" s="108">
        <f t="shared" si="50"/>
        <v>-6.9170397090993374</v>
      </c>
      <c r="U232" s="108">
        <f t="shared" si="51"/>
        <v>9.5367814108647746</v>
      </c>
      <c r="V232" s="108">
        <f t="shared" si="52"/>
        <v>1.1665953043602739</v>
      </c>
    </row>
    <row r="233" spans="1:22" ht="15" customHeight="1" x14ac:dyDescent="0.25">
      <c r="A233" s="31" t="s">
        <v>84</v>
      </c>
      <c r="B233" s="73">
        <v>0.40646492434663029</v>
      </c>
      <c r="C233" s="73">
        <v>0.46496229538348349</v>
      </c>
      <c r="D233" s="73">
        <v>0.47731783385313298</v>
      </c>
      <c r="E233" s="73">
        <v>0.3526329930145084</v>
      </c>
      <c r="F233" s="73">
        <v>0.36934306569343073</v>
      </c>
      <c r="G233" s="73">
        <v>0.46379064645679507</v>
      </c>
      <c r="H233" s="73">
        <v>0.45205344861465901</v>
      </c>
      <c r="I233" s="73">
        <v>0.44580014117172528</v>
      </c>
      <c r="J233" s="73">
        <v>0.40108660914030031</v>
      </c>
      <c r="K233" s="73">
        <v>0.35686631746754727</v>
      </c>
      <c r="L233" s="73">
        <v>0.41463586420622611</v>
      </c>
      <c r="M233" s="73">
        <v>0.45339111592632708</v>
      </c>
      <c r="N233" s="73">
        <v>0.43401490400499249</v>
      </c>
      <c r="O233" s="73">
        <v>0.43849478939784875</v>
      </c>
      <c r="P233" s="73">
        <v>0.53568022197173326</v>
      </c>
      <c r="Q233" s="73">
        <v>0.52066310960603268</v>
      </c>
      <c r="R233" s="73">
        <v>0.47273199606613342</v>
      </c>
      <c r="S233" s="73">
        <v>0.40423618293834596</v>
      </c>
      <c r="T233" s="126">
        <f t="shared" si="50"/>
        <v>0.31495737980456462</v>
      </c>
      <c r="U233" s="126">
        <f t="shared" si="51"/>
        <v>-3.4258606459502792</v>
      </c>
      <c r="V233" s="126">
        <f t="shared" si="52"/>
        <v>-6.8495813127787466</v>
      </c>
    </row>
    <row r="234" spans="1:22" ht="15" customHeight="1" x14ac:dyDescent="0.25">
      <c r="A234" s="30" t="s">
        <v>72</v>
      </c>
      <c r="B234" s="18">
        <v>0.46033584250144749</v>
      </c>
      <c r="C234" s="18">
        <v>0.47064709806537697</v>
      </c>
      <c r="D234" s="18">
        <v>0.44605554190218738</v>
      </c>
      <c r="E234" s="18">
        <v>0.32348033373063168</v>
      </c>
      <c r="F234" s="18">
        <v>0.34342607746863058</v>
      </c>
      <c r="G234" s="18">
        <v>0.4512491709042673</v>
      </c>
      <c r="H234" s="18">
        <v>0.4379824089032488</v>
      </c>
      <c r="I234" s="18">
        <v>0.42363762582436654</v>
      </c>
      <c r="J234" s="18">
        <v>0.38161294709642324</v>
      </c>
      <c r="K234" s="18">
        <v>0.37394229788969308</v>
      </c>
      <c r="L234" s="18">
        <v>0.38488617695376676</v>
      </c>
      <c r="M234" s="18">
        <v>0.44954194102490697</v>
      </c>
      <c r="N234" s="18">
        <v>0.42954739538855691</v>
      </c>
      <c r="O234" s="18">
        <v>0.42478912839737587</v>
      </c>
      <c r="P234" s="18">
        <v>0.53783221184102248</v>
      </c>
      <c r="Q234" s="18">
        <v>0.53142762173840796</v>
      </c>
      <c r="R234" s="18">
        <v>0.46236593771135953</v>
      </c>
      <c r="S234" s="18">
        <v>0.40745504526998061</v>
      </c>
      <c r="T234" s="108">
        <f t="shared" si="50"/>
        <v>2.5842098173557373</v>
      </c>
      <c r="U234" s="108">
        <f t="shared" si="51"/>
        <v>-1.7334083127395261</v>
      </c>
      <c r="V234" s="108">
        <f t="shared" si="52"/>
        <v>-5.4910892441378927</v>
      </c>
    </row>
    <row r="235" spans="1:22" ht="15" customHeight="1" x14ac:dyDescent="0.25">
      <c r="A235" s="30" t="s">
        <v>71</v>
      </c>
      <c r="B235" s="18">
        <v>0.32768839966130403</v>
      </c>
      <c r="C235" s="18">
        <v>0.45797457974579769</v>
      </c>
      <c r="D235" s="18">
        <v>0.51993299832495798</v>
      </c>
      <c r="E235" s="18">
        <v>0.39027393044013553</v>
      </c>
      <c r="F235" s="18">
        <v>0.40736294517807115</v>
      </c>
      <c r="G235" s="18">
        <v>0.48153942428035051</v>
      </c>
      <c r="H235" s="18">
        <v>0.46906880833514208</v>
      </c>
      <c r="I235" s="18">
        <v>0.47653429602888092</v>
      </c>
      <c r="J235" s="18">
        <v>0.42882045322486945</v>
      </c>
      <c r="K235" s="18">
        <v>0.33526756931012258</v>
      </c>
      <c r="L235" s="18">
        <v>0.45930232558139539</v>
      </c>
      <c r="M235" s="18">
        <v>0.45929913215423496</v>
      </c>
      <c r="N235" s="18">
        <v>0.44076703235917786</v>
      </c>
      <c r="O235" s="18">
        <v>0.45681622425808477</v>
      </c>
      <c r="P235" s="18">
        <v>0.53249175154210293</v>
      </c>
      <c r="Q235" s="18">
        <v>0.50502269873466621</v>
      </c>
      <c r="R235" s="18">
        <v>0.48680005253710429</v>
      </c>
      <c r="S235" s="18">
        <v>0.39951958610495197</v>
      </c>
      <c r="T235" s="108">
        <f t="shared" si="50"/>
        <v>-2.9300867119917475</v>
      </c>
      <c r="U235" s="108">
        <f t="shared" si="51"/>
        <v>-5.7296638153132795</v>
      </c>
      <c r="V235" s="108">
        <f t="shared" si="52"/>
        <v>-8.7280466432152313</v>
      </c>
    </row>
    <row r="236" spans="1:22" ht="15" customHeight="1" x14ac:dyDescent="0.25">
      <c r="A236" s="31" t="s">
        <v>0</v>
      </c>
      <c r="B236" s="20">
        <v>0.41365670864994286</v>
      </c>
      <c r="C236" s="20">
        <v>0.42943049168730096</v>
      </c>
      <c r="D236" s="20">
        <v>0.45085457271364315</v>
      </c>
      <c r="E236" s="20">
        <v>0.37330634733232126</v>
      </c>
      <c r="F236" s="20">
        <v>0.37134637514384355</v>
      </c>
      <c r="G236" s="20">
        <v>0.43648535564853552</v>
      </c>
      <c r="H236" s="20">
        <v>0.40600495673018344</v>
      </c>
      <c r="I236" s="20">
        <v>0.40984633372306684</v>
      </c>
      <c r="J236" s="20">
        <v>0.43043581428458438</v>
      </c>
      <c r="K236" s="20">
        <v>0.34825566350655146</v>
      </c>
      <c r="L236" s="20">
        <v>0.37040305045221061</v>
      </c>
      <c r="M236" s="20">
        <v>0.41996536669837337</v>
      </c>
      <c r="N236" s="20">
        <v>0.40060672092973582</v>
      </c>
      <c r="O236" s="20">
        <v>0.39084027421119616</v>
      </c>
      <c r="P236" s="20">
        <v>0.44793351133842291</v>
      </c>
      <c r="Q236" s="20">
        <v>0.47786288062768545</v>
      </c>
      <c r="R236" s="20">
        <v>0.44382674734671018</v>
      </c>
      <c r="S236" s="20">
        <v>0.39358852808722461</v>
      </c>
      <c r="T236" s="126">
        <f t="shared" si="50"/>
        <v>-3.6847286197359774</v>
      </c>
      <c r="U236" s="126">
        <f t="shared" si="51"/>
        <v>0.27482538760284503</v>
      </c>
      <c r="V236" s="126">
        <f t="shared" si="52"/>
        <v>-5.0238219259485568</v>
      </c>
    </row>
    <row r="237" spans="1:22" ht="15" customHeight="1" x14ac:dyDescent="0.25">
      <c r="Q237" s="142"/>
      <c r="R237" s="142"/>
      <c r="S237" s="142"/>
    </row>
    <row r="238" spans="1:22" ht="15" customHeight="1" x14ac:dyDescent="0.25">
      <c r="A238" s="8"/>
      <c r="B238" s="8"/>
      <c r="C238" s="8"/>
      <c r="D238" s="8"/>
      <c r="E238" s="8"/>
      <c r="F238" s="8"/>
      <c r="G238" s="8"/>
      <c r="H238" s="8"/>
      <c r="I238" s="8"/>
      <c r="J238" s="8"/>
      <c r="K238" s="8"/>
      <c r="L238" s="8"/>
      <c r="M238" s="8"/>
      <c r="N238" s="8"/>
      <c r="O238" s="8"/>
      <c r="P238" s="8"/>
      <c r="Q238" s="8"/>
      <c r="R238" s="8"/>
      <c r="S238" s="8"/>
      <c r="T238" s="8"/>
      <c r="U238" s="8"/>
      <c r="V238" s="8"/>
    </row>
    <row r="239" spans="1:22" ht="15" customHeight="1" x14ac:dyDescent="0.25">
      <c r="A239" s="122" t="s">
        <v>112</v>
      </c>
      <c r="B239" s="25"/>
      <c r="C239" s="80"/>
      <c r="D239" s="80"/>
      <c r="E239" s="80"/>
      <c r="F239" s="80"/>
      <c r="G239" s="80"/>
      <c r="H239" s="80"/>
      <c r="I239" s="80"/>
      <c r="N239" s="80"/>
      <c r="O239" s="80"/>
      <c r="P239" s="80"/>
      <c r="Q239" s="143"/>
      <c r="R239" s="143"/>
      <c r="S239" s="143"/>
      <c r="T239" s="80"/>
      <c r="U239" s="80"/>
      <c r="V239" s="80"/>
    </row>
    <row r="240" spans="1:22" ht="15" customHeight="1" x14ac:dyDescent="0.25">
      <c r="A240" s="8"/>
      <c r="B240" s="8"/>
    </row>
    <row r="241" spans="1:22" ht="15" customHeight="1" x14ac:dyDescent="0.25">
      <c r="A241" s="12" t="s">
        <v>94</v>
      </c>
      <c r="B241" s="12"/>
      <c r="C241" s="81"/>
      <c r="D241" s="81"/>
      <c r="E241" s="81"/>
      <c r="F241" s="81"/>
      <c r="G241" s="81"/>
      <c r="H241" s="81"/>
      <c r="I241" s="81"/>
      <c r="N241" s="81"/>
      <c r="O241" s="81"/>
      <c r="P241" s="81"/>
      <c r="Q241" s="81"/>
      <c r="R241" s="81"/>
      <c r="S241" s="81"/>
      <c r="T241" s="81"/>
      <c r="U241" s="81"/>
      <c r="V241" s="81"/>
    </row>
    <row r="242" spans="1:22" ht="15" customHeight="1" x14ac:dyDescent="0.25"/>
    <row r="243" spans="1:22" ht="15" customHeight="1" x14ac:dyDescent="0.25"/>
    <row r="244" spans="1:22" ht="15" customHeight="1" x14ac:dyDescent="0.25"/>
    <row r="245" spans="1:22" ht="15" customHeight="1" x14ac:dyDescent="0.25"/>
    <row r="246" spans="1:22" ht="15" customHeight="1" x14ac:dyDescent="0.25"/>
    <row r="247" spans="1:22" ht="15" customHeight="1" x14ac:dyDescent="0.25"/>
    <row r="248" spans="1:22" ht="15" customHeight="1" x14ac:dyDescent="0.25"/>
    <row r="249" spans="1:22" ht="15" customHeight="1" x14ac:dyDescent="0.25"/>
    <row r="250" spans="1:22" ht="15" customHeight="1" x14ac:dyDescent="0.25"/>
    <row r="251" spans="1:22" ht="15" customHeight="1" x14ac:dyDescent="0.25"/>
    <row r="252" spans="1:22" ht="15" customHeight="1" x14ac:dyDescent="0.25"/>
    <row r="253" spans="1:22" ht="15" customHeight="1" x14ac:dyDescent="0.25"/>
    <row r="254" spans="1:22" ht="15" customHeight="1" x14ac:dyDescent="0.25"/>
    <row r="255" spans="1:22" ht="15" customHeight="1" x14ac:dyDescent="0.25"/>
    <row r="256" spans="1:22"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sheetData>
  <sortState xmlns:xlrd2="http://schemas.microsoft.com/office/spreadsheetml/2017/richdata2" ref="A189:V198">
    <sortCondition ref="S189:S198"/>
  </sortState>
  <hyperlinks>
    <hyperlink ref="A241" location="Índice!A1" display="Volver al índice" xr:uid="{00000000-0004-0000-0600-000000000000}"/>
    <hyperlink ref="A4" location="Índice!A1" display="Volver al índice" xr:uid="{00000000-0004-0000-0600-000001000000}"/>
  </hyperlinks>
  <pageMargins left="0.7" right="0.7" top="0.75" bottom="0.75" header="0.3" footer="0.3"/>
  <pageSetup scale="82" orientation="landscape"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T2212"/>
  <sheetViews>
    <sheetView showGridLines="0" zoomScale="80" zoomScaleNormal="80" workbookViewId="0">
      <pane ySplit="3" topLeftCell="A4" activePane="bottomLeft" state="frozen"/>
      <selection pane="bottomLeft" activeCell="A3" sqref="A3"/>
    </sheetView>
  </sheetViews>
  <sheetFormatPr baseColWidth="10" defaultRowHeight="15" x14ac:dyDescent="0.25"/>
  <cols>
    <col min="1" max="1" width="53.7109375" customWidth="1"/>
    <col min="2" max="2" width="12.140625" customWidth="1"/>
    <col min="3" max="17" width="8.7109375" style="136" customWidth="1"/>
    <col min="18" max="18" width="12" style="114" customWidth="1"/>
    <col min="19" max="19" width="12.7109375" style="114" customWidth="1"/>
    <col min="20" max="20" width="12.85546875" style="111" customWidth="1"/>
    <col min="21" max="21" width="7.5703125" customWidth="1"/>
  </cols>
  <sheetData>
    <row r="1" spans="1:20" ht="21" x14ac:dyDescent="0.25">
      <c r="A1" s="13" t="s">
        <v>475</v>
      </c>
      <c r="B1" s="13"/>
      <c r="C1" s="78"/>
      <c r="D1" s="78"/>
      <c r="E1" s="78"/>
      <c r="F1" s="78"/>
      <c r="G1" s="3"/>
      <c r="H1" s="3"/>
      <c r="I1" s="3"/>
      <c r="J1" s="3"/>
      <c r="K1" s="3"/>
      <c r="L1" s="3"/>
      <c r="M1" s="3"/>
      <c r="N1" s="3"/>
      <c r="O1" s="3"/>
      <c r="P1" s="3"/>
      <c r="Q1" s="3"/>
      <c r="R1" s="111"/>
      <c r="S1" s="111"/>
    </row>
    <row r="2" spans="1:20" x14ac:dyDescent="0.25">
      <c r="A2" s="24" t="s">
        <v>133</v>
      </c>
      <c r="B2" s="24"/>
      <c r="C2" s="99"/>
      <c r="D2" s="99"/>
      <c r="E2" s="99"/>
      <c r="F2" s="99"/>
      <c r="G2" s="3"/>
      <c r="H2" s="3"/>
      <c r="I2" s="3"/>
      <c r="J2" s="3"/>
      <c r="K2" s="3"/>
      <c r="L2" s="3"/>
      <c r="M2" s="3"/>
      <c r="N2" s="3"/>
      <c r="O2" s="3"/>
      <c r="P2" s="3"/>
      <c r="Q2" s="3"/>
      <c r="R2" s="111"/>
      <c r="S2" s="111"/>
    </row>
    <row r="3" spans="1:20" x14ac:dyDescent="0.25">
      <c r="A3" s="12" t="s">
        <v>94</v>
      </c>
      <c r="B3" s="12"/>
      <c r="C3" s="81"/>
      <c r="D3" s="81"/>
      <c r="E3" s="81"/>
      <c r="F3" s="81"/>
      <c r="G3" s="3"/>
      <c r="H3" s="3"/>
      <c r="I3" s="3"/>
      <c r="J3" s="3"/>
      <c r="K3" s="3"/>
      <c r="L3" s="3"/>
      <c r="M3" s="3"/>
      <c r="N3" s="3"/>
      <c r="O3" s="3"/>
      <c r="P3" s="3"/>
      <c r="Q3" s="3"/>
      <c r="R3" s="111"/>
      <c r="S3" s="111"/>
    </row>
    <row r="4" spans="1:20" x14ac:dyDescent="0.25">
      <c r="A4" s="12"/>
      <c r="B4" s="12"/>
      <c r="C4" s="81"/>
      <c r="D4" s="81"/>
      <c r="E4" s="81"/>
      <c r="F4" s="81"/>
      <c r="G4" s="3"/>
      <c r="H4" s="3"/>
      <c r="I4" s="3"/>
      <c r="J4" s="3"/>
      <c r="K4" s="3"/>
      <c r="L4" s="3"/>
      <c r="M4" s="3"/>
      <c r="N4" s="3"/>
      <c r="O4" s="3"/>
      <c r="P4" s="3"/>
      <c r="Q4" s="3"/>
      <c r="R4" s="111"/>
      <c r="S4" s="111"/>
    </row>
    <row r="5" spans="1:20" ht="15.75" x14ac:dyDescent="0.25">
      <c r="A5" s="91" t="s">
        <v>333</v>
      </c>
      <c r="B5" s="91"/>
      <c r="C5" s="110"/>
      <c r="D5" s="110"/>
      <c r="E5" s="110"/>
      <c r="F5" s="110"/>
      <c r="G5" s="82"/>
      <c r="H5" s="82"/>
      <c r="I5" s="82"/>
      <c r="J5" s="82"/>
      <c r="K5" s="82"/>
      <c r="L5" s="82"/>
      <c r="M5" s="82"/>
      <c r="N5" s="82"/>
      <c r="O5" s="82"/>
      <c r="P5" s="82"/>
      <c r="Q5" s="82"/>
      <c r="R5" s="111"/>
      <c r="S5" s="111"/>
    </row>
    <row r="6" spans="1:20" ht="48" customHeight="1" x14ac:dyDescent="0.25">
      <c r="A6" s="133" t="s">
        <v>332</v>
      </c>
      <c r="B6" s="27" t="s">
        <v>399</v>
      </c>
      <c r="C6" s="15">
        <v>2010</v>
      </c>
      <c r="D6" s="15">
        <v>2011</v>
      </c>
      <c r="E6" s="15">
        <v>2012</v>
      </c>
      <c r="F6" s="15">
        <v>2013</v>
      </c>
      <c r="G6" s="15">
        <v>2014</v>
      </c>
      <c r="H6" s="15">
        <v>2015</v>
      </c>
      <c r="I6" s="15">
        <v>2016</v>
      </c>
      <c r="J6" s="15">
        <v>2017</v>
      </c>
      <c r="K6" s="15">
        <v>2018</v>
      </c>
      <c r="L6" s="15">
        <v>2019</v>
      </c>
      <c r="M6" s="15">
        <v>2020</v>
      </c>
      <c r="N6" s="15">
        <v>2021</v>
      </c>
      <c r="O6" s="15">
        <v>2022</v>
      </c>
      <c r="P6" s="15">
        <v>2023</v>
      </c>
      <c r="Q6" s="15">
        <v>2024</v>
      </c>
      <c r="R6" s="27" t="s">
        <v>469</v>
      </c>
      <c r="S6" s="27" t="s">
        <v>470</v>
      </c>
      <c r="T6" s="27" t="s">
        <v>471</v>
      </c>
    </row>
    <row r="7" spans="1:20" x14ac:dyDescent="0.25">
      <c r="A7" s="95" t="s">
        <v>312</v>
      </c>
      <c r="B7" s="134">
        <v>382</v>
      </c>
      <c r="C7" s="221">
        <v>11.200000000000031</v>
      </c>
      <c r="D7" s="221">
        <v>10.7</v>
      </c>
      <c r="E7" s="221">
        <v>11.384615384615362</v>
      </c>
      <c r="F7" s="221">
        <v>9.3333333333333339</v>
      </c>
      <c r="G7" s="221">
        <v>6.4621848739495817</v>
      </c>
      <c r="H7" s="221">
        <v>9.5277777777777697</v>
      </c>
      <c r="I7" s="221">
        <v>9.6875</v>
      </c>
      <c r="J7" s="221">
        <v>9.9473684210526212</v>
      </c>
      <c r="K7" s="221">
        <v>8.8571428571428719</v>
      </c>
      <c r="L7" s="221">
        <v>10.299999999999997</v>
      </c>
      <c r="M7" s="221">
        <v>9.6666666666666892</v>
      </c>
      <c r="N7" s="221">
        <v>8.7419354838709715</v>
      </c>
      <c r="O7" s="221">
        <v>9.9166666666666661</v>
      </c>
      <c r="P7" s="221">
        <v>9.4857142857142751</v>
      </c>
      <c r="Q7" s="221">
        <v>7.8809523809523814</v>
      </c>
      <c r="R7" s="222">
        <f>IFERROR((Q7-H7),"n/a")</f>
        <v>-1.6468253968253883</v>
      </c>
      <c r="S7" s="222">
        <f>IFERROR((Q7-M7),"n/a")</f>
        <v>-1.7857142857143078</v>
      </c>
      <c r="T7" s="222">
        <f>IFERROR((Q7-P7),"n/a")</f>
        <v>-1.6047619047618937</v>
      </c>
    </row>
    <row r="8" spans="1:20" x14ac:dyDescent="0.25">
      <c r="A8" s="95" t="s">
        <v>195</v>
      </c>
      <c r="B8" s="134">
        <v>456</v>
      </c>
      <c r="C8" s="221">
        <v>6.9948186528497409</v>
      </c>
      <c r="D8" s="221">
        <v>6.813186813186813</v>
      </c>
      <c r="E8" s="221">
        <v>6.1725239616613434</v>
      </c>
      <c r="F8" s="221">
        <v>6.798594847775175</v>
      </c>
      <c r="G8" s="221">
        <v>6.6047619047619044</v>
      </c>
      <c r="H8" s="221">
        <v>6.41588785046729</v>
      </c>
      <c r="I8" s="221">
        <v>6.3836930455635494</v>
      </c>
      <c r="J8" s="221">
        <v>6.5291479820627805</v>
      </c>
      <c r="K8" s="221">
        <v>6.6411483253588512</v>
      </c>
      <c r="L8" s="221">
        <v>6.7356979405034325</v>
      </c>
      <c r="M8" s="221">
        <v>6.645833333333333</v>
      </c>
      <c r="N8" s="221">
        <v>7.0512618296529972</v>
      </c>
      <c r="O8" s="221">
        <v>7.0511402902557014</v>
      </c>
      <c r="P8" s="221">
        <v>6.5084355828220861</v>
      </c>
      <c r="Q8" s="221">
        <v>6.155435759209344</v>
      </c>
      <c r="R8" s="222">
        <f t="shared" ref="R8:R43" si="0">IFERROR((Q8-H8),"n/a")</f>
        <v>-0.26045209125794599</v>
      </c>
      <c r="S8" s="222">
        <f t="shared" ref="S8:S43" si="1">IFERROR((Q8-M8),"n/a")</f>
        <v>-0.49039757412398899</v>
      </c>
      <c r="T8" s="106">
        <f t="shared" ref="T8:T43" si="2">IFERROR((Q8-P8),"n/a")</f>
        <v>-0.35299982361274207</v>
      </c>
    </row>
    <row r="9" spans="1:20" x14ac:dyDescent="0.25">
      <c r="A9" s="95" t="s">
        <v>294</v>
      </c>
      <c r="B9" s="134">
        <v>312</v>
      </c>
      <c r="C9" s="221">
        <v>4.833333333333333</v>
      </c>
      <c r="D9" s="221" t="s">
        <v>100</v>
      </c>
      <c r="E9" s="221">
        <v>6.1814814814814829</v>
      </c>
      <c r="F9" s="221">
        <v>5.8181818181818201</v>
      </c>
      <c r="G9" s="221">
        <v>7.0357142857142847</v>
      </c>
      <c r="H9" s="221">
        <v>7.0299999999999985</v>
      </c>
      <c r="I9" s="221">
        <v>5.5217391304347823</v>
      </c>
      <c r="J9" s="221">
        <v>4.7419354838709706</v>
      </c>
      <c r="K9" s="221">
        <v>6.4551724137931039</v>
      </c>
      <c r="L9" s="221">
        <v>7.4</v>
      </c>
      <c r="M9" s="221">
        <v>4.4705882352941169</v>
      </c>
      <c r="N9" s="221">
        <v>5.1818181818181808</v>
      </c>
      <c r="O9" s="221">
        <v>5.3243243243243255</v>
      </c>
      <c r="P9" s="221">
        <v>5.7560975609756095</v>
      </c>
      <c r="Q9" s="221">
        <v>6.5057471264367814</v>
      </c>
      <c r="R9" s="222">
        <f t="shared" si="0"/>
        <v>-0.52425287356321704</v>
      </c>
      <c r="S9" s="222">
        <f t="shared" si="1"/>
        <v>2.0351588911426646</v>
      </c>
      <c r="T9" s="222">
        <f t="shared" si="2"/>
        <v>0.7496495654611719</v>
      </c>
    </row>
    <row r="10" spans="1:20" x14ac:dyDescent="0.25">
      <c r="A10" s="95" t="s">
        <v>315</v>
      </c>
      <c r="B10" s="134">
        <v>236</v>
      </c>
      <c r="C10" s="221" t="s">
        <v>100</v>
      </c>
      <c r="D10" s="221" t="s">
        <v>100</v>
      </c>
      <c r="E10" s="221">
        <v>5.352941176470587</v>
      </c>
      <c r="F10" s="221" t="s">
        <v>100</v>
      </c>
      <c r="G10" s="221" t="s">
        <v>100</v>
      </c>
      <c r="H10" s="221">
        <v>8.3333333333333339</v>
      </c>
      <c r="I10" s="221">
        <v>7.9999999999999991</v>
      </c>
      <c r="J10" s="221" t="s">
        <v>100</v>
      </c>
      <c r="K10" s="221" t="s">
        <v>100</v>
      </c>
      <c r="L10" s="221">
        <v>7.4615384615384581</v>
      </c>
      <c r="M10" s="221" t="s">
        <v>100</v>
      </c>
      <c r="N10" s="221">
        <v>9.8000000000000007</v>
      </c>
      <c r="O10" s="221" t="s">
        <v>100</v>
      </c>
      <c r="P10" s="221">
        <v>7</v>
      </c>
      <c r="Q10" s="221">
        <v>9.0909090909090899</v>
      </c>
      <c r="R10" s="222">
        <f t="shared" si="0"/>
        <v>0.75757575757575601</v>
      </c>
      <c r="S10" s="222" t="str">
        <f t="shared" si="1"/>
        <v>n/a</v>
      </c>
      <c r="T10" s="222">
        <f t="shared" si="2"/>
        <v>2.0909090909090899</v>
      </c>
    </row>
    <row r="11" spans="1:20" x14ac:dyDescent="0.25">
      <c r="A11" s="95" t="s">
        <v>196</v>
      </c>
      <c r="B11" s="134">
        <v>218</v>
      </c>
      <c r="C11" s="221">
        <v>6.8361581920903989</v>
      </c>
      <c r="D11" s="221">
        <v>6.7051851851851829</v>
      </c>
      <c r="E11" s="221">
        <v>6.7364568081991232</v>
      </c>
      <c r="F11" s="221">
        <v>6.5538881309686197</v>
      </c>
      <c r="G11" s="221">
        <v>6.7771173848439794</v>
      </c>
      <c r="H11" s="221">
        <v>6.2821846553966205</v>
      </c>
      <c r="I11" s="221">
        <v>6.390243902439023</v>
      </c>
      <c r="J11" s="221">
        <v>6.2774480712166199</v>
      </c>
      <c r="K11" s="221">
        <v>6.3543990086741031</v>
      </c>
      <c r="L11" s="221">
        <v>6.4017316017316013</v>
      </c>
      <c r="M11" s="221">
        <v>6.4451970443349751</v>
      </c>
      <c r="N11" s="221">
        <v>6.3860379103097547</v>
      </c>
      <c r="O11" s="221">
        <v>5.8846345101939344</v>
      </c>
      <c r="P11" s="221">
        <v>6.0810042633822841</v>
      </c>
      <c r="Q11" s="221">
        <v>6.133153638814016</v>
      </c>
      <c r="R11" s="222">
        <f t="shared" si="0"/>
        <v>-0.14903101658260454</v>
      </c>
      <c r="S11" s="222">
        <f t="shared" si="1"/>
        <v>-0.31204340552095911</v>
      </c>
      <c r="T11" s="222">
        <f t="shared" si="2"/>
        <v>5.2149375431731926E-2</v>
      </c>
    </row>
    <row r="12" spans="1:20" x14ac:dyDescent="0.25">
      <c r="A12" s="95" t="s">
        <v>352</v>
      </c>
      <c r="B12" s="134">
        <v>908</v>
      </c>
      <c r="C12" s="221" t="s">
        <v>100</v>
      </c>
      <c r="D12" s="221" t="s">
        <v>100</v>
      </c>
      <c r="E12" s="221" t="s">
        <v>100</v>
      </c>
      <c r="F12" s="221" t="s">
        <v>100</v>
      </c>
      <c r="G12" s="221" t="s">
        <v>100</v>
      </c>
      <c r="H12" s="221" t="s">
        <v>100</v>
      </c>
      <c r="I12" s="221" t="s">
        <v>100</v>
      </c>
      <c r="J12" s="221" t="s">
        <v>100</v>
      </c>
      <c r="K12" s="221" t="s">
        <v>100</v>
      </c>
      <c r="L12" s="221" t="s">
        <v>100</v>
      </c>
      <c r="M12" s="221" t="s">
        <v>100</v>
      </c>
      <c r="N12" s="221" t="s">
        <v>100</v>
      </c>
      <c r="O12" s="221">
        <v>5.0454545454545467</v>
      </c>
      <c r="P12" s="221">
        <v>5.5857142857142854</v>
      </c>
      <c r="Q12" s="221">
        <v>6.0909090909090908</v>
      </c>
      <c r="R12" s="222" t="str">
        <f t="shared" si="0"/>
        <v>n/a</v>
      </c>
      <c r="S12" s="222" t="str">
        <f t="shared" si="1"/>
        <v>n/a</v>
      </c>
      <c r="T12" s="222">
        <f t="shared" si="2"/>
        <v>0.50519480519480542</v>
      </c>
    </row>
    <row r="13" spans="1:20" x14ac:dyDescent="0.25">
      <c r="A13" s="95" t="s">
        <v>349</v>
      </c>
      <c r="B13" s="134">
        <v>902</v>
      </c>
      <c r="C13" s="221" t="s">
        <v>100</v>
      </c>
      <c r="D13" s="221" t="s">
        <v>100</v>
      </c>
      <c r="E13" s="221" t="s">
        <v>100</v>
      </c>
      <c r="F13" s="221" t="s">
        <v>100</v>
      </c>
      <c r="G13" s="221" t="s">
        <v>100</v>
      </c>
      <c r="H13" s="221" t="s">
        <v>100</v>
      </c>
      <c r="I13" s="221" t="s">
        <v>100</v>
      </c>
      <c r="J13" s="221" t="s">
        <v>100</v>
      </c>
      <c r="K13" s="221" t="s">
        <v>100</v>
      </c>
      <c r="L13" s="221" t="s">
        <v>100</v>
      </c>
      <c r="M13" s="221" t="s">
        <v>100</v>
      </c>
      <c r="N13" s="221" t="s">
        <v>100</v>
      </c>
      <c r="O13" s="221">
        <v>4</v>
      </c>
      <c r="P13" s="221">
        <v>5.5354969574036508</v>
      </c>
      <c r="Q13" s="221">
        <v>5.7761467889908253</v>
      </c>
      <c r="R13" s="222" t="str">
        <f t="shared" si="0"/>
        <v>n/a</v>
      </c>
      <c r="S13" s="222" t="str">
        <f t="shared" si="1"/>
        <v>n/a</v>
      </c>
      <c r="T13" s="222">
        <f t="shared" si="2"/>
        <v>0.24064983158717457</v>
      </c>
    </row>
    <row r="14" spans="1:20" x14ac:dyDescent="0.25">
      <c r="A14" s="95" t="s">
        <v>409</v>
      </c>
      <c r="B14" s="134">
        <v>909</v>
      </c>
      <c r="C14" s="221" t="s">
        <v>100</v>
      </c>
      <c r="D14" s="221" t="s">
        <v>100</v>
      </c>
      <c r="E14" s="221" t="s">
        <v>100</v>
      </c>
      <c r="F14" s="221" t="s">
        <v>100</v>
      </c>
      <c r="G14" s="221" t="s">
        <v>100</v>
      </c>
      <c r="H14" s="221" t="s">
        <v>100</v>
      </c>
      <c r="I14" s="221" t="s">
        <v>100</v>
      </c>
      <c r="J14" s="221" t="s">
        <v>100</v>
      </c>
      <c r="K14" s="221" t="s">
        <v>100</v>
      </c>
      <c r="L14" s="221" t="s">
        <v>100</v>
      </c>
      <c r="M14" s="221" t="s">
        <v>100</v>
      </c>
      <c r="N14" s="221" t="s">
        <v>100</v>
      </c>
      <c r="O14" s="221" t="s">
        <v>100</v>
      </c>
      <c r="P14" s="221">
        <v>6</v>
      </c>
      <c r="Q14" s="221">
        <v>5.0789473684210513</v>
      </c>
      <c r="R14" s="222" t="str">
        <f t="shared" si="0"/>
        <v>n/a</v>
      </c>
      <c r="S14" s="222" t="str">
        <f t="shared" si="1"/>
        <v>n/a</v>
      </c>
      <c r="T14" s="222">
        <f t="shared" si="2"/>
        <v>-0.92105263157894868</v>
      </c>
    </row>
    <row r="15" spans="1:20" x14ac:dyDescent="0.25">
      <c r="A15" s="95" t="s">
        <v>512</v>
      </c>
      <c r="B15" s="134">
        <v>919</v>
      </c>
      <c r="C15" s="221" t="s">
        <v>100</v>
      </c>
      <c r="D15" s="221" t="s">
        <v>100</v>
      </c>
      <c r="E15" s="221" t="s">
        <v>100</v>
      </c>
      <c r="F15" s="221" t="s">
        <v>100</v>
      </c>
      <c r="G15" s="221" t="s">
        <v>100</v>
      </c>
      <c r="H15" s="221" t="s">
        <v>100</v>
      </c>
      <c r="I15" s="221" t="s">
        <v>100</v>
      </c>
      <c r="J15" s="221" t="s">
        <v>100</v>
      </c>
      <c r="K15" s="221" t="s">
        <v>100</v>
      </c>
      <c r="L15" s="221" t="s">
        <v>100</v>
      </c>
      <c r="M15" s="221" t="s">
        <v>100</v>
      </c>
      <c r="N15" s="221" t="s">
        <v>100</v>
      </c>
      <c r="O15" s="221" t="s">
        <v>100</v>
      </c>
      <c r="P15" s="221" t="s">
        <v>100</v>
      </c>
      <c r="Q15" s="221">
        <v>5.1599999999999975</v>
      </c>
      <c r="R15" s="222" t="str">
        <f t="shared" si="0"/>
        <v>n/a</v>
      </c>
      <c r="S15" s="222" t="str">
        <f t="shared" si="1"/>
        <v>n/a</v>
      </c>
      <c r="T15" s="222" t="str">
        <f t="shared" si="2"/>
        <v>n/a</v>
      </c>
    </row>
    <row r="16" spans="1:20" x14ac:dyDescent="0.25">
      <c r="A16" s="95" t="s">
        <v>311</v>
      </c>
      <c r="B16" s="134">
        <v>910</v>
      </c>
      <c r="C16" s="221" t="s">
        <v>100</v>
      </c>
      <c r="D16" s="221" t="s">
        <v>100</v>
      </c>
      <c r="E16" s="221" t="s">
        <v>100</v>
      </c>
      <c r="F16" s="221" t="s">
        <v>100</v>
      </c>
      <c r="G16" s="221" t="s">
        <v>100</v>
      </c>
      <c r="H16" s="221" t="s">
        <v>100</v>
      </c>
      <c r="I16" s="221" t="s">
        <v>100</v>
      </c>
      <c r="J16" s="221" t="s">
        <v>100</v>
      </c>
      <c r="K16" s="221" t="s">
        <v>100</v>
      </c>
      <c r="L16" s="221" t="s">
        <v>100</v>
      </c>
      <c r="M16" s="221" t="s">
        <v>100</v>
      </c>
      <c r="N16" s="221">
        <v>5.5098039215686265</v>
      </c>
      <c r="O16" s="221">
        <v>6.2424242424242422</v>
      </c>
      <c r="P16" s="221">
        <v>6.1944444444444438</v>
      </c>
      <c r="Q16" s="221">
        <v>6.2265625000000009</v>
      </c>
      <c r="R16" s="222" t="str">
        <f t="shared" si="0"/>
        <v>n/a</v>
      </c>
      <c r="S16" s="222" t="str">
        <f t="shared" si="1"/>
        <v>n/a</v>
      </c>
      <c r="T16" s="222">
        <f t="shared" si="2"/>
        <v>3.2118055555557135E-2</v>
      </c>
    </row>
    <row r="17" spans="1:20" x14ac:dyDescent="0.25">
      <c r="A17" s="95" t="s">
        <v>296</v>
      </c>
      <c r="B17" s="134">
        <v>916</v>
      </c>
      <c r="C17" s="221" t="s">
        <v>100</v>
      </c>
      <c r="D17" s="221" t="s">
        <v>100</v>
      </c>
      <c r="E17" s="221" t="s">
        <v>100</v>
      </c>
      <c r="F17" s="221" t="s">
        <v>100</v>
      </c>
      <c r="G17" s="221" t="s">
        <v>100</v>
      </c>
      <c r="H17" s="221" t="s">
        <v>100</v>
      </c>
      <c r="I17" s="221" t="s">
        <v>100</v>
      </c>
      <c r="J17" s="221" t="s">
        <v>100</v>
      </c>
      <c r="K17" s="221" t="s">
        <v>100</v>
      </c>
      <c r="L17" s="221" t="s">
        <v>100</v>
      </c>
      <c r="M17" s="221">
        <v>6</v>
      </c>
      <c r="N17" s="221">
        <v>6.5714285714285712</v>
      </c>
      <c r="O17" s="221">
        <v>6.283018867924528</v>
      </c>
      <c r="P17" s="221">
        <v>6.5370370370370372</v>
      </c>
      <c r="Q17" s="221">
        <v>5.927083333333333</v>
      </c>
      <c r="R17" s="222" t="str">
        <f t="shared" si="0"/>
        <v>n/a</v>
      </c>
      <c r="S17" s="222">
        <f t="shared" si="1"/>
        <v>-7.2916666666666963E-2</v>
      </c>
      <c r="T17" s="222">
        <f t="shared" si="2"/>
        <v>-0.60995370370370416</v>
      </c>
    </row>
    <row r="18" spans="1:20" x14ac:dyDescent="0.25">
      <c r="A18" s="95" t="s">
        <v>353</v>
      </c>
      <c r="B18" s="134">
        <v>918</v>
      </c>
      <c r="C18" s="221" t="s">
        <v>100</v>
      </c>
      <c r="D18" s="221" t="s">
        <v>100</v>
      </c>
      <c r="E18" s="221" t="s">
        <v>100</v>
      </c>
      <c r="F18" s="221" t="s">
        <v>100</v>
      </c>
      <c r="G18" s="221" t="s">
        <v>100</v>
      </c>
      <c r="H18" s="221" t="s">
        <v>100</v>
      </c>
      <c r="I18" s="221" t="s">
        <v>100</v>
      </c>
      <c r="J18" s="221" t="s">
        <v>100</v>
      </c>
      <c r="K18" s="221" t="s">
        <v>100</v>
      </c>
      <c r="L18" s="221" t="s">
        <v>100</v>
      </c>
      <c r="M18" s="221" t="s">
        <v>100</v>
      </c>
      <c r="N18" s="221" t="s">
        <v>100</v>
      </c>
      <c r="O18" s="221">
        <v>5.4</v>
      </c>
      <c r="P18" s="221">
        <v>6.4642857142857135</v>
      </c>
      <c r="Q18" s="221">
        <v>6</v>
      </c>
      <c r="R18" s="222" t="str">
        <f t="shared" si="0"/>
        <v>n/a</v>
      </c>
      <c r="S18" s="222" t="str">
        <f t="shared" si="1"/>
        <v>n/a</v>
      </c>
      <c r="T18" s="222">
        <f t="shared" si="2"/>
        <v>-0.46428571428571352</v>
      </c>
    </row>
    <row r="19" spans="1:20" x14ac:dyDescent="0.25">
      <c r="A19" s="95" t="s">
        <v>351</v>
      </c>
      <c r="B19" s="134">
        <v>917</v>
      </c>
      <c r="C19" s="221" t="s">
        <v>100</v>
      </c>
      <c r="D19" s="221" t="s">
        <v>100</v>
      </c>
      <c r="E19" s="221" t="s">
        <v>100</v>
      </c>
      <c r="F19" s="221" t="s">
        <v>100</v>
      </c>
      <c r="G19" s="221" t="s">
        <v>100</v>
      </c>
      <c r="H19" s="221" t="s">
        <v>100</v>
      </c>
      <c r="I19" s="221" t="s">
        <v>100</v>
      </c>
      <c r="J19" s="221" t="s">
        <v>100</v>
      </c>
      <c r="K19" s="221" t="s">
        <v>100</v>
      </c>
      <c r="L19" s="221" t="s">
        <v>100</v>
      </c>
      <c r="M19" s="221" t="s">
        <v>100</v>
      </c>
      <c r="N19" s="221" t="s">
        <v>100</v>
      </c>
      <c r="O19" s="221">
        <v>6</v>
      </c>
      <c r="P19" s="221">
        <v>6.1999999999999975</v>
      </c>
      <c r="Q19" s="221">
        <v>5.3980099502487562</v>
      </c>
      <c r="R19" s="222" t="str">
        <f t="shared" si="0"/>
        <v>n/a</v>
      </c>
      <c r="S19" s="222" t="str">
        <f t="shared" si="1"/>
        <v>n/a</v>
      </c>
      <c r="T19" s="222">
        <f t="shared" si="2"/>
        <v>-0.80199004975124133</v>
      </c>
    </row>
    <row r="20" spans="1:20" x14ac:dyDescent="0.25">
      <c r="A20" s="95" t="s">
        <v>355</v>
      </c>
      <c r="B20" s="134">
        <v>920</v>
      </c>
      <c r="C20" s="221" t="s">
        <v>100</v>
      </c>
      <c r="D20" s="221" t="s">
        <v>100</v>
      </c>
      <c r="E20" s="221" t="s">
        <v>100</v>
      </c>
      <c r="F20" s="221" t="s">
        <v>100</v>
      </c>
      <c r="G20" s="221" t="s">
        <v>100</v>
      </c>
      <c r="H20" s="221" t="s">
        <v>100</v>
      </c>
      <c r="I20" s="221" t="s">
        <v>100</v>
      </c>
      <c r="J20" s="221" t="s">
        <v>100</v>
      </c>
      <c r="K20" s="221" t="s">
        <v>100</v>
      </c>
      <c r="L20" s="221" t="s">
        <v>100</v>
      </c>
      <c r="M20" s="221" t="s">
        <v>100</v>
      </c>
      <c r="N20" s="221" t="s">
        <v>100</v>
      </c>
      <c r="O20" s="221" t="s">
        <v>100</v>
      </c>
      <c r="P20" s="221">
        <v>6.1333333333333337</v>
      </c>
      <c r="Q20" s="221">
        <v>6.444444444444442</v>
      </c>
      <c r="R20" s="222" t="str">
        <f t="shared" si="0"/>
        <v>n/a</v>
      </c>
      <c r="S20" s="222" t="str">
        <f t="shared" si="1"/>
        <v>n/a</v>
      </c>
      <c r="T20" s="222">
        <f t="shared" si="2"/>
        <v>0.31111111111110823</v>
      </c>
    </row>
    <row r="21" spans="1:20" x14ac:dyDescent="0.25">
      <c r="A21" s="95" t="s">
        <v>310</v>
      </c>
      <c r="B21" s="134">
        <v>906</v>
      </c>
      <c r="C21" s="221" t="s">
        <v>100</v>
      </c>
      <c r="D21" s="221" t="s">
        <v>100</v>
      </c>
      <c r="E21" s="221" t="s">
        <v>100</v>
      </c>
      <c r="F21" s="221" t="s">
        <v>100</v>
      </c>
      <c r="G21" s="221" t="s">
        <v>100</v>
      </c>
      <c r="H21" s="221" t="s">
        <v>100</v>
      </c>
      <c r="I21" s="221" t="s">
        <v>100</v>
      </c>
      <c r="J21" s="221" t="s">
        <v>100</v>
      </c>
      <c r="K21" s="221" t="s">
        <v>100</v>
      </c>
      <c r="L21" s="221" t="s">
        <v>100</v>
      </c>
      <c r="M21" s="221" t="s">
        <v>100</v>
      </c>
      <c r="N21" s="221">
        <v>6</v>
      </c>
      <c r="O21" s="221">
        <v>6.2486772486772511</v>
      </c>
      <c r="P21" s="221">
        <v>6.5196850393700796</v>
      </c>
      <c r="Q21" s="221">
        <v>6.7615658362989315</v>
      </c>
      <c r="R21" s="222" t="str">
        <f t="shared" si="0"/>
        <v>n/a</v>
      </c>
      <c r="S21" s="222" t="str">
        <f t="shared" si="1"/>
        <v>n/a</v>
      </c>
      <c r="T21" s="222">
        <f t="shared" si="2"/>
        <v>0.24188079692885189</v>
      </c>
    </row>
    <row r="22" spans="1:20" x14ac:dyDescent="0.25">
      <c r="A22" s="95" t="s">
        <v>350</v>
      </c>
      <c r="B22" s="134">
        <v>911</v>
      </c>
      <c r="C22" s="221" t="s">
        <v>100</v>
      </c>
      <c r="D22" s="221" t="s">
        <v>100</v>
      </c>
      <c r="E22" s="221" t="s">
        <v>100</v>
      </c>
      <c r="F22" s="221" t="s">
        <v>100</v>
      </c>
      <c r="G22" s="221" t="s">
        <v>100</v>
      </c>
      <c r="H22" s="221" t="s">
        <v>100</v>
      </c>
      <c r="I22" s="221" t="s">
        <v>100</v>
      </c>
      <c r="J22" s="221" t="s">
        <v>100</v>
      </c>
      <c r="K22" s="221" t="s">
        <v>100</v>
      </c>
      <c r="L22" s="221" t="s">
        <v>100</v>
      </c>
      <c r="M22" s="221" t="s">
        <v>100</v>
      </c>
      <c r="N22" s="221" t="s">
        <v>100</v>
      </c>
      <c r="O22" s="221">
        <v>5.9112426035502956</v>
      </c>
      <c r="P22" s="221">
        <v>5.8159509202453989</v>
      </c>
      <c r="Q22" s="221">
        <v>6.3273542600896873</v>
      </c>
      <c r="R22" s="222" t="str">
        <f t="shared" si="0"/>
        <v>n/a</v>
      </c>
      <c r="S22" s="222" t="str">
        <f t="shared" si="1"/>
        <v>n/a</v>
      </c>
      <c r="T22" s="222">
        <f t="shared" si="2"/>
        <v>0.51140333984428832</v>
      </c>
    </row>
    <row r="23" spans="1:20" x14ac:dyDescent="0.25">
      <c r="A23" s="95" t="s">
        <v>513</v>
      </c>
      <c r="B23" s="134">
        <v>915</v>
      </c>
      <c r="C23" s="221" t="s">
        <v>100</v>
      </c>
      <c r="D23" s="221" t="s">
        <v>100</v>
      </c>
      <c r="E23" s="221" t="s">
        <v>100</v>
      </c>
      <c r="F23" s="221" t="s">
        <v>100</v>
      </c>
      <c r="G23" s="221" t="s">
        <v>100</v>
      </c>
      <c r="H23" s="221" t="s">
        <v>100</v>
      </c>
      <c r="I23" s="221" t="s">
        <v>100</v>
      </c>
      <c r="J23" s="221" t="s">
        <v>100</v>
      </c>
      <c r="K23" s="221" t="s">
        <v>100</v>
      </c>
      <c r="L23" s="221" t="s">
        <v>100</v>
      </c>
      <c r="M23" s="221" t="s">
        <v>100</v>
      </c>
      <c r="N23" s="221" t="s">
        <v>100</v>
      </c>
      <c r="O23" s="221" t="s">
        <v>100</v>
      </c>
      <c r="P23" s="221" t="s">
        <v>100</v>
      </c>
      <c r="Q23" s="221">
        <v>5.6153846153846141</v>
      </c>
      <c r="R23" s="222" t="str">
        <f t="shared" si="0"/>
        <v>n/a</v>
      </c>
      <c r="S23" s="222" t="str">
        <f t="shared" si="1"/>
        <v>n/a</v>
      </c>
      <c r="T23" s="222" t="str">
        <f t="shared" si="2"/>
        <v>n/a</v>
      </c>
    </row>
    <row r="24" spans="1:20" x14ac:dyDescent="0.25">
      <c r="A24" s="95" t="s">
        <v>514</v>
      </c>
      <c r="B24" s="134">
        <v>913</v>
      </c>
      <c r="C24" s="221" t="s">
        <v>100</v>
      </c>
      <c r="D24" s="221" t="s">
        <v>100</v>
      </c>
      <c r="E24" s="221" t="s">
        <v>100</v>
      </c>
      <c r="F24" s="221" t="s">
        <v>100</v>
      </c>
      <c r="G24" s="221" t="s">
        <v>100</v>
      </c>
      <c r="H24" s="221" t="s">
        <v>100</v>
      </c>
      <c r="I24" s="221" t="s">
        <v>100</v>
      </c>
      <c r="J24" s="221" t="s">
        <v>100</v>
      </c>
      <c r="K24" s="221" t="s">
        <v>100</v>
      </c>
      <c r="L24" s="221" t="s">
        <v>100</v>
      </c>
      <c r="M24" s="221" t="s">
        <v>100</v>
      </c>
      <c r="N24" s="221" t="s">
        <v>100</v>
      </c>
      <c r="O24" s="221" t="s">
        <v>100</v>
      </c>
      <c r="P24" s="221" t="s">
        <v>100</v>
      </c>
      <c r="Q24" s="221">
        <v>6</v>
      </c>
      <c r="R24" s="222" t="str">
        <f t="shared" si="0"/>
        <v>n/a</v>
      </c>
      <c r="S24" s="222" t="str">
        <f t="shared" si="1"/>
        <v>n/a</v>
      </c>
      <c r="T24" s="222" t="str">
        <f t="shared" si="2"/>
        <v>n/a</v>
      </c>
    </row>
    <row r="25" spans="1:20" x14ac:dyDescent="0.25">
      <c r="A25" s="95" t="s">
        <v>295</v>
      </c>
      <c r="B25" s="134">
        <v>914</v>
      </c>
      <c r="C25" s="221" t="s">
        <v>100</v>
      </c>
      <c r="D25" s="221" t="s">
        <v>100</v>
      </c>
      <c r="E25" s="221" t="s">
        <v>100</v>
      </c>
      <c r="F25" s="221" t="s">
        <v>100</v>
      </c>
      <c r="G25" s="221" t="s">
        <v>100</v>
      </c>
      <c r="H25" s="221" t="s">
        <v>100</v>
      </c>
      <c r="I25" s="221" t="s">
        <v>100</v>
      </c>
      <c r="J25" s="221" t="s">
        <v>100</v>
      </c>
      <c r="K25" s="221" t="s">
        <v>100</v>
      </c>
      <c r="L25" s="221" t="s">
        <v>100</v>
      </c>
      <c r="M25" s="221">
        <v>6</v>
      </c>
      <c r="N25" s="221">
        <v>6.0141843971631204</v>
      </c>
      <c r="O25" s="221">
        <v>5.3636363636363633</v>
      </c>
      <c r="P25" s="221">
        <v>5.4820143884892083</v>
      </c>
      <c r="Q25" s="221">
        <v>6.1280000000000001</v>
      </c>
      <c r="R25" s="222" t="str">
        <f t="shared" si="0"/>
        <v>n/a</v>
      </c>
      <c r="S25" s="222">
        <f t="shared" si="1"/>
        <v>0.12800000000000011</v>
      </c>
      <c r="T25" s="222">
        <f t="shared" si="2"/>
        <v>0.64598561151079181</v>
      </c>
    </row>
    <row r="26" spans="1:20" x14ac:dyDescent="0.25">
      <c r="A26" s="95" t="s">
        <v>354</v>
      </c>
      <c r="B26" s="134">
        <v>912</v>
      </c>
      <c r="C26" s="221" t="s">
        <v>100</v>
      </c>
      <c r="D26" s="221" t="s">
        <v>100</v>
      </c>
      <c r="E26" s="221" t="s">
        <v>100</v>
      </c>
      <c r="F26" s="221" t="s">
        <v>100</v>
      </c>
      <c r="G26" s="221" t="s">
        <v>100</v>
      </c>
      <c r="H26" s="221" t="s">
        <v>100</v>
      </c>
      <c r="I26" s="221" t="s">
        <v>100</v>
      </c>
      <c r="J26" s="221" t="s">
        <v>100</v>
      </c>
      <c r="K26" s="221" t="s">
        <v>100</v>
      </c>
      <c r="L26" s="221" t="s">
        <v>100</v>
      </c>
      <c r="M26" s="221" t="s">
        <v>100</v>
      </c>
      <c r="N26" s="221" t="s">
        <v>100</v>
      </c>
      <c r="O26" s="221">
        <v>5</v>
      </c>
      <c r="P26" s="221">
        <v>5</v>
      </c>
      <c r="Q26" s="221">
        <v>5.2399999999999984</v>
      </c>
      <c r="R26" s="222" t="str">
        <f t="shared" si="0"/>
        <v>n/a</v>
      </c>
      <c r="S26" s="222" t="str">
        <f t="shared" si="1"/>
        <v>n/a</v>
      </c>
      <c r="T26" s="222">
        <f t="shared" si="2"/>
        <v>0.23999999999999844</v>
      </c>
    </row>
    <row r="27" spans="1:20" x14ac:dyDescent="0.25">
      <c r="A27" s="95" t="s">
        <v>197</v>
      </c>
      <c r="B27" s="134">
        <v>435</v>
      </c>
      <c r="C27" s="221">
        <v>6.905109489051096</v>
      </c>
      <c r="D27" s="221">
        <v>6.9714285714285733</v>
      </c>
      <c r="E27" s="221">
        <v>6.8654970760233915</v>
      </c>
      <c r="F27" s="221">
        <v>6.8527131782945734</v>
      </c>
      <c r="G27" s="221">
        <v>6.9078014184397167</v>
      </c>
      <c r="H27" s="221">
        <v>6.6371681415929205</v>
      </c>
      <c r="I27" s="221">
        <v>6.4845360824742269</v>
      </c>
      <c r="J27" s="221">
        <v>6.7877697841726619</v>
      </c>
      <c r="K27" s="221">
        <v>6.4265734265734258</v>
      </c>
      <c r="L27" s="221">
        <v>7.0091463414634143</v>
      </c>
      <c r="M27" s="221">
        <v>7.4039408866995071</v>
      </c>
      <c r="N27" s="221">
        <v>7.4645161290322637</v>
      </c>
      <c r="O27" s="221">
        <v>7.4999999999999973</v>
      </c>
      <c r="P27" s="221">
        <v>6.4418604651162781</v>
      </c>
      <c r="Q27" s="221">
        <v>6.8582677165354333</v>
      </c>
      <c r="R27" s="222">
        <f t="shared" si="0"/>
        <v>0.22109957494251287</v>
      </c>
      <c r="S27" s="222">
        <f t="shared" si="1"/>
        <v>-0.5456731701640738</v>
      </c>
      <c r="T27" s="222">
        <f t="shared" si="2"/>
        <v>0.41640725141915524</v>
      </c>
    </row>
    <row r="28" spans="1:20" x14ac:dyDescent="0.25">
      <c r="A28" s="95" t="s">
        <v>313</v>
      </c>
      <c r="B28" s="134">
        <v>730</v>
      </c>
      <c r="C28" s="221" t="s">
        <v>100</v>
      </c>
      <c r="D28" s="221">
        <v>4</v>
      </c>
      <c r="E28" s="221" t="s">
        <v>100</v>
      </c>
      <c r="F28" s="221">
        <v>4.4528301886792496</v>
      </c>
      <c r="G28" s="221">
        <v>4.2</v>
      </c>
      <c r="H28" s="221">
        <v>4.3461538461538503</v>
      </c>
      <c r="I28" s="221">
        <v>4.625</v>
      </c>
      <c r="J28" s="221">
        <v>4.3469387755101998</v>
      </c>
      <c r="K28" s="221">
        <v>4.5952380952380896</v>
      </c>
      <c r="L28" s="221">
        <v>4.3493975903614501</v>
      </c>
      <c r="M28" s="221" t="s">
        <v>100</v>
      </c>
      <c r="N28" s="221">
        <v>5.9677419354838701</v>
      </c>
      <c r="O28" s="221">
        <v>6.789473684210531</v>
      </c>
      <c r="P28" s="221">
        <v>6.2800000000000029</v>
      </c>
      <c r="Q28" s="221">
        <v>6.5643564356435622</v>
      </c>
      <c r="R28" s="222">
        <f t="shared" si="0"/>
        <v>2.2182025894897119</v>
      </c>
      <c r="S28" s="222" t="str">
        <f t="shared" si="1"/>
        <v>n/a</v>
      </c>
      <c r="T28" s="222">
        <f t="shared" si="2"/>
        <v>0.28435643564355928</v>
      </c>
    </row>
    <row r="29" spans="1:20" x14ac:dyDescent="0.25">
      <c r="A29" s="95" t="s">
        <v>410</v>
      </c>
      <c r="B29" s="134">
        <v>426</v>
      </c>
      <c r="C29" s="221">
        <v>8.0337078651685392</v>
      </c>
      <c r="D29" s="221">
        <v>5.9935897435897427</v>
      </c>
      <c r="E29" s="221">
        <v>5.7931034482758603</v>
      </c>
      <c r="F29" s="221">
        <v>5.8620689655172402</v>
      </c>
      <c r="G29" s="221">
        <v>5.9540229885057467</v>
      </c>
      <c r="H29" s="221">
        <v>6.0155440414507773</v>
      </c>
      <c r="I29" s="221">
        <v>5.9178885630498543</v>
      </c>
      <c r="J29" s="221">
        <v>6.0543735224586293</v>
      </c>
      <c r="K29" s="221">
        <v>6.2366255144032934</v>
      </c>
      <c r="L29" s="221">
        <v>6.023012552301255</v>
      </c>
      <c r="M29" s="221">
        <v>6.5477031802120145</v>
      </c>
      <c r="N29" s="221">
        <v>6.8712273641851098</v>
      </c>
      <c r="O29" s="221">
        <v>7.0065359477124183</v>
      </c>
      <c r="P29" s="221">
        <v>6.7280453257790365</v>
      </c>
      <c r="Q29" s="221">
        <v>6.3818181818181827</v>
      </c>
      <c r="R29" s="222">
        <f t="shared" si="0"/>
        <v>0.36627414036740547</v>
      </c>
      <c r="S29" s="222">
        <f t="shared" si="1"/>
        <v>-0.16588499839383175</v>
      </c>
      <c r="T29" s="222">
        <f t="shared" si="2"/>
        <v>-0.34622714396085374</v>
      </c>
    </row>
    <row r="30" spans="1:20" x14ac:dyDescent="0.25">
      <c r="A30" s="95" t="s">
        <v>198</v>
      </c>
      <c r="B30" s="134">
        <v>430</v>
      </c>
      <c r="C30" s="221">
        <v>6.5512820512820511</v>
      </c>
      <c r="D30" s="221">
        <v>6.5050697084917619</v>
      </c>
      <c r="E30" s="221">
        <v>6.5955522050508861</v>
      </c>
      <c r="F30" s="221">
        <v>6.9569548203486304</v>
      </c>
      <c r="G30" s="221">
        <v>7.0415482954545459</v>
      </c>
      <c r="H30" s="221">
        <v>6.6900304745319978</v>
      </c>
      <c r="I30" s="221">
        <v>6.5712770470937629</v>
      </c>
      <c r="J30" s="221">
        <v>6.5066921606118546</v>
      </c>
      <c r="K30" s="221">
        <v>6.7783151954856908</v>
      </c>
      <c r="L30" s="221">
        <v>6.7483166937543535</v>
      </c>
      <c r="M30" s="221">
        <v>6.8126048406422237</v>
      </c>
      <c r="N30" s="221">
        <v>7.1509924385633274</v>
      </c>
      <c r="O30" s="221">
        <v>7.0426511199754529</v>
      </c>
      <c r="P30" s="221">
        <v>7.2561088772038351</v>
      </c>
      <c r="Q30" s="221">
        <v>6.8744303001728744</v>
      </c>
      <c r="R30" s="222">
        <f t="shared" si="0"/>
        <v>0.18439982564087654</v>
      </c>
      <c r="S30" s="222">
        <f t="shared" si="1"/>
        <v>6.1825459530650662E-2</v>
      </c>
      <c r="T30" s="222">
        <f t="shared" si="2"/>
        <v>-0.38167857703096075</v>
      </c>
    </row>
    <row r="31" spans="1:20" x14ac:dyDescent="0.25">
      <c r="A31" s="95" t="s">
        <v>314</v>
      </c>
      <c r="B31" s="134">
        <v>241</v>
      </c>
      <c r="C31" s="221">
        <v>4</v>
      </c>
      <c r="D31" s="221" t="s">
        <v>100</v>
      </c>
      <c r="E31" s="221">
        <v>4</v>
      </c>
      <c r="F31" s="221">
        <v>4</v>
      </c>
      <c r="G31" s="221" t="s">
        <v>100</v>
      </c>
      <c r="H31" s="221">
        <v>4.1818181818181817</v>
      </c>
      <c r="I31" s="221">
        <v>4.166666666666667</v>
      </c>
      <c r="J31" s="221">
        <v>4</v>
      </c>
      <c r="K31" s="221" t="s">
        <v>100</v>
      </c>
      <c r="L31" s="221">
        <v>4</v>
      </c>
      <c r="M31" s="221" t="s">
        <v>100</v>
      </c>
      <c r="N31" s="221">
        <v>4.7826086956521774</v>
      </c>
      <c r="O31" s="221">
        <v>4.8</v>
      </c>
      <c r="P31" s="221" t="s">
        <v>100</v>
      </c>
      <c r="Q31" s="221">
        <v>4.4687500000000027</v>
      </c>
      <c r="R31" s="222">
        <f t="shared" si="0"/>
        <v>0.28693181818182101</v>
      </c>
      <c r="S31" s="222" t="str">
        <f t="shared" si="1"/>
        <v>n/a</v>
      </c>
      <c r="T31" s="222" t="str">
        <f t="shared" si="2"/>
        <v>n/a</v>
      </c>
    </row>
    <row r="32" spans="1:20" x14ac:dyDescent="0.25">
      <c r="A32" s="95" t="s">
        <v>199</v>
      </c>
      <c r="B32" s="134">
        <v>328</v>
      </c>
      <c r="C32" s="221">
        <v>7.144654088050312</v>
      </c>
      <c r="D32" s="221">
        <v>6.0434782608695654</v>
      </c>
      <c r="E32" s="221">
        <v>6.1154929577464792</v>
      </c>
      <c r="F32" s="221">
        <v>6.4285714285714288</v>
      </c>
      <c r="G32" s="221">
        <v>6.2804428044280449</v>
      </c>
      <c r="H32" s="221">
        <v>6.4434250764525993</v>
      </c>
      <c r="I32" s="221">
        <v>6.812182741116751</v>
      </c>
      <c r="J32" s="221">
        <v>6.3333333333333339</v>
      </c>
      <c r="K32" s="221">
        <v>6.3606557377049162</v>
      </c>
      <c r="L32" s="221">
        <v>6.05</v>
      </c>
      <c r="M32" s="221">
        <v>5.8356164383561655</v>
      </c>
      <c r="N32" s="221">
        <v>6.6666666666666634</v>
      </c>
      <c r="O32" s="221">
        <v>7.1527777777777777</v>
      </c>
      <c r="P32" s="221">
        <v>6.8275862068965489</v>
      </c>
      <c r="Q32" s="221">
        <v>7.2441860465116283</v>
      </c>
      <c r="R32" s="222">
        <f t="shared" si="0"/>
        <v>0.80076097005902902</v>
      </c>
      <c r="S32" s="222">
        <f t="shared" si="1"/>
        <v>1.4085696081554628</v>
      </c>
      <c r="T32" s="222">
        <f t="shared" si="2"/>
        <v>0.4165998396150794</v>
      </c>
    </row>
    <row r="33" spans="1:20" x14ac:dyDescent="0.25">
      <c r="A33" s="95" t="s">
        <v>200</v>
      </c>
      <c r="B33" s="134">
        <v>331</v>
      </c>
      <c r="C33" s="221">
        <v>5.7466666666666653</v>
      </c>
      <c r="D33" s="221">
        <v>5.6052631578947372</v>
      </c>
      <c r="E33" s="221">
        <v>5.44</v>
      </c>
      <c r="F33" s="221">
        <v>5.6691729323308282</v>
      </c>
      <c r="G33" s="221">
        <v>6.0828402366863905</v>
      </c>
      <c r="H33" s="221">
        <v>5.5750000000000011</v>
      </c>
      <c r="I33" s="221">
        <v>5.6000000000000005</v>
      </c>
      <c r="J33" s="221">
        <v>5.9575471698113196</v>
      </c>
      <c r="K33" s="221">
        <v>5.6740740740740749</v>
      </c>
      <c r="L33" s="221">
        <v>5.6228070175438596</v>
      </c>
      <c r="M33" s="221">
        <v>6.1099999999999985</v>
      </c>
      <c r="N33" s="221">
        <v>6.7971014492753605</v>
      </c>
      <c r="O33" s="221">
        <v>6.365384615384615</v>
      </c>
      <c r="P33" s="221">
        <v>5.9428571428571431</v>
      </c>
      <c r="Q33" s="221">
        <v>6.6122448979591839</v>
      </c>
      <c r="R33" s="222">
        <f t="shared" si="0"/>
        <v>1.0372448979591828</v>
      </c>
      <c r="S33" s="222">
        <f t="shared" si="1"/>
        <v>0.50224489795918537</v>
      </c>
      <c r="T33" s="222">
        <f t="shared" si="2"/>
        <v>0.66938775510204085</v>
      </c>
    </row>
    <row r="34" spans="1:20" x14ac:dyDescent="0.25">
      <c r="A34" s="95" t="s">
        <v>201</v>
      </c>
      <c r="B34" s="134">
        <v>257</v>
      </c>
      <c r="C34" s="221">
        <v>6.8773584905660385</v>
      </c>
      <c r="D34" s="221">
        <v>6.2048192771084327</v>
      </c>
      <c r="E34" s="221">
        <v>6.891304347826086</v>
      </c>
      <c r="F34" s="221">
        <v>6.7636363636363637</v>
      </c>
      <c r="G34" s="221">
        <v>6.3184357541899443</v>
      </c>
      <c r="H34" s="221">
        <v>6.4556962025316453</v>
      </c>
      <c r="I34" s="221">
        <v>6.9380530973451329</v>
      </c>
      <c r="J34" s="221">
        <v>6.2908496732026151</v>
      </c>
      <c r="K34" s="221">
        <v>5.8353293413173644</v>
      </c>
      <c r="L34" s="221">
        <v>6.2063953488372094</v>
      </c>
      <c r="M34" s="221">
        <v>6.2033898305084749</v>
      </c>
      <c r="N34" s="221">
        <v>6.7565789473684212</v>
      </c>
      <c r="O34" s="221">
        <v>5.9569536423841054</v>
      </c>
      <c r="P34" s="221">
        <v>5.9022801302931596</v>
      </c>
      <c r="Q34" s="221">
        <v>6.2347560975609762</v>
      </c>
      <c r="R34" s="222">
        <f t="shared" si="0"/>
        <v>-0.22094010497066918</v>
      </c>
      <c r="S34" s="222">
        <f t="shared" si="1"/>
        <v>3.1366267052501229E-2</v>
      </c>
      <c r="T34" s="222">
        <f t="shared" si="2"/>
        <v>0.33247596726781659</v>
      </c>
    </row>
    <row r="35" spans="1:20" x14ac:dyDescent="0.25">
      <c r="A35" s="95" t="s">
        <v>202</v>
      </c>
      <c r="B35" s="134">
        <v>427</v>
      </c>
      <c r="C35" s="221">
        <v>7.152173913043482</v>
      </c>
      <c r="D35" s="221">
        <v>7.6</v>
      </c>
      <c r="E35" s="221">
        <v>8</v>
      </c>
      <c r="F35" s="221">
        <v>7.8275862068965516</v>
      </c>
      <c r="G35" s="221" t="s">
        <v>100</v>
      </c>
      <c r="H35" s="221" t="s">
        <v>100</v>
      </c>
      <c r="I35" s="221" t="s">
        <v>100</v>
      </c>
      <c r="J35" s="221">
        <v>5.8571428571428568</v>
      </c>
      <c r="K35" s="221">
        <v>6.2333333333333334</v>
      </c>
      <c r="L35" s="221">
        <v>7.1134020618556715</v>
      </c>
      <c r="M35" s="221">
        <v>6.4370370370370367</v>
      </c>
      <c r="N35" s="221">
        <v>6.3173076923076898</v>
      </c>
      <c r="O35" s="221">
        <v>6.6825396825396837</v>
      </c>
      <c r="P35" s="221">
        <v>6.5170068027210872</v>
      </c>
      <c r="Q35" s="221">
        <v>5.931034482758621</v>
      </c>
      <c r="R35" s="222" t="str">
        <f t="shared" si="0"/>
        <v>n/a</v>
      </c>
      <c r="S35" s="222">
        <f t="shared" si="1"/>
        <v>-0.50600255427841567</v>
      </c>
      <c r="T35" s="222">
        <f t="shared" si="2"/>
        <v>-0.58597231996246624</v>
      </c>
    </row>
    <row r="36" spans="1:20" x14ac:dyDescent="0.25">
      <c r="A36" s="95" t="s">
        <v>203</v>
      </c>
      <c r="B36" s="134">
        <v>450</v>
      </c>
      <c r="C36" s="221">
        <v>6.8969072164948457</v>
      </c>
      <c r="D36" s="221">
        <v>6.616935483870968</v>
      </c>
      <c r="E36" s="221">
        <v>6.7746031746031745</v>
      </c>
      <c r="F36" s="221">
        <v>6.4932885906040267</v>
      </c>
      <c r="G36" s="221">
        <v>6.8357664233576632</v>
      </c>
      <c r="H36" s="221">
        <v>6.2942857142857145</v>
      </c>
      <c r="I36" s="221">
        <v>6.5274725274725265</v>
      </c>
      <c r="J36" s="221">
        <v>6.4922737306843263</v>
      </c>
      <c r="K36" s="221">
        <v>6.1784841075794619</v>
      </c>
      <c r="L36" s="221">
        <v>6.3444730077120823</v>
      </c>
      <c r="M36" s="221">
        <v>6.1052631578947372</v>
      </c>
      <c r="N36" s="221">
        <v>5.7224880382775121</v>
      </c>
      <c r="O36" s="221">
        <v>5.6297169811320753</v>
      </c>
      <c r="P36" s="221">
        <v>5.7236842105263159</v>
      </c>
      <c r="Q36" s="221">
        <v>5.7898550724637685</v>
      </c>
      <c r="R36" s="222">
        <f t="shared" si="0"/>
        <v>-0.50443064182194597</v>
      </c>
      <c r="S36" s="222">
        <f t="shared" si="1"/>
        <v>-0.31540808543096865</v>
      </c>
      <c r="T36" s="222">
        <f t="shared" si="2"/>
        <v>6.6170861937452585E-2</v>
      </c>
    </row>
    <row r="37" spans="1:20" x14ac:dyDescent="0.25">
      <c r="A37" s="95" t="s">
        <v>204</v>
      </c>
      <c r="B37" s="134">
        <v>701</v>
      </c>
      <c r="C37" s="221">
        <v>6.1353135313531357</v>
      </c>
      <c r="D37" s="221">
        <v>6.2984126984126982</v>
      </c>
      <c r="E37" s="221">
        <v>6.6631205673758851</v>
      </c>
      <c r="F37" s="221">
        <v>6.9230769230769234</v>
      </c>
      <c r="G37" s="221">
        <v>6.6872852233676978</v>
      </c>
      <c r="H37" s="221">
        <v>6.7099236641221376</v>
      </c>
      <c r="I37" s="221">
        <v>7.3168724279835393</v>
      </c>
      <c r="J37" s="221">
        <v>7.2953586497890317</v>
      </c>
      <c r="K37" s="221">
        <v>7.2961165048543686</v>
      </c>
      <c r="L37" s="221">
        <v>7.2209944751381192</v>
      </c>
      <c r="M37" s="221">
        <v>7.2814814814814826</v>
      </c>
      <c r="N37" s="221">
        <v>6.991228070175441</v>
      </c>
      <c r="O37" s="221">
        <v>7.5615384615384613</v>
      </c>
      <c r="P37" s="221">
        <v>6.8899082568807319</v>
      </c>
      <c r="Q37" s="221">
        <v>7</v>
      </c>
      <c r="R37" s="222">
        <f t="shared" si="0"/>
        <v>0.29007633587786241</v>
      </c>
      <c r="S37" s="222">
        <f t="shared" si="1"/>
        <v>-0.28148148148148255</v>
      </c>
      <c r="T37" s="222">
        <f t="shared" si="2"/>
        <v>0.11009174311926806</v>
      </c>
    </row>
    <row r="38" spans="1:20" x14ac:dyDescent="0.25">
      <c r="A38" s="95" t="s">
        <v>309</v>
      </c>
      <c r="B38" s="134">
        <v>319</v>
      </c>
      <c r="C38" s="221">
        <v>7.0697674418604626</v>
      </c>
      <c r="D38" s="221">
        <v>6.4347826086956523</v>
      </c>
      <c r="E38" s="221">
        <v>6.3174603174603172</v>
      </c>
      <c r="F38" s="221">
        <v>6.2826086956521747</v>
      </c>
      <c r="G38" s="221">
        <v>6.8745098039215673</v>
      </c>
      <c r="H38" s="221">
        <v>7.8449612403100755</v>
      </c>
      <c r="I38" s="221">
        <v>7.9908256880733948</v>
      </c>
      <c r="J38" s="221">
        <v>6.454545454545455</v>
      </c>
      <c r="K38" s="221">
        <v>6.7384615384615358</v>
      </c>
      <c r="L38" s="221">
        <v>6.4838709677419351</v>
      </c>
      <c r="M38" s="221" t="s">
        <v>100</v>
      </c>
      <c r="N38" s="221">
        <v>6.7773279352226723</v>
      </c>
      <c r="O38" s="221">
        <v>5.16</v>
      </c>
      <c r="P38" s="221">
        <v>5.4749999999999996</v>
      </c>
      <c r="Q38" s="221">
        <v>4.6923076923076898</v>
      </c>
      <c r="R38" s="222">
        <f t="shared" si="0"/>
        <v>-3.1526535480023856</v>
      </c>
      <c r="S38" s="222" t="str">
        <f t="shared" si="1"/>
        <v>n/a</v>
      </c>
      <c r="T38" s="222">
        <f t="shared" si="2"/>
        <v>-0.7826923076923098</v>
      </c>
    </row>
    <row r="39" spans="1:20" x14ac:dyDescent="0.25">
      <c r="A39" s="95" t="s">
        <v>515</v>
      </c>
      <c r="B39" s="134">
        <v>691</v>
      </c>
      <c r="C39" s="221">
        <v>6.7777777777777803</v>
      </c>
      <c r="D39" s="221">
        <v>7.8749999999999991</v>
      </c>
      <c r="E39" s="221">
        <v>7.5476190476190466</v>
      </c>
      <c r="F39" s="221">
        <v>7.2972972972972938</v>
      </c>
      <c r="G39" s="221">
        <v>7.365384615384615</v>
      </c>
      <c r="H39" s="221">
        <v>6.9393939393939386</v>
      </c>
      <c r="I39" s="221">
        <v>7.2962962962962949</v>
      </c>
      <c r="J39" s="221">
        <v>8.2666666666666693</v>
      </c>
      <c r="K39" s="221">
        <v>7.224489795918366</v>
      </c>
      <c r="L39" s="221">
        <v>7.0508474576271203</v>
      </c>
      <c r="M39" s="221">
        <v>6.7999999999999989</v>
      </c>
      <c r="N39" s="221" t="s">
        <v>100</v>
      </c>
      <c r="O39" s="221" t="s">
        <v>100</v>
      </c>
      <c r="P39" s="221" t="s">
        <v>100</v>
      </c>
      <c r="Q39" s="221">
        <v>7.1666666666666687</v>
      </c>
      <c r="R39" s="222">
        <f t="shared" si="0"/>
        <v>0.22727272727273018</v>
      </c>
      <c r="S39" s="222">
        <f t="shared" si="1"/>
        <v>0.3666666666666698</v>
      </c>
      <c r="T39" s="222" t="str">
        <f t="shared" si="2"/>
        <v>n/a</v>
      </c>
    </row>
    <row r="40" spans="1:20" x14ac:dyDescent="0.25">
      <c r="A40" s="95" t="s">
        <v>205</v>
      </c>
      <c r="B40" s="134">
        <v>629</v>
      </c>
      <c r="C40" s="221">
        <v>6.7016574585635356</v>
      </c>
      <c r="D40" s="221">
        <v>7.4951140065146582</v>
      </c>
      <c r="E40" s="221">
        <v>7.325174825174825</v>
      </c>
      <c r="F40" s="221">
        <v>7.4181360201511346</v>
      </c>
      <c r="G40" s="221">
        <v>6.5000000000000009</v>
      </c>
      <c r="H40" s="221">
        <v>6.2126245847176058</v>
      </c>
      <c r="I40" s="221">
        <v>5.5735735735735732</v>
      </c>
      <c r="J40" s="221">
        <v>5.333333333333333</v>
      </c>
      <c r="K40" s="221">
        <v>5.6443452380952372</v>
      </c>
      <c r="L40" s="221">
        <v>5.9964912280701759</v>
      </c>
      <c r="M40" s="221">
        <v>6.3299748110831233</v>
      </c>
      <c r="N40" s="221">
        <v>6.463745019920319</v>
      </c>
      <c r="O40" s="221">
        <v>6.5188547486033519</v>
      </c>
      <c r="P40" s="221">
        <v>5.9162967660114143</v>
      </c>
      <c r="Q40" s="221">
        <v>5.5637755102040813</v>
      </c>
      <c r="R40" s="222">
        <f t="shared" si="0"/>
        <v>-0.64884907451352447</v>
      </c>
      <c r="S40" s="222">
        <f t="shared" si="1"/>
        <v>-0.76619930087904198</v>
      </c>
      <c r="T40" s="222">
        <f t="shared" si="2"/>
        <v>-0.35252125580733296</v>
      </c>
    </row>
    <row r="41" spans="1:20" x14ac:dyDescent="0.25">
      <c r="A41" s="95" t="s">
        <v>206</v>
      </c>
      <c r="B41" s="134">
        <v>367</v>
      </c>
      <c r="C41" s="221">
        <v>8.0588235294117645</v>
      </c>
      <c r="D41" s="221">
        <v>7.5191489361702146</v>
      </c>
      <c r="E41" s="221">
        <v>7.3661016949152538</v>
      </c>
      <c r="F41" s="221">
        <v>7.4262672811059911</v>
      </c>
      <c r="G41" s="221">
        <v>7.4569288389513098</v>
      </c>
      <c r="H41" s="221">
        <v>7.5187637969094929</v>
      </c>
      <c r="I41" s="221">
        <v>7.1602564102564106</v>
      </c>
      <c r="J41" s="221">
        <v>6.93</v>
      </c>
      <c r="K41" s="221">
        <v>7.254211332312404</v>
      </c>
      <c r="L41" s="221">
        <v>5.9718844984802431</v>
      </c>
      <c r="M41" s="221">
        <v>6.0119840213049267</v>
      </c>
      <c r="N41" s="221">
        <v>5.7673469387755105</v>
      </c>
      <c r="O41" s="221">
        <v>5.4907749077490777</v>
      </c>
      <c r="P41" s="221">
        <v>5.5247170935080403</v>
      </c>
      <c r="Q41" s="221">
        <v>5.914790996784566</v>
      </c>
      <c r="R41" s="222">
        <f t="shared" si="0"/>
        <v>-1.6039728001249269</v>
      </c>
      <c r="S41" s="222">
        <f t="shared" si="1"/>
        <v>-9.7193024520360716E-2</v>
      </c>
      <c r="T41" s="222">
        <f t="shared" si="2"/>
        <v>0.39007390327652569</v>
      </c>
    </row>
    <row r="42" spans="1:20" x14ac:dyDescent="0.25">
      <c r="A42" s="95" t="s">
        <v>207</v>
      </c>
      <c r="B42" s="134">
        <v>260</v>
      </c>
      <c r="C42" s="221">
        <v>6.211267605633803</v>
      </c>
      <c r="D42" s="221">
        <v>6.569167240192705</v>
      </c>
      <c r="E42" s="221">
        <v>6.5992661259173424</v>
      </c>
      <c r="F42" s="221">
        <v>6.7260434056761271</v>
      </c>
      <c r="G42" s="221">
        <v>6.7226596675415573</v>
      </c>
      <c r="H42" s="221">
        <v>6.7384547720275618</v>
      </c>
      <c r="I42" s="221">
        <v>6.750794308606161</v>
      </c>
      <c r="J42" s="221">
        <v>6.6304199151962795</v>
      </c>
      <c r="K42" s="221">
        <v>6.7745055422734186</v>
      </c>
      <c r="L42" s="221">
        <v>6.6391715551298933</v>
      </c>
      <c r="M42" s="221">
        <v>6.8323875152006481</v>
      </c>
      <c r="N42" s="221">
        <v>6.9212198221092756</v>
      </c>
      <c r="O42" s="221">
        <v>6.8579229234484931</v>
      </c>
      <c r="P42" s="221">
        <v>6.6463324048282262</v>
      </c>
      <c r="Q42" s="221">
        <v>6.3366031081230023</v>
      </c>
      <c r="R42" s="222">
        <f t="shared" si="0"/>
        <v>-0.40185166390455951</v>
      </c>
      <c r="S42" s="222">
        <f t="shared" si="1"/>
        <v>-0.49578440707764582</v>
      </c>
      <c r="T42" s="222">
        <f t="shared" si="2"/>
        <v>-0.30972929670522387</v>
      </c>
    </row>
    <row r="43" spans="1:20" x14ac:dyDescent="0.25">
      <c r="A43" s="95" t="s">
        <v>208</v>
      </c>
      <c r="B43" s="134">
        <v>633</v>
      </c>
      <c r="C43" s="221">
        <v>6.6458333333333348</v>
      </c>
      <c r="D43" s="221">
        <v>6.3010752688172031</v>
      </c>
      <c r="E43" s="221">
        <v>6.4207317073170733</v>
      </c>
      <c r="F43" s="221">
        <v>6.1388888888888893</v>
      </c>
      <c r="G43" s="221">
        <v>6.0895522388059682</v>
      </c>
      <c r="H43" s="221">
        <v>6.1333333333333337</v>
      </c>
      <c r="I43" s="221">
        <v>5.8312499999999998</v>
      </c>
      <c r="J43" s="221">
        <v>6.081818181818182</v>
      </c>
      <c r="K43" s="221">
        <v>5.736486486486486</v>
      </c>
      <c r="L43" s="221">
        <v>5.8276923076923079</v>
      </c>
      <c r="M43" s="221">
        <v>6.2045454545454541</v>
      </c>
      <c r="N43" s="221">
        <v>6.4452736318407959</v>
      </c>
      <c r="O43" s="221">
        <v>6.3665835411471319</v>
      </c>
      <c r="P43" s="221">
        <v>5.5146341463414634</v>
      </c>
      <c r="Q43" s="221">
        <v>4.9417879417879416</v>
      </c>
      <c r="R43" s="222">
        <f t="shared" si="0"/>
        <v>-1.1915453915453922</v>
      </c>
      <c r="S43" s="222">
        <f t="shared" si="1"/>
        <v>-1.2627575127575126</v>
      </c>
      <c r="T43" s="222">
        <f t="shared" si="2"/>
        <v>-0.57284620455352186</v>
      </c>
    </row>
    <row r="44" spans="1:20" x14ac:dyDescent="0.25">
      <c r="A44" s="157" t="s">
        <v>511</v>
      </c>
      <c r="B44" s="111"/>
      <c r="C44" s="111"/>
      <c r="D44" s="111"/>
      <c r="E44" s="111"/>
      <c r="F44" s="111"/>
      <c r="G44" s="111"/>
      <c r="H44" s="111"/>
      <c r="I44" s="111"/>
      <c r="J44" s="111"/>
      <c r="K44" s="111"/>
      <c r="L44" s="111"/>
      <c r="M44" s="111"/>
      <c r="N44" s="111"/>
      <c r="O44" s="111"/>
      <c r="P44" s="111"/>
      <c r="Q44" s="111"/>
      <c r="R44" s="111"/>
      <c r="S44" s="111"/>
    </row>
    <row r="45" spans="1:20" x14ac:dyDescent="0.25">
      <c r="C45" s="82"/>
      <c r="D45" s="82"/>
      <c r="E45" s="82"/>
      <c r="F45" s="82"/>
      <c r="G45" s="82"/>
      <c r="H45" s="82"/>
      <c r="I45" s="82"/>
      <c r="J45" s="82"/>
      <c r="K45" s="82"/>
      <c r="L45" s="82"/>
      <c r="M45" s="82"/>
      <c r="N45" s="82"/>
      <c r="O45" s="82"/>
      <c r="P45" s="82"/>
      <c r="Q45" s="82"/>
      <c r="R45" s="111"/>
      <c r="S45" s="111"/>
    </row>
    <row r="46" spans="1:20" ht="15.75" x14ac:dyDescent="0.25">
      <c r="A46" s="91" t="s">
        <v>334</v>
      </c>
      <c r="B46" s="91"/>
      <c r="C46" s="110"/>
      <c r="D46" s="110"/>
      <c r="E46" s="110"/>
      <c r="F46" s="110"/>
      <c r="G46" s="82"/>
      <c r="H46" s="82"/>
      <c r="I46" s="82"/>
      <c r="J46" s="82"/>
      <c r="K46" s="82"/>
      <c r="L46" s="82"/>
      <c r="M46" s="82"/>
      <c r="N46" s="82"/>
      <c r="O46" s="82"/>
      <c r="P46" s="82"/>
      <c r="Q46" s="82"/>
      <c r="R46" s="111"/>
      <c r="S46" s="111"/>
    </row>
    <row r="47" spans="1:20" ht="45.75" customHeight="1" x14ac:dyDescent="0.25">
      <c r="A47" s="133" t="s">
        <v>332</v>
      </c>
      <c r="B47" s="27" t="s">
        <v>348</v>
      </c>
      <c r="C47" s="15">
        <v>2010</v>
      </c>
      <c r="D47" s="15">
        <v>2011</v>
      </c>
      <c r="E47" s="15">
        <v>2012</v>
      </c>
      <c r="F47" s="15">
        <v>2013</v>
      </c>
      <c r="G47" s="15">
        <v>2014</v>
      </c>
      <c r="H47" s="15">
        <v>2015</v>
      </c>
      <c r="I47" s="15">
        <v>2016</v>
      </c>
      <c r="J47" s="15">
        <v>2017</v>
      </c>
      <c r="K47" s="15">
        <v>2018</v>
      </c>
      <c r="L47" s="15">
        <v>2019</v>
      </c>
      <c r="M47" s="15">
        <v>2020</v>
      </c>
      <c r="N47" s="15">
        <v>2021</v>
      </c>
      <c r="O47" s="15">
        <v>2022</v>
      </c>
      <c r="P47" s="15">
        <v>2023</v>
      </c>
      <c r="Q47" s="15">
        <v>2024</v>
      </c>
      <c r="R47" s="27" t="s">
        <v>469</v>
      </c>
      <c r="S47" s="27" t="s">
        <v>470</v>
      </c>
      <c r="T47" s="27" t="s">
        <v>471</v>
      </c>
    </row>
    <row r="48" spans="1:20" x14ac:dyDescent="0.25">
      <c r="A48" s="95" t="s">
        <v>209</v>
      </c>
      <c r="B48" s="134">
        <v>99</v>
      </c>
      <c r="C48" s="221">
        <v>8.6666666666666696</v>
      </c>
      <c r="D48" s="221" t="s">
        <v>100</v>
      </c>
      <c r="E48" s="221">
        <v>9</v>
      </c>
      <c r="F48" s="221">
        <v>7.5238095238095202</v>
      </c>
      <c r="G48" s="221" t="s">
        <v>100</v>
      </c>
      <c r="H48" s="221">
        <v>9.6666666666666696</v>
      </c>
      <c r="I48" s="221">
        <v>7.8571428571428594</v>
      </c>
      <c r="J48" s="221">
        <v>7.5333333333333297</v>
      </c>
      <c r="K48" s="221">
        <v>6.76</v>
      </c>
      <c r="L48" s="221">
        <v>6.8076923076923102</v>
      </c>
      <c r="M48" s="221">
        <v>5.9523809523809499</v>
      </c>
      <c r="N48" s="221">
        <v>6.3684210526315796</v>
      </c>
      <c r="O48" s="221">
        <v>7.4375</v>
      </c>
      <c r="P48" s="221">
        <v>6.4339622641509404</v>
      </c>
      <c r="Q48" s="221">
        <v>6.1521739130434812</v>
      </c>
      <c r="R48" s="222">
        <f>IFERROR((Q48-H48),"n/a")</f>
        <v>-3.5144927536231885</v>
      </c>
      <c r="S48" s="222">
        <f>IFERROR((Q48-M48),"n/a")</f>
        <v>0.19979296066253127</v>
      </c>
      <c r="T48" s="222">
        <f>IFERROR((Q48-P48),"n/a")</f>
        <v>-0.28178835110745926</v>
      </c>
    </row>
    <row r="49" spans="1:20" x14ac:dyDescent="0.25">
      <c r="A49" s="95" t="s">
        <v>210</v>
      </c>
      <c r="B49" s="134">
        <v>143</v>
      </c>
      <c r="C49" s="221">
        <v>6.2306233062330625</v>
      </c>
      <c r="D49" s="221">
        <v>6.1542351453855879</v>
      </c>
      <c r="E49" s="221">
        <v>6.1793517064115377</v>
      </c>
      <c r="F49" s="221">
        <v>6.6181818181818182</v>
      </c>
      <c r="G49" s="221">
        <v>5.8817012151536812</v>
      </c>
      <c r="H49" s="221">
        <v>5.7033130397847938</v>
      </c>
      <c r="I49" s="221">
        <v>5.8268441348426423</v>
      </c>
      <c r="J49" s="221">
        <v>5.8871080627099666</v>
      </c>
      <c r="K49" s="221">
        <v>5.780477926285946</v>
      </c>
      <c r="L49" s="221">
        <v>5.8314710743801657</v>
      </c>
      <c r="M49" s="221">
        <v>6.054159649713708</v>
      </c>
      <c r="N49" s="221">
        <v>5.7907453991791344</v>
      </c>
      <c r="O49" s="221">
        <v>5.808589686431862</v>
      </c>
      <c r="P49" s="221">
        <v>5.8800514605721208</v>
      </c>
      <c r="Q49" s="221">
        <v>5.7652663213760471</v>
      </c>
      <c r="R49" s="222">
        <f t="shared" ref="R49:R73" si="3">IFERROR((Q49-H49),"n/a")</f>
        <v>6.1953281591253351E-2</v>
      </c>
      <c r="S49" s="222">
        <f t="shared" ref="S49:S73" si="4">IFERROR((Q49-M49),"n/a")</f>
        <v>-0.2888933283376609</v>
      </c>
      <c r="T49" s="222">
        <f t="shared" ref="T49:T73" si="5">IFERROR((Q49-P49),"n/a")</f>
        <v>-0.11478513919607369</v>
      </c>
    </row>
    <row r="50" spans="1:20" x14ac:dyDescent="0.25">
      <c r="A50" s="95" t="s">
        <v>411</v>
      </c>
      <c r="B50" s="134">
        <v>144</v>
      </c>
      <c r="C50" s="221">
        <v>6.3506493506493493</v>
      </c>
      <c r="D50" s="221">
        <v>6.4880952380952381</v>
      </c>
      <c r="E50" s="221">
        <v>6.0329670329670328</v>
      </c>
      <c r="F50" s="221">
        <v>5.81012658227848</v>
      </c>
      <c r="G50" s="221">
        <v>6.4799999999999978</v>
      </c>
      <c r="H50" s="221">
        <v>6.2020202020202024</v>
      </c>
      <c r="I50" s="221">
        <v>6.2982456140350873</v>
      </c>
      <c r="J50" s="221">
        <v>5.7671232876712324</v>
      </c>
      <c r="K50" s="221">
        <v>6.0095238095238095</v>
      </c>
      <c r="L50" s="221">
        <v>5.5198019801980198</v>
      </c>
      <c r="M50" s="221">
        <v>6.05</v>
      </c>
      <c r="N50" s="221">
        <v>5.8164556962025333</v>
      </c>
      <c r="O50" s="221">
        <v>5.6333333333333337</v>
      </c>
      <c r="P50" s="221">
        <v>5.7560975609756095</v>
      </c>
      <c r="Q50" s="221">
        <v>7.8</v>
      </c>
      <c r="R50" s="222">
        <f t="shared" si="3"/>
        <v>1.5979797979797974</v>
      </c>
      <c r="S50" s="222">
        <f t="shared" si="4"/>
        <v>1.75</v>
      </c>
      <c r="T50" s="222">
        <f t="shared" si="5"/>
        <v>2.0439024390243903</v>
      </c>
    </row>
    <row r="51" spans="1:20" x14ac:dyDescent="0.25">
      <c r="A51" s="95" t="s">
        <v>316</v>
      </c>
      <c r="B51" s="134">
        <v>108</v>
      </c>
      <c r="C51" s="221">
        <v>12.6</v>
      </c>
      <c r="D51" s="221" t="s">
        <v>100</v>
      </c>
      <c r="E51" s="221">
        <v>8.529411764705884</v>
      </c>
      <c r="F51" s="221">
        <v>9.3043478260869623</v>
      </c>
      <c r="G51" s="221">
        <v>9.238095238095239</v>
      </c>
      <c r="H51" s="221">
        <v>9.0769230769230766</v>
      </c>
      <c r="I51" s="221">
        <v>9.0434782608695645</v>
      </c>
      <c r="J51" s="221">
        <v>8.6315789473684212</v>
      </c>
      <c r="K51" s="221">
        <v>9.045454545454545</v>
      </c>
      <c r="L51" s="221">
        <v>9.1111111111111107</v>
      </c>
      <c r="M51" s="221" t="s">
        <v>100</v>
      </c>
      <c r="N51" s="221">
        <v>8.3000000000000007</v>
      </c>
      <c r="O51" s="221">
        <v>8.8301886792452802</v>
      </c>
      <c r="P51" s="221">
        <v>8.6153846153846114</v>
      </c>
      <c r="Q51" s="221">
        <v>9.15625</v>
      </c>
      <c r="R51" s="222">
        <f t="shared" si="3"/>
        <v>7.932692307692335E-2</v>
      </c>
      <c r="S51" s="222" t="str">
        <f t="shared" si="4"/>
        <v>n/a</v>
      </c>
      <c r="T51" s="222">
        <f t="shared" si="5"/>
        <v>0.54086538461538858</v>
      </c>
    </row>
    <row r="52" spans="1:20" x14ac:dyDescent="0.25">
      <c r="A52" s="95" t="s">
        <v>211</v>
      </c>
      <c r="B52" s="134">
        <v>123</v>
      </c>
      <c r="C52" s="221">
        <v>6.1114369501466275</v>
      </c>
      <c r="D52" s="221">
        <v>6.5430183356840619</v>
      </c>
      <c r="E52" s="221">
        <v>6.5176211453744495</v>
      </c>
      <c r="F52" s="221">
        <v>6.46520618556701</v>
      </c>
      <c r="G52" s="221">
        <v>6.6308884913536073</v>
      </c>
      <c r="H52" s="221">
        <v>6.8868250539956808</v>
      </c>
      <c r="I52" s="221">
        <v>6.7386269644334158</v>
      </c>
      <c r="J52" s="221">
        <v>6.6954747774480712</v>
      </c>
      <c r="K52" s="221">
        <v>6.4864864864864868</v>
      </c>
      <c r="L52" s="221">
        <v>6.143825069294734</v>
      </c>
      <c r="M52" s="221">
        <v>6.481203007518797</v>
      </c>
      <c r="N52" s="221">
        <v>6.9654624851131404</v>
      </c>
      <c r="O52" s="221">
        <v>6.8611111111111107</v>
      </c>
      <c r="P52" s="221">
        <v>6.0402262727844125</v>
      </c>
      <c r="Q52" s="221">
        <v>5.7129287598944591</v>
      </c>
      <c r="R52" s="222">
        <f t="shared" si="3"/>
        <v>-1.1738962941012216</v>
      </c>
      <c r="S52" s="222">
        <f t="shared" si="4"/>
        <v>-0.76827424762433782</v>
      </c>
      <c r="T52" s="222">
        <f t="shared" si="5"/>
        <v>-0.32729751288995335</v>
      </c>
    </row>
    <row r="53" spans="1:20" x14ac:dyDescent="0.25">
      <c r="A53" s="95" t="s">
        <v>212</v>
      </c>
      <c r="B53" s="134">
        <v>176</v>
      </c>
      <c r="C53" s="221">
        <v>6.7616822429906538</v>
      </c>
      <c r="D53" s="221">
        <v>7.1070911722141821</v>
      </c>
      <c r="E53" s="221">
        <v>6.8789115646258505</v>
      </c>
      <c r="F53" s="221">
        <v>7.1401475237091674</v>
      </c>
      <c r="G53" s="221">
        <v>7.2882748319641522</v>
      </c>
      <c r="H53" s="221">
        <v>7.0804321728691475</v>
      </c>
      <c r="I53" s="221">
        <v>7.4505617977528091</v>
      </c>
      <c r="J53" s="221">
        <v>7.0087336244541483</v>
      </c>
      <c r="K53" s="221">
        <v>6.7802816901408454</v>
      </c>
      <c r="L53" s="221">
        <v>5.7829827915869974</v>
      </c>
      <c r="M53" s="221">
        <v>6.1303370786516851</v>
      </c>
      <c r="N53" s="221">
        <v>7.3488805970149249</v>
      </c>
      <c r="O53" s="221">
        <v>7.9868995633187776</v>
      </c>
      <c r="P53" s="221">
        <v>7.7191780821917808</v>
      </c>
      <c r="Q53" s="221">
        <v>8.5</v>
      </c>
      <c r="R53" s="222">
        <f t="shared" si="3"/>
        <v>1.4195678271308525</v>
      </c>
      <c r="S53" s="222">
        <f t="shared" si="4"/>
        <v>2.3696629213483149</v>
      </c>
      <c r="T53" s="222">
        <f t="shared" si="5"/>
        <v>0.78082191780821919</v>
      </c>
    </row>
    <row r="54" spans="1:20" x14ac:dyDescent="0.25">
      <c r="A54" s="95" t="s">
        <v>213</v>
      </c>
      <c r="B54" s="134">
        <v>120</v>
      </c>
      <c r="C54" s="221">
        <v>7.1886792452830193</v>
      </c>
      <c r="D54" s="221">
        <v>7.2116182572614109</v>
      </c>
      <c r="E54" s="221">
        <v>6.5936395759717312</v>
      </c>
      <c r="F54" s="221">
        <v>6.7964376590330788</v>
      </c>
      <c r="G54" s="221">
        <v>6.9672489082969431</v>
      </c>
      <c r="H54" s="221">
        <v>7.1635944700460827</v>
      </c>
      <c r="I54" s="221">
        <v>7.0177935943060508</v>
      </c>
      <c r="J54" s="221">
        <v>6.7581699346405228</v>
      </c>
      <c r="K54" s="221">
        <v>6.6587030716723543</v>
      </c>
      <c r="L54" s="221">
        <v>6.2477876106194694</v>
      </c>
      <c r="M54" s="221">
        <v>6.7714285714285714</v>
      </c>
      <c r="N54" s="221">
        <v>5.7637795275590564</v>
      </c>
      <c r="O54" s="221">
        <v>6.8518518518518521</v>
      </c>
      <c r="P54" s="221">
        <v>6.927835051546392</v>
      </c>
      <c r="Q54" s="221">
        <v>6.8333333333333321</v>
      </c>
      <c r="R54" s="222">
        <f t="shared" si="3"/>
        <v>-0.33026113671275059</v>
      </c>
      <c r="S54" s="222">
        <f t="shared" si="4"/>
        <v>6.1904761904760797E-2</v>
      </c>
      <c r="T54" s="222">
        <f t="shared" si="5"/>
        <v>-9.450171821305986E-2</v>
      </c>
    </row>
    <row r="55" spans="1:20" x14ac:dyDescent="0.25">
      <c r="A55" s="95" t="s">
        <v>214</v>
      </c>
      <c r="B55" s="134">
        <v>139</v>
      </c>
      <c r="C55" s="221">
        <v>5.373180873180873</v>
      </c>
      <c r="D55" s="221">
        <v>5.3610603290676417</v>
      </c>
      <c r="E55" s="221">
        <v>5.2527339003645199</v>
      </c>
      <c r="F55" s="221">
        <v>5.5135975135975137</v>
      </c>
      <c r="G55" s="221">
        <v>5.4743223965763192</v>
      </c>
      <c r="H55" s="221">
        <v>5.3645348837209301</v>
      </c>
      <c r="I55" s="221">
        <v>5.4424908424908427</v>
      </c>
      <c r="J55" s="221">
        <v>5.3592171717171704</v>
      </c>
      <c r="K55" s="221">
        <v>5.5631517960602546</v>
      </c>
      <c r="L55" s="221">
        <v>5.6561493882807472</v>
      </c>
      <c r="M55" s="221">
        <v>5.9482262703739215</v>
      </c>
      <c r="N55" s="221">
        <v>6.1561376476630718</v>
      </c>
      <c r="O55" s="221">
        <v>5.8316831683168315</v>
      </c>
      <c r="P55" s="221">
        <v>5.5934242181234968</v>
      </c>
      <c r="Q55" s="221">
        <v>5.1637630662020912</v>
      </c>
      <c r="R55" s="222">
        <f t="shared" si="3"/>
        <v>-0.20077181751883888</v>
      </c>
      <c r="S55" s="222">
        <f t="shared" si="4"/>
        <v>-0.78446320417183024</v>
      </c>
      <c r="T55" s="222">
        <f t="shared" si="5"/>
        <v>-0.42966115192140553</v>
      </c>
    </row>
    <row r="56" spans="1:20" x14ac:dyDescent="0.25">
      <c r="A56" s="95" t="s">
        <v>215</v>
      </c>
      <c r="B56" s="134">
        <v>111</v>
      </c>
      <c r="C56" s="221">
        <v>7.2959516053978595</v>
      </c>
      <c r="D56" s="221">
        <v>7.054095826893354</v>
      </c>
      <c r="E56" s="221">
        <v>7.0354285714285716</v>
      </c>
      <c r="F56" s="221">
        <v>7.039306640625</v>
      </c>
      <c r="G56" s="221">
        <v>6.694071009996553</v>
      </c>
      <c r="H56" s="221">
        <v>6.2021148440637131</v>
      </c>
      <c r="I56" s="221">
        <v>6.1782093562965681</v>
      </c>
      <c r="J56" s="221">
        <v>6.2105865886245066</v>
      </c>
      <c r="K56" s="221">
        <v>7.6625684587012408</v>
      </c>
      <c r="L56" s="221">
        <v>6.2366962885520127</v>
      </c>
      <c r="M56" s="221">
        <v>6.3275068997240114</v>
      </c>
      <c r="N56" s="221">
        <v>6.9426441351888668</v>
      </c>
      <c r="O56" s="221">
        <v>6.9093208092485545</v>
      </c>
      <c r="P56" s="221">
        <v>6.5301420709074618</v>
      </c>
      <c r="Q56" s="221">
        <v>6.3276197422805742</v>
      </c>
      <c r="R56" s="222">
        <f t="shared" si="3"/>
        <v>0.12550489821686117</v>
      </c>
      <c r="S56" s="222">
        <f t="shared" si="4"/>
        <v>1.1284255656285325E-4</v>
      </c>
      <c r="T56" s="222">
        <f t="shared" si="5"/>
        <v>-0.20252232862688757</v>
      </c>
    </row>
    <row r="57" spans="1:20" x14ac:dyDescent="0.25">
      <c r="A57" s="95" t="s">
        <v>412</v>
      </c>
      <c r="B57" s="134">
        <v>137</v>
      </c>
      <c r="C57" s="221">
        <v>6.1272727272727234</v>
      </c>
      <c r="D57" s="221">
        <v>5.8524590163934427</v>
      </c>
      <c r="E57" s="221">
        <v>6.195121951219515</v>
      </c>
      <c r="F57" s="221">
        <v>6.2456140350877192</v>
      </c>
      <c r="G57" s="221">
        <v>6.8604651162790713</v>
      </c>
      <c r="H57" s="221">
        <v>6.4166666666666679</v>
      </c>
      <c r="I57" s="221">
        <v>6.0701754385964914</v>
      </c>
      <c r="J57" s="221">
        <v>6.3768115942028984</v>
      </c>
      <c r="K57" s="221">
        <v>5.8813559322033875</v>
      </c>
      <c r="L57" s="221">
        <v>6.5161290322580623</v>
      </c>
      <c r="M57" s="221">
        <v>6.186440677966103</v>
      </c>
      <c r="N57" s="221">
        <v>6.5762711864406782</v>
      </c>
      <c r="O57" s="221">
        <v>6.328125</v>
      </c>
      <c r="P57" s="221">
        <v>5.892857142857145</v>
      </c>
      <c r="Q57" s="221">
        <v>5.891891891891893</v>
      </c>
      <c r="R57" s="222">
        <f t="shared" si="3"/>
        <v>-0.52477477477477485</v>
      </c>
      <c r="S57" s="222">
        <f t="shared" si="4"/>
        <v>-0.29454878607420998</v>
      </c>
      <c r="T57" s="222">
        <f t="shared" si="5"/>
        <v>-9.6525096525201803E-4</v>
      </c>
    </row>
    <row r="58" spans="1:20" x14ac:dyDescent="0.25">
      <c r="A58" s="95" t="s">
        <v>356</v>
      </c>
      <c r="B58" s="134">
        <v>171</v>
      </c>
      <c r="C58" s="221" t="s">
        <v>100</v>
      </c>
      <c r="D58" s="221">
        <v>6.9230769230769234</v>
      </c>
      <c r="E58" s="221">
        <v>7.0588235294117645</v>
      </c>
      <c r="F58" s="221">
        <v>6.5217391304347823</v>
      </c>
      <c r="G58" s="221" t="s">
        <v>100</v>
      </c>
      <c r="H58" s="221" t="s">
        <v>100</v>
      </c>
      <c r="I58" s="221" t="s">
        <v>100</v>
      </c>
      <c r="J58" s="221" t="s">
        <v>100</v>
      </c>
      <c r="K58" s="221" t="s">
        <v>100</v>
      </c>
      <c r="L58" s="221" t="s">
        <v>100</v>
      </c>
      <c r="M58" s="221">
        <v>5.4000000000000012</v>
      </c>
      <c r="N58" s="221">
        <v>5.5584415584415598</v>
      </c>
      <c r="O58" s="221">
        <v>6.640625</v>
      </c>
      <c r="P58" s="221">
        <v>7.3666666666666663</v>
      </c>
      <c r="Q58" s="221">
        <v>6.6052631578947363</v>
      </c>
      <c r="R58" s="222" t="str">
        <f t="shared" si="3"/>
        <v>n/a</v>
      </c>
      <c r="S58" s="222">
        <f t="shared" si="4"/>
        <v>1.205263157894735</v>
      </c>
      <c r="T58" s="222">
        <f t="shared" si="5"/>
        <v>-0.76140350877192997</v>
      </c>
    </row>
    <row r="59" spans="1:20" x14ac:dyDescent="0.25">
      <c r="A59" s="95" t="s">
        <v>216</v>
      </c>
      <c r="B59" s="134">
        <v>104</v>
      </c>
      <c r="C59" s="221" t="s">
        <v>100</v>
      </c>
      <c r="D59" s="221" t="s">
        <v>100</v>
      </c>
      <c r="E59" s="221" t="s">
        <v>100</v>
      </c>
      <c r="F59" s="221" t="s">
        <v>100</v>
      </c>
      <c r="G59" s="221">
        <v>13.631578947368416</v>
      </c>
      <c r="H59" s="221">
        <v>11.307692307692308</v>
      </c>
      <c r="I59" s="221">
        <v>10.125000000000025</v>
      </c>
      <c r="J59" s="221">
        <v>10.1111111111111</v>
      </c>
      <c r="K59" s="221">
        <v>10.867647058823488</v>
      </c>
      <c r="L59" s="221">
        <v>10.681818181818146</v>
      </c>
      <c r="M59" s="221">
        <v>10.484848484848452</v>
      </c>
      <c r="N59" s="221">
        <v>11.164705882352909</v>
      </c>
      <c r="O59" s="221">
        <v>11.056603773584893</v>
      </c>
      <c r="P59" s="221">
        <v>10.076923076923107</v>
      </c>
      <c r="Q59" s="221">
        <v>10.74999999999997</v>
      </c>
      <c r="R59" s="222">
        <f t="shared" si="3"/>
        <v>-0.55769230769233857</v>
      </c>
      <c r="S59" s="222">
        <f t="shared" si="4"/>
        <v>0.26515151515151736</v>
      </c>
      <c r="T59" s="222">
        <f t="shared" si="5"/>
        <v>0.67307692307686295</v>
      </c>
    </row>
    <row r="60" spans="1:20" x14ac:dyDescent="0.25">
      <c r="A60" s="95" t="s">
        <v>357</v>
      </c>
      <c r="B60" s="134">
        <v>754</v>
      </c>
      <c r="C60" s="221" t="s">
        <v>100</v>
      </c>
      <c r="D60" s="221" t="s">
        <v>100</v>
      </c>
      <c r="E60" s="221" t="s">
        <v>100</v>
      </c>
      <c r="F60" s="221" t="s">
        <v>100</v>
      </c>
      <c r="G60" s="221" t="s">
        <v>100</v>
      </c>
      <c r="H60" s="221" t="s">
        <v>100</v>
      </c>
      <c r="I60" s="221" t="s">
        <v>100</v>
      </c>
      <c r="J60" s="221" t="s">
        <v>100</v>
      </c>
      <c r="K60" s="221" t="s">
        <v>100</v>
      </c>
      <c r="L60" s="221" t="s">
        <v>100</v>
      </c>
      <c r="M60" s="221" t="s">
        <v>100</v>
      </c>
      <c r="N60" s="221" t="s">
        <v>100</v>
      </c>
      <c r="O60" s="221" t="s">
        <v>100</v>
      </c>
      <c r="P60" s="221">
        <v>7.9047619047619051</v>
      </c>
      <c r="Q60" s="221" t="s">
        <v>100</v>
      </c>
      <c r="R60" s="222" t="str">
        <f t="shared" si="3"/>
        <v>n/a</v>
      </c>
      <c r="S60" s="222" t="str">
        <f t="shared" si="4"/>
        <v>n/a</v>
      </c>
      <c r="T60" s="222" t="str">
        <f t="shared" si="5"/>
        <v>n/a</v>
      </c>
    </row>
    <row r="61" spans="1:20" x14ac:dyDescent="0.25">
      <c r="A61" s="95" t="s">
        <v>217</v>
      </c>
      <c r="B61" s="134">
        <v>132</v>
      </c>
      <c r="C61" s="221">
        <v>7.040133779264214</v>
      </c>
      <c r="D61" s="221">
        <v>6.5362903225806441</v>
      </c>
      <c r="E61" s="221">
        <v>6.275862068965516</v>
      </c>
      <c r="F61" s="221">
        <v>6.1074626865671631</v>
      </c>
      <c r="G61" s="221">
        <v>5.7939560439560438</v>
      </c>
      <c r="H61" s="221">
        <v>6.5999999999999988</v>
      </c>
      <c r="I61" s="221">
        <v>6.7961165048543686</v>
      </c>
      <c r="J61" s="221">
        <v>6.4773869346733672</v>
      </c>
      <c r="K61" s="221">
        <v>6.3300653594771239</v>
      </c>
      <c r="L61" s="221">
        <v>6.77891156462585</v>
      </c>
      <c r="M61" s="221">
        <v>6.8763250883392235</v>
      </c>
      <c r="N61" s="221">
        <v>5.1577639751552793</v>
      </c>
      <c r="O61" s="221">
        <v>5.7099841521394623</v>
      </c>
      <c r="P61" s="221">
        <v>5.6299862448418141</v>
      </c>
      <c r="Q61" s="221">
        <v>6.4453608247422682</v>
      </c>
      <c r="R61" s="222">
        <f t="shared" si="3"/>
        <v>-0.15463917525773052</v>
      </c>
      <c r="S61" s="222">
        <f t="shared" si="4"/>
        <v>-0.43096426359695528</v>
      </c>
      <c r="T61" s="222">
        <f t="shared" si="5"/>
        <v>0.81537457990045414</v>
      </c>
    </row>
    <row r="62" spans="1:20" x14ac:dyDescent="0.25">
      <c r="A62" s="95" t="s">
        <v>413</v>
      </c>
      <c r="B62" s="134">
        <v>117</v>
      </c>
      <c r="C62" s="221">
        <v>6</v>
      </c>
      <c r="D62" s="221">
        <v>6.3611111111111098</v>
      </c>
      <c r="E62" s="221">
        <v>5.7738095238095219</v>
      </c>
      <c r="F62" s="221">
        <v>6.1840000000000037</v>
      </c>
      <c r="G62" s="221">
        <v>6.1463414634146316</v>
      </c>
      <c r="H62" s="221">
        <v>6.0189573459715646</v>
      </c>
      <c r="I62" s="221">
        <v>6.3149350649350664</v>
      </c>
      <c r="J62" s="221">
        <v>6.5488126649076532</v>
      </c>
      <c r="K62" s="221">
        <v>6.6871727748691114</v>
      </c>
      <c r="L62" s="221">
        <v>6.8648383937316373</v>
      </c>
      <c r="M62" s="221">
        <v>6.6982456140350886</v>
      </c>
      <c r="N62" s="221">
        <v>7.0459933617828368</v>
      </c>
      <c r="O62" s="221">
        <v>6.778528827037773</v>
      </c>
      <c r="P62" s="221">
        <v>6.5362811791383209</v>
      </c>
      <c r="Q62" s="221">
        <v>6.8087059520284274</v>
      </c>
      <c r="R62" s="222">
        <f t="shared" si="3"/>
        <v>0.78974860605686281</v>
      </c>
      <c r="S62" s="222">
        <f t="shared" si="4"/>
        <v>0.11046033799333888</v>
      </c>
      <c r="T62" s="222">
        <f t="shared" si="5"/>
        <v>0.27242477289010658</v>
      </c>
    </row>
    <row r="63" spans="1:20" x14ac:dyDescent="0.25">
      <c r="A63" s="95" t="s">
        <v>219</v>
      </c>
      <c r="B63" s="134">
        <v>103</v>
      </c>
      <c r="C63" s="221">
        <v>6.0385604113110531</v>
      </c>
      <c r="D63" s="221">
        <v>5.8681592039801007</v>
      </c>
      <c r="E63" s="221">
        <v>5.8759894459102906</v>
      </c>
      <c r="F63" s="221">
        <v>5.9476987447698733</v>
      </c>
      <c r="G63" s="221">
        <v>5.8645833333333313</v>
      </c>
      <c r="H63" s="221">
        <v>5.8537906137184095</v>
      </c>
      <c r="I63" s="221">
        <v>5.76842105263158</v>
      </c>
      <c r="J63" s="221">
        <v>5.9491725768321526</v>
      </c>
      <c r="K63" s="221">
        <v>6.0053571428571413</v>
      </c>
      <c r="L63" s="221">
        <v>6.234338747099768</v>
      </c>
      <c r="M63" s="221">
        <v>6.3818525519848741</v>
      </c>
      <c r="N63" s="221">
        <v>6.4217687074829941</v>
      </c>
      <c r="O63" s="221">
        <v>6.720457433290977</v>
      </c>
      <c r="P63" s="221">
        <v>6.7971223021582734</v>
      </c>
      <c r="Q63" s="221">
        <v>8.2412280701754383</v>
      </c>
      <c r="R63" s="222">
        <f t="shared" si="3"/>
        <v>2.3874374564570289</v>
      </c>
      <c r="S63" s="222">
        <f t="shared" si="4"/>
        <v>1.8593755181905642</v>
      </c>
      <c r="T63" s="222">
        <f t="shared" si="5"/>
        <v>1.4441057680171649</v>
      </c>
    </row>
    <row r="64" spans="1:20" x14ac:dyDescent="0.25">
      <c r="A64" s="95" t="s">
        <v>220</v>
      </c>
      <c r="B64" s="134">
        <v>676</v>
      </c>
      <c r="C64" s="221" t="s">
        <v>100</v>
      </c>
      <c r="D64" s="221" t="s">
        <v>100</v>
      </c>
      <c r="E64" s="221" t="s">
        <v>100</v>
      </c>
      <c r="F64" s="221" t="s">
        <v>100</v>
      </c>
      <c r="G64" s="221" t="s">
        <v>100</v>
      </c>
      <c r="H64" s="221">
        <v>9</v>
      </c>
      <c r="I64" s="221">
        <v>9.7142857142857135</v>
      </c>
      <c r="J64" s="221">
        <v>9.1428571428571423</v>
      </c>
      <c r="K64" s="221">
        <v>11.062499999999988</v>
      </c>
      <c r="L64" s="221">
        <v>8.3684210526315823</v>
      </c>
      <c r="M64" s="221">
        <v>9.2142857142857135</v>
      </c>
      <c r="N64" s="221">
        <v>8.7272727272727266</v>
      </c>
      <c r="O64" s="221">
        <v>9.4999999999999911</v>
      </c>
      <c r="P64" s="221">
        <v>9.5</v>
      </c>
      <c r="Q64" s="221">
        <v>7.615384615384615</v>
      </c>
      <c r="R64" s="222">
        <f t="shared" si="3"/>
        <v>-1.384615384615385</v>
      </c>
      <c r="S64" s="222">
        <f t="shared" si="4"/>
        <v>-1.5989010989010985</v>
      </c>
      <c r="T64" s="222">
        <f t="shared" si="5"/>
        <v>-1.884615384615385</v>
      </c>
    </row>
    <row r="65" spans="1:20" x14ac:dyDescent="0.25">
      <c r="A65" s="95" t="s">
        <v>221</v>
      </c>
      <c r="B65" s="134">
        <v>193</v>
      </c>
      <c r="C65" s="221">
        <v>6.0454545454545459</v>
      </c>
      <c r="D65" s="221">
        <v>5.4857142857142893</v>
      </c>
      <c r="E65" s="221">
        <v>6.4999999999999982</v>
      </c>
      <c r="F65" s="221">
        <v>7.355555555555557</v>
      </c>
      <c r="G65" s="221">
        <v>8.2222222222222197</v>
      </c>
      <c r="H65" s="221">
        <v>8</v>
      </c>
      <c r="I65" s="221">
        <v>6.7083333333333366</v>
      </c>
      <c r="J65" s="221">
        <v>7.5</v>
      </c>
      <c r="K65" s="221">
        <v>7.1249999999999956</v>
      </c>
      <c r="L65" s="221">
        <v>7.1764705882352926</v>
      </c>
      <c r="M65" s="221" t="s">
        <v>100</v>
      </c>
      <c r="N65" s="221">
        <v>9.4358974358974361</v>
      </c>
      <c r="O65" s="221">
        <v>8.6538461538461533</v>
      </c>
      <c r="P65" s="221">
        <v>8.190476190476188</v>
      </c>
      <c r="Q65" s="221">
        <v>7.9999999999999973</v>
      </c>
      <c r="R65" s="222">
        <f t="shared" si="3"/>
        <v>-2.6645352591003757E-15</v>
      </c>
      <c r="S65" s="222" t="str">
        <f t="shared" si="4"/>
        <v>n/a</v>
      </c>
      <c r="T65" s="222">
        <f t="shared" si="5"/>
        <v>-0.19047619047619069</v>
      </c>
    </row>
    <row r="66" spans="1:20" x14ac:dyDescent="0.25">
      <c r="A66" s="95" t="s">
        <v>222</v>
      </c>
      <c r="B66" s="134">
        <v>113</v>
      </c>
      <c r="C66" s="221">
        <v>5.944</v>
      </c>
      <c r="D66" s="221">
        <v>6.3696969696969701</v>
      </c>
      <c r="E66" s="221">
        <v>5.7356608478802995</v>
      </c>
      <c r="F66" s="221">
        <v>5.9961240310077519</v>
      </c>
      <c r="G66" s="221">
        <v>6.085841694537347</v>
      </c>
      <c r="H66" s="221">
        <v>6.1609947643979055</v>
      </c>
      <c r="I66" s="221">
        <v>6.2970297029702973</v>
      </c>
      <c r="J66" s="221">
        <v>6.0256739409499342</v>
      </c>
      <c r="K66" s="221">
        <v>5.877682403433476</v>
      </c>
      <c r="L66" s="221">
        <v>5.7737603305785123</v>
      </c>
      <c r="M66" s="221">
        <v>5.9955849889624728</v>
      </c>
      <c r="N66" s="221">
        <v>6.6439834024896269</v>
      </c>
      <c r="O66" s="221">
        <v>6.7119565217391308</v>
      </c>
      <c r="P66" s="221">
        <v>6.601694915254237</v>
      </c>
      <c r="Q66" s="221">
        <v>6.36</v>
      </c>
      <c r="R66" s="222">
        <f t="shared" si="3"/>
        <v>0.19900523560209482</v>
      </c>
      <c r="S66" s="222">
        <f t="shared" si="4"/>
        <v>0.36441501103752749</v>
      </c>
      <c r="T66" s="222">
        <f t="shared" si="5"/>
        <v>-0.2416949152542367</v>
      </c>
    </row>
    <row r="67" spans="1:20" x14ac:dyDescent="0.25">
      <c r="A67" s="95" t="s">
        <v>223</v>
      </c>
      <c r="B67" s="134">
        <v>152</v>
      </c>
      <c r="C67" s="221">
        <v>6.7265625000000009</v>
      </c>
      <c r="D67" s="221">
        <v>6.6192468619246858</v>
      </c>
      <c r="E67" s="221">
        <v>6.4985673352435533</v>
      </c>
      <c r="F67" s="221">
        <v>6.1723163841807906</v>
      </c>
      <c r="G67" s="221">
        <v>5.9156327543424316</v>
      </c>
      <c r="H67" s="221">
        <v>6.2908163265306118</v>
      </c>
      <c r="I67" s="221">
        <v>7.2237762237762242</v>
      </c>
      <c r="J67" s="221">
        <v>6.7975206611570256</v>
      </c>
      <c r="K67" s="221">
        <v>7.0029585798816569</v>
      </c>
      <c r="L67" s="221">
        <v>6.5339805825242712</v>
      </c>
      <c r="M67" s="221">
        <v>6.7568493150684938</v>
      </c>
      <c r="N67" s="221">
        <v>6.4609015639374423</v>
      </c>
      <c r="O67" s="221">
        <v>6.5351111111111111</v>
      </c>
      <c r="P67" s="221">
        <v>6.3460912052117262</v>
      </c>
      <c r="Q67" s="221">
        <v>6.2590361445783129</v>
      </c>
      <c r="R67" s="222">
        <f t="shared" si="3"/>
        <v>-3.1780181952298925E-2</v>
      </c>
      <c r="S67" s="222">
        <f t="shared" si="4"/>
        <v>-0.49781317049018092</v>
      </c>
      <c r="T67" s="222">
        <f t="shared" si="5"/>
        <v>-8.7055060633413284E-2</v>
      </c>
    </row>
    <row r="68" spans="1:20" x14ac:dyDescent="0.25">
      <c r="A68" s="95" t="s">
        <v>224</v>
      </c>
      <c r="B68" s="134">
        <v>101</v>
      </c>
      <c r="C68" s="221" t="s">
        <v>100</v>
      </c>
      <c r="D68" s="221">
        <v>6</v>
      </c>
      <c r="E68" s="221">
        <v>5.7738095238095255</v>
      </c>
      <c r="F68" s="221">
        <v>5.8392857142857144</v>
      </c>
      <c r="G68" s="221">
        <v>5.6086956521739131</v>
      </c>
      <c r="H68" s="221">
        <v>5.163636363636364</v>
      </c>
      <c r="I68" s="221">
        <v>5.0634920634920633</v>
      </c>
      <c r="J68" s="221">
        <v>5.3448275862068968</v>
      </c>
      <c r="K68" s="221">
        <v>5.2195121951219505</v>
      </c>
      <c r="L68" s="221">
        <v>5.2444444444444454</v>
      </c>
      <c r="M68" s="221">
        <v>5.4819277108433724</v>
      </c>
      <c r="N68" s="221">
        <v>5.4022988505747129</v>
      </c>
      <c r="O68" s="221">
        <v>5.4142857142857155</v>
      </c>
      <c r="P68" s="221">
        <v>5.1707317073170724</v>
      </c>
      <c r="Q68" s="221">
        <v>5.0882352941176467</v>
      </c>
      <c r="R68" s="222">
        <f t="shared" si="3"/>
        <v>-7.5401069518717279E-2</v>
      </c>
      <c r="S68" s="222">
        <f t="shared" si="4"/>
        <v>-0.39369241672572564</v>
      </c>
      <c r="T68" s="222">
        <f t="shared" si="5"/>
        <v>-8.2496413199425689E-2</v>
      </c>
    </row>
    <row r="69" spans="1:20" x14ac:dyDescent="0.25">
      <c r="A69" s="95" t="s">
        <v>225</v>
      </c>
      <c r="B69" s="134">
        <v>155</v>
      </c>
      <c r="C69" s="221">
        <v>6.6455479452054798</v>
      </c>
      <c r="D69" s="221">
        <v>5.9431099873577748</v>
      </c>
      <c r="E69" s="221">
        <v>6.0189520624303237</v>
      </c>
      <c r="F69" s="221">
        <v>6.0781089414182929</v>
      </c>
      <c r="G69" s="221">
        <v>7.2727272727272725</v>
      </c>
      <c r="H69" s="221">
        <v>5.2824427480916043</v>
      </c>
      <c r="I69" s="221">
        <v>5.2864372469635628</v>
      </c>
      <c r="J69" s="221">
        <v>5.3779443254817991</v>
      </c>
      <c r="K69" s="221">
        <v>5.3442245743212151</v>
      </c>
      <c r="L69" s="221">
        <v>5.6413849958779885</v>
      </c>
      <c r="M69" s="221">
        <v>6.0742459396751753</v>
      </c>
      <c r="N69" s="221">
        <v>6.2172413793103445</v>
      </c>
      <c r="O69" s="221">
        <v>6.235294117647058</v>
      </c>
      <c r="P69" s="221">
        <v>5.9392812887236683</v>
      </c>
      <c r="Q69" s="221">
        <v>5.9215219976218787</v>
      </c>
      <c r="R69" s="222">
        <f t="shared" si="3"/>
        <v>0.6390792495302744</v>
      </c>
      <c r="S69" s="222">
        <f t="shared" si="4"/>
        <v>-0.15272394205329665</v>
      </c>
      <c r="T69" s="222">
        <f t="shared" si="5"/>
        <v>-1.7759291101789643E-2</v>
      </c>
    </row>
    <row r="70" spans="1:20" x14ac:dyDescent="0.25">
      <c r="A70" s="95" t="s">
        <v>297</v>
      </c>
      <c r="B70" s="134">
        <v>693</v>
      </c>
      <c r="C70" s="221" t="s">
        <v>100</v>
      </c>
      <c r="D70" s="221" t="s">
        <v>100</v>
      </c>
      <c r="E70" s="221" t="s">
        <v>100</v>
      </c>
      <c r="F70" s="221" t="s">
        <v>100</v>
      </c>
      <c r="G70" s="221" t="s">
        <v>100</v>
      </c>
      <c r="H70" s="221" t="s">
        <v>100</v>
      </c>
      <c r="I70" s="221" t="s">
        <v>100</v>
      </c>
      <c r="J70" s="221" t="s">
        <v>100</v>
      </c>
      <c r="K70" s="221" t="s">
        <v>100</v>
      </c>
      <c r="L70" s="221" t="s">
        <v>100</v>
      </c>
      <c r="M70" s="221" t="s">
        <v>100</v>
      </c>
      <c r="N70" s="221" t="s">
        <v>100</v>
      </c>
      <c r="O70" s="221">
        <v>4.1538461538461497</v>
      </c>
      <c r="P70" s="221" t="s">
        <v>100</v>
      </c>
      <c r="Q70" s="221">
        <v>5.3636363636363598</v>
      </c>
      <c r="R70" s="222" t="str">
        <f t="shared" si="3"/>
        <v>n/a</v>
      </c>
      <c r="S70" s="222" t="str">
        <f t="shared" si="4"/>
        <v>n/a</v>
      </c>
      <c r="T70" s="222" t="str">
        <f t="shared" si="5"/>
        <v>n/a</v>
      </c>
    </row>
    <row r="71" spans="1:20" x14ac:dyDescent="0.25">
      <c r="A71" s="95" t="s">
        <v>226</v>
      </c>
      <c r="B71" s="134">
        <v>106</v>
      </c>
      <c r="C71" s="221">
        <v>6.4899598393574287</v>
      </c>
      <c r="D71" s="221">
        <v>7.0546875</v>
      </c>
      <c r="E71" s="221">
        <v>6.8558282208588945</v>
      </c>
      <c r="F71" s="221">
        <v>6.8939393939393954</v>
      </c>
      <c r="G71" s="221">
        <v>6.945273631840795</v>
      </c>
      <c r="H71" s="221">
        <v>6.6453900709219855</v>
      </c>
      <c r="I71" s="221">
        <v>6.9663865546218489</v>
      </c>
      <c r="J71" s="221">
        <v>7.253333333333333</v>
      </c>
      <c r="K71" s="221">
        <v>7.3658536585365857</v>
      </c>
      <c r="L71" s="221">
        <v>7.3574297188755002</v>
      </c>
      <c r="M71" s="221">
        <v>6.9967637540453076</v>
      </c>
      <c r="N71" s="221">
        <v>7.0884244372990368</v>
      </c>
      <c r="O71" s="221">
        <v>6.9324324324324342</v>
      </c>
      <c r="P71" s="221">
        <v>6.4112030553787411</v>
      </c>
      <c r="Q71" s="221">
        <v>5.5394594594594588</v>
      </c>
      <c r="R71" s="222">
        <f t="shared" si="3"/>
        <v>-1.1059306114625267</v>
      </c>
      <c r="S71" s="222">
        <f t="shared" si="4"/>
        <v>-1.4573042945858488</v>
      </c>
      <c r="T71" s="222">
        <f t="shared" si="5"/>
        <v>-0.8717435959192823</v>
      </c>
    </row>
    <row r="72" spans="1:20" x14ac:dyDescent="0.25">
      <c r="A72" s="95" t="s">
        <v>516</v>
      </c>
      <c r="B72" s="134">
        <v>162</v>
      </c>
      <c r="C72" s="221">
        <v>7.4210526315789513</v>
      </c>
      <c r="D72" s="221">
        <v>7.8285714285714283</v>
      </c>
      <c r="E72" s="221">
        <v>7.6867469879518096</v>
      </c>
      <c r="F72" s="221">
        <v>6.969230769230772</v>
      </c>
      <c r="G72" s="221">
        <v>6.5211267605633809</v>
      </c>
      <c r="H72" s="221">
        <v>5.8548387096774173</v>
      </c>
      <c r="I72" s="221">
        <v>6.421052631578946</v>
      </c>
      <c r="J72" s="221">
        <v>6.8059701492537332</v>
      </c>
      <c r="K72" s="221">
        <v>6.7288135593220337</v>
      </c>
      <c r="L72" s="221">
        <v>6.4999999999999982</v>
      </c>
      <c r="M72" s="221">
        <v>7.0000000000000018</v>
      </c>
      <c r="N72" s="221">
        <v>6.7179487179487181</v>
      </c>
      <c r="O72" s="221">
        <v>6.6185567010309274</v>
      </c>
      <c r="P72" s="221">
        <v>5.971223021582734</v>
      </c>
      <c r="Q72" s="221">
        <v>5.798165137614677</v>
      </c>
      <c r="R72" s="222">
        <f t="shared" si="3"/>
        <v>-5.6673572062740263E-2</v>
      </c>
      <c r="S72" s="222">
        <f t="shared" si="4"/>
        <v>-1.2018348623853248</v>
      </c>
      <c r="T72" s="222">
        <f t="shared" si="5"/>
        <v>-0.17305788396805699</v>
      </c>
    </row>
    <row r="73" spans="1:20" x14ac:dyDescent="0.25">
      <c r="A73" s="95" t="s">
        <v>227</v>
      </c>
      <c r="B73" s="134">
        <v>116</v>
      </c>
      <c r="C73" s="221">
        <v>7.2666666666666666</v>
      </c>
      <c r="D73" s="221">
        <v>7.0656370656370671</v>
      </c>
      <c r="E73" s="221">
        <v>7.0319327731092436</v>
      </c>
      <c r="F73" s="221">
        <v>7.2017543859649127</v>
      </c>
      <c r="G73" s="221">
        <v>7.065180102915952</v>
      </c>
      <c r="H73" s="221">
        <v>7.0588235294117645</v>
      </c>
      <c r="I73" s="221">
        <v>7.005089058524173</v>
      </c>
      <c r="J73" s="221">
        <v>6.746919431279621</v>
      </c>
      <c r="K73" s="221">
        <v>7.0038759689922481</v>
      </c>
      <c r="L73" s="221">
        <v>6.8665803108808294</v>
      </c>
      <c r="M73" s="221">
        <v>6.7967581047381547</v>
      </c>
      <c r="N73" s="221">
        <v>6.3066037735849054</v>
      </c>
      <c r="O73" s="221">
        <v>6.4091293322062555</v>
      </c>
      <c r="P73" s="221">
        <v>6.5852459016393441</v>
      </c>
      <c r="Q73" s="221">
        <v>6.5620736698499318</v>
      </c>
      <c r="R73" s="222">
        <f t="shared" si="3"/>
        <v>-0.49674985956183271</v>
      </c>
      <c r="S73" s="222">
        <f t="shared" si="4"/>
        <v>-0.23468443488822288</v>
      </c>
      <c r="T73" s="222">
        <f t="shared" si="5"/>
        <v>-2.3172231789412301E-2</v>
      </c>
    </row>
    <row r="74" spans="1:20" x14ac:dyDescent="0.25">
      <c r="A74" s="157" t="s">
        <v>511</v>
      </c>
      <c r="R74" s="113"/>
      <c r="S74" s="113"/>
      <c r="T74" s="113"/>
    </row>
    <row r="75" spans="1:20" x14ac:dyDescent="0.25">
      <c r="B75" s="119"/>
      <c r="C75" s="21"/>
      <c r="D75" s="21"/>
      <c r="E75" s="21"/>
      <c r="F75" s="21"/>
      <c r="G75" s="98"/>
      <c r="H75" s="98"/>
      <c r="I75" s="98"/>
      <c r="J75" s="98"/>
      <c r="K75" s="98"/>
      <c r="L75" s="98"/>
      <c r="M75" s="98"/>
      <c r="N75" s="98"/>
      <c r="O75" s="98"/>
      <c r="P75" s="98"/>
      <c r="Q75" s="98"/>
      <c r="R75" s="109"/>
      <c r="S75" s="109"/>
      <c r="T75" s="128"/>
    </row>
    <row r="76" spans="1:20" x14ac:dyDescent="0.25">
      <c r="A76" s="92"/>
      <c r="B76" s="92"/>
      <c r="C76" s="113"/>
      <c r="D76" s="113"/>
      <c r="E76" s="113"/>
      <c r="F76" s="113"/>
      <c r="G76" s="113"/>
      <c r="H76" s="113"/>
      <c r="I76" s="113"/>
      <c r="J76" s="113"/>
      <c r="K76" s="113"/>
      <c r="L76" s="113"/>
      <c r="M76" s="113"/>
      <c r="N76" s="113"/>
      <c r="O76" s="113"/>
      <c r="P76" s="113"/>
      <c r="Q76" s="113"/>
    </row>
    <row r="77" spans="1:20" ht="15.75" x14ac:dyDescent="0.25">
      <c r="A77" s="91" t="s">
        <v>335</v>
      </c>
      <c r="B77" s="91"/>
      <c r="C77" s="110"/>
      <c r="D77" s="110"/>
      <c r="E77" s="110"/>
      <c r="F77" s="110"/>
      <c r="G77" s="82"/>
      <c r="H77" s="82"/>
      <c r="I77" s="82"/>
      <c r="J77" s="82"/>
      <c r="K77" s="82"/>
      <c r="L77" s="82"/>
      <c r="M77" s="82"/>
      <c r="N77" s="82"/>
      <c r="O77" s="82"/>
      <c r="P77" s="82"/>
      <c r="Q77" s="82"/>
      <c r="R77" s="111"/>
      <c r="S77" s="111"/>
    </row>
    <row r="78" spans="1:20" ht="46.5" customHeight="1" x14ac:dyDescent="0.25">
      <c r="A78" s="133" t="s">
        <v>332</v>
      </c>
      <c r="B78" s="27" t="s">
        <v>348</v>
      </c>
      <c r="C78" s="15">
        <v>2010</v>
      </c>
      <c r="D78" s="15">
        <v>2011</v>
      </c>
      <c r="E78" s="15">
        <v>2012</v>
      </c>
      <c r="F78" s="15">
        <v>2013</v>
      </c>
      <c r="G78" s="15">
        <v>2014</v>
      </c>
      <c r="H78" s="15">
        <v>2015</v>
      </c>
      <c r="I78" s="15">
        <v>2016</v>
      </c>
      <c r="J78" s="15">
        <v>2017</v>
      </c>
      <c r="K78" s="15">
        <v>2018</v>
      </c>
      <c r="L78" s="15">
        <v>2019</v>
      </c>
      <c r="M78" s="15">
        <v>2020</v>
      </c>
      <c r="N78" s="15">
        <v>2021</v>
      </c>
      <c r="O78" s="15">
        <v>2022</v>
      </c>
      <c r="P78" s="15">
        <v>2023</v>
      </c>
      <c r="Q78" s="15">
        <v>2024</v>
      </c>
      <c r="R78" s="27" t="s">
        <v>469</v>
      </c>
      <c r="S78" s="27" t="s">
        <v>470</v>
      </c>
      <c r="T78" s="27" t="s">
        <v>471</v>
      </c>
    </row>
    <row r="79" spans="1:20" x14ac:dyDescent="0.25">
      <c r="A79" s="107" t="s">
        <v>232</v>
      </c>
      <c r="B79" s="135">
        <v>38</v>
      </c>
      <c r="C79" s="221">
        <v>5.3928571428571415</v>
      </c>
      <c r="D79" s="221">
        <v>5.2727272727272698</v>
      </c>
      <c r="E79" s="221">
        <v>4.7297297297297298</v>
      </c>
      <c r="F79" s="221">
        <v>4.8095238095238102</v>
      </c>
      <c r="G79" s="221">
        <v>5.6666666666666687</v>
      </c>
      <c r="H79" s="221">
        <v>5.6923076923076898</v>
      </c>
      <c r="I79" s="221">
        <v>5.1578947368421098</v>
      </c>
      <c r="J79" s="221">
        <v>5.1111111111111134</v>
      </c>
      <c r="K79" s="221">
        <v>5.7435897435897401</v>
      </c>
      <c r="L79" s="221">
        <v>5.8823529411764701</v>
      </c>
      <c r="M79" s="221" t="s">
        <v>100</v>
      </c>
      <c r="N79" s="221">
        <v>5.9047619047619104</v>
      </c>
      <c r="O79" s="221">
        <v>5.5416666666666687</v>
      </c>
      <c r="P79" s="221">
        <v>4.6785714285714297</v>
      </c>
      <c r="Q79" s="221">
        <v>5.625</v>
      </c>
      <c r="R79" s="222">
        <f t="shared" ref="R79:R102" si="6">IFERROR((Q79-H79),"n/a")</f>
        <v>-6.7307692307689848E-2</v>
      </c>
      <c r="S79" s="222" t="str">
        <f t="shared" ref="S79:S102" si="7">IFERROR((Q79-M79),"n/a")</f>
        <v>n/a</v>
      </c>
      <c r="T79" s="222">
        <f t="shared" ref="T79:T102" si="8">IFERROR((Q79-P79),"n/a")</f>
        <v>0.94642857142857029</v>
      </c>
    </row>
    <row r="80" spans="1:20" x14ac:dyDescent="0.25">
      <c r="A80" s="107" t="s">
        <v>235</v>
      </c>
      <c r="B80" s="135">
        <v>81</v>
      </c>
      <c r="C80" s="221">
        <v>8.3566433566433602</v>
      </c>
      <c r="D80" s="221">
        <v>8.2554890219560892</v>
      </c>
      <c r="E80" s="221">
        <v>7.4131274131274134</v>
      </c>
      <c r="F80" s="221">
        <v>7.3133333333333335</v>
      </c>
      <c r="G80" s="221">
        <v>7.1342592592592595</v>
      </c>
      <c r="H80" s="221">
        <v>6.8948717948717952</v>
      </c>
      <c r="I80" s="221">
        <v>6.3635204081632661</v>
      </c>
      <c r="J80" s="221">
        <v>6.3059096176129783</v>
      </c>
      <c r="K80" s="221">
        <v>6.2519841269841274</v>
      </c>
      <c r="L80" s="221">
        <v>6.2917115177610334</v>
      </c>
      <c r="M80" s="221">
        <v>6.2807881773399004</v>
      </c>
      <c r="N80" s="221">
        <v>6.3833145434047349</v>
      </c>
      <c r="O80" s="221">
        <v>6.1883116883116891</v>
      </c>
      <c r="P80" s="221">
        <v>6.2575406032482599</v>
      </c>
      <c r="Q80" s="221">
        <v>5.445983379501385</v>
      </c>
      <c r="R80" s="222">
        <f t="shared" si="6"/>
        <v>-1.4488884153704102</v>
      </c>
      <c r="S80" s="222">
        <f t="shared" si="7"/>
        <v>-0.83480479783851536</v>
      </c>
      <c r="T80" s="222">
        <f t="shared" si="8"/>
        <v>-0.81155722374687489</v>
      </c>
    </row>
    <row r="81" spans="1:20" x14ac:dyDescent="0.25">
      <c r="A81" s="107" t="s">
        <v>236</v>
      </c>
      <c r="B81" s="135">
        <v>90</v>
      </c>
      <c r="C81" s="221" t="s">
        <v>100</v>
      </c>
      <c r="D81" s="221" t="s">
        <v>100</v>
      </c>
      <c r="E81" s="221" t="s">
        <v>100</v>
      </c>
      <c r="F81" s="221" t="s">
        <v>100</v>
      </c>
      <c r="G81" s="221" t="s">
        <v>100</v>
      </c>
      <c r="H81" s="221">
        <v>6.6521739130434767</v>
      </c>
      <c r="I81" s="221">
        <v>6.56</v>
      </c>
      <c r="J81" s="221">
        <v>6.5762711864406782</v>
      </c>
      <c r="K81" s="221">
        <v>6.4428571428571404</v>
      </c>
      <c r="L81" s="221">
        <v>6.8260869565217419</v>
      </c>
      <c r="M81" s="221">
        <v>7.8809523809523796</v>
      </c>
      <c r="N81" s="221">
        <v>8.3880597014925353</v>
      </c>
      <c r="O81" s="221">
        <v>7.2531645569620267</v>
      </c>
      <c r="P81" s="221">
        <v>7.6282051282051295</v>
      </c>
      <c r="Q81" s="221">
        <v>7.716216216216222</v>
      </c>
      <c r="R81" s="222">
        <f t="shared" si="6"/>
        <v>1.0640423031727453</v>
      </c>
      <c r="S81" s="222">
        <f t="shared" si="7"/>
        <v>-0.1647361647361576</v>
      </c>
      <c r="T81" s="222">
        <f t="shared" si="8"/>
        <v>8.8011088011092475E-2</v>
      </c>
    </row>
    <row r="82" spans="1:20" x14ac:dyDescent="0.25">
      <c r="A82" s="107" t="s">
        <v>237</v>
      </c>
      <c r="B82" s="135">
        <v>31</v>
      </c>
      <c r="C82" s="221">
        <v>7.5111111111111111</v>
      </c>
      <c r="D82" s="221">
        <v>6.7540983606557372</v>
      </c>
      <c r="E82" s="221">
        <v>7.1071428571428594</v>
      </c>
      <c r="F82" s="221">
        <v>5.6153846153846141</v>
      </c>
      <c r="G82" s="221">
        <v>5.5238095238095237</v>
      </c>
      <c r="H82" s="221">
        <v>5.9215686274509824</v>
      </c>
      <c r="I82" s="221">
        <v>7.0465116279069795</v>
      </c>
      <c r="J82" s="221">
        <v>5.6666666666666661</v>
      </c>
      <c r="K82" s="221">
        <v>5.6666666666666652</v>
      </c>
      <c r="L82" s="221">
        <v>5.9833333333333334</v>
      </c>
      <c r="M82" s="221">
        <v>6.2244897959183696</v>
      </c>
      <c r="N82" s="221">
        <v>6.4736842105263177</v>
      </c>
      <c r="O82" s="221">
        <v>6.916666666666667</v>
      </c>
      <c r="P82" s="221">
        <v>6.849999999999997</v>
      </c>
      <c r="Q82" s="221" t="s">
        <v>100</v>
      </c>
      <c r="R82" s="222" t="str">
        <f t="shared" si="6"/>
        <v>n/a</v>
      </c>
      <c r="S82" s="222" t="str">
        <f t="shared" si="7"/>
        <v>n/a</v>
      </c>
      <c r="T82" s="222" t="str">
        <f t="shared" si="8"/>
        <v>n/a</v>
      </c>
    </row>
    <row r="83" spans="1:20" x14ac:dyDescent="0.25">
      <c r="A83" s="107" t="s">
        <v>241</v>
      </c>
      <c r="B83" s="135">
        <v>93</v>
      </c>
      <c r="C83" s="221">
        <v>7.7272727272727275</v>
      </c>
      <c r="D83" s="221">
        <v>8.1529411764705895</v>
      </c>
      <c r="E83" s="221">
        <v>7.144680851063832</v>
      </c>
      <c r="F83" s="221">
        <v>6.7689655172413801</v>
      </c>
      <c r="G83" s="221">
        <v>6.9810426540284363</v>
      </c>
      <c r="H83" s="221">
        <v>6.5140845070422539</v>
      </c>
      <c r="I83" s="221">
        <v>5.8956714761376254</v>
      </c>
      <c r="J83" s="221">
        <v>5.4692082111436946</v>
      </c>
      <c r="K83" s="221">
        <v>4.8186968838526916</v>
      </c>
      <c r="L83" s="221">
        <v>4.7891566265060241</v>
      </c>
      <c r="M83" s="221">
        <v>4.7466843501326261</v>
      </c>
      <c r="N83" s="221">
        <v>5.3276923076923079</v>
      </c>
      <c r="O83" s="221">
        <v>5.6598802395209589</v>
      </c>
      <c r="P83" s="221">
        <v>5.20473372781065</v>
      </c>
      <c r="Q83" s="221">
        <v>4.9987341772151899</v>
      </c>
      <c r="R83" s="222">
        <f t="shared" si="6"/>
        <v>-1.5153503298270641</v>
      </c>
      <c r="S83" s="222">
        <f t="shared" si="7"/>
        <v>0.25204982708256374</v>
      </c>
      <c r="T83" s="222">
        <f t="shared" si="8"/>
        <v>-0.20599955059546016</v>
      </c>
    </row>
    <row r="84" spans="1:20" x14ac:dyDescent="0.25">
      <c r="A84" s="107" t="s">
        <v>242</v>
      </c>
      <c r="B84" s="135">
        <v>94</v>
      </c>
      <c r="C84" s="221">
        <v>9.4999999999999982</v>
      </c>
      <c r="D84" s="221" t="s">
        <v>100</v>
      </c>
      <c r="E84" s="221" t="s">
        <v>100</v>
      </c>
      <c r="F84" s="221">
        <v>4</v>
      </c>
      <c r="G84" s="221">
        <v>4.125</v>
      </c>
      <c r="H84" s="221">
        <v>4.2592592592592604</v>
      </c>
      <c r="I84" s="221">
        <v>4.1283422459893027</v>
      </c>
      <c r="J84" s="221">
        <v>4.3216080402010046</v>
      </c>
      <c r="K84" s="221">
        <v>5.7699115044247788</v>
      </c>
      <c r="L84" s="221">
        <v>5.5362776025236595</v>
      </c>
      <c r="M84" s="221">
        <v>5.4847161572052405</v>
      </c>
      <c r="N84" s="221">
        <v>6.2666666666666657</v>
      </c>
      <c r="O84" s="221">
        <v>6.0964912280701764</v>
      </c>
      <c r="P84" s="221">
        <v>5.6271186440677967</v>
      </c>
      <c r="Q84" s="221">
        <v>5.779220779220779</v>
      </c>
      <c r="R84" s="222">
        <f t="shared" si="6"/>
        <v>1.5199615199615186</v>
      </c>
      <c r="S84" s="222">
        <f t="shared" si="7"/>
        <v>0.29450462201553851</v>
      </c>
      <c r="T84" s="222">
        <f t="shared" si="8"/>
        <v>0.15210213515298232</v>
      </c>
    </row>
    <row r="85" spans="1:20" x14ac:dyDescent="0.25">
      <c r="A85" s="107" t="s">
        <v>245</v>
      </c>
      <c r="B85" s="135">
        <v>4</v>
      </c>
      <c r="C85" s="221" t="s">
        <v>100</v>
      </c>
      <c r="D85" s="221" t="s">
        <v>100</v>
      </c>
      <c r="E85" s="221">
        <v>5</v>
      </c>
      <c r="F85" s="221">
        <v>5.6842105263157885</v>
      </c>
      <c r="G85" s="221">
        <v>5.6172839506172849</v>
      </c>
      <c r="H85" s="221">
        <v>6.0272727272727282</v>
      </c>
      <c r="I85" s="221">
        <v>6.4698795180722906</v>
      </c>
      <c r="J85" s="221">
        <v>5.8701298701298699</v>
      </c>
      <c r="K85" s="221">
        <v>6.2451612903225806</v>
      </c>
      <c r="L85" s="221">
        <v>6.0891719745222934</v>
      </c>
      <c r="M85" s="221">
        <v>5.8785046728971961</v>
      </c>
      <c r="N85" s="221">
        <v>6.3793103448275872</v>
      </c>
      <c r="O85" s="221">
        <v>6.1545893719806761</v>
      </c>
      <c r="P85" s="221">
        <v>6.2932692307692308</v>
      </c>
      <c r="Q85" s="221">
        <v>6.1744186046511631</v>
      </c>
      <c r="R85" s="222">
        <f t="shared" si="6"/>
        <v>0.14714587737843488</v>
      </c>
      <c r="S85" s="222">
        <f t="shared" si="7"/>
        <v>0.29591393175396696</v>
      </c>
      <c r="T85" s="222">
        <f t="shared" si="8"/>
        <v>-0.11885062611806774</v>
      </c>
    </row>
    <row r="86" spans="1:20" x14ac:dyDescent="0.25">
      <c r="A86" s="107" t="s">
        <v>246</v>
      </c>
      <c r="B86" s="135">
        <v>46</v>
      </c>
      <c r="C86" s="221">
        <v>8.8730158730158735</v>
      </c>
      <c r="D86" s="221">
        <v>8.3712574850299397</v>
      </c>
      <c r="E86" s="221">
        <v>8.2969432314410465</v>
      </c>
      <c r="F86" s="221">
        <v>8.2053691275167786</v>
      </c>
      <c r="G86" s="221">
        <v>8.341836734693878</v>
      </c>
      <c r="H86" s="221">
        <v>9.0953150242326348</v>
      </c>
      <c r="I86" s="221">
        <v>8.6121212121212114</v>
      </c>
      <c r="J86" s="221">
        <v>9.1327160493827169</v>
      </c>
      <c r="K86" s="221">
        <v>8.917737789203084</v>
      </c>
      <c r="L86" s="221">
        <v>8.9070796460176975</v>
      </c>
      <c r="M86" s="221">
        <v>8.5771812080536911</v>
      </c>
      <c r="N86" s="221">
        <v>8.4240837696335085</v>
      </c>
      <c r="O86" s="221">
        <v>8.4536082474226806</v>
      </c>
      <c r="P86" s="221">
        <v>8.7954545454545467</v>
      </c>
      <c r="Q86" s="221">
        <v>8.2230769230769205</v>
      </c>
      <c r="R86" s="222">
        <f t="shared" si="6"/>
        <v>-0.87223810115571432</v>
      </c>
      <c r="S86" s="222">
        <f t="shared" si="7"/>
        <v>-0.3541042849767706</v>
      </c>
      <c r="T86" s="222">
        <f t="shared" si="8"/>
        <v>-0.57237762237762624</v>
      </c>
    </row>
    <row r="87" spans="1:20" x14ac:dyDescent="0.25">
      <c r="A87" s="107" t="s">
        <v>247</v>
      </c>
      <c r="B87" s="135">
        <v>73</v>
      </c>
      <c r="C87" s="221">
        <v>7.6956521739130492</v>
      </c>
      <c r="D87" s="221">
        <v>7.5517241379310329</v>
      </c>
      <c r="E87" s="221">
        <v>7.9137931034482758</v>
      </c>
      <c r="F87" s="221">
        <v>7.1896551724137918</v>
      </c>
      <c r="G87" s="221">
        <v>7.8510638297872344</v>
      </c>
      <c r="H87" s="221">
        <v>6.7383177570093462</v>
      </c>
      <c r="I87" s="221">
        <v>6.3529411764705896</v>
      </c>
      <c r="J87" s="221">
        <v>6.0583333333333327</v>
      </c>
      <c r="K87" s="221">
        <v>5.6938775510204085</v>
      </c>
      <c r="L87" s="221">
        <v>5.8750000000000018</v>
      </c>
      <c r="M87" s="221">
        <v>5.9447852760736195</v>
      </c>
      <c r="N87" s="221">
        <v>5.7816091954023019</v>
      </c>
      <c r="O87" s="221">
        <v>6.467741935483871</v>
      </c>
      <c r="P87" s="221">
        <v>6.7283236994219653</v>
      </c>
      <c r="Q87" s="221">
        <v>5.9806451612903224</v>
      </c>
      <c r="R87" s="222">
        <f t="shared" si="6"/>
        <v>-0.75767259571902379</v>
      </c>
      <c r="S87" s="222">
        <f t="shared" si="7"/>
        <v>3.5859885216702914E-2</v>
      </c>
      <c r="T87" s="222">
        <f t="shared" si="8"/>
        <v>-0.74767853813164287</v>
      </c>
    </row>
    <row r="88" spans="1:20" x14ac:dyDescent="0.25">
      <c r="A88" s="107" t="s">
        <v>249</v>
      </c>
      <c r="B88" s="135">
        <v>79</v>
      </c>
      <c r="C88" s="221">
        <v>8.9662921348314608</v>
      </c>
      <c r="D88" s="221">
        <v>9.9574468085106442</v>
      </c>
      <c r="E88" s="221">
        <v>8.1374999999999993</v>
      </c>
      <c r="F88" s="221">
        <v>8.8181818181818166</v>
      </c>
      <c r="G88" s="221">
        <v>7.2214285714285733</v>
      </c>
      <c r="H88" s="221">
        <v>6.5487804878048816</v>
      </c>
      <c r="I88" s="221">
        <v>6.2662337662337642</v>
      </c>
      <c r="J88" s="221">
        <v>6.4249201277955263</v>
      </c>
      <c r="K88" s="221">
        <v>6.3658536585365839</v>
      </c>
      <c r="L88" s="221">
        <v>6.8643216080402008</v>
      </c>
      <c r="M88" s="221">
        <v>6.1509433962264186</v>
      </c>
      <c r="N88" s="221">
        <v>6.1108870967741939</v>
      </c>
      <c r="O88" s="221">
        <v>6.2768031189083819</v>
      </c>
      <c r="P88" s="221">
        <v>6.1639344262295079</v>
      </c>
      <c r="Q88" s="221">
        <v>5.5851063829787231</v>
      </c>
      <c r="R88" s="222">
        <f t="shared" si="6"/>
        <v>-0.96367410482615856</v>
      </c>
      <c r="S88" s="222">
        <f t="shared" si="7"/>
        <v>-0.56583701324769553</v>
      </c>
      <c r="T88" s="222">
        <f t="shared" si="8"/>
        <v>-0.57882804325078485</v>
      </c>
    </row>
    <row r="89" spans="1:20" x14ac:dyDescent="0.25">
      <c r="A89" s="107" t="s">
        <v>252</v>
      </c>
      <c r="B89" s="135">
        <v>76</v>
      </c>
      <c r="C89" s="221" t="s">
        <v>100</v>
      </c>
      <c r="D89" s="221" t="s">
        <v>100</v>
      </c>
      <c r="E89" s="221" t="s">
        <v>100</v>
      </c>
      <c r="F89" s="221" t="s">
        <v>100</v>
      </c>
      <c r="G89" s="221">
        <v>7.5555555555555554</v>
      </c>
      <c r="H89" s="221">
        <v>5.8108108108108096</v>
      </c>
      <c r="I89" s="221">
        <v>5.5588235294117645</v>
      </c>
      <c r="J89" s="221">
        <v>5.799999999999998</v>
      </c>
      <c r="K89" s="221">
        <v>5.8837209302325606</v>
      </c>
      <c r="L89" s="221">
        <v>5.9672131147541005</v>
      </c>
      <c r="M89" s="221">
        <v>5.9999999999999973</v>
      </c>
      <c r="N89" s="221">
        <v>6.59375</v>
      </c>
      <c r="O89" s="221">
        <v>6.6307692307692321</v>
      </c>
      <c r="P89" s="221">
        <v>5.9038461538461515</v>
      </c>
      <c r="Q89" s="221">
        <v>5.4000000000000012</v>
      </c>
      <c r="R89" s="222">
        <f t="shared" si="6"/>
        <v>-0.41081081081080839</v>
      </c>
      <c r="S89" s="222">
        <f t="shared" si="7"/>
        <v>-0.59999999999999609</v>
      </c>
      <c r="T89" s="222">
        <f t="shared" si="8"/>
        <v>-0.50384615384615028</v>
      </c>
    </row>
    <row r="90" spans="1:20" x14ac:dyDescent="0.25">
      <c r="A90" s="107" t="s">
        <v>254</v>
      </c>
      <c r="B90" s="135">
        <v>19</v>
      </c>
      <c r="C90" s="221">
        <v>6.2027972027972025</v>
      </c>
      <c r="D90" s="221">
        <v>6.9707112970711291</v>
      </c>
      <c r="E90" s="221">
        <v>6.192488262910798</v>
      </c>
      <c r="F90" s="221">
        <v>5.7727272727272725</v>
      </c>
      <c r="G90" s="221">
        <v>5.6584546472564403</v>
      </c>
      <c r="H90" s="221">
        <v>6.0498261877172661</v>
      </c>
      <c r="I90" s="221">
        <v>5.9833333333333334</v>
      </c>
      <c r="J90" s="221">
        <v>5.8896882494004794</v>
      </c>
      <c r="K90" s="221">
        <v>5.7264957264957248</v>
      </c>
      <c r="L90" s="221">
        <v>5.6821561338289959</v>
      </c>
      <c r="M90" s="221">
        <v>5.8278529980657643</v>
      </c>
      <c r="N90" s="221">
        <v>6.1187290969899664</v>
      </c>
      <c r="O90" s="221">
        <v>6.0297872340425531</v>
      </c>
      <c r="P90" s="221">
        <v>5.7563805104408354</v>
      </c>
      <c r="Q90" s="221">
        <v>5.7116357504215856</v>
      </c>
      <c r="R90" s="222">
        <f t="shared" si="6"/>
        <v>-0.33819043729568055</v>
      </c>
      <c r="S90" s="222">
        <f t="shared" si="7"/>
        <v>-0.11621724764417873</v>
      </c>
      <c r="T90" s="222">
        <f t="shared" si="8"/>
        <v>-4.4744760019249874E-2</v>
      </c>
    </row>
    <row r="91" spans="1:20" x14ac:dyDescent="0.25">
      <c r="A91" s="107" t="s">
        <v>256</v>
      </c>
      <c r="B91" s="135">
        <v>84</v>
      </c>
      <c r="C91" s="221">
        <v>8.1609589041095862</v>
      </c>
      <c r="D91" s="221">
        <v>8.6240000000000006</v>
      </c>
      <c r="E91" s="221">
        <v>8.8545454545454554</v>
      </c>
      <c r="F91" s="221">
        <v>7.9141414141414144</v>
      </c>
      <c r="G91" s="221">
        <v>7.2679738562091503</v>
      </c>
      <c r="H91" s="221">
        <v>7.4152892561983457</v>
      </c>
      <c r="I91" s="221">
        <v>7.1853658536585368</v>
      </c>
      <c r="J91" s="221">
        <v>7.1505791505791505</v>
      </c>
      <c r="K91" s="221">
        <v>6.6615925058548022</v>
      </c>
      <c r="L91" s="221">
        <v>6.2096584216725548</v>
      </c>
      <c r="M91" s="221">
        <v>6.631424375917768</v>
      </c>
      <c r="N91" s="221">
        <v>6.4131736526946108</v>
      </c>
      <c r="O91" s="221">
        <v>6.3396226415094352</v>
      </c>
      <c r="P91" s="221">
        <v>6.0275229357798166</v>
      </c>
      <c r="Q91" s="221">
        <v>5.7570621468926557</v>
      </c>
      <c r="R91" s="222">
        <f t="shared" si="6"/>
        <v>-1.65822710930569</v>
      </c>
      <c r="S91" s="222">
        <f t="shared" si="7"/>
        <v>-0.87436222902511229</v>
      </c>
      <c r="T91" s="222">
        <f t="shared" si="8"/>
        <v>-0.27046078888716085</v>
      </c>
    </row>
    <row r="92" spans="1:20" x14ac:dyDescent="0.25">
      <c r="A92" s="107" t="s">
        <v>257</v>
      </c>
      <c r="B92" s="135">
        <v>77</v>
      </c>
      <c r="C92" s="221">
        <v>6.6862745098039218</v>
      </c>
      <c r="D92" s="221">
        <v>6.8749999999999991</v>
      </c>
      <c r="E92" s="221">
        <v>5.9864864864864851</v>
      </c>
      <c r="F92" s="221">
        <v>6.0476190476190466</v>
      </c>
      <c r="G92" s="221">
        <v>5.3664596273291929</v>
      </c>
      <c r="H92" s="221">
        <v>5.2445652173913047</v>
      </c>
      <c r="I92" s="221">
        <v>5.5886075949367084</v>
      </c>
      <c r="J92" s="221">
        <v>5.2705314009661839</v>
      </c>
      <c r="K92" s="221">
        <v>4.9704433497536948</v>
      </c>
      <c r="L92" s="221">
        <v>5.6874999999999982</v>
      </c>
      <c r="M92" s="221">
        <v>4.9939024390243913</v>
      </c>
      <c r="N92" s="221">
        <v>5.2020202020202024</v>
      </c>
      <c r="O92" s="221">
        <v>4.9698492462311545</v>
      </c>
      <c r="P92" s="221">
        <v>4.9173553719008263</v>
      </c>
      <c r="Q92" s="221">
        <v>5.235955056179777</v>
      </c>
      <c r="R92" s="222">
        <f t="shared" si="6"/>
        <v>-8.6101612115276893E-3</v>
      </c>
      <c r="S92" s="222">
        <f t="shared" si="7"/>
        <v>0.24205261715538562</v>
      </c>
      <c r="T92" s="222">
        <f t="shared" si="8"/>
        <v>0.31859968427895069</v>
      </c>
    </row>
    <row r="93" spans="1:20" x14ac:dyDescent="0.25">
      <c r="A93" s="107" t="s">
        <v>258</v>
      </c>
      <c r="B93" s="135">
        <v>83</v>
      </c>
      <c r="C93" s="221">
        <v>7.2222222222222214</v>
      </c>
      <c r="D93" s="221">
        <v>8.4117647058823533</v>
      </c>
      <c r="E93" s="221">
        <v>8.6</v>
      </c>
      <c r="F93" s="221">
        <v>7.5294117647058822</v>
      </c>
      <c r="G93" s="221">
        <v>8.0749999999999993</v>
      </c>
      <c r="H93" s="221">
        <v>8.6458333333333357</v>
      </c>
      <c r="I93" s="221">
        <v>8.0410958904109613</v>
      </c>
      <c r="J93" s="221">
        <v>7.8947368421052628</v>
      </c>
      <c r="K93" s="221">
        <v>7.0902777777777777</v>
      </c>
      <c r="L93" s="221">
        <v>7.8157894736842106</v>
      </c>
      <c r="M93" s="221">
        <v>8.3629032258064484</v>
      </c>
      <c r="N93" s="221">
        <v>8.6535433070866148</v>
      </c>
      <c r="O93" s="221">
        <v>8.2260869565217387</v>
      </c>
      <c r="P93" s="221">
        <v>6.9917355371900873</v>
      </c>
      <c r="Q93" s="221">
        <v>6.4152542372881358</v>
      </c>
      <c r="R93" s="222">
        <f t="shared" si="6"/>
        <v>-2.2305790960451999</v>
      </c>
      <c r="S93" s="222">
        <f t="shared" si="7"/>
        <v>-1.9476489885183126</v>
      </c>
      <c r="T93" s="222">
        <f t="shared" si="8"/>
        <v>-0.57648129990195152</v>
      </c>
    </row>
    <row r="94" spans="1:20" x14ac:dyDescent="0.25">
      <c r="A94" s="107" t="s">
        <v>259</v>
      </c>
      <c r="B94" s="135">
        <v>71</v>
      </c>
      <c r="C94" s="221">
        <v>6.2888888888888834</v>
      </c>
      <c r="D94" s="221">
        <v>6.325581395348836</v>
      </c>
      <c r="E94" s="221">
        <v>6.7872340425531927</v>
      </c>
      <c r="F94" s="221">
        <v>6.5531914893617023</v>
      </c>
      <c r="G94" s="221">
        <v>6.0638297872340434</v>
      </c>
      <c r="H94" s="221">
        <v>7.0000000000000018</v>
      </c>
      <c r="I94" s="221">
        <v>7.5084745762711878</v>
      </c>
      <c r="J94" s="221">
        <v>7.3958333333333348</v>
      </c>
      <c r="K94" s="221">
        <v>7.1764705882352944</v>
      </c>
      <c r="L94" s="221">
        <v>7.5373134328358216</v>
      </c>
      <c r="M94" s="221">
        <v>6.5405405405405386</v>
      </c>
      <c r="N94" s="221">
        <v>8.2075471698113205</v>
      </c>
      <c r="O94" s="221">
        <v>7.6406249999999982</v>
      </c>
      <c r="P94" s="221">
        <v>7.88</v>
      </c>
      <c r="Q94" s="221">
        <v>8.8181818181818166</v>
      </c>
      <c r="R94" s="222">
        <f t="shared" si="6"/>
        <v>1.8181818181818148</v>
      </c>
      <c r="S94" s="222">
        <f t="shared" si="7"/>
        <v>2.277641277641278</v>
      </c>
      <c r="T94" s="222">
        <f t="shared" si="8"/>
        <v>0.93818181818181667</v>
      </c>
    </row>
    <row r="95" spans="1:20" x14ac:dyDescent="0.25">
      <c r="A95" s="107" t="s">
        <v>260</v>
      </c>
      <c r="B95" s="135">
        <v>78</v>
      </c>
      <c r="C95" s="221">
        <v>6.0714285714285703</v>
      </c>
      <c r="D95" s="221" t="s">
        <v>100</v>
      </c>
      <c r="E95" s="221">
        <v>7.6956521739130439</v>
      </c>
      <c r="F95" s="221">
        <v>6.3571428571428594</v>
      </c>
      <c r="G95" s="221">
        <v>7.2777777777777777</v>
      </c>
      <c r="H95" s="221">
        <v>7.9074074074074074</v>
      </c>
      <c r="I95" s="221">
        <v>6.4999999999999991</v>
      </c>
      <c r="J95" s="221">
        <v>7.1020408163265305</v>
      </c>
      <c r="K95" s="221">
        <v>6.5576923076923075</v>
      </c>
      <c r="L95" s="221">
        <v>7.0512820512820529</v>
      </c>
      <c r="M95" s="221">
        <v>7.4090909090909092</v>
      </c>
      <c r="N95" s="221">
        <v>7.7272727272727257</v>
      </c>
      <c r="O95" s="221">
        <v>7.615384615384615</v>
      </c>
      <c r="P95" s="221">
        <v>7.9142857142857146</v>
      </c>
      <c r="Q95" s="221">
        <v>6.8965517241379306</v>
      </c>
      <c r="R95" s="222">
        <f t="shared" si="6"/>
        <v>-1.0108556832694768</v>
      </c>
      <c r="S95" s="222">
        <f t="shared" si="7"/>
        <v>-0.51253918495297857</v>
      </c>
      <c r="T95" s="222">
        <f t="shared" si="8"/>
        <v>-1.017733990147784</v>
      </c>
    </row>
    <row r="96" spans="1:20" x14ac:dyDescent="0.25">
      <c r="A96" s="107" t="s">
        <v>261</v>
      </c>
      <c r="B96" s="135">
        <v>80</v>
      </c>
      <c r="C96" s="221" t="s">
        <v>100</v>
      </c>
      <c r="D96" s="221" t="s">
        <v>100</v>
      </c>
      <c r="E96" s="221" t="s">
        <v>100</v>
      </c>
      <c r="F96" s="221" t="s">
        <v>100</v>
      </c>
      <c r="G96" s="221" t="s">
        <v>100</v>
      </c>
      <c r="H96" s="221" t="s">
        <v>100</v>
      </c>
      <c r="I96" s="221" t="s">
        <v>100</v>
      </c>
      <c r="J96" s="221" t="s">
        <v>100</v>
      </c>
      <c r="K96" s="221" t="s">
        <v>100</v>
      </c>
      <c r="L96" s="221" t="s">
        <v>100</v>
      </c>
      <c r="M96" s="221" t="s">
        <v>100</v>
      </c>
      <c r="N96" s="221" t="s">
        <v>100</v>
      </c>
      <c r="O96" s="221" t="s">
        <v>100</v>
      </c>
      <c r="P96" s="221" t="s">
        <v>100</v>
      </c>
      <c r="Q96" s="221">
        <v>9.4210526315789505</v>
      </c>
      <c r="R96" s="222" t="str">
        <f t="shared" si="6"/>
        <v>n/a</v>
      </c>
      <c r="S96" s="222" t="str">
        <f t="shared" si="7"/>
        <v>n/a</v>
      </c>
      <c r="T96" s="222" t="str">
        <f t="shared" si="8"/>
        <v>n/a</v>
      </c>
    </row>
    <row r="97" spans="1:20" x14ac:dyDescent="0.25">
      <c r="A97" s="107" t="s">
        <v>358</v>
      </c>
      <c r="B97" s="135">
        <v>16</v>
      </c>
      <c r="C97" s="221" t="s">
        <v>100</v>
      </c>
      <c r="D97" s="221" t="s">
        <v>100</v>
      </c>
      <c r="E97" s="221">
        <v>5.7</v>
      </c>
      <c r="F97" s="221">
        <v>6.7272727272727275</v>
      </c>
      <c r="G97" s="221">
        <v>6.5714285714285712</v>
      </c>
      <c r="H97" s="221">
        <v>6.1750000000000025</v>
      </c>
      <c r="I97" s="221">
        <v>7.625</v>
      </c>
      <c r="J97" s="221">
        <v>10.421052631578947</v>
      </c>
      <c r="K97" s="221">
        <v>7</v>
      </c>
      <c r="L97" s="221" t="s">
        <v>100</v>
      </c>
      <c r="M97" s="221" t="s">
        <v>100</v>
      </c>
      <c r="N97" s="221" t="s">
        <v>100</v>
      </c>
      <c r="O97" s="221">
        <v>7.6521739130434767</v>
      </c>
      <c r="P97" s="221">
        <v>9.3333333333333339</v>
      </c>
      <c r="Q97" s="221" t="s">
        <v>100</v>
      </c>
      <c r="R97" s="222" t="str">
        <f t="shared" si="6"/>
        <v>n/a</v>
      </c>
      <c r="S97" s="222" t="str">
        <f t="shared" si="7"/>
        <v>n/a</v>
      </c>
      <c r="T97" s="222" t="str">
        <f t="shared" si="8"/>
        <v>n/a</v>
      </c>
    </row>
    <row r="98" spans="1:20" x14ac:dyDescent="0.25">
      <c r="A98" s="107" t="s">
        <v>270</v>
      </c>
      <c r="B98" s="135">
        <v>10</v>
      </c>
      <c r="C98" s="221" t="s">
        <v>100</v>
      </c>
      <c r="D98" s="221" t="s">
        <v>100</v>
      </c>
      <c r="E98" s="221" t="s">
        <v>100</v>
      </c>
      <c r="F98" s="221" t="s">
        <v>100</v>
      </c>
      <c r="G98" s="221" t="s">
        <v>100</v>
      </c>
      <c r="H98" s="221" t="s">
        <v>100</v>
      </c>
      <c r="I98" s="221" t="s">
        <v>100</v>
      </c>
      <c r="J98" s="221" t="s">
        <v>100</v>
      </c>
      <c r="K98" s="221" t="s">
        <v>100</v>
      </c>
      <c r="L98" s="221" t="s">
        <v>100</v>
      </c>
      <c r="M98" s="221" t="s">
        <v>100</v>
      </c>
      <c r="N98" s="221" t="s">
        <v>100</v>
      </c>
      <c r="O98" s="221" t="s">
        <v>100</v>
      </c>
      <c r="P98" s="221" t="s">
        <v>100</v>
      </c>
      <c r="Q98" s="221">
        <v>5.3913043478260869</v>
      </c>
      <c r="R98" s="222" t="str">
        <f t="shared" si="6"/>
        <v>n/a</v>
      </c>
      <c r="S98" s="222" t="str">
        <f t="shared" si="7"/>
        <v>n/a</v>
      </c>
      <c r="T98" s="222" t="str">
        <f t="shared" si="8"/>
        <v>n/a</v>
      </c>
    </row>
    <row r="99" spans="1:20" x14ac:dyDescent="0.25">
      <c r="A99" s="107" t="s">
        <v>272</v>
      </c>
      <c r="B99" s="135">
        <v>68</v>
      </c>
      <c r="C99" s="221" t="s">
        <v>100</v>
      </c>
      <c r="D99" s="221" t="s">
        <v>100</v>
      </c>
      <c r="E99" s="221" t="s">
        <v>100</v>
      </c>
      <c r="F99" s="221" t="s">
        <v>100</v>
      </c>
      <c r="G99" s="221" t="s">
        <v>100</v>
      </c>
      <c r="H99" s="221" t="s">
        <v>100</v>
      </c>
      <c r="I99" s="221" t="s">
        <v>100</v>
      </c>
      <c r="J99" s="221" t="s">
        <v>100</v>
      </c>
      <c r="K99" s="221" t="s">
        <v>100</v>
      </c>
      <c r="L99" s="221" t="s">
        <v>100</v>
      </c>
      <c r="M99" s="221" t="s">
        <v>100</v>
      </c>
      <c r="N99" s="221">
        <v>8.1999999999999993</v>
      </c>
      <c r="O99" s="221">
        <v>6.7692307692307692</v>
      </c>
      <c r="P99" s="221">
        <v>6.5454545454545459</v>
      </c>
      <c r="Q99" s="221">
        <v>8.3000000000000007</v>
      </c>
      <c r="R99" s="222" t="str">
        <f t="shared" si="6"/>
        <v>n/a</v>
      </c>
      <c r="S99" s="222" t="str">
        <f t="shared" si="7"/>
        <v>n/a</v>
      </c>
      <c r="T99" s="222">
        <f t="shared" si="8"/>
        <v>1.7545454545454549</v>
      </c>
    </row>
    <row r="100" spans="1:20" x14ac:dyDescent="0.25">
      <c r="A100" s="107" t="s">
        <v>275</v>
      </c>
      <c r="B100" s="135">
        <v>17</v>
      </c>
      <c r="C100" s="221" t="s">
        <v>100</v>
      </c>
      <c r="D100" s="221" t="s">
        <v>100</v>
      </c>
      <c r="E100" s="221" t="s">
        <v>100</v>
      </c>
      <c r="F100" s="221" t="s">
        <v>100</v>
      </c>
      <c r="G100" s="221">
        <v>5</v>
      </c>
      <c r="H100" s="221" t="s">
        <v>100</v>
      </c>
      <c r="I100" s="221" t="s">
        <v>100</v>
      </c>
      <c r="J100" s="221" t="s">
        <v>100</v>
      </c>
      <c r="K100" s="221" t="s">
        <v>100</v>
      </c>
      <c r="L100" s="221" t="s">
        <v>100</v>
      </c>
      <c r="M100" s="221" t="s">
        <v>100</v>
      </c>
      <c r="N100" s="221" t="s">
        <v>100</v>
      </c>
      <c r="O100" s="221" t="s">
        <v>100</v>
      </c>
      <c r="P100" s="221">
        <v>4.4375000000000027</v>
      </c>
      <c r="Q100" s="221">
        <v>4.6481481481481488</v>
      </c>
      <c r="R100" s="222" t="str">
        <f t="shared" si="6"/>
        <v>n/a</v>
      </c>
      <c r="S100" s="222" t="str">
        <f t="shared" si="7"/>
        <v>n/a</v>
      </c>
      <c r="T100" s="222">
        <f t="shared" si="8"/>
        <v>0.21064814814814614</v>
      </c>
    </row>
    <row r="101" spans="1:20" x14ac:dyDescent="0.25">
      <c r="A101" s="107" t="s">
        <v>276</v>
      </c>
      <c r="B101" s="135">
        <v>88</v>
      </c>
      <c r="C101" s="221">
        <v>9.250467289719623</v>
      </c>
      <c r="D101" s="221">
        <v>9.6613226452905856</v>
      </c>
      <c r="E101" s="221">
        <v>9.2513863216266152</v>
      </c>
      <c r="F101" s="221">
        <v>9.6084745762711901</v>
      </c>
      <c r="G101" s="221">
        <v>9.8195121951219519</v>
      </c>
      <c r="H101" s="221">
        <v>9.9808481532147759</v>
      </c>
      <c r="I101" s="221">
        <v>9.236893203883497</v>
      </c>
      <c r="J101" s="221">
        <v>10.006302521008408</v>
      </c>
      <c r="K101" s="221">
        <v>9.2736720554272534</v>
      </c>
      <c r="L101" s="221">
        <v>8.7214285714285733</v>
      </c>
      <c r="M101" s="221">
        <v>8.4272151898734169</v>
      </c>
      <c r="N101" s="221">
        <v>8.1713881019830019</v>
      </c>
      <c r="O101" s="221">
        <v>8.3758542141230077</v>
      </c>
      <c r="P101" s="221">
        <v>7.024111675126905</v>
      </c>
      <c r="Q101" s="221">
        <v>6.7139141742522757</v>
      </c>
      <c r="R101" s="222">
        <f t="shared" si="6"/>
        <v>-3.2669339789625003</v>
      </c>
      <c r="S101" s="222">
        <f t="shared" si="7"/>
        <v>-1.7133010156211412</v>
      </c>
      <c r="T101" s="222">
        <f t="shared" si="8"/>
        <v>-0.31019750087462938</v>
      </c>
    </row>
    <row r="102" spans="1:20" x14ac:dyDescent="0.25">
      <c r="A102" s="107" t="s">
        <v>278</v>
      </c>
      <c r="B102" s="135">
        <v>85</v>
      </c>
      <c r="C102" s="221">
        <v>10.888198757764</v>
      </c>
      <c r="D102" s="221">
        <v>12.333333333333334</v>
      </c>
      <c r="E102" s="221">
        <v>12.846153846153847</v>
      </c>
      <c r="F102" s="221">
        <v>11.111111111111111</v>
      </c>
      <c r="G102" s="221">
        <v>10.086956521739129</v>
      </c>
      <c r="H102" s="221">
        <v>6.9999999999999885</v>
      </c>
      <c r="I102" s="221">
        <v>9.4166666666666661</v>
      </c>
      <c r="J102" s="221">
        <v>7.735294117647042</v>
      </c>
      <c r="K102" s="221">
        <v>6.8484848484848415</v>
      </c>
      <c r="L102" s="221">
        <v>10.999999999999982</v>
      </c>
      <c r="M102" s="221">
        <v>7.8571428571428603</v>
      </c>
      <c r="N102" s="221">
        <v>11.4</v>
      </c>
      <c r="O102" s="221">
        <v>9</v>
      </c>
      <c r="P102" s="221">
        <v>10.631578947368435</v>
      </c>
      <c r="Q102" s="221">
        <v>9.1052631578947363</v>
      </c>
      <c r="R102" s="222">
        <f t="shared" si="6"/>
        <v>2.1052631578947478</v>
      </c>
      <c r="S102" s="222">
        <f t="shared" si="7"/>
        <v>1.248120300751876</v>
      </c>
      <c r="T102" s="222">
        <f t="shared" si="8"/>
        <v>-1.5263157894736992</v>
      </c>
    </row>
    <row r="103" spans="1:20" x14ac:dyDescent="0.25">
      <c r="A103" s="157" t="s">
        <v>511</v>
      </c>
      <c r="B103" s="119"/>
      <c r="C103" s="21"/>
      <c r="D103" s="21"/>
      <c r="E103" s="21"/>
      <c r="F103" s="21"/>
      <c r="G103" s="98"/>
      <c r="H103" s="98"/>
      <c r="I103" s="98"/>
      <c r="J103" s="98"/>
      <c r="K103" s="98"/>
      <c r="L103" s="98"/>
      <c r="M103" s="98"/>
      <c r="N103" s="98"/>
      <c r="O103" s="98"/>
      <c r="P103" s="98"/>
      <c r="Q103" s="98"/>
      <c r="R103" s="109"/>
      <c r="S103" s="109"/>
      <c r="T103" s="128"/>
    </row>
    <row r="104" spans="1:20" x14ac:dyDescent="0.25">
      <c r="A104" s="93"/>
      <c r="B104" s="93"/>
      <c r="C104" s="115"/>
      <c r="D104" s="115"/>
      <c r="E104" s="115"/>
      <c r="F104" s="115"/>
      <c r="G104" s="94"/>
      <c r="H104" s="94"/>
      <c r="I104" s="94"/>
      <c r="J104" s="94"/>
      <c r="K104" s="94"/>
      <c r="L104" s="94"/>
      <c r="M104" s="94"/>
      <c r="N104" s="94"/>
      <c r="O104" s="94"/>
      <c r="P104" s="94"/>
      <c r="Q104" s="94"/>
      <c r="R104" s="111"/>
      <c r="S104" s="111"/>
    </row>
    <row r="105" spans="1:20" ht="15.75" x14ac:dyDescent="0.25">
      <c r="A105" s="112" t="s">
        <v>336</v>
      </c>
      <c r="B105" s="112"/>
      <c r="C105" s="110"/>
      <c r="D105" s="110"/>
      <c r="E105" s="110"/>
      <c r="F105" s="110"/>
      <c r="G105" s="94"/>
      <c r="H105" s="94"/>
      <c r="I105" s="94"/>
      <c r="J105" s="94"/>
      <c r="K105" s="94"/>
      <c r="L105" s="94"/>
      <c r="M105" s="94"/>
      <c r="N105" s="94"/>
      <c r="O105" s="94"/>
      <c r="P105" s="94"/>
      <c r="Q105" s="94"/>
      <c r="R105" s="111"/>
      <c r="S105" s="111"/>
    </row>
    <row r="106" spans="1:20" ht="38.25" x14ac:dyDescent="0.25">
      <c r="A106" s="133" t="s">
        <v>332</v>
      </c>
      <c r="B106" s="27" t="s">
        <v>348</v>
      </c>
      <c r="C106" s="15">
        <v>2010</v>
      </c>
      <c r="D106" s="15">
        <v>2011</v>
      </c>
      <c r="E106" s="15">
        <v>2012</v>
      </c>
      <c r="F106" s="15">
        <v>2013</v>
      </c>
      <c r="G106" s="15">
        <v>2014</v>
      </c>
      <c r="H106" s="15">
        <v>2015</v>
      </c>
      <c r="I106" s="15">
        <v>2016</v>
      </c>
      <c r="J106" s="15">
        <v>2017</v>
      </c>
      <c r="K106" s="15">
        <v>2018</v>
      </c>
      <c r="L106" s="15">
        <v>2019</v>
      </c>
      <c r="M106" s="15">
        <v>2020</v>
      </c>
      <c r="N106" s="15">
        <v>2021</v>
      </c>
      <c r="O106" s="15">
        <v>2022</v>
      </c>
      <c r="P106" s="15">
        <v>2023</v>
      </c>
      <c r="Q106" s="15">
        <v>2024</v>
      </c>
      <c r="R106" s="27" t="s">
        <v>469</v>
      </c>
      <c r="S106" s="27" t="s">
        <v>470</v>
      </c>
      <c r="T106" s="27" t="s">
        <v>471</v>
      </c>
    </row>
    <row r="107" spans="1:20" x14ac:dyDescent="0.25">
      <c r="A107" s="96" t="s">
        <v>209</v>
      </c>
      <c r="B107" s="137">
        <v>99</v>
      </c>
      <c r="C107" s="221">
        <v>11</v>
      </c>
      <c r="D107" s="221">
        <v>11.374999999999975</v>
      </c>
      <c r="E107" s="221">
        <v>12.391304347826104</v>
      </c>
      <c r="F107" s="221" t="s">
        <v>100</v>
      </c>
      <c r="G107" s="221">
        <v>11.105263157894701</v>
      </c>
      <c r="H107" s="221">
        <v>11.8</v>
      </c>
      <c r="I107" s="221">
        <v>10.1666666666667</v>
      </c>
      <c r="J107" s="221">
        <v>9.9499999999999993</v>
      </c>
      <c r="K107" s="221">
        <v>10.0689655172414</v>
      </c>
      <c r="L107" s="221">
        <v>9.0256410256410309</v>
      </c>
      <c r="M107" s="221">
        <v>8.7727272727272698</v>
      </c>
      <c r="N107" s="221">
        <v>9.6111111111111107</v>
      </c>
      <c r="O107" s="221">
        <v>9.1428571428571406</v>
      </c>
      <c r="P107" s="221">
        <v>9.7692307692307701</v>
      </c>
      <c r="Q107" s="221">
        <v>9.08955223880597</v>
      </c>
      <c r="R107" s="222">
        <f t="shared" ref="R107:R135" si="9">IFERROR((Q107-H107),"n/a")</f>
        <v>-2.7104477611940307</v>
      </c>
      <c r="S107" s="222">
        <f t="shared" ref="S107:S135" si="10">IFERROR((Q107-M107),"n/a")</f>
        <v>0.31682496607870014</v>
      </c>
      <c r="T107" s="222">
        <f t="shared" ref="T107:T135" si="11">IFERROR((Q107-P107),"n/a")</f>
        <v>-0.67967853042480009</v>
      </c>
    </row>
    <row r="108" spans="1:20" x14ac:dyDescent="0.25">
      <c r="A108" s="96" t="s">
        <v>210</v>
      </c>
      <c r="B108" s="137">
        <v>143</v>
      </c>
      <c r="C108" s="221">
        <v>10.623115577889452</v>
      </c>
      <c r="D108" s="221">
        <v>9.8846880907372441</v>
      </c>
      <c r="E108" s="221">
        <v>10.091445427728612</v>
      </c>
      <c r="F108" s="221">
        <v>9.64975845410628</v>
      </c>
      <c r="G108" s="221">
        <v>9.8745308310991948</v>
      </c>
      <c r="H108" s="221">
        <v>9.7712255772646515</v>
      </c>
      <c r="I108" s="221">
        <v>10.146869149157476</v>
      </c>
      <c r="J108" s="221">
        <v>10.064997427542444</v>
      </c>
      <c r="K108" s="221">
        <v>10.055942070140565</v>
      </c>
      <c r="L108" s="221">
        <v>10.368966817496233</v>
      </c>
      <c r="M108" s="221">
        <v>10.485658409387222</v>
      </c>
      <c r="N108" s="221">
        <v>10.338166406424268</v>
      </c>
      <c r="O108" s="221">
        <v>10.614761476147615</v>
      </c>
      <c r="P108" s="221">
        <v>10.563745563745567</v>
      </c>
      <c r="Q108" s="221">
        <v>10.26602176541717</v>
      </c>
      <c r="R108" s="222">
        <f t="shared" si="9"/>
        <v>0.49479618815251847</v>
      </c>
      <c r="S108" s="222">
        <f t="shared" si="10"/>
        <v>-0.21963664397005189</v>
      </c>
      <c r="T108" s="222">
        <f t="shared" si="11"/>
        <v>-0.29772379832839668</v>
      </c>
    </row>
    <row r="109" spans="1:20" x14ac:dyDescent="0.25">
      <c r="A109" s="96" t="s">
        <v>411</v>
      </c>
      <c r="B109" s="137">
        <v>144</v>
      </c>
      <c r="C109" s="221">
        <v>9.1090909090909076</v>
      </c>
      <c r="D109" s="221">
        <v>10.887323943661976</v>
      </c>
      <c r="E109" s="221">
        <v>10.198757763975141</v>
      </c>
      <c r="F109" s="221">
        <v>9.8972602739726128</v>
      </c>
      <c r="G109" s="221">
        <v>9.8956521739130494</v>
      </c>
      <c r="H109" s="221">
        <v>10.518987341772146</v>
      </c>
      <c r="I109" s="221">
        <v>9.5053763440860184</v>
      </c>
      <c r="J109" s="221">
        <v>11.039473684210529</v>
      </c>
      <c r="K109" s="221">
        <v>10.617224880382773</v>
      </c>
      <c r="L109" s="221">
        <v>10.909090909090912</v>
      </c>
      <c r="M109" s="221">
        <v>9.5433526011560694</v>
      </c>
      <c r="N109" s="221">
        <v>9.591216216216214</v>
      </c>
      <c r="O109" s="221">
        <v>9.5856079404466499</v>
      </c>
      <c r="P109" s="221">
        <v>9.3165048543689295</v>
      </c>
      <c r="Q109" s="221">
        <v>9.1026936026936021</v>
      </c>
      <c r="R109" s="222">
        <f t="shared" si="9"/>
        <v>-1.4162937390785437</v>
      </c>
      <c r="S109" s="222">
        <f t="shared" si="10"/>
        <v>-0.44065899846246737</v>
      </c>
      <c r="T109" s="222">
        <f t="shared" si="11"/>
        <v>-0.21381125167532744</v>
      </c>
    </row>
    <row r="110" spans="1:20" x14ac:dyDescent="0.25">
      <c r="A110" s="96" t="s">
        <v>316</v>
      </c>
      <c r="B110" s="137">
        <v>108</v>
      </c>
      <c r="C110" s="221">
        <v>14.764705882352899</v>
      </c>
      <c r="D110" s="221">
        <v>17.466666666666701</v>
      </c>
      <c r="E110" s="221">
        <v>18.375</v>
      </c>
      <c r="F110" s="221">
        <v>16.545454545454501</v>
      </c>
      <c r="G110" s="221">
        <v>15.076923076923098</v>
      </c>
      <c r="H110" s="221">
        <v>13.714285714285699</v>
      </c>
      <c r="I110" s="221">
        <v>15.7</v>
      </c>
      <c r="J110" s="221">
        <v>13.764705882352899</v>
      </c>
      <c r="K110" s="221" t="s">
        <v>100</v>
      </c>
      <c r="L110" s="221" t="s">
        <v>100</v>
      </c>
      <c r="M110" s="221" t="s">
        <v>100</v>
      </c>
      <c r="N110" s="221" t="s">
        <v>100</v>
      </c>
      <c r="O110" s="221" t="s">
        <v>100</v>
      </c>
      <c r="P110" s="221" t="s">
        <v>100</v>
      </c>
      <c r="Q110" s="221">
        <v>8</v>
      </c>
      <c r="R110" s="222">
        <f t="shared" si="9"/>
        <v>-5.7142857142856993</v>
      </c>
      <c r="S110" s="222" t="str">
        <f t="shared" si="10"/>
        <v>n/a</v>
      </c>
      <c r="T110" s="222" t="str">
        <f t="shared" si="11"/>
        <v>n/a</v>
      </c>
    </row>
    <row r="111" spans="1:20" x14ac:dyDescent="0.25">
      <c r="A111" s="96" t="s">
        <v>211</v>
      </c>
      <c r="B111" s="137">
        <v>123</v>
      </c>
      <c r="C111" s="221">
        <v>10.023183925811439</v>
      </c>
      <c r="D111" s="221">
        <v>10.053227633069083</v>
      </c>
      <c r="E111" s="221">
        <v>11.092250922509228</v>
      </c>
      <c r="F111" s="221">
        <v>10.387536514118795</v>
      </c>
      <c r="G111" s="221">
        <v>10.92967942088935</v>
      </c>
      <c r="H111" s="221">
        <v>11.392430278884467</v>
      </c>
      <c r="I111" s="221">
        <v>11.730882352941178</v>
      </c>
      <c r="J111" s="221">
        <v>10.98182919442762</v>
      </c>
      <c r="K111" s="221">
        <v>11.370638578011842</v>
      </c>
      <c r="L111" s="221">
        <v>10.953255425709518</v>
      </c>
      <c r="M111" s="221">
        <v>10.445337620578773</v>
      </c>
      <c r="N111" s="221">
        <v>10.844969199178646</v>
      </c>
      <c r="O111" s="221">
        <v>11.508056872037907</v>
      </c>
      <c r="P111" s="221">
        <v>11.528862478777592</v>
      </c>
      <c r="Q111" s="221">
        <v>10.808421052631569</v>
      </c>
      <c r="R111" s="222">
        <f t="shared" si="9"/>
        <v>-0.58400922625289731</v>
      </c>
      <c r="S111" s="222">
        <f t="shared" si="10"/>
        <v>0.3630834320527967</v>
      </c>
      <c r="T111" s="222">
        <f t="shared" si="11"/>
        <v>-0.72044142614602258</v>
      </c>
    </row>
    <row r="112" spans="1:20" x14ac:dyDescent="0.25">
      <c r="A112" s="96" t="s">
        <v>517</v>
      </c>
      <c r="B112" s="137">
        <v>170</v>
      </c>
      <c r="C112" s="221" t="s">
        <v>100</v>
      </c>
      <c r="D112" s="221">
        <v>20.933333333333341</v>
      </c>
      <c r="E112" s="221">
        <v>20.111111111111121</v>
      </c>
      <c r="F112" s="221">
        <v>24.666666666666668</v>
      </c>
      <c r="G112" s="221">
        <v>21.250000000000025</v>
      </c>
      <c r="H112" s="221" t="s">
        <v>100</v>
      </c>
      <c r="I112" s="221" t="s">
        <v>100</v>
      </c>
      <c r="J112" s="221" t="s">
        <v>100</v>
      </c>
      <c r="K112" s="221" t="s">
        <v>100</v>
      </c>
      <c r="L112" s="221" t="s">
        <v>100</v>
      </c>
      <c r="M112" s="221">
        <v>13.2</v>
      </c>
      <c r="N112" s="221">
        <v>10.461538461538501</v>
      </c>
      <c r="O112" s="221">
        <v>12.5714285714286</v>
      </c>
      <c r="P112" s="221">
        <v>15</v>
      </c>
      <c r="Q112" s="221" t="s">
        <v>100</v>
      </c>
      <c r="R112" s="222" t="str">
        <f t="shared" si="9"/>
        <v>n/a</v>
      </c>
      <c r="S112" s="222" t="str">
        <f t="shared" si="10"/>
        <v>n/a</v>
      </c>
      <c r="T112" s="222" t="str">
        <f t="shared" si="11"/>
        <v>n/a</v>
      </c>
    </row>
    <row r="113" spans="1:20" x14ac:dyDescent="0.25">
      <c r="A113" s="96" t="s">
        <v>212</v>
      </c>
      <c r="B113" s="137">
        <v>176</v>
      </c>
      <c r="C113" s="221">
        <v>10.785714285714286</v>
      </c>
      <c r="D113" s="221">
        <v>11.40677966101695</v>
      </c>
      <c r="E113" s="221">
        <v>11.548223350253805</v>
      </c>
      <c r="F113" s="221">
        <v>11.84023668639054</v>
      </c>
      <c r="G113" s="221">
        <v>10.662116040955636</v>
      </c>
      <c r="H113" s="221">
        <v>10.813333333333336</v>
      </c>
      <c r="I113" s="221">
        <v>10.581395348837212</v>
      </c>
      <c r="J113" s="221">
        <v>10.833333333333327</v>
      </c>
      <c r="K113" s="221">
        <v>11.182156133829</v>
      </c>
      <c r="L113" s="221">
        <v>11.542635658914726</v>
      </c>
      <c r="M113" s="221">
        <v>13.194444444444446</v>
      </c>
      <c r="N113" s="221">
        <v>12.928571428571415</v>
      </c>
      <c r="O113" s="221">
        <v>10.090163934426226</v>
      </c>
      <c r="P113" s="221">
        <v>8.6482213438735176</v>
      </c>
      <c r="Q113" s="221">
        <v>8.8499999999999943</v>
      </c>
      <c r="R113" s="222">
        <f t="shared" si="9"/>
        <v>-1.9633333333333418</v>
      </c>
      <c r="S113" s="222">
        <f t="shared" si="10"/>
        <v>-4.3444444444444521</v>
      </c>
      <c r="T113" s="222">
        <f t="shared" si="11"/>
        <v>0.20177865612647672</v>
      </c>
    </row>
    <row r="114" spans="1:20" x14ac:dyDescent="0.25">
      <c r="A114" s="96" t="s">
        <v>213</v>
      </c>
      <c r="B114" s="137">
        <v>120</v>
      </c>
      <c r="C114" s="221">
        <v>10.374695863746965</v>
      </c>
      <c r="D114" s="221">
        <v>10.270462633451961</v>
      </c>
      <c r="E114" s="221">
        <v>10.633333333333336</v>
      </c>
      <c r="F114" s="221">
        <v>9.9964157706093211</v>
      </c>
      <c r="G114" s="221">
        <v>9.4396551724137936</v>
      </c>
      <c r="H114" s="221">
        <v>9.6830769230769231</v>
      </c>
      <c r="I114" s="221">
        <v>9.6495726495726526</v>
      </c>
      <c r="J114" s="221">
        <v>9.4957264957264957</v>
      </c>
      <c r="K114" s="221">
        <v>10.024137931034488</v>
      </c>
      <c r="L114" s="221">
        <v>10.298913043478262</v>
      </c>
      <c r="M114" s="221">
        <v>10.097744360902256</v>
      </c>
      <c r="N114" s="221">
        <v>10.833333333333334</v>
      </c>
      <c r="O114" s="221">
        <v>11.124481327800828</v>
      </c>
      <c r="P114" s="221">
        <v>11.269360269360272</v>
      </c>
      <c r="Q114" s="221">
        <v>10.874999999999995</v>
      </c>
      <c r="R114" s="222">
        <f t="shared" si="9"/>
        <v>1.1919230769230715</v>
      </c>
      <c r="S114" s="222">
        <f t="shared" si="10"/>
        <v>0.77725563909773854</v>
      </c>
      <c r="T114" s="222">
        <f t="shared" si="11"/>
        <v>-0.39436026936027702</v>
      </c>
    </row>
    <row r="115" spans="1:20" x14ac:dyDescent="0.25">
      <c r="A115" s="96" t="s">
        <v>214</v>
      </c>
      <c r="B115" s="137">
        <v>139</v>
      </c>
      <c r="C115" s="221">
        <v>9.5957446808510731</v>
      </c>
      <c r="D115" s="221">
        <v>9.562841530054639</v>
      </c>
      <c r="E115" s="221">
        <v>10.181592039800996</v>
      </c>
      <c r="F115" s="221">
        <v>9.8574938574938589</v>
      </c>
      <c r="G115" s="221">
        <v>10.223776223776222</v>
      </c>
      <c r="H115" s="221">
        <v>10.2760736196319</v>
      </c>
      <c r="I115" s="221">
        <v>9.8987341772151893</v>
      </c>
      <c r="J115" s="221">
        <v>9.9489194499017621</v>
      </c>
      <c r="K115" s="221">
        <v>10.209302325581392</v>
      </c>
      <c r="L115" s="221">
        <v>10.517684887459801</v>
      </c>
      <c r="M115" s="221">
        <v>10.474842767295598</v>
      </c>
      <c r="N115" s="221">
        <v>10.977491961414783</v>
      </c>
      <c r="O115" s="221">
        <v>10.995215311004793</v>
      </c>
      <c r="P115" s="221">
        <v>10.464788732394362</v>
      </c>
      <c r="Q115" s="221">
        <v>9.9940828402366844</v>
      </c>
      <c r="R115" s="222">
        <f t="shared" si="9"/>
        <v>-0.28199077939521544</v>
      </c>
      <c r="S115" s="222">
        <f t="shared" si="10"/>
        <v>-0.48075992705891402</v>
      </c>
      <c r="T115" s="222">
        <f t="shared" si="11"/>
        <v>-0.47070589215767811</v>
      </c>
    </row>
    <row r="116" spans="1:20" x14ac:dyDescent="0.25">
      <c r="A116" s="96" t="s">
        <v>215</v>
      </c>
      <c r="B116" s="137">
        <v>111</v>
      </c>
      <c r="C116" s="221">
        <v>10.978511530398324</v>
      </c>
      <c r="D116" s="221">
        <v>10.618552875695732</v>
      </c>
      <c r="E116" s="221">
        <v>10.759048257372658</v>
      </c>
      <c r="F116" s="221">
        <v>10.651963421194189</v>
      </c>
      <c r="G116" s="221">
        <v>10.90865728595278</v>
      </c>
      <c r="H116" s="221">
        <v>10.696859021183347</v>
      </c>
      <c r="I116" s="221">
        <v>10.389273356401384</v>
      </c>
      <c r="J116" s="221">
        <v>10.40065816536405</v>
      </c>
      <c r="K116" s="221">
        <v>11.104332669322714</v>
      </c>
      <c r="L116" s="221">
        <v>10.57240997229917</v>
      </c>
      <c r="M116" s="221">
        <v>9.6061814556331022</v>
      </c>
      <c r="N116" s="221">
        <v>10.534698330116642</v>
      </c>
      <c r="O116" s="221">
        <v>10.14015671702076</v>
      </c>
      <c r="P116" s="221">
        <v>9.9121917690523222</v>
      </c>
      <c r="Q116" s="221">
        <v>9.7975434138077091</v>
      </c>
      <c r="R116" s="222">
        <f t="shared" si="9"/>
        <v>-0.89931560737563743</v>
      </c>
      <c r="S116" s="222">
        <f t="shared" si="10"/>
        <v>0.19136195817460688</v>
      </c>
      <c r="T116" s="222">
        <f t="shared" si="11"/>
        <v>-0.11464835524461314</v>
      </c>
    </row>
    <row r="117" spans="1:20" x14ac:dyDescent="0.25">
      <c r="A117" s="96" t="s">
        <v>412</v>
      </c>
      <c r="B117" s="137">
        <v>137</v>
      </c>
      <c r="C117" s="221">
        <v>10.875000000000005</v>
      </c>
      <c r="D117" s="221">
        <v>10.448275862068979</v>
      </c>
      <c r="E117" s="221">
        <v>10.142857142857142</v>
      </c>
      <c r="F117" s="221">
        <v>10.434782608695643</v>
      </c>
      <c r="G117" s="221">
        <v>10.32608695652174</v>
      </c>
      <c r="H117" s="221">
        <v>11.791666666666687</v>
      </c>
      <c r="I117" s="221">
        <v>11.333333333333323</v>
      </c>
      <c r="J117" s="221">
        <v>10.428571428571436</v>
      </c>
      <c r="K117" s="221">
        <v>10.100000000000012</v>
      </c>
      <c r="L117" s="221">
        <v>11.078947368421055</v>
      </c>
      <c r="M117" s="221">
        <v>12.166666666666694</v>
      </c>
      <c r="N117" s="221">
        <v>12.944444444444432</v>
      </c>
      <c r="O117" s="221">
        <v>13.037735849056604</v>
      </c>
      <c r="P117" s="221">
        <v>13.409090909090914</v>
      </c>
      <c r="Q117" s="221">
        <v>11.593749999999991</v>
      </c>
      <c r="R117" s="222">
        <f t="shared" si="9"/>
        <v>-0.19791666666669627</v>
      </c>
      <c r="S117" s="222">
        <f t="shared" si="10"/>
        <v>-0.57291666666670338</v>
      </c>
      <c r="T117" s="222">
        <f t="shared" si="11"/>
        <v>-1.8153409090909225</v>
      </c>
    </row>
    <row r="118" spans="1:20" x14ac:dyDescent="0.25">
      <c r="A118" s="96" t="s">
        <v>361</v>
      </c>
      <c r="B118" s="137">
        <v>714</v>
      </c>
      <c r="C118" s="221" t="s">
        <v>100</v>
      </c>
      <c r="D118" s="221" t="s">
        <v>100</v>
      </c>
      <c r="E118" s="221" t="s">
        <v>100</v>
      </c>
      <c r="F118" s="221">
        <v>9.6</v>
      </c>
      <c r="G118" s="221" t="s">
        <v>100</v>
      </c>
      <c r="H118" s="221" t="s">
        <v>100</v>
      </c>
      <c r="I118" s="221" t="s">
        <v>100</v>
      </c>
      <c r="J118" s="221">
        <v>10.6111111111111</v>
      </c>
      <c r="K118" s="221">
        <v>12.466666666666701</v>
      </c>
      <c r="L118" s="221" t="s">
        <v>100</v>
      </c>
      <c r="M118" s="221">
        <v>12.45</v>
      </c>
      <c r="N118" s="221" t="s">
        <v>100</v>
      </c>
      <c r="O118" s="221">
        <v>10.5555555555556</v>
      </c>
      <c r="P118" s="221" t="s">
        <v>100</v>
      </c>
      <c r="Q118" s="221">
        <v>11.0434782608696</v>
      </c>
      <c r="R118" s="222" t="str">
        <f t="shared" si="9"/>
        <v>n/a</v>
      </c>
      <c r="S118" s="222">
        <f t="shared" si="10"/>
        <v>-1.4065217391303992</v>
      </c>
      <c r="T118" s="222" t="str">
        <f t="shared" si="11"/>
        <v>n/a</v>
      </c>
    </row>
    <row r="119" spans="1:20" x14ac:dyDescent="0.25">
      <c r="A119" s="96" t="s">
        <v>356</v>
      </c>
      <c r="B119" s="137">
        <v>171</v>
      </c>
      <c r="C119" s="221" t="s">
        <v>100</v>
      </c>
      <c r="D119" s="221" t="s">
        <v>100</v>
      </c>
      <c r="E119" s="221">
        <v>7.6315789473684177</v>
      </c>
      <c r="F119" s="221" t="s">
        <v>100</v>
      </c>
      <c r="G119" s="221" t="s">
        <v>100</v>
      </c>
      <c r="H119" s="221" t="s">
        <v>100</v>
      </c>
      <c r="I119" s="221">
        <v>8.6</v>
      </c>
      <c r="J119" s="221">
        <v>9.1111111111111107</v>
      </c>
      <c r="K119" s="221">
        <v>10.999999999999996</v>
      </c>
      <c r="L119" s="221">
        <v>9.6666666666666643</v>
      </c>
      <c r="M119" s="221">
        <v>10.578313253012045</v>
      </c>
      <c r="N119" s="221">
        <v>10.404411764705882</v>
      </c>
      <c r="O119" s="221">
        <v>11.556521739130437</v>
      </c>
      <c r="P119" s="221">
        <v>11.05102040816327</v>
      </c>
      <c r="Q119" s="221">
        <v>12.693877551020407</v>
      </c>
      <c r="R119" s="222" t="str">
        <f t="shared" si="9"/>
        <v>n/a</v>
      </c>
      <c r="S119" s="222">
        <f t="shared" si="10"/>
        <v>2.115564298008362</v>
      </c>
      <c r="T119" s="222">
        <f t="shared" si="11"/>
        <v>1.642857142857137</v>
      </c>
    </row>
    <row r="120" spans="1:20" x14ac:dyDescent="0.25">
      <c r="A120" s="96" t="s">
        <v>216</v>
      </c>
      <c r="B120" s="137">
        <v>104</v>
      </c>
      <c r="C120" s="221">
        <v>13.648648648648599</v>
      </c>
      <c r="D120" s="221">
        <v>14.84</v>
      </c>
      <c r="E120" s="221">
        <v>14.810526315789504</v>
      </c>
      <c r="F120" s="221">
        <v>15.754545454545472</v>
      </c>
      <c r="G120" s="221">
        <v>14.718446601941785</v>
      </c>
      <c r="H120" s="221">
        <v>14.98101265822786</v>
      </c>
      <c r="I120" s="221">
        <v>13.827067669172958</v>
      </c>
      <c r="J120" s="221">
        <v>12.405797101449251</v>
      </c>
      <c r="K120" s="221">
        <v>12.581395348837185</v>
      </c>
      <c r="L120" s="221">
        <v>12.908212560386469</v>
      </c>
      <c r="M120" s="221">
        <v>12.344827586206911</v>
      </c>
      <c r="N120" s="221">
        <v>13.286245353159877</v>
      </c>
      <c r="O120" s="221">
        <v>12.974545454545483</v>
      </c>
      <c r="P120" s="221">
        <v>12.699186991869885</v>
      </c>
      <c r="Q120" s="221">
        <v>11.967532467532482</v>
      </c>
      <c r="R120" s="222">
        <f t="shared" si="9"/>
        <v>-3.0134801906953772</v>
      </c>
      <c r="S120" s="222">
        <f t="shared" si="10"/>
        <v>-0.37729511867442866</v>
      </c>
      <c r="T120" s="222">
        <f t="shared" si="11"/>
        <v>-0.73165452433740263</v>
      </c>
    </row>
    <row r="121" spans="1:20" x14ac:dyDescent="0.25">
      <c r="A121" s="96" t="s">
        <v>357</v>
      </c>
      <c r="B121" s="137">
        <v>754</v>
      </c>
      <c r="C121" s="221" t="s">
        <v>100</v>
      </c>
      <c r="D121" s="221" t="s">
        <v>100</v>
      </c>
      <c r="E121" s="221" t="s">
        <v>100</v>
      </c>
      <c r="F121" s="221" t="s">
        <v>100</v>
      </c>
      <c r="G121" s="221" t="s">
        <v>100</v>
      </c>
      <c r="H121" s="221" t="s">
        <v>100</v>
      </c>
      <c r="I121" s="221" t="s">
        <v>100</v>
      </c>
      <c r="J121" s="221" t="s">
        <v>100</v>
      </c>
      <c r="K121" s="221" t="s">
        <v>100</v>
      </c>
      <c r="L121" s="221" t="s">
        <v>100</v>
      </c>
      <c r="M121" s="221">
        <v>9.0909090909090899</v>
      </c>
      <c r="N121" s="221" t="s">
        <v>100</v>
      </c>
      <c r="O121" s="221" t="s">
        <v>100</v>
      </c>
      <c r="P121" s="221">
        <v>9.352941176470587</v>
      </c>
      <c r="Q121" s="221" t="s">
        <v>100</v>
      </c>
      <c r="R121" s="222" t="str">
        <f t="shared" si="9"/>
        <v>n/a</v>
      </c>
      <c r="S121" s="222" t="str">
        <f t="shared" si="10"/>
        <v>n/a</v>
      </c>
      <c r="T121" s="222" t="str">
        <f t="shared" si="11"/>
        <v>n/a</v>
      </c>
    </row>
    <row r="122" spans="1:20" x14ac:dyDescent="0.25">
      <c r="A122" s="96" t="s">
        <v>317</v>
      </c>
      <c r="B122" s="137">
        <v>129</v>
      </c>
      <c r="C122" s="221">
        <v>12.914285714285715</v>
      </c>
      <c r="D122" s="221">
        <v>12.447368421052655</v>
      </c>
      <c r="E122" s="221">
        <v>11.566666666666663</v>
      </c>
      <c r="F122" s="221">
        <v>11.540000000000029</v>
      </c>
      <c r="G122" s="221">
        <v>12.5</v>
      </c>
      <c r="H122" s="221">
        <v>12.519999999999984</v>
      </c>
      <c r="I122" s="221">
        <v>11.939999999999998</v>
      </c>
      <c r="J122" s="221">
        <v>11.589285714285717</v>
      </c>
      <c r="K122" s="221">
        <v>11.059701492537336</v>
      </c>
      <c r="L122" s="221">
        <v>11.339622641509438</v>
      </c>
      <c r="M122" s="221">
        <v>11.333333333333334</v>
      </c>
      <c r="N122" s="221">
        <v>11.423611111111118</v>
      </c>
      <c r="O122" s="221">
        <v>11.988888888888889</v>
      </c>
      <c r="P122" s="221">
        <v>11.740740740740737</v>
      </c>
      <c r="Q122" s="221">
        <v>12.08510638297872</v>
      </c>
      <c r="R122" s="222">
        <f t="shared" si="9"/>
        <v>-0.43489361702126317</v>
      </c>
      <c r="S122" s="222">
        <f t="shared" si="10"/>
        <v>0.75177304964538649</v>
      </c>
      <c r="T122" s="222">
        <f t="shared" si="11"/>
        <v>0.34436564223798349</v>
      </c>
    </row>
    <row r="123" spans="1:20" x14ac:dyDescent="0.25">
      <c r="A123" s="96" t="s">
        <v>217</v>
      </c>
      <c r="B123" s="137">
        <v>132</v>
      </c>
      <c r="C123" s="221">
        <v>11.48314606741573</v>
      </c>
      <c r="D123" s="221">
        <v>10.60000000000001</v>
      </c>
      <c r="E123" s="221">
        <v>11.714285714285724</v>
      </c>
      <c r="F123" s="221">
        <v>10</v>
      </c>
      <c r="G123" s="221">
        <v>9.0754716981132084</v>
      </c>
      <c r="H123" s="221">
        <v>10.302325581395344</v>
      </c>
      <c r="I123" s="221">
        <v>11.585365853658573</v>
      </c>
      <c r="J123" s="221">
        <v>10.072727272727253</v>
      </c>
      <c r="K123" s="221">
        <v>9.0161290322580641</v>
      </c>
      <c r="L123" s="221">
        <v>9.615384615384615</v>
      </c>
      <c r="M123" s="221">
        <v>9.3157894736842124</v>
      </c>
      <c r="N123" s="221">
        <v>10.453441295546561</v>
      </c>
      <c r="O123" s="221">
        <v>10.561797752808994</v>
      </c>
      <c r="P123" s="221">
        <v>9.1283185840707937</v>
      </c>
      <c r="Q123" s="221">
        <v>10.194029850746267</v>
      </c>
      <c r="R123" s="222">
        <f t="shared" si="9"/>
        <v>-0.10829573064907727</v>
      </c>
      <c r="S123" s="222">
        <f t="shared" si="10"/>
        <v>0.87824037706205438</v>
      </c>
      <c r="T123" s="222">
        <f t="shared" si="11"/>
        <v>1.0657112666754731</v>
      </c>
    </row>
    <row r="124" spans="1:20" x14ac:dyDescent="0.25">
      <c r="A124" s="96" t="s">
        <v>413</v>
      </c>
      <c r="B124" s="137">
        <v>117</v>
      </c>
      <c r="C124" s="221" t="s">
        <v>100</v>
      </c>
      <c r="D124" s="221" t="s">
        <v>100</v>
      </c>
      <c r="E124" s="221" t="s">
        <v>100</v>
      </c>
      <c r="F124" s="221" t="s">
        <v>100</v>
      </c>
      <c r="G124" s="221">
        <v>7.6666666666666679</v>
      </c>
      <c r="H124" s="221">
        <v>7.884615384615385</v>
      </c>
      <c r="I124" s="221">
        <v>8.8249999999999993</v>
      </c>
      <c r="J124" s="221">
        <v>9.4347826086956523</v>
      </c>
      <c r="K124" s="221">
        <v>9.6904761904761951</v>
      </c>
      <c r="L124" s="221">
        <v>9.7904761904761912</v>
      </c>
      <c r="M124" s="221">
        <v>9.71875</v>
      </c>
      <c r="N124" s="221">
        <v>9.7589928057553976</v>
      </c>
      <c r="O124" s="221">
        <v>9.7800586510263923</v>
      </c>
      <c r="P124" s="221">
        <v>9.6410835214446831</v>
      </c>
      <c r="Q124" s="221">
        <v>9.4319852941176485</v>
      </c>
      <c r="R124" s="222">
        <f t="shared" si="9"/>
        <v>1.5473699095022635</v>
      </c>
      <c r="S124" s="222">
        <f t="shared" si="10"/>
        <v>-0.28676470588235148</v>
      </c>
      <c r="T124" s="222">
        <f t="shared" si="11"/>
        <v>-0.20909822732703454</v>
      </c>
    </row>
    <row r="125" spans="1:20" x14ac:dyDescent="0.25">
      <c r="A125" s="96" t="s">
        <v>218</v>
      </c>
      <c r="B125" s="137">
        <v>100</v>
      </c>
      <c r="C125" s="221">
        <v>11.083867521367521</v>
      </c>
      <c r="D125" s="221">
        <v>10.373933649289103</v>
      </c>
      <c r="E125" s="221">
        <v>10.315377532228361</v>
      </c>
      <c r="F125" s="221">
        <v>10.549696509863425</v>
      </c>
      <c r="G125" s="221">
        <v>10.776859504132231</v>
      </c>
      <c r="H125" s="221">
        <v>11.017837235228535</v>
      </c>
      <c r="I125" s="221">
        <v>11.076810319554383</v>
      </c>
      <c r="J125" s="221">
        <v>10.883259336641423</v>
      </c>
      <c r="K125" s="221">
        <v>10.970419426048565</v>
      </c>
      <c r="L125" s="221">
        <v>11.160877192982454</v>
      </c>
      <c r="M125" s="221">
        <v>11.317251461988306</v>
      </c>
      <c r="N125" s="221">
        <v>11.664930289566419</v>
      </c>
      <c r="O125" s="221">
        <v>11.414785992217899</v>
      </c>
      <c r="P125" s="221">
        <v>11.079128097939684</v>
      </c>
      <c r="Q125" s="221">
        <v>10.890713834491471</v>
      </c>
      <c r="R125" s="222">
        <f t="shared" si="9"/>
        <v>-0.12712340073706407</v>
      </c>
      <c r="S125" s="222">
        <f t="shared" si="10"/>
        <v>-0.42653762749683466</v>
      </c>
      <c r="T125" s="222">
        <f t="shared" si="11"/>
        <v>-0.18841426344821244</v>
      </c>
    </row>
    <row r="126" spans="1:20" x14ac:dyDescent="0.25">
      <c r="A126" s="96" t="s">
        <v>219</v>
      </c>
      <c r="B126" s="137">
        <v>103</v>
      </c>
      <c r="C126" s="221">
        <v>16.481481481481509</v>
      </c>
      <c r="D126" s="221">
        <v>9.4193548387096815</v>
      </c>
      <c r="E126" s="221">
        <v>13.178571428571454</v>
      </c>
      <c r="F126" s="221" t="s">
        <v>100</v>
      </c>
      <c r="G126" s="221" t="s">
        <v>100</v>
      </c>
      <c r="H126" s="221" t="s">
        <v>100</v>
      </c>
      <c r="I126" s="221">
        <v>9.764705882352942</v>
      </c>
      <c r="J126" s="221">
        <v>10.166666666666655</v>
      </c>
      <c r="K126" s="221">
        <v>11.698347107438019</v>
      </c>
      <c r="L126" s="221">
        <v>11.098701298701297</v>
      </c>
      <c r="M126" s="221">
        <v>11.300653594771243</v>
      </c>
      <c r="N126" s="221">
        <v>10.423645320197044</v>
      </c>
      <c r="O126" s="221">
        <v>10.821374045801527</v>
      </c>
      <c r="P126" s="221">
        <v>10.289405684754529</v>
      </c>
      <c r="Q126" s="221">
        <v>10.292596944770862</v>
      </c>
      <c r="R126" s="222" t="str">
        <f t="shared" si="9"/>
        <v>n/a</v>
      </c>
      <c r="S126" s="222">
        <f t="shared" si="10"/>
        <v>-1.0080566500003805</v>
      </c>
      <c r="T126" s="222">
        <f t="shared" si="11"/>
        <v>3.1912600163330751E-3</v>
      </c>
    </row>
    <row r="127" spans="1:20" x14ac:dyDescent="0.25">
      <c r="A127" s="96" t="s">
        <v>220</v>
      </c>
      <c r="B127" s="137">
        <v>676</v>
      </c>
      <c r="C127" s="221" t="s">
        <v>100</v>
      </c>
      <c r="D127" s="221" t="s">
        <v>100</v>
      </c>
      <c r="E127" s="221">
        <v>9.3437500000000018</v>
      </c>
      <c r="F127" s="221">
        <v>9.4626865671641784</v>
      </c>
      <c r="G127" s="221">
        <v>9.9000000000000021</v>
      </c>
      <c r="H127" s="221">
        <v>9.8103448275862064</v>
      </c>
      <c r="I127" s="221">
        <v>9.7184466019417499</v>
      </c>
      <c r="J127" s="221">
        <v>10.171171171171173</v>
      </c>
      <c r="K127" s="221">
        <v>10.009900990099009</v>
      </c>
      <c r="L127" s="221">
        <v>10.270270270270283</v>
      </c>
      <c r="M127" s="221">
        <v>9.7499999999999929</v>
      </c>
      <c r="N127" s="221">
        <v>10.182608695652165</v>
      </c>
      <c r="O127" s="221">
        <v>10.089430894308942</v>
      </c>
      <c r="P127" s="221">
        <v>9.4353741496598627</v>
      </c>
      <c r="Q127" s="221">
        <v>9.5447154471544717</v>
      </c>
      <c r="R127" s="222">
        <f t="shared" si="9"/>
        <v>-0.26562938043173467</v>
      </c>
      <c r="S127" s="222">
        <f t="shared" si="10"/>
        <v>-0.20528455284552116</v>
      </c>
      <c r="T127" s="222">
        <f t="shared" si="11"/>
        <v>0.10934129749460908</v>
      </c>
    </row>
    <row r="128" spans="1:20" x14ac:dyDescent="0.25">
      <c r="A128" s="96" t="s">
        <v>221</v>
      </c>
      <c r="B128" s="137">
        <v>193</v>
      </c>
      <c r="C128" s="221">
        <v>9</v>
      </c>
      <c r="D128" s="221">
        <v>9</v>
      </c>
      <c r="E128" s="221">
        <v>10.154929577464786</v>
      </c>
      <c r="F128" s="221">
        <v>9.7936507936507944</v>
      </c>
      <c r="G128" s="221">
        <v>10.463414634146336</v>
      </c>
      <c r="H128" s="221">
        <v>10.54285714285715</v>
      </c>
      <c r="I128" s="221">
        <v>10.764705882352951</v>
      </c>
      <c r="J128" s="221">
        <v>10.499999999999991</v>
      </c>
      <c r="K128" s="221">
        <v>9.6774193548387011</v>
      </c>
      <c r="L128" s="221">
        <v>9.8888888888888697</v>
      </c>
      <c r="M128" s="221">
        <v>10.612903225806466</v>
      </c>
      <c r="N128" s="221">
        <v>11.071428571428564</v>
      </c>
      <c r="O128" s="221">
        <v>10.661016949152534</v>
      </c>
      <c r="P128" s="221">
        <v>10.703703703703711</v>
      </c>
      <c r="Q128" s="221">
        <v>9.9999999999999964</v>
      </c>
      <c r="R128" s="222">
        <f t="shared" si="9"/>
        <v>-0.54285714285715336</v>
      </c>
      <c r="S128" s="222">
        <f t="shared" si="10"/>
        <v>-0.61290322580646972</v>
      </c>
      <c r="T128" s="222">
        <f t="shared" si="11"/>
        <v>-0.70370370370371482</v>
      </c>
    </row>
    <row r="129" spans="1:20" x14ac:dyDescent="0.25">
      <c r="A129" s="96" t="s">
        <v>223</v>
      </c>
      <c r="B129" s="137">
        <v>152</v>
      </c>
      <c r="C129" s="221">
        <v>9.479289940828405</v>
      </c>
      <c r="D129" s="221">
        <v>9.7452229299363022</v>
      </c>
      <c r="E129" s="221">
        <v>9.8974358974358978</v>
      </c>
      <c r="F129" s="221">
        <v>9.0948275862068968</v>
      </c>
      <c r="G129" s="221">
        <v>8.5175438596491198</v>
      </c>
      <c r="H129" s="221">
        <v>8.170403587443948</v>
      </c>
      <c r="I129" s="221">
        <v>8.5298913043478279</v>
      </c>
      <c r="J129" s="221">
        <v>7.9752130131680881</v>
      </c>
      <c r="K129" s="221">
        <v>8.4980784012298241</v>
      </c>
      <c r="L129" s="221">
        <v>8.6485225505443228</v>
      </c>
      <c r="M129" s="221">
        <v>9.2053742802303233</v>
      </c>
      <c r="N129" s="221">
        <v>8.5272342675832888</v>
      </c>
      <c r="O129" s="221">
        <v>8.9278870398386267</v>
      </c>
      <c r="P129" s="221">
        <v>9.6428571428571406</v>
      </c>
      <c r="Q129" s="221">
        <v>9.5384615384615383</v>
      </c>
      <c r="R129" s="222">
        <f t="shared" si="9"/>
        <v>1.3680579510175903</v>
      </c>
      <c r="S129" s="222">
        <f t="shared" si="10"/>
        <v>0.33308725823121499</v>
      </c>
      <c r="T129" s="222">
        <f t="shared" si="11"/>
        <v>-0.10439560439560225</v>
      </c>
    </row>
    <row r="130" spans="1:20" x14ac:dyDescent="0.25">
      <c r="A130" s="96" t="s">
        <v>224</v>
      </c>
      <c r="B130" s="137">
        <v>101</v>
      </c>
      <c r="C130" s="221">
        <v>9.151515151515154</v>
      </c>
      <c r="D130" s="221">
        <v>9.3088235294117663</v>
      </c>
      <c r="E130" s="221">
        <v>8.8947368421052548</v>
      </c>
      <c r="F130" s="221">
        <v>8.6666666666666661</v>
      </c>
      <c r="G130" s="221">
        <v>8.8666666666666671</v>
      </c>
      <c r="H130" s="221" t="s">
        <v>100</v>
      </c>
      <c r="I130" s="221">
        <v>8.5490196078431335</v>
      </c>
      <c r="J130" s="221">
        <v>8.5263157894736796</v>
      </c>
      <c r="K130" s="221">
        <v>9.1</v>
      </c>
      <c r="L130" s="221">
        <v>9.0256410256410255</v>
      </c>
      <c r="M130" s="221">
        <v>8.6551724137931032</v>
      </c>
      <c r="N130" s="221">
        <v>8.117647058823529</v>
      </c>
      <c r="O130" s="221">
        <v>8.2272727272727302</v>
      </c>
      <c r="P130" s="221">
        <v>8</v>
      </c>
      <c r="Q130" s="221">
        <v>8</v>
      </c>
      <c r="R130" s="222" t="str">
        <f t="shared" si="9"/>
        <v>n/a</v>
      </c>
      <c r="S130" s="222">
        <f t="shared" si="10"/>
        <v>-0.6551724137931032</v>
      </c>
      <c r="T130" s="222">
        <f t="shared" si="11"/>
        <v>0</v>
      </c>
    </row>
    <row r="131" spans="1:20" x14ac:dyDescent="0.25">
      <c r="A131" s="96" t="s">
        <v>225</v>
      </c>
      <c r="B131" s="137">
        <v>155</v>
      </c>
      <c r="C131" s="221">
        <v>10.489239598278333</v>
      </c>
      <c r="D131" s="221">
        <v>10.626131953428201</v>
      </c>
      <c r="E131" s="221">
        <v>10.15906788247214</v>
      </c>
      <c r="F131" s="221">
        <v>10.089637635092181</v>
      </c>
      <c r="G131" s="221">
        <v>9.763324873096451</v>
      </c>
      <c r="H131" s="221">
        <v>9.5186246418338083</v>
      </c>
      <c r="I131" s="221">
        <v>9.3451327433628375</v>
      </c>
      <c r="J131" s="221">
        <v>9.1252459016393441</v>
      </c>
      <c r="K131" s="221">
        <v>9.0752688172043019</v>
      </c>
      <c r="L131" s="221">
        <v>9.1387900355871849</v>
      </c>
      <c r="M131" s="221">
        <v>9.083743842364532</v>
      </c>
      <c r="N131" s="221">
        <v>9.7631578947368425</v>
      </c>
      <c r="O131" s="221">
        <v>9.1019283746556532</v>
      </c>
      <c r="P131" s="221">
        <v>9.6027397260273997</v>
      </c>
      <c r="Q131" s="221">
        <v>8.4516129032258061</v>
      </c>
      <c r="R131" s="222">
        <f t="shared" si="9"/>
        <v>-1.0670117386080022</v>
      </c>
      <c r="S131" s="222">
        <f t="shared" si="10"/>
        <v>-0.63213093913872598</v>
      </c>
      <c r="T131" s="222">
        <f t="shared" si="11"/>
        <v>-1.1511268228015936</v>
      </c>
    </row>
    <row r="132" spans="1:20" x14ac:dyDescent="0.25">
      <c r="A132" s="96" t="s">
        <v>297</v>
      </c>
      <c r="B132" s="137">
        <v>693</v>
      </c>
      <c r="C132" s="221" t="s">
        <v>100</v>
      </c>
      <c r="D132" s="221" t="s">
        <v>100</v>
      </c>
      <c r="E132" s="221">
        <v>11.142857142857142</v>
      </c>
      <c r="F132" s="221">
        <v>12.799999999999974</v>
      </c>
      <c r="G132" s="221">
        <v>13.5</v>
      </c>
      <c r="H132" s="221">
        <v>12.437499999999975</v>
      </c>
      <c r="I132" s="221">
        <v>14.687500000000025</v>
      </c>
      <c r="J132" s="221">
        <v>13.285714285714281</v>
      </c>
      <c r="K132" s="221">
        <v>13.66666666666668</v>
      </c>
      <c r="L132" s="221">
        <v>10.466666666666701</v>
      </c>
      <c r="M132" s="221">
        <v>10.666666666666666</v>
      </c>
      <c r="N132" s="221">
        <v>13.72222222222225</v>
      </c>
      <c r="O132" s="221">
        <v>12.894736842105274</v>
      </c>
      <c r="P132" s="221">
        <v>12.086956521739125</v>
      </c>
      <c r="Q132" s="221">
        <v>11.2</v>
      </c>
      <c r="R132" s="222">
        <f t="shared" si="9"/>
        <v>-1.2374999999999758</v>
      </c>
      <c r="S132" s="222">
        <f t="shared" si="10"/>
        <v>0.53333333333333321</v>
      </c>
      <c r="T132" s="222">
        <f t="shared" si="11"/>
        <v>-0.8869565217391262</v>
      </c>
    </row>
    <row r="133" spans="1:20" x14ac:dyDescent="0.25">
      <c r="A133" s="96" t="s">
        <v>226</v>
      </c>
      <c r="B133" s="137">
        <v>106</v>
      </c>
      <c r="C133" s="221">
        <v>8.862232779097388</v>
      </c>
      <c r="D133" s="221">
        <v>9.6760563380281717</v>
      </c>
      <c r="E133" s="221">
        <v>9.125766871165645</v>
      </c>
      <c r="F133" s="221">
        <v>9.4559164733178598</v>
      </c>
      <c r="G133" s="221">
        <v>10.027642276422768</v>
      </c>
      <c r="H133" s="221">
        <v>10.182242990654204</v>
      </c>
      <c r="I133" s="221">
        <v>9.4402515723270444</v>
      </c>
      <c r="J133" s="221">
        <v>9.702325581395348</v>
      </c>
      <c r="K133" s="221">
        <v>10.973333333333331</v>
      </c>
      <c r="L133" s="221">
        <v>10.724890829694321</v>
      </c>
      <c r="M133" s="221">
        <v>9.7772020725388593</v>
      </c>
      <c r="N133" s="221">
        <v>10.135897435897441</v>
      </c>
      <c r="O133" s="221">
        <v>9.9440203562340965</v>
      </c>
      <c r="P133" s="221">
        <v>9.9077922077922178</v>
      </c>
      <c r="Q133" s="221">
        <v>10.387654320987643</v>
      </c>
      <c r="R133" s="222">
        <f t="shared" si="9"/>
        <v>0.20541133033343861</v>
      </c>
      <c r="S133" s="222">
        <f t="shared" si="10"/>
        <v>0.61045224844878376</v>
      </c>
      <c r="T133" s="222">
        <f t="shared" si="11"/>
        <v>0.47986211319542527</v>
      </c>
    </row>
    <row r="134" spans="1:20" x14ac:dyDescent="0.25">
      <c r="A134" s="96" t="s">
        <v>516</v>
      </c>
      <c r="B134" s="137">
        <v>162</v>
      </c>
      <c r="C134" s="221">
        <v>9.9523809523809437</v>
      </c>
      <c r="D134" s="221">
        <v>9.8823529411764603</v>
      </c>
      <c r="E134" s="221">
        <v>10.454545454545464</v>
      </c>
      <c r="F134" s="221">
        <v>10.079999999999982</v>
      </c>
      <c r="G134" s="221">
        <v>10.655172413793103</v>
      </c>
      <c r="H134" s="221">
        <v>10.892857142857142</v>
      </c>
      <c r="I134" s="221">
        <v>9.8965517241379146</v>
      </c>
      <c r="J134" s="221">
        <v>10.13888888888888</v>
      </c>
      <c r="K134" s="221">
        <v>10.142857142857173</v>
      </c>
      <c r="L134" s="221">
        <v>11.076923076923077</v>
      </c>
      <c r="M134" s="221">
        <v>10.249999999999989</v>
      </c>
      <c r="N134" s="221">
        <v>10.512820512820513</v>
      </c>
      <c r="O134" s="221">
        <v>9.1698113207547181</v>
      </c>
      <c r="P134" s="221">
        <v>10.155555555555555</v>
      </c>
      <c r="Q134" s="221">
        <v>8.4583333333333339</v>
      </c>
      <c r="R134" s="222">
        <f t="shared" si="9"/>
        <v>-2.4345238095238084</v>
      </c>
      <c r="S134" s="222">
        <f t="shared" si="10"/>
        <v>-1.7916666666666554</v>
      </c>
      <c r="T134" s="222">
        <f t="shared" si="11"/>
        <v>-1.6972222222222211</v>
      </c>
    </row>
    <row r="135" spans="1:20" x14ac:dyDescent="0.25">
      <c r="A135" s="96" t="s">
        <v>227</v>
      </c>
      <c r="B135" s="137">
        <v>116</v>
      </c>
      <c r="C135" s="221" t="s">
        <v>100</v>
      </c>
      <c r="D135" s="221">
        <v>9.9763313609467446</v>
      </c>
      <c r="E135" s="221">
        <v>9.9140271493212673</v>
      </c>
      <c r="F135" s="221">
        <v>9.8423551756885121</v>
      </c>
      <c r="G135" s="221">
        <v>9.9070567986230653</v>
      </c>
      <c r="H135" s="221">
        <v>9.9363434492968192</v>
      </c>
      <c r="I135" s="221">
        <v>9.8803317535545023</v>
      </c>
      <c r="J135" s="221">
        <v>10.070833333333333</v>
      </c>
      <c r="K135" s="221">
        <v>10.035824345146382</v>
      </c>
      <c r="L135" s="221">
        <v>10.008724553385958</v>
      </c>
      <c r="M135" s="221">
        <v>10.085561497326204</v>
      </c>
      <c r="N135" s="221">
        <v>10.119899032393773</v>
      </c>
      <c r="O135" s="221">
        <v>10.023990860624524</v>
      </c>
      <c r="P135" s="221">
        <v>10.046630565583634</v>
      </c>
      <c r="Q135" s="221">
        <v>9.9603960396039621</v>
      </c>
      <c r="R135" s="222">
        <f t="shared" si="9"/>
        <v>2.4052590307142907E-2</v>
      </c>
      <c r="S135" s="222">
        <f t="shared" si="10"/>
        <v>-0.12516545772224141</v>
      </c>
      <c r="T135" s="222">
        <f t="shared" si="11"/>
        <v>-8.6234525979671517E-2</v>
      </c>
    </row>
    <row r="136" spans="1:20" x14ac:dyDescent="0.25">
      <c r="A136" s="157" t="s">
        <v>511</v>
      </c>
      <c r="B136" s="119"/>
      <c r="C136" s="102"/>
      <c r="D136" s="102"/>
      <c r="E136" s="102"/>
      <c r="F136" s="102"/>
      <c r="G136" s="98"/>
      <c r="H136" s="98"/>
      <c r="I136" s="98"/>
      <c r="J136" s="98"/>
      <c r="K136" s="98"/>
      <c r="L136" s="98"/>
      <c r="M136" s="98"/>
      <c r="N136" s="98"/>
      <c r="O136" s="98"/>
      <c r="P136" s="98"/>
      <c r="Q136" s="98"/>
      <c r="R136" s="109"/>
      <c r="S136" s="109"/>
    </row>
    <row r="137" spans="1:20" x14ac:dyDescent="0.25">
      <c r="R137" s="111"/>
      <c r="S137" s="111"/>
    </row>
    <row r="138" spans="1:20" ht="15.75" x14ac:dyDescent="0.25">
      <c r="A138" s="112" t="s">
        <v>337</v>
      </c>
      <c r="B138" s="112"/>
      <c r="C138" s="110"/>
      <c r="D138" s="110"/>
      <c r="E138" s="110"/>
      <c r="F138" s="110"/>
      <c r="G138" s="94"/>
      <c r="H138" s="94"/>
      <c r="I138" s="94"/>
      <c r="J138" s="94"/>
      <c r="K138" s="94"/>
      <c r="L138" s="94"/>
      <c r="M138" s="94"/>
      <c r="N138" s="94"/>
      <c r="O138" s="94"/>
      <c r="P138" s="94"/>
      <c r="Q138" s="94"/>
      <c r="R138" s="128"/>
      <c r="S138" s="128"/>
      <c r="T138" s="128"/>
    </row>
    <row r="139" spans="1:20" ht="38.25" x14ac:dyDescent="0.25">
      <c r="A139" s="133" t="s">
        <v>332</v>
      </c>
      <c r="B139" s="27" t="s">
        <v>348</v>
      </c>
      <c r="C139" s="15">
        <v>2010</v>
      </c>
      <c r="D139" s="15">
        <v>2011</v>
      </c>
      <c r="E139" s="15">
        <v>2012</v>
      </c>
      <c r="F139" s="15">
        <v>2013</v>
      </c>
      <c r="G139" s="15">
        <v>2014</v>
      </c>
      <c r="H139" s="15">
        <v>2015</v>
      </c>
      <c r="I139" s="15">
        <v>2016</v>
      </c>
      <c r="J139" s="15">
        <v>2017</v>
      </c>
      <c r="K139" s="15">
        <v>2018</v>
      </c>
      <c r="L139" s="15">
        <v>2019</v>
      </c>
      <c r="M139" s="15">
        <v>2020</v>
      </c>
      <c r="N139" s="15">
        <v>2021</v>
      </c>
      <c r="O139" s="15">
        <v>2022</v>
      </c>
      <c r="P139" s="15">
        <v>2023</v>
      </c>
      <c r="Q139" s="15">
        <v>2024</v>
      </c>
      <c r="R139" s="27" t="s">
        <v>469</v>
      </c>
      <c r="S139" s="27" t="s">
        <v>470</v>
      </c>
      <c r="T139" s="27" t="s">
        <v>471</v>
      </c>
    </row>
    <row r="140" spans="1:20" x14ac:dyDescent="0.25">
      <c r="A140" s="95" t="s">
        <v>228</v>
      </c>
      <c r="B140" s="134">
        <v>86</v>
      </c>
      <c r="C140" s="221">
        <v>13.202397743300434</v>
      </c>
      <c r="D140" s="221">
        <v>12.85762597226919</v>
      </c>
      <c r="E140" s="221">
        <v>12.80909432544156</v>
      </c>
      <c r="F140" s="221">
        <v>12.728581979320532</v>
      </c>
      <c r="G140" s="221">
        <v>12.613990576295768</v>
      </c>
      <c r="H140" s="221">
        <v>12.685994283380982</v>
      </c>
      <c r="I140" s="221">
        <v>12.459791511541322</v>
      </c>
      <c r="J140" s="221">
        <v>12.40274599542335</v>
      </c>
      <c r="K140" s="221">
        <v>12.611111111111102</v>
      </c>
      <c r="L140" s="221">
        <v>12.477264716249554</v>
      </c>
      <c r="M140" s="221">
        <v>12.674716981132086</v>
      </c>
      <c r="N140" s="221">
        <v>12.740377358490562</v>
      </c>
      <c r="O140" s="221">
        <v>12.858429561200923</v>
      </c>
      <c r="P140" s="221">
        <v>12.395672333848525</v>
      </c>
      <c r="Q140" s="221">
        <v>12.60666293393057</v>
      </c>
      <c r="R140" s="222">
        <f t="shared" ref="R140:R194" si="12">IFERROR((Q140-H140),"n/a")</f>
        <v>-7.9331349450411537E-2</v>
      </c>
      <c r="S140" s="222">
        <f t="shared" ref="S140:S194" si="13">IFERROR((Q140-M140),"n/a")</f>
        <v>-6.8054047201515644E-2</v>
      </c>
      <c r="T140" s="222">
        <f t="shared" ref="T140:T194" si="14">IFERROR((Q140-P140),"n/a")</f>
        <v>0.21099060008204518</v>
      </c>
    </row>
    <row r="141" spans="1:20" x14ac:dyDescent="0.25">
      <c r="A141" s="95" t="s">
        <v>229</v>
      </c>
      <c r="B141" s="134">
        <v>89</v>
      </c>
      <c r="C141" s="221">
        <v>14.959298245614034</v>
      </c>
      <c r="D141" s="221">
        <v>15.116111611161113</v>
      </c>
      <c r="E141" s="221">
        <v>15.024018746338601</v>
      </c>
      <c r="F141" s="221">
        <v>14.842219804134928</v>
      </c>
      <c r="G141" s="221">
        <v>14.424940898345158</v>
      </c>
      <c r="H141" s="221">
        <v>14.328358208955219</v>
      </c>
      <c r="I141" s="221">
        <v>14.113608748481163</v>
      </c>
      <c r="J141" s="221">
        <v>13.83152454780361</v>
      </c>
      <c r="K141" s="221">
        <v>13.791093647675176</v>
      </c>
      <c r="L141" s="221">
        <v>13.547070441079663</v>
      </c>
      <c r="M141" s="221">
        <v>12.670764297167288</v>
      </c>
      <c r="N141" s="221">
        <v>13.259259259259252</v>
      </c>
      <c r="O141" s="221">
        <v>13.236637259989619</v>
      </c>
      <c r="P141" s="221">
        <v>12.88141592920354</v>
      </c>
      <c r="Q141" s="221">
        <v>12.737201365187705</v>
      </c>
      <c r="R141" s="222">
        <f t="shared" si="12"/>
        <v>-1.5911568437675143</v>
      </c>
      <c r="S141" s="222">
        <f t="shared" si="13"/>
        <v>6.643706802041649E-2</v>
      </c>
      <c r="T141" s="222">
        <f t="shared" si="14"/>
        <v>-0.14421456401583477</v>
      </c>
    </row>
    <row r="142" spans="1:20" x14ac:dyDescent="0.25">
      <c r="A142" s="95" t="s">
        <v>230</v>
      </c>
      <c r="B142" s="134">
        <v>11</v>
      </c>
      <c r="C142" s="221">
        <v>14.253196930946292</v>
      </c>
      <c r="D142" s="221">
        <v>14.924460431654689</v>
      </c>
      <c r="E142" s="221">
        <v>14.569395017793598</v>
      </c>
      <c r="F142" s="221">
        <v>14.970909090909091</v>
      </c>
      <c r="G142" s="221">
        <v>14.279898218829517</v>
      </c>
      <c r="H142" s="221">
        <v>13.990990990990991</v>
      </c>
      <c r="I142" s="221">
        <v>14.121951219512194</v>
      </c>
      <c r="J142" s="221">
        <v>15.211382113821138</v>
      </c>
      <c r="K142" s="221">
        <v>14.882978723404262</v>
      </c>
      <c r="L142" s="221">
        <v>14.671755725190835</v>
      </c>
      <c r="M142" s="221">
        <v>14.575221238938058</v>
      </c>
      <c r="N142" s="221">
        <v>13.863372093023251</v>
      </c>
      <c r="O142" s="221">
        <v>13.15892420537898</v>
      </c>
      <c r="P142" s="221">
        <v>13.084452975047991</v>
      </c>
      <c r="Q142" s="221">
        <v>12.481171548117166</v>
      </c>
      <c r="R142" s="222">
        <f t="shared" si="12"/>
        <v>-1.509819442873825</v>
      </c>
      <c r="S142" s="222">
        <f>IFERROR((Q142-M142),"n/a")</f>
        <v>-2.0940496908208921</v>
      </c>
      <c r="T142" s="222">
        <f>IFERROR((Q142-P142),"n/a")</f>
        <v>-0.60328142693082576</v>
      </c>
    </row>
    <row r="143" spans="1:20" x14ac:dyDescent="0.25">
      <c r="A143" s="95" t="s">
        <v>231</v>
      </c>
      <c r="B143" s="134">
        <v>23</v>
      </c>
      <c r="C143" s="221">
        <v>13.252892561983469</v>
      </c>
      <c r="D143" s="221">
        <v>13.278205128205119</v>
      </c>
      <c r="E143" s="221">
        <v>13.063805104408351</v>
      </c>
      <c r="F143" s="221">
        <v>12.890927624872567</v>
      </c>
      <c r="G143" s="221">
        <v>12.88438133874236</v>
      </c>
      <c r="H143" s="221">
        <v>12.872477064220167</v>
      </c>
      <c r="I143" s="221">
        <v>12.550513698630155</v>
      </c>
      <c r="J143" s="221">
        <v>12.472768532526455</v>
      </c>
      <c r="K143" s="221">
        <v>12.845563139931745</v>
      </c>
      <c r="L143" s="221">
        <v>12.927835051546394</v>
      </c>
      <c r="M143" s="221">
        <v>12.914956011730194</v>
      </c>
      <c r="N143" s="221">
        <v>12.826126126126143</v>
      </c>
      <c r="O143" s="221">
        <v>12.514767932489452</v>
      </c>
      <c r="P143" s="221">
        <v>12.529971455756444</v>
      </c>
      <c r="Q143" s="221">
        <v>12.4932855863921</v>
      </c>
      <c r="R143" s="222">
        <f t="shared" si="12"/>
        <v>-0.37919147782806739</v>
      </c>
      <c r="S143" s="222">
        <f t="shared" si="13"/>
        <v>-0.42167042533809429</v>
      </c>
      <c r="T143" s="222">
        <f t="shared" si="14"/>
        <v>-3.668586936434437E-2</v>
      </c>
    </row>
    <row r="144" spans="1:20" x14ac:dyDescent="0.25">
      <c r="A144" s="95" t="s">
        <v>232</v>
      </c>
      <c r="B144" s="134">
        <v>38</v>
      </c>
      <c r="C144" s="221">
        <v>12.399999999999993</v>
      </c>
      <c r="D144" s="221">
        <v>11.422960725075527</v>
      </c>
      <c r="E144" s="221">
        <v>11.83431952662721</v>
      </c>
      <c r="F144" s="221">
        <v>12.329479768786122</v>
      </c>
      <c r="G144" s="221">
        <v>12.209302325581401</v>
      </c>
      <c r="H144" s="221">
        <v>11.592964824120591</v>
      </c>
      <c r="I144" s="221">
        <v>11.261538461538462</v>
      </c>
      <c r="J144" s="221">
        <v>11.112244897959167</v>
      </c>
      <c r="K144" s="221">
        <v>11.74061433447098</v>
      </c>
      <c r="L144" s="221">
        <v>12.160839160839155</v>
      </c>
      <c r="M144" s="221">
        <v>11.739361702127669</v>
      </c>
      <c r="N144" s="221">
        <v>11.930722891566258</v>
      </c>
      <c r="O144" s="221">
        <v>11.676375404530733</v>
      </c>
      <c r="P144" s="221">
        <v>11.612980769230774</v>
      </c>
      <c r="Q144" s="221">
        <v>11.610966057441253</v>
      </c>
      <c r="R144" s="222">
        <f t="shared" si="12"/>
        <v>1.800123332066228E-2</v>
      </c>
      <c r="S144" s="222">
        <f t="shared" si="13"/>
        <v>-0.12839564468641562</v>
      </c>
      <c r="T144" s="222">
        <f t="shared" si="14"/>
        <v>-2.0147117895206179E-3</v>
      </c>
    </row>
    <row r="145" spans="1:20" x14ac:dyDescent="0.25">
      <c r="A145" s="95" t="s">
        <v>233</v>
      </c>
      <c r="B145" s="134">
        <v>69</v>
      </c>
      <c r="C145" s="221">
        <v>12.088122605363978</v>
      </c>
      <c r="D145" s="221">
        <v>11.615141955835963</v>
      </c>
      <c r="E145" s="221">
        <v>11.904942965779471</v>
      </c>
      <c r="F145" s="221">
        <v>12.011278195488714</v>
      </c>
      <c r="G145" s="221">
        <v>12.335365853658532</v>
      </c>
      <c r="H145" s="221">
        <v>12.212355212355222</v>
      </c>
      <c r="I145" s="221">
        <v>11.939163498098859</v>
      </c>
      <c r="J145" s="221">
        <v>12.246575342465754</v>
      </c>
      <c r="K145" s="221">
        <v>12.304728546409811</v>
      </c>
      <c r="L145" s="221">
        <v>11.993079584775094</v>
      </c>
      <c r="M145" s="221">
        <v>11.839622641509433</v>
      </c>
      <c r="N145" s="221">
        <v>12.962112514351322</v>
      </c>
      <c r="O145" s="221">
        <v>13.253521126760567</v>
      </c>
      <c r="P145" s="221">
        <v>13.139823008849561</v>
      </c>
      <c r="Q145" s="221">
        <v>12.471830985915503</v>
      </c>
      <c r="R145" s="222">
        <f t="shared" si="12"/>
        <v>0.25947577356028084</v>
      </c>
      <c r="S145" s="222">
        <f t="shared" si="13"/>
        <v>0.63220834440607021</v>
      </c>
      <c r="T145" s="222">
        <f t="shared" si="14"/>
        <v>-0.66799202293405813</v>
      </c>
    </row>
    <row r="146" spans="1:20" x14ac:dyDescent="0.25">
      <c r="A146" s="95" t="s">
        <v>234</v>
      </c>
      <c r="B146" s="134">
        <v>20</v>
      </c>
      <c r="C146" s="221">
        <v>12.857486953030916</v>
      </c>
      <c r="D146" s="221">
        <v>13.08958020989505</v>
      </c>
      <c r="E146" s="221">
        <v>12.841992882562275</v>
      </c>
      <c r="F146" s="221">
        <v>12.786662732369434</v>
      </c>
      <c r="G146" s="221">
        <v>12.864035087719294</v>
      </c>
      <c r="H146" s="221">
        <v>12.618978405315614</v>
      </c>
      <c r="I146" s="221">
        <v>13.038198538080648</v>
      </c>
      <c r="J146" s="221">
        <v>13.151848937844218</v>
      </c>
      <c r="K146" s="221">
        <v>12.663339986693277</v>
      </c>
      <c r="L146" s="221">
        <v>12.714526394608761</v>
      </c>
      <c r="M146" s="221">
        <v>12.385528219971059</v>
      </c>
      <c r="N146" s="221">
        <v>13.144469140023936</v>
      </c>
      <c r="O146" s="221">
        <v>12.474441833137485</v>
      </c>
      <c r="P146" s="221">
        <v>12.076846802181455</v>
      </c>
      <c r="Q146" s="221">
        <v>12.155697693990907</v>
      </c>
      <c r="R146" s="222">
        <f t="shared" si="12"/>
        <v>-0.46328071132470683</v>
      </c>
      <c r="S146" s="222">
        <f t="shared" si="13"/>
        <v>-0.22983052598015163</v>
      </c>
      <c r="T146" s="222">
        <f t="shared" si="14"/>
        <v>7.885089180945215E-2</v>
      </c>
    </row>
    <row r="147" spans="1:20" x14ac:dyDescent="0.25">
      <c r="A147" s="95" t="s">
        <v>235</v>
      </c>
      <c r="B147" s="134">
        <v>81</v>
      </c>
      <c r="C147" s="221">
        <v>12.77634011090573</v>
      </c>
      <c r="D147" s="221">
        <v>12.4574074074074</v>
      </c>
      <c r="E147" s="221">
        <v>13.426589595375722</v>
      </c>
      <c r="F147" s="221">
        <v>13.942546583850937</v>
      </c>
      <c r="G147" s="221">
        <v>14.619565217391303</v>
      </c>
      <c r="H147" s="221">
        <v>13.169491525423732</v>
      </c>
      <c r="I147" s="221">
        <v>13.517625231910943</v>
      </c>
      <c r="J147" s="221">
        <v>15.318627450980397</v>
      </c>
      <c r="K147" s="221">
        <v>15.516042780748668</v>
      </c>
      <c r="L147" s="221">
        <v>14.586046511627909</v>
      </c>
      <c r="M147" s="221">
        <v>14.431870669745962</v>
      </c>
      <c r="N147" s="221">
        <v>13.618008185538883</v>
      </c>
      <c r="O147" s="221">
        <v>13.423831070889895</v>
      </c>
      <c r="P147" s="221">
        <v>13.288288288288285</v>
      </c>
      <c r="Q147" s="221">
        <v>13.339483394833952</v>
      </c>
      <c r="R147" s="222">
        <f t="shared" si="12"/>
        <v>0.16999186941021982</v>
      </c>
      <c r="S147" s="222">
        <f t="shared" si="13"/>
        <v>-1.09238727491201</v>
      </c>
      <c r="T147" s="222">
        <f t="shared" si="14"/>
        <v>5.1195106545666391E-2</v>
      </c>
    </row>
    <row r="148" spans="1:20" x14ac:dyDescent="0.25">
      <c r="A148" s="95" t="s">
        <v>236</v>
      </c>
      <c r="B148" s="134">
        <v>90</v>
      </c>
      <c r="C148" s="221">
        <v>15.280133928571434</v>
      </c>
      <c r="D148" s="221">
        <v>15.200869565217388</v>
      </c>
      <c r="E148" s="221">
        <v>14.759226713532509</v>
      </c>
      <c r="F148" s="221">
        <v>15.342676944639095</v>
      </c>
      <c r="G148" s="221">
        <v>14.750332889480697</v>
      </c>
      <c r="H148" s="221">
        <v>14.248730964466999</v>
      </c>
      <c r="I148" s="221">
        <v>14.431818181818176</v>
      </c>
      <c r="J148" s="221">
        <v>13.568445475638059</v>
      </c>
      <c r="K148" s="221">
        <v>13.728125000000002</v>
      </c>
      <c r="L148" s="221">
        <v>13.766252739225715</v>
      </c>
      <c r="M148" s="221">
        <v>14.045370370370367</v>
      </c>
      <c r="N148" s="221">
        <v>13.940298507462693</v>
      </c>
      <c r="O148" s="221">
        <v>14.289971346704872</v>
      </c>
      <c r="P148" s="221">
        <v>13.943559399180701</v>
      </c>
      <c r="Q148" s="221">
        <v>13.388287204171681</v>
      </c>
      <c r="R148" s="222">
        <f t="shared" si="12"/>
        <v>-0.86044376029531833</v>
      </c>
      <c r="S148" s="222">
        <f t="shared" si="13"/>
        <v>-0.6570831661986869</v>
      </c>
      <c r="T148" s="222">
        <f t="shared" si="14"/>
        <v>-0.55527219500902092</v>
      </c>
    </row>
    <row r="149" spans="1:20" x14ac:dyDescent="0.25">
      <c r="A149" s="95" t="s">
        <v>237</v>
      </c>
      <c r="B149" s="134">
        <v>31</v>
      </c>
      <c r="C149" s="221">
        <v>11.258392675483217</v>
      </c>
      <c r="D149" s="221">
        <v>11.21639344262295</v>
      </c>
      <c r="E149" s="221">
        <v>10.938714499252621</v>
      </c>
      <c r="F149" s="221">
        <v>11.220651505838967</v>
      </c>
      <c r="G149" s="221">
        <v>11.680840420210099</v>
      </c>
      <c r="H149" s="221">
        <v>12.038804638715431</v>
      </c>
      <c r="I149" s="221">
        <v>12.260387811634354</v>
      </c>
      <c r="J149" s="221">
        <v>13.267110266159698</v>
      </c>
      <c r="K149" s="221">
        <v>12.619682768565248</v>
      </c>
      <c r="L149" s="221">
        <v>12.421852899575674</v>
      </c>
      <c r="M149" s="221">
        <v>11.979969183359016</v>
      </c>
      <c r="N149" s="221">
        <v>12.34659788749693</v>
      </c>
      <c r="O149" s="221">
        <v>11.996996996996996</v>
      </c>
      <c r="P149" s="221">
        <v>11.831826831588959</v>
      </c>
      <c r="Q149" s="221">
        <v>11.862316837157872</v>
      </c>
      <c r="R149" s="222">
        <f t="shared" si="12"/>
        <v>-0.17648780155755972</v>
      </c>
      <c r="S149" s="222">
        <f t="shared" si="13"/>
        <v>-0.11765234620114384</v>
      </c>
      <c r="T149" s="222">
        <f t="shared" si="14"/>
        <v>3.0490005568912792E-2</v>
      </c>
    </row>
    <row r="150" spans="1:20" x14ac:dyDescent="0.25">
      <c r="A150" s="95" t="s">
        <v>238</v>
      </c>
      <c r="B150" s="134">
        <v>50</v>
      </c>
      <c r="C150" s="221">
        <v>12.97619047619049</v>
      </c>
      <c r="D150" s="221">
        <v>12.593886462882098</v>
      </c>
      <c r="E150" s="221">
        <v>11.826839826839825</v>
      </c>
      <c r="F150" s="221">
        <v>11.906403940886683</v>
      </c>
      <c r="G150" s="221">
        <v>12.607058823529414</v>
      </c>
      <c r="H150" s="221">
        <v>12.886861313868614</v>
      </c>
      <c r="I150" s="221">
        <v>13.016863406408094</v>
      </c>
      <c r="J150" s="221">
        <v>14.43573667711599</v>
      </c>
      <c r="K150" s="221">
        <v>12.251999999999999</v>
      </c>
      <c r="L150" s="221">
        <v>12.349557522123897</v>
      </c>
      <c r="M150" s="221">
        <v>12.359999999999991</v>
      </c>
      <c r="N150" s="221">
        <v>12.997442455242963</v>
      </c>
      <c r="O150" s="221">
        <v>11.778593913955918</v>
      </c>
      <c r="P150" s="221">
        <v>12.269662921348305</v>
      </c>
      <c r="Q150" s="221">
        <v>12.042553191489358</v>
      </c>
      <c r="R150" s="222">
        <f t="shared" si="12"/>
        <v>-0.84430812237925679</v>
      </c>
      <c r="S150" s="222">
        <f t="shared" si="13"/>
        <v>-0.31744680851063301</v>
      </c>
      <c r="T150" s="222">
        <f t="shared" si="14"/>
        <v>-0.22710972985894706</v>
      </c>
    </row>
    <row r="151" spans="1:20" x14ac:dyDescent="0.25">
      <c r="A151" s="95" t="s">
        <v>239</v>
      </c>
      <c r="B151" s="134">
        <v>7</v>
      </c>
      <c r="C151" s="221">
        <v>13.01567398119122</v>
      </c>
      <c r="D151" s="221">
        <v>13.636771300448427</v>
      </c>
      <c r="E151" s="221">
        <v>12.476584022038573</v>
      </c>
      <c r="F151" s="221">
        <v>13.938775510204076</v>
      </c>
      <c r="G151" s="221">
        <v>14.580562659846548</v>
      </c>
      <c r="H151" s="221">
        <v>12.50359712230216</v>
      </c>
      <c r="I151" s="221">
        <v>10.857142857142854</v>
      </c>
      <c r="J151" s="221">
        <v>11.875370919881302</v>
      </c>
      <c r="K151" s="221">
        <v>13.350701402805605</v>
      </c>
      <c r="L151" s="221">
        <v>12.324110671936765</v>
      </c>
      <c r="M151" s="221">
        <v>14.190697674418594</v>
      </c>
      <c r="N151" s="221">
        <v>13.220374220374215</v>
      </c>
      <c r="O151" s="221">
        <v>14.24277456647399</v>
      </c>
      <c r="P151" s="221">
        <v>14.943396226415112</v>
      </c>
      <c r="Q151" s="221">
        <v>15.266187050359719</v>
      </c>
      <c r="R151" s="222">
        <f t="shared" si="12"/>
        <v>2.7625899280575581</v>
      </c>
      <c r="S151" s="222">
        <f t="shared" si="13"/>
        <v>1.0754893759411246</v>
      </c>
      <c r="T151" s="222">
        <f t="shared" si="14"/>
        <v>0.32279082394460623</v>
      </c>
    </row>
    <row r="152" spans="1:20" x14ac:dyDescent="0.25">
      <c r="A152" s="95" t="s">
        <v>240</v>
      </c>
      <c r="B152" s="134">
        <v>42</v>
      </c>
      <c r="C152" s="221">
        <v>10.097902097902086</v>
      </c>
      <c r="D152" s="221">
        <v>10.141430948419311</v>
      </c>
      <c r="E152" s="221">
        <v>10.327073552425672</v>
      </c>
      <c r="F152" s="221">
        <v>10.306620209059243</v>
      </c>
      <c r="G152" s="221">
        <v>10.530612244897968</v>
      </c>
      <c r="H152" s="221">
        <v>10.507936507936504</v>
      </c>
      <c r="I152" s="221">
        <v>10.866359447004607</v>
      </c>
      <c r="J152" s="221">
        <v>10.677215189873413</v>
      </c>
      <c r="K152" s="221">
        <v>10.972927241962781</v>
      </c>
      <c r="L152" s="221">
        <v>10.924623115577896</v>
      </c>
      <c r="M152" s="221">
        <v>10.9054470709147</v>
      </c>
      <c r="N152" s="221">
        <v>11.369166666666674</v>
      </c>
      <c r="O152" s="221">
        <v>11.107291666666663</v>
      </c>
      <c r="P152" s="221">
        <v>11.243850267379678</v>
      </c>
      <c r="Q152" s="221">
        <v>11.069216757741344</v>
      </c>
      <c r="R152" s="222">
        <f t="shared" si="12"/>
        <v>0.56128024980483993</v>
      </c>
      <c r="S152" s="222">
        <f t="shared" si="13"/>
        <v>0.16376968682664383</v>
      </c>
      <c r="T152" s="222">
        <f t="shared" si="14"/>
        <v>-0.17463350963833335</v>
      </c>
    </row>
    <row r="153" spans="1:20" x14ac:dyDescent="0.25">
      <c r="A153" s="95" t="s">
        <v>241</v>
      </c>
      <c r="B153" s="134">
        <v>93</v>
      </c>
      <c r="C153" s="221">
        <v>12.866008462623423</v>
      </c>
      <c r="D153" s="221">
        <v>12.884384384384379</v>
      </c>
      <c r="E153" s="221">
        <v>12.764573991031389</v>
      </c>
      <c r="F153" s="221">
        <v>12.856262833675558</v>
      </c>
      <c r="G153" s="221">
        <v>13.090330788804062</v>
      </c>
      <c r="H153" s="221">
        <v>12.822863027806388</v>
      </c>
      <c r="I153" s="221">
        <v>13.013658536585366</v>
      </c>
      <c r="J153" s="221">
        <v>13.271929824561411</v>
      </c>
      <c r="K153" s="221">
        <v>13.544147843942506</v>
      </c>
      <c r="L153" s="221">
        <v>12.675152749490836</v>
      </c>
      <c r="M153" s="221">
        <v>12.620553359683795</v>
      </c>
      <c r="N153" s="221">
        <v>12.996028594122317</v>
      </c>
      <c r="O153" s="221">
        <v>12.761682242990659</v>
      </c>
      <c r="P153" s="221">
        <v>12.428764348413244</v>
      </c>
      <c r="Q153" s="221">
        <v>12.435860058309041</v>
      </c>
      <c r="R153" s="222">
        <f t="shared" si="12"/>
        <v>-0.38700296949734714</v>
      </c>
      <c r="S153" s="222">
        <f t="shared" si="13"/>
        <v>-0.18469330137475382</v>
      </c>
      <c r="T153" s="222">
        <f t="shared" si="14"/>
        <v>7.0957098957968867E-3</v>
      </c>
    </row>
    <row r="154" spans="1:20" x14ac:dyDescent="0.25">
      <c r="A154" s="95" t="s">
        <v>242</v>
      </c>
      <c r="B154" s="134">
        <v>94</v>
      </c>
      <c r="C154" s="221">
        <v>13.039215686274508</v>
      </c>
      <c r="D154" s="221">
        <v>12.980322003577822</v>
      </c>
      <c r="E154" s="221">
        <v>12.784163473818653</v>
      </c>
      <c r="F154" s="221">
        <v>12.922967189728963</v>
      </c>
      <c r="G154" s="221">
        <v>13.004454342984408</v>
      </c>
      <c r="H154" s="221">
        <v>13.31640625</v>
      </c>
      <c r="I154" s="221">
        <v>13.149100257069414</v>
      </c>
      <c r="J154" s="221">
        <v>13.041909196740402</v>
      </c>
      <c r="K154" s="221">
        <v>13.331189710610939</v>
      </c>
      <c r="L154" s="221">
        <v>13.094637223974757</v>
      </c>
      <c r="M154" s="221">
        <v>12.620412844036696</v>
      </c>
      <c r="N154" s="221">
        <v>12.87230514096186</v>
      </c>
      <c r="O154" s="221">
        <v>12.693599999999996</v>
      </c>
      <c r="P154" s="221">
        <v>13.056712132089027</v>
      </c>
      <c r="Q154" s="221">
        <v>13.24732824427481</v>
      </c>
      <c r="R154" s="222">
        <f t="shared" si="12"/>
        <v>-6.9078005725190295E-2</v>
      </c>
      <c r="S154" s="222">
        <f t="shared" si="13"/>
        <v>0.62691540023811321</v>
      </c>
      <c r="T154" s="222">
        <f t="shared" si="14"/>
        <v>0.19061611218578278</v>
      </c>
    </row>
    <row r="155" spans="1:20" x14ac:dyDescent="0.25">
      <c r="A155" s="95" t="s">
        <v>243</v>
      </c>
      <c r="B155" s="134">
        <v>92</v>
      </c>
      <c r="C155" s="221">
        <v>13.021573604060929</v>
      </c>
      <c r="D155" s="221">
        <v>13.733686067019397</v>
      </c>
      <c r="E155" s="221">
        <v>12.719387755102046</v>
      </c>
      <c r="F155" s="221">
        <v>12.890688259109313</v>
      </c>
      <c r="G155" s="221">
        <v>13.056043956043968</v>
      </c>
      <c r="H155" s="221">
        <v>12.876095118898624</v>
      </c>
      <c r="I155" s="221">
        <v>12.236519607843134</v>
      </c>
      <c r="J155" s="221">
        <v>12.319427890345658</v>
      </c>
      <c r="K155" s="221">
        <v>12.373540856031132</v>
      </c>
      <c r="L155" s="221">
        <v>12.387730061349696</v>
      </c>
      <c r="M155" s="221">
        <v>12.184448462929483</v>
      </c>
      <c r="N155" s="221">
        <v>12.75164113785557</v>
      </c>
      <c r="O155" s="221">
        <v>12.347137637028023</v>
      </c>
      <c r="P155" s="221">
        <v>11.950507614213205</v>
      </c>
      <c r="Q155" s="221">
        <v>12.040816326530601</v>
      </c>
      <c r="R155" s="222">
        <f t="shared" si="12"/>
        <v>-0.83527879236802249</v>
      </c>
      <c r="S155" s="222">
        <f t="shared" si="13"/>
        <v>-0.14363213639888173</v>
      </c>
      <c r="T155" s="222">
        <f t="shared" si="14"/>
        <v>9.0308712317396456E-2</v>
      </c>
    </row>
    <row r="156" spans="1:20" x14ac:dyDescent="0.25">
      <c r="A156" s="95" t="s">
        <v>244</v>
      </c>
      <c r="B156" s="134">
        <v>91</v>
      </c>
      <c r="C156" s="221">
        <v>15.512163892445585</v>
      </c>
      <c r="D156" s="221">
        <v>15.041990668740279</v>
      </c>
      <c r="E156" s="221">
        <v>15.306818181818182</v>
      </c>
      <c r="F156" s="221">
        <v>15.058441558441562</v>
      </c>
      <c r="G156" s="221">
        <v>15.392991239048813</v>
      </c>
      <c r="H156" s="221">
        <v>14.66115702479339</v>
      </c>
      <c r="I156" s="221">
        <v>14.970310391363025</v>
      </c>
      <c r="J156" s="221">
        <v>14.857142857142863</v>
      </c>
      <c r="K156" s="221">
        <v>15.039755351681954</v>
      </c>
      <c r="L156" s="221">
        <v>15.315315315315321</v>
      </c>
      <c r="M156" s="221">
        <v>15.425299890948747</v>
      </c>
      <c r="N156" s="221">
        <v>14.729898516783768</v>
      </c>
      <c r="O156" s="221">
        <v>14.247767857142858</v>
      </c>
      <c r="P156" s="221">
        <v>13.941137123745817</v>
      </c>
      <c r="Q156" s="221">
        <v>12.932783766645533</v>
      </c>
      <c r="R156" s="222">
        <f t="shared" si="12"/>
        <v>-1.7283732581478564</v>
      </c>
      <c r="S156" s="222">
        <f t="shared" si="13"/>
        <v>-2.4925161243032132</v>
      </c>
      <c r="T156" s="222">
        <f t="shared" si="14"/>
        <v>-1.0083533571002832</v>
      </c>
    </row>
    <row r="157" spans="1:20" x14ac:dyDescent="0.25">
      <c r="A157" s="95" t="s">
        <v>245</v>
      </c>
      <c r="B157" s="134">
        <v>4</v>
      </c>
      <c r="C157" s="221">
        <v>13.2625538020086</v>
      </c>
      <c r="D157" s="221">
        <v>11.959322033898303</v>
      </c>
      <c r="E157" s="221">
        <v>12.866300366300363</v>
      </c>
      <c r="F157" s="221">
        <v>13.54964539007093</v>
      </c>
      <c r="G157" s="221">
        <v>13.180744777475024</v>
      </c>
      <c r="H157" s="221">
        <v>13.551522248243558</v>
      </c>
      <c r="I157" s="221">
        <v>13.233436055469953</v>
      </c>
      <c r="J157" s="221">
        <v>14.16119174942704</v>
      </c>
      <c r="K157" s="221">
        <v>13.675333801827124</v>
      </c>
      <c r="L157" s="221">
        <v>14.262103505843069</v>
      </c>
      <c r="M157" s="221">
        <v>14.220125786163528</v>
      </c>
      <c r="N157" s="221">
        <v>13.470383275261339</v>
      </c>
      <c r="O157" s="221">
        <v>13.387556221889062</v>
      </c>
      <c r="P157" s="221">
        <v>12.669392523364481</v>
      </c>
      <c r="Q157" s="221">
        <v>12.387074829931965</v>
      </c>
      <c r="R157" s="222">
        <f t="shared" si="12"/>
        <v>-1.1644474183115925</v>
      </c>
      <c r="S157" s="222">
        <f t="shared" si="13"/>
        <v>-1.8330509562315633</v>
      </c>
      <c r="T157" s="222">
        <f t="shared" si="14"/>
        <v>-0.28231769343251578</v>
      </c>
    </row>
    <row r="158" spans="1:20" x14ac:dyDescent="0.25">
      <c r="A158" s="95" t="s">
        <v>246</v>
      </c>
      <c r="B158" s="134">
        <v>46</v>
      </c>
      <c r="C158" s="221">
        <v>11.449152542372886</v>
      </c>
      <c r="D158" s="221">
        <v>12.134751773049643</v>
      </c>
      <c r="E158" s="221">
        <v>11.3939393939394</v>
      </c>
      <c r="F158" s="221">
        <v>12.387387387387376</v>
      </c>
      <c r="G158" s="221">
        <v>11.564285714285717</v>
      </c>
      <c r="H158" s="221">
        <v>12.215777262180969</v>
      </c>
      <c r="I158" s="221">
        <v>12.224789915966396</v>
      </c>
      <c r="J158" s="221">
        <v>12.883771929824565</v>
      </c>
      <c r="K158" s="221">
        <v>13.857808857808857</v>
      </c>
      <c r="L158" s="221">
        <v>14.255952380952381</v>
      </c>
      <c r="M158" s="221">
        <v>14.64163822525596</v>
      </c>
      <c r="N158" s="221">
        <v>15.329192546583847</v>
      </c>
      <c r="O158" s="221">
        <v>14.547126436781609</v>
      </c>
      <c r="P158" s="221">
        <v>14.623737373737375</v>
      </c>
      <c r="Q158" s="221">
        <v>14.540000000000003</v>
      </c>
      <c r="R158" s="222">
        <f t="shared" si="12"/>
        <v>2.3242227378190332</v>
      </c>
      <c r="S158" s="222">
        <f t="shared" si="13"/>
        <v>-0.10163822525595734</v>
      </c>
      <c r="T158" s="222">
        <f t="shared" si="14"/>
        <v>-8.3737373737372778E-2</v>
      </c>
    </row>
    <row r="159" spans="1:20" x14ac:dyDescent="0.25">
      <c r="A159" s="95" t="s">
        <v>247</v>
      </c>
      <c r="B159" s="134">
        <v>73</v>
      </c>
      <c r="C159" s="221">
        <v>14.618210862619806</v>
      </c>
      <c r="D159" s="221">
        <v>14.278458844133091</v>
      </c>
      <c r="E159" s="221">
        <v>14.274322169059012</v>
      </c>
      <c r="F159" s="221">
        <v>14.327787021630607</v>
      </c>
      <c r="G159" s="221">
        <v>14.565610859728507</v>
      </c>
      <c r="H159" s="221">
        <v>14.972624798711747</v>
      </c>
      <c r="I159" s="221">
        <v>15.16516516516516</v>
      </c>
      <c r="J159" s="221">
        <v>14.460800000000001</v>
      </c>
      <c r="K159" s="221">
        <v>15.068762278978399</v>
      </c>
      <c r="L159" s="221">
        <v>13.614197530864203</v>
      </c>
      <c r="M159" s="221">
        <v>14.316981132075465</v>
      </c>
      <c r="N159" s="221">
        <v>14.736768802228415</v>
      </c>
      <c r="O159" s="221">
        <v>14.492076730608835</v>
      </c>
      <c r="P159" s="221">
        <v>13.3314393939394</v>
      </c>
      <c r="Q159" s="221">
        <v>13.906887755102039</v>
      </c>
      <c r="R159" s="222">
        <f t="shared" si="12"/>
        <v>-1.0657370436097082</v>
      </c>
      <c r="S159" s="222">
        <f t="shared" si="13"/>
        <v>-0.41009337697342652</v>
      </c>
      <c r="T159" s="222">
        <f t="shared" si="14"/>
        <v>0.57544836116263909</v>
      </c>
    </row>
    <row r="160" spans="1:20" x14ac:dyDescent="0.25">
      <c r="A160" s="95" t="s">
        <v>248</v>
      </c>
      <c r="B160" s="134">
        <v>26</v>
      </c>
      <c r="C160" s="221">
        <v>11.343891402714927</v>
      </c>
      <c r="D160" s="221">
        <v>12.677018633540378</v>
      </c>
      <c r="E160" s="221">
        <v>12.703448275862074</v>
      </c>
      <c r="F160" s="221">
        <v>12.269633507853406</v>
      </c>
      <c r="G160" s="221">
        <v>12.274566473988441</v>
      </c>
      <c r="H160" s="221">
        <v>12.092409240924102</v>
      </c>
      <c r="I160" s="221">
        <v>12.193460490463213</v>
      </c>
      <c r="J160" s="221">
        <v>12.202830188679242</v>
      </c>
      <c r="K160" s="221">
        <v>11.919540229885063</v>
      </c>
      <c r="L160" s="221">
        <v>12.492424242424256</v>
      </c>
      <c r="M160" s="221">
        <v>12.690476190476192</v>
      </c>
      <c r="N160" s="221">
        <v>13.018575851393186</v>
      </c>
      <c r="O160" s="221">
        <v>12.646532438478751</v>
      </c>
      <c r="P160" s="221">
        <v>12.370093457943915</v>
      </c>
      <c r="Q160" s="221">
        <v>12.25870646766171</v>
      </c>
      <c r="R160" s="222">
        <f t="shared" si="12"/>
        <v>0.16629722673760838</v>
      </c>
      <c r="S160" s="222">
        <f t="shared" si="13"/>
        <v>-0.43176972281448123</v>
      </c>
      <c r="T160" s="222">
        <f t="shared" si="14"/>
        <v>-0.11138699028220422</v>
      </c>
    </row>
    <row r="161" spans="1:20" x14ac:dyDescent="0.25">
      <c r="A161" s="95" t="s">
        <v>249</v>
      </c>
      <c r="B161" s="134">
        <v>79</v>
      </c>
      <c r="C161" s="221">
        <v>14.813131313131318</v>
      </c>
      <c r="D161" s="221">
        <v>14.59119496855347</v>
      </c>
      <c r="E161" s="221">
        <v>14.561111111111115</v>
      </c>
      <c r="F161" s="221">
        <v>17.020408163265294</v>
      </c>
      <c r="G161" s="221">
        <v>15.081196581196584</v>
      </c>
      <c r="H161" s="221">
        <v>15.009569377990431</v>
      </c>
      <c r="I161" s="221">
        <v>14.72294372294372</v>
      </c>
      <c r="J161" s="221">
        <v>14.446969696969695</v>
      </c>
      <c r="K161" s="221">
        <v>15.2310606060606</v>
      </c>
      <c r="L161" s="221">
        <v>14.527896995708158</v>
      </c>
      <c r="M161" s="221">
        <v>15.270676691729317</v>
      </c>
      <c r="N161" s="221">
        <v>14.298507462686555</v>
      </c>
      <c r="O161" s="221">
        <v>14.169943820224709</v>
      </c>
      <c r="P161" s="221">
        <v>13.834507042253525</v>
      </c>
      <c r="Q161" s="221">
        <v>15.136363636363631</v>
      </c>
      <c r="R161" s="222">
        <f t="shared" si="12"/>
        <v>0.12679425837320046</v>
      </c>
      <c r="S161" s="222">
        <f t="shared" si="13"/>
        <v>-0.13431305536568594</v>
      </c>
      <c r="T161" s="222">
        <f t="shared" si="14"/>
        <v>1.3018565941101059</v>
      </c>
    </row>
    <row r="162" spans="1:20" x14ac:dyDescent="0.25">
      <c r="A162" s="95" t="s">
        <v>360</v>
      </c>
      <c r="B162" s="134">
        <v>896</v>
      </c>
      <c r="C162" s="221" t="s">
        <v>100</v>
      </c>
      <c r="D162" s="221" t="s">
        <v>100</v>
      </c>
      <c r="E162" s="221" t="s">
        <v>100</v>
      </c>
      <c r="F162" s="221" t="s">
        <v>100</v>
      </c>
      <c r="G162" s="221" t="s">
        <v>100</v>
      </c>
      <c r="H162" s="221" t="s">
        <v>100</v>
      </c>
      <c r="I162" s="221" t="s">
        <v>100</v>
      </c>
      <c r="J162" s="221" t="s">
        <v>100</v>
      </c>
      <c r="K162" s="221" t="s">
        <v>100</v>
      </c>
      <c r="L162" s="221" t="s">
        <v>100</v>
      </c>
      <c r="M162" s="221" t="s">
        <v>100</v>
      </c>
      <c r="N162" s="221" t="s">
        <v>100</v>
      </c>
      <c r="O162" s="221">
        <v>11.249999999999989</v>
      </c>
      <c r="P162" s="221">
        <v>12.041666666666686</v>
      </c>
      <c r="Q162" s="221">
        <v>11.935064935064936</v>
      </c>
      <c r="R162" s="222" t="str">
        <f t="shared" si="12"/>
        <v>n/a</v>
      </c>
      <c r="S162" s="222" t="str">
        <f t="shared" si="13"/>
        <v>n/a</v>
      </c>
      <c r="T162" s="222">
        <f t="shared" si="14"/>
        <v>-0.10660173160174935</v>
      </c>
    </row>
    <row r="163" spans="1:20" x14ac:dyDescent="0.25">
      <c r="A163" s="95" t="s">
        <v>250</v>
      </c>
      <c r="B163" s="134">
        <v>70</v>
      </c>
      <c r="C163" s="221">
        <v>14.882761615284414</v>
      </c>
      <c r="D163" s="221">
        <v>14.812584269662919</v>
      </c>
      <c r="E163" s="221">
        <v>14.528375044060622</v>
      </c>
      <c r="F163" s="221">
        <v>14.563656970154904</v>
      </c>
      <c r="G163" s="221">
        <v>14.627166465135023</v>
      </c>
      <c r="H163" s="221">
        <v>14.5761689291101</v>
      </c>
      <c r="I163" s="221">
        <v>14.504417979254709</v>
      </c>
      <c r="J163" s="221">
        <v>14.46633416458852</v>
      </c>
      <c r="K163" s="221">
        <v>14.756934306569335</v>
      </c>
      <c r="L163" s="221">
        <v>14.568564036222515</v>
      </c>
      <c r="M163" s="221">
        <v>14.124943207632889</v>
      </c>
      <c r="N163" s="221">
        <v>13.989681603773581</v>
      </c>
      <c r="O163" s="221">
        <v>13.951163458776231</v>
      </c>
      <c r="P163" s="221">
        <v>14.184871918801349</v>
      </c>
      <c r="Q163" s="221">
        <v>13.813051555968414</v>
      </c>
      <c r="R163" s="222">
        <f t="shared" si="12"/>
        <v>-0.76311737314168582</v>
      </c>
      <c r="S163" s="222">
        <f t="shared" si="13"/>
        <v>-0.31189165166447452</v>
      </c>
      <c r="T163" s="222">
        <f t="shared" si="14"/>
        <v>-0.37182036283293485</v>
      </c>
    </row>
    <row r="164" spans="1:20" x14ac:dyDescent="0.25">
      <c r="A164" s="95" t="s">
        <v>251</v>
      </c>
      <c r="B164" s="134">
        <v>87</v>
      </c>
      <c r="C164" s="221">
        <v>13.983614232209739</v>
      </c>
      <c r="D164" s="221">
        <v>13.978507704785081</v>
      </c>
      <c r="E164" s="221">
        <v>14.01811445039111</v>
      </c>
      <c r="F164" s="221">
        <v>13.890915860014893</v>
      </c>
      <c r="G164" s="221">
        <v>14.037273695420666</v>
      </c>
      <c r="H164" s="221">
        <v>14.084568124322379</v>
      </c>
      <c r="I164" s="221">
        <v>14.18330019880716</v>
      </c>
      <c r="J164" s="221">
        <v>13.961109110550957</v>
      </c>
      <c r="K164" s="221">
        <v>14.220702402957484</v>
      </c>
      <c r="L164" s="221">
        <v>14.160581222056631</v>
      </c>
      <c r="M164" s="221">
        <v>14.484677039132478</v>
      </c>
      <c r="N164" s="221">
        <v>14.337395766516996</v>
      </c>
      <c r="O164" s="221">
        <v>13.92793650793651</v>
      </c>
      <c r="P164" s="221">
        <v>13.744845360824739</v>
      </c>
      <c r="Q164" s="221">
        <v>13.586733277824029</v>
      </c>
      <c r="R164" s="222">
        <f t="shared" si="12"/>
        <v>-0.49783484649834975</v>
      </c>
      <c r="S164" s="222">
        <f t="shared" si="13"/>
        <v>-0.89794376130844888</v>
      </c>
      <c r="T164" s="222">
        <f t="shared" si="14"/>
        <v>-0.15811208300070945</v>
      </c>
    </row>
    <row r="165" spans="1:20" x14ac:dyDescent="0.25">
      <c r="A165" s="95" t="s">
        <v>252</v>
      </c>
      <c r="B165" s="134">
        <v>76</v>
      </c>
      <c r="C165" s="221">
        <v>13.494212962962957</v>
      </c>
      <c r="D165" s="221">
        <v>12.671689989235739</v>
      </c>
      <c r="E165" s="221">
        <v>12.387817258883246</v>
      </c>
      <c r="F165" s="221">
        <v>12.447629547960302</v>
      </c>
      <c r="G165" s="221">
        <v>12.2298951048951</v>
      </c>
      <c r="H165" s="221">
        <v>12.560171919770776</v>
      </c>
      <c r="I165" s="221">
        <v>12.099268547544417</v>
      </c>
      <c r="J165" s="221">
        <v>12.413978494623645</v>
      </c>
      <c r="K165" s="221">
        <v>12.301657458563534</v>
      </c>
      <c r="L165" s="221">
        <v>12.213713268032055</v>
      </c>
      <c r="M165" s="221">
        <v>12.407867494824016</v>
      </c>
      <c r="N165" s="221">
        <v>12.83115942028985</v>
      </c>
      <c r="O165" s="221">
        <v>12.500617283950612</v>
      </c>
      <c r="P165" s="221">
        <v>12.11599297012302</v>
      </c>
      <c r="Q165" s="221">
        <v>12.386837881219906</v>
      </c>
      <c r="R165" s="222">
        <f t="shared" si="12"/>
        <v>-0.17333403855086971</v>
      </c>
      <c r="S165" s="222">
        <f t="shared" si="13"/>
        <v>-2.1029613604110153E-2</v>
      </c>
      <c r="T165" s="222">
        <f t="shared" si="14"/>
        <v>0.27084491109688535</v>
      </c>
    </row>
    <row r="166" spans="1:20" x14ac:dyDescent="0.25">
      <c r="A166" s="95" t="s">
        <v>253</v>
      </c>
      <c r="B166" s="134">
        <v>74</v>
      </c>
      <c r="C166" s="221">
        <v>14.500000000000004</v>
      </c>
      <c r="D166" s="221">
        <v>14.463743676222609</v>
      </c>
      <c r="E166" s="221">
        <v>14.539187913125586</v>
      </c>
      <c r="F166" s="221">
        <v>14.372738238841976</v>
      </c>
      <c r="G166" s="221">
        <v>14.197943444730083</v>
      </c>
      <c r="H166" s="221">
        <v>14.69130434782608</v>
      </c>
      <c r="I166" s="221">
        <v>14.266584766584758</v>
      </c>
      <c r="J166" s="221">
        <v>13.871352785145886</v>
      </c>
      <c r="K166" s="221">
        <v>14.58478605388272</v>
      </c>
      <c r="L166" s="221">
        <v>14.548429319371719</v>
      </c>
      <c r="M166" s="221">
        <v>15.01050420168067</v>
      </c>
      <c r="N166" s="221">
        <v>13.409270216962515</v>
      </c>
      <c r="O166" s="221">
        <v>13.369420702754041</v>
      </c>
      <c r="P166" s="221">
        <v>14.296007789678681</v>
      </c>
      <c r="Q166" s="221">
        <v>13.74671532846715</v>
      </c>
      <c r="R166" s="222">
        <f t="shared" si="12"/>
        <v>-0.94458901935892925</v>
      </c>
      <c r="S166" s="222">
        <f t="shared" si="13"/>
        <v>-1.2637888732135192</v>
      </c>
      <c r="T166" s="222">
        <f t="shared" si="14"/>
        <v>-0.54929246121153064</v>
      </c>
    </row>
    <row r="167" spans="1:20" x14ac:dyDescent="0.25">
      <c r="A167" s="95" t="s">
        <v>254</v>
      </c>
      <c r="B167" s="134">
        <v>19</v>
      </c>
      <c r="C167" s="221">
        <v>12.413942011104252</v>
      </c>
      <c r="D167" s="221">
        <v>12.308972503617943</v>
      </c>
      <c r="E167" s="221">
        <v>12.247168554297131</v>
      </c>
      <c r="F167" s="221">
        <v>11.284887459807074</v>
      </c>
      <c r="G167" s="221">
        <v>11.938753189938025</v>
      </c>
      <c r="H167" s="221">
        <v>12.191044776119405</v>
      </c>
      <c r="I167" s="221">
        <v>12.151985559566787</v>
      </c>
      <c r="J167" s="221">
        <v>11.817701863354035</v>
      </c>
      <c r="K167" s="221">
        <v>12.615076182838813</v>
      </c>
      <c r="L167" s="221">
        <v>12.340948275862065</v>
      </c>
      <c r="M167" s="221">
        <v>11.813041263372389</v>
      </c>
      <c r="N167" s="221">
        <v>12.056955810147297</v>
      </c>
      <c r="O167" s="221">
        <v>11.931259600614448</v>
      </c>
      <c r="P167" s="221">
        <v>11.872705506783719</v>
      </c>
      <c r="Q167" s="221">
        <v>11.824897959183669</v>
      </c>
      <c r="R167" s="222">
        <f t="shared" si="12"/>
        <v>-0.36614681693573559</v>
      </c>
      <c r="S167" s="222">
        <f t="shared" si="13"/>
        <v>1.185669581128046E-2</v>
      </c>
      <c r="T167" s="222">
        <f t="shared" si="14"/>
        <v>-4.780754760004946E-2</v>
      </c>
    </row>
    <row r="168" spans="1:20" x14ac:dyDescent="0.25">
      <c r="A168" s="95" t="s">
        <v>255</v>
      </c>
      <c r="B168" s="134">
        <v>34</v>
      </c>
      <c r="C168" s="221">
        <v>13.272311212814659</v>
      </c>
      <c r="D168" s="221">
        <v>12.839857651245543</v>
      </c>
      <c r="E168" s="221">
        <v>12.243732590529243</v>
      </c>
      <c r="F168" s="221">
        <v>12.066002490660036</v>
      </c>
      <c r="G168" s="221">
        <v>11.952020202020194</v>
      </c>
      <c r="H168" s="221">
        <v>12.34285714285714</v>
      </c>
      <c r="I168" s="221">
        <v>11.986128625472878</v>
      </c>
      <c r="J168" s="221">
        <v>12.140243902439018</v>
      </c>
      <c r="K168" s="221">
        <v>11.791106514994821</v>
      </c>
      <c r="L168" s="221">
        <v>11.476445396145605</v>
      </c>
      <c r="M168" s="221">
        <v>11.745714285714298</v>
      </c>
      <c r="N168" s="221">
        <v>12.415435139573059</v>
      </c>
      <c r="O168" s="221">
        <v>11.913357400722015</v>
      </c>
      <c r="P168" s="221">
        <v>12.365919282511223</v>
      </c>
      <c r="Q168" s="221">
        <v>12.471530249110325</v>
      </c>
      <c r="R168" s="222">
        <f t="shared" si="12"/>
        <v>0.12867310625318495</v>
      </c>
      <c r="S168" s="222">
        <f t="shared" si="13"/>
        <v>0.72581596339602683</v>
      </c>
      <c r="T168" s="222">
        <f t="shared" si="14"/>
        <v>0.10561096659910163</v>
      </c>
    </row>
    <row r="169" spans="1:20" x14ac:dyDescent="0.25">
      <c r="A169" s="95" t="s">
        <v>256</v>
      </c>
      <c r="B169" s="134">
        <v>84</v>
      </c>
      <c r="C169" s="221">
        <v>13.317718940936865</v>
      </c>
      <c r="D169" s="221">
        <v>13.771830985915496</v>
      </c>
      <c r="E169" s="221">
        <v>13.186695278969953</v>
      </c>
      <c r="F169" s="221">
        <v>13.544117647058815</v>
      </c>
      <c r="G169" s="221">
        <v>14.188679245283017</v>
      </c>
      <c r="H169" s="221">
        <v>13.799373040752352</v>
      </c>
      <c r="I169" s="221">
        <v>13.719465648854964</v>
      </c>
      <c r="J169" s="221">
        <v>14.076363636363634</v>
      </c>
      <c r="K169" s="221">
        <v>13.856682769726243</v>
      </c>
      <c r="L169" s="221">
        <v>13.305327868852459</v>
      </c>
      <c r="M169" s="221">
        <v>12.719101123595518</v>
      </c>
      <c r="N169" s="221">
        <v>12.496339677891649</v>
      </c>
      <c r="O169" s="221">
        <v>12.314569536423853</v>
      </c>
      <c r="P169" s="221">
        <v>12.337730870712397</v>
      </c>
      <c r="Q169" s="221">
        <v>11.661691542288557</v>
      </c>
      <c r="R169" s="222">
        <f t="shared" si="12"/>
        <v>-2.1376814984637953</v>
      </c>
      <c r="S169" s="222">
        <f t="shared" si="13"/>
        <v>-1.0574095813069615</v>
      </c>
      <c r="T169" s="222">
        <f t="shared" si="14"/>
        <v>-0.6760393284238404</v>
      </c>
    </row>
    <row r="170" spans="1:20" x14ac:dyDescent="0.25">
      <c r="A170" s="95" t="s">
        <v>257</v>
      </c>
      <c r="B170" s="134">
        <v>77</v>
      </c>
      <c r="C170" s="221">
        <v>12.762096774193546</v>
      </c>
      <c r="D170" s="221">
        <v>13.512048192771084</v>
      </c>
      <c r="E170" s="221">
        <v>12.969111969111976</v>
      </c>
      <c r="F170" s="221">
        <v>13.030888030888034</v>
      </c>
      <c r="G170" s="221">
        <v>12.869565217391306</v>
      </c>
      <c r="H170" s="221">
        <v>13.320261437908497</v>
      </c>
      <c r="I170" s="221">
        <v>13.080246913580241</v>
      </c>
      <c r="J170" s="221">
        <v>13.647540983606547</v>
      </c>
      <c r="K170" s="221">
        <v>13.41935483870968</v>
      </c>
      <c r="L170" s="221">
        <v>14.513761467889895</v>
      </c>
      <c r="M170" s="221">
        <v>12.333333333333321</v>
      </c>
      <c r="N170" s="221">
        <v>13.072961373390545</v>
      </c>
      <c r="O170" s="221">
        <v>12.625263157894731</v>
      </c>
      <c r="P170" s="221">
        <v>12.582236842105264</v>
      </c>
      <c r="Q170" s="221">
        <v>13.205323193916358</v>
      </c>
      <c r="R170" s="222">
        <f t="shared" si="12"/>
        <v>-0.11493824399213892</v>
      </c>
      <c r="S170" s="222">
        <f t="shared" si="13"/>
        <v>0.87198986058303696</v>
      </c>
      <c r="T170" s="222">
        <f t="shared" si="14"/>
        <v>0.62308635181109473</v>
      </c>
    </row>
    <row r="171" spans="1:20" x14ac:dyDescent="0.25">
      <c r="A171" s="95" t="s">
        <v>318</v>
      </c>
      <c r="B171" s="134">
        <v>895</v>
      </c>
      <c r="C171" s="221" t="s">
        <v>100</v>
      </c>
      <c r="D171" s="221" t="s">
        <v>100</v>
      </c>
      <c r="E171" s="221" t="s">
        <v>100</v>
      </c>
      <c r="F171" s="221" t="s">
        <v>100</v>
      </c>
      <c r="G171" s="221" t="s">
        <v>100</v>
      </c>
      <c r="H171" s="221" t="s">
        <v>100</v>
      </c>
      <c r="I171" s="221" t="s">
        <v>100</v>
      </c>
      <c r="J171" s="221" t="s">
        <v>100</v>
      </c>
      <c r="K171" s="221" t="s">
        <v>100</v>
      </c>
      <c r="L171" s="221" t="s">
        <v>100</v>
      </c>
      <c r="M171" s="221" t="s">
        <v>100</v>
      </c>
      <c r="N171" s="221">
        <v>10</v>
      </c>
      <c r="O171" s="221">
        <v>10.271062271062274</v>
      </c>
      <c r="P171" s="221">
        <v>10.873711340206185</v>
      </c>
      <c r="Q171" s="221">
        <v>11.216216216216212</v>
      </c>
      <c r="R171" s="222" t="str">
        <f t="shared" si="12"/>
        <v>n/a</v>
      </c>
      <c r="S171" s="222" t="str">
        <f t="shared" si="13"/>
        <v>n/a</v>
      </c>
      <c r="T171" s="222">
        <f t="shared" si="14"/>
        <v>0.3425048760100271</v>
      </c>
    </row>
    <row r="172" spans="1:20" x14ac:dyDescent="0.25">
      <c r="A172" s="95" t="s">
        <v>258</v>
      </c>
      <c r="B172" s="134">
        <v>83</v>
      </c>
      <c r="C172" s="221">
        <v>12.568542568542568</v>
      </c>
      <c r="D172" s="221">
        <v>13.156903765690378</v>
      </c>
      <c r="E172" s="221">
        <v>14.203448275862069</v>
      </c>
      <c r="F172" s="221">
        <v>13.2807525325615</v>
      </c>
      <c r="G172" s="221">
        <v>12.759036144578305</v>
      </c>
      <c r="H172" s="221">
        <v>13.268186753528768</v>
      </c>
      <c r="I172" s="221">
        <v>13.433607520564038</v>
      </c>
      <c r="J172" s="221">
        <v>13.399209486166004</v>
      </c>
      <c r="K172" s="221">
        <v>12.467775467775466</v>
      </c>
      <c r="L172" s="221">
        <v>12.907845579078456</v>
      </c>
      <c r="M172" s="221">
        <v>13.275695284159609</v>
      </c>
      <c r="N172" s="221">
        <v>13.044995408631777</v>
      </c>
      <c r="O172" s="221">
        <v>12.943502824858761</v>
      </c>
      <c r="P172" s="221">
        <v>13.016964285714286</v>
      </c>
      <c r="Q172" s="221">
        <v>12.566901408450706</v>
      </c>
      <c r="R172" s="222">
        <f t="shared" si="12"/>
        <v>-0.70128534507806251</v>
      </c>
      <c r="S172" s="222">
        <f t="shared" si="13"/>
        <v>-0.70879387570890273</v>
      </c>
      <c r="T172" s="222">
        <f t="shared" si="14"/>
        <v>-0.45006287726357996</v>
      </c>
    </row>
    <row r="173" spans="1:20" x14ac:dyDescent="0.25">
      <c r="A173" s="95" t="s">
        <v>259</v>
      </c>
      <c r="B173" s="134">
        <v>71</v>
      </c>
      <c r="C173" s="221">
        <v>12.605552342394454</v>
      </c>
      <c r="D173" s="221">
        <v>12.885399449035813</v>
      </c>
      <c r="E173" s="221">
        <v>12.484469170143706</v>
      </c>
      <c r="F173" s="221">
        <v>12.47759226713532</v>
      </c>
      <c r="G173" s="221">
        <v>12.211353269133298</v>
      </c>
      <c r="H173" s="221">
        <v>12.596239485403263</v>
      </c>
      <c r="I173" s="221">
        <v>12.751381215469607</v>
      </c>
      <c r="J173" s="221">
        <v>12.316566682048917</v>
      </c>
      <c r="K173" s="221">
        <v>12.311121323529411</v>
      </c>
      <c r="L173" s="221">
        <v>12.799715909090901</v>
      </c>
      <c r="M173" s="221">
        <v>12.265202702702705</v>
      </c>
      <c r="N173" s="221">
        <v>13.120589548905761</v>
      </c>
      <c r="O173" s="221">
        <v>12.900111815132314</v>
      </c>
      <c r="P173" s="221">
        <v>13.078355586788479</v>
      </c>
      <c r="Q173" s="221">
        <v>12.682900036616626</v>
      </c>
      <c r="R173" s="222">
        <f t="shared" si="12"/>
        <v>8.6660551213363135E-2</v>
      </c>
      <c r="S173" s="222">
        <f t="shared" si="13"/>
        <v>0.41769733391392094</v>
      </c>
      <c r="T173" s="222">
        <f t="shared" si="14"/>
        <v>-0.39545555017185308</v>
      </c>
    </row>
    <row r="174" spans="1:20" x14ac:dyDescent="0.25">
      <c r="A174" s="95" t="s">
        <v>260</v>
      </c>
      <c r="B174" s="134">
        <v>78</v>
      </c>
      <c r="C174" s="221">
        <v>13.962900505902192</v>
      </c>
      <c r="D174" s="221">
        <v>13.707865168539339</v>
      </c>
      <c r="E174" s="221">
        <v>13.768742058449801</v>
      </c>
      <c r="F174" s="221">
        <v>13.79611650485435</v>
      </c>
      <c r="G174" s="221">
        <v>13.847690387016229</v>
      </c>
      <c r="H174" s="221">
        <v>13.809623430962338</v>
      </c>
      <c r="I174" s="221">
        <v>13.643820224719105</v>
      </c>
      <c r="J174" s="221">
        <v>14.86050420168066</v>
      </c>
      <c r="K174" s="221">
        <v>13.664510166358594</v>
      </c>
      <c r="L174" s="221">
        <v>14.060430463576164</v>
      </c>
      <c r="M174" s="221">
        <v>14.111538461538464</v>
      </c>
      <c r="N174" s="221">
        <v>13.747877204441536</v>
      </c>
      <c r="O174" s="221">
        <v>13.518446601941747</v>
      </c>
      <c r="P174" s="221">
        <v>13.239160839160842</v>
      </c>
      <c r="Q174" s="221">
        <v>13.273809523809534</v>
      </c>
      <c r="R174" s="222">
        <f t="shared" si="12"/>
        <v>-0.53581390715280364</v>
      </c>
      <c r="S174" s="222">
        <f t="shared" si="13"/>
        <v>-0.83772893772892942</v>
      </c>
      <c r="T174" s="222">
        <f t="shared" si="14"/>
        <v>3.4648684648692196E-2</v>
      </c>
    </row>
    <row r="175" spans="1:20" x14ac:dyDescent="0.25">
      <c r="A175" s="95" t="s">
        <v>261</v>
      </c>
      <c r="B175" s="134">
        <v>80</v>
      </c>
      <c r="C175" s="221">
        <v>14.058156028368789</v>
      </c>
      <c r="D175" s="221">
        <v>14.239376770538243</v>
      </c>
      <c r="E175" s="221">
        <v>14.60661764705883</v>
      </c>
      <c r="F175" s="221">
        <v>14.806312769010043</v>
      </c>
      <c r="G175" s="221">
        <v>14.417073170731708</v>
      </c>
      <c r="H175" s="221">
        <v>14.104587155963303</v>
      </c>
      <c r="I175" s="221">
        <v>14.22347266881029</v>
      </c>
      <c r="J175" s="221">
        <v>14.419106317411396</v>
      </c>
      <c r="K175" s="221">
        <v>14.4448275862069</v>
      </c>
      <c r="L175" s="221">
        <v>14.556946182728408</v>
      </c>
      <c r="M175" s="221">
        <v>15.253835425383549</v>
      </c>
      <c r="N175" s="221">
        <v>14.21847389558233</v>
      </c>
      <c r="O175" s="221">
        <v>13.378673383711172</v>
      </c>
      <c r="P175" s="221">
        <v>13.177993527508084</v>
      </c>
      <c r="Q175" s="221">
        <v>13.720032180209165</v>
      </c>
      <c r="R175" s="222">
        <f t="shared" si="12"/>
        <v>-0.38455497575413844</v>
      </c>
      <c r="S175" s="222">
        <f t="shared" si="13"/>
        <v>-1.5338032451743846</v>
      </c>
      <c r="T175" s="222">
        <f t="shared" si="14"/>
        <v>0.54203865270108054</v>
      </c>
    </row>
    <row r="176" spans="1:20" x14ac:dyDescent="0.25">
      <c r="A176" s="95" t="s">
        <v>262</v>
      </c>
      <c r="B176" s="134">
        <v>72</v>
      </c>
      <c r="C176" s="221">
        <v>13.945714285714294</v>
      </c>
      <c r="D176" s="221">
        <v>13.994673768308925</v>
      </c>
      <c r="E176" s="221">
        <v>13.898026315789464</v>
      </c>
      <c r="F176" s="221">
        <v>14.28635097493037</v>
      </c>
      <c r="G176" s="221">
        <v>14.580110497237566</v>
      </c>
      <c r="H176" s="221">
        <v>14.740558292282426</v>
      </c>
      <c r="I176" s="221">
        <v>14.743865948533809</v>
      </c>
      <c r="J176" s="221">
        <v>14.553072625698311</v>
      </c>
      <c r="K176" s="221">
        <v>14.511248593925755</v>
      </c>
      <c r="L176" s="221">
        <v>14.241301907968568</v>
      </c>
      <c r="M176" s="221">
        <v>14.733272227314377</v>
      </c>
      <c r="N176" s="221">
        <v>14.366013071895427</v>
      </c>
      <c r="O176" s="221">
        <v>13.907991360691133</v>
      </c>
      <c r="P176" s="221">
        <v>13.650433347090384</v>
      </c>
      <c r="Q176" s="221">
        <v>13.552460538532964</v>
      </c>
      <c r="R176" s="222">
        <f t="shared" si="12"/>
        <v>-1.1880977537494619</v>
      </c>
      <c r="S176" s="222">
        <f t="shared" si="13"/>
        <v>-1.1808116887814126</v>
      </c>
      <c r="T176" s="222">
        <f t="shared" si="14"/>
        <v>-9.7972808557420521E-2</v>
      </c>
    </row>
    <row r="177" spans="1:20" x14ac:dyDescent="0.25">
      <c r="A177" s="95" t="s">
        <v>263</v>
      </c>
      <c r="B177" s="134">
        <v>22</v>
      </c>
      <c r="C177" s="221">
        <v>12.135501355013545</v>
      </c>
      <c r="D177" s="221">
        <v>12.369658119658112</v>
      </c>
      <c r="E177" s="221">
        <v>11.823529411764708</v>
      </c>
      <c r="F177" s="221">
        <v>12.063424947145874</v>
      </c>
      <c r="G177" s="221">
        <v>12.385338345864662</v>
      </c>
      <c r="H177" s="221">
        <v>11.778287461773695</v>
      </c>
      <c r="I177" s="221">
        <v>12.15921787709498</v>
      </c>
      <c r="J177" s="221">
        <v>12.131205673758863</v>
      </c>
      <c r="K177" s="221">
        <v>11.983488132094941</v>
      </c>
      <c r="L177" s="221">
        <v>11.699307616221564</v>
      </c>
      <c r="M177" s="221">
        <v>12.103049421661405</v>
      </c>
      <c r="N177" s="221">
        <v>12.740289413556745</v>
      </c>
      <c r="O177" s="221">
        <v>12.328372093023262</v>
      </c>
      <c r="P177" s="221">
        <v>12.464322647362973</v>
      </c>
      <c r="Q177" s="221">
        <v>12.43498817966903</v>
      </c>
      <c r="R177" s="222">
        <f t="shared" si="12"/>
        <v>0.65670071789533502</v>
      </c>
      <c r="S177" s="222">
        <f t="shared" si="13"/>
        <v>0.33193875800762562</v>
      </c>
      <c r="T177" s="222">
        <f t="shared" si="14"/>
        <v>-2.9334467693942656E-2</v>
      </c>
    </row>
    <row r="178" spans="1:20" x14ac:dyDescent="0.25">
      <c r="A178" s="95" t="s">
        <v>359</v>
      </c>
      <c r="B178" s="134">
        <v>9</v>
      </c>
      <c r="C178" s="221">
        <v>10.569343065693435</v>
      </c>
      <c r="D178" s="221">
        <v>10.065420560747667</v>
      </c>
      <c r="E178" s="221">
        <v>10.814049586776862</v>
      </c>
      <c r="F178" s="221">
        <v>10.324626865671641</v>
      </c>
      <c r="G178" s="221">
        <v>10.853115727002969</v>
      </c>
      <c r="H178" s="221">
        <v>10.995850622406643</v>
      </c>
      <c r="I178" s="221">
        <v>12.011086474501109</v>
      </c>
      <c r="J178" s="221">
        <v>13.119113573407198</v>
      </c>
      <c r="K178" s="221">
        <v>13.506891271056665</v>
      </c>
      <c r="L178" s="221">
        <v>13.191681735985531</v>
      </c>
      <c r="M178" s="221">
        <v>12.96113074204947</v>
      </c>
      <c r="N178" s="221">
        <v>15.112224448897798</v>
      </c>
      <c r="O178" s="221">
        <v>14.432267884322684</v>
      </c>
      <c r="P178" s="221">
        <v>13.831597222222223</v>
      </c>
      <c r="Q178" s="221">
        <v>13.037558685446015</v>
      </c>
      <c r="R178" s="222">
        <f t="shared" si="12"/>
        <v>2.0417080630393727</v>
      </c>
      <c r="S178" s="222">
        <f t="shared" si="13"/>
        <v>7.6427943396545572E-2</v>
      </c>
      <c r="T178" s="222">
        <f t="shared" si="14"/>
        <v>-0.79403853677620795</v>
      </c>
    </row>
    <row r="179" spans="1:20" x14ac:dyDescent="0.25">
      <c r="A179" s="95" t="s">
        <v>264</v>
      </c>
      <c r="B179" s="134">
        <v>75</v>
      </c>
      <c r="C179" s="221">
        <v>13.433202357563847</v>
      </c>
      <c r="D179" s="221">
        <v>13.226860254083487</v>
      </c>
      <c r="E179" s="221">
        <v>13.024999999999993</v>
      </c>
      <c r="F179" s="221">
        <v>12.728788977519947</v>
      </c>
      <c r="G179" s="221">
        <v>12.698438783894831</v>
      </c>
      <c r="H179" s="221">
        <v>13.172905525846698</v>
      </c>
      <c r="I179" s="221">
        <v>12.854865771812086</v>
      </c>
      <c r="J179" s="221">
        <v>12.735783027121604</v>
      </c>
      <c r="K179" s="221">
        <v>13.151145038167936</v>
      </c>
      <c r="L179" s="221">
        <v>13.052887961029924</v>
      </c>
      <c r="M179" s="221">
        <v>13.201376936316692</v>
      </c>
      <c r="N179" s="221">
        <v>12.954601226993862</v>
      </c>
      <c r="O179" s="221">
        <v>13.027146814404434</v>
      </c>
      <c r="P179" s="221">
        <v>12.7844776119403</v>
      </c>
      <c r="Q179" s="221">
        <v>12.774599542334103</v>
      </c>
      <c r="R179" s="222">
        <f t="shared" si="12"/>
        <v>-0.39830598351259461</v>
      </c>
      <c r="S179" s="222">
        <f t="shared" si="13"/>
        <v>-0.42677739398258829</v>
      </c>
      <c r="T179" s="222">
        <f t="shared" si="14"/>
        <v>-9.8780696061968598E-3</v>
      </c>
    </row>
    <row r="180" spans="1:20" x14ac:dyDescent="0.25">
      <c r="A180" s="95" t="s">
        <v>265</v>
      </c>
      <c r="B180" s="134">
        <v>45</v>
      </c>
      <c r="C180" s="221">
        <v>13.629542790152412</v>
      </c>
      <c r="D180" s="221">
        <v>12.9328165374677</v>
      </c>
      <c r="E180" s="221">
        <v>12.594317284925028</v>
      </c>
      <c r="F180" s="221">
        <v>12.426785714285709</v>
      </c>
      <c r="G180" s="221">
        <v>12.362113402061865</v>
      </c>
      <c r="H180" s="221">
        <v>12.632313829787234</v>
      </c>
      <c r="I180" s="221">
        <v>12.573295454545452</v>
      </c>
      <c r="J180" s="221">
        <v>12.528194516295924</v>
      </c>
      <c r="K180" s="221">
        <v>12.515795206971681</v>
      </c>
      <c r="L180" s="221">
        <v>12.724509183027225</v>
      </c>
      <c r="M180" s="221">
        <v>12.579749103942644</v>
      </c>
      <c r="N180" s="221">
        <v>12.845228859581074</v>
      </c>
      <c r="O180" s="221">
        <v>12.366316841579209</v>
      </c>
      <c r="P180" s="221">
        <v>12.322419281491575</v>
      </c>
      <c r="Q180" s="221">
        <v>12.266414737836561</v>
      </c>
      <c r="R180" s="222">
        <f t="shared" si="12"/>
        <v>-0.36589909195067349</v>
      </c>
      <c r="S180" s="222">
        <f t="shared" si="13"/>
        <v>-0.31333436610608345</v>
      </c>
      <c r="T180" s="222">
        <f t="shared" si="14"/>
        <v>-5.6004543655014061E-2</v>
      </c>
    </row>
    <row r="181" spans="1:20" x14ac:dyDescent="0.25">
      <c r="A181" s="95" t="s">
        <v>266</v>
      </c>
      <c r="B181" s="134">
        <v>3</v>
      </c>
      <c r="C181" s="221">
        <v>13.098307816277201</v>
      </c>
      <c r="D181" s="221">
        <v>12.824644549763024</v>
      </c>
      <c r="E181" s="221">
        <v>12.988125530110269</v>
      </c>
      <c r="F181" s="221">
        <v>12.899068322981355</v>
      </c>
      <c r="G181" s="221">
        <v>13.280307889672859</v>
      </c>
      <c r="H181" s="221">
        <v>13.011376564277587</v>
      </c>
      <c r="I181" s="221">
        <v>12.74834874504624</v>
      </c>
      <c r="J181" s="221">
        <v>12.749709639953542</v>
      </c>
      <c r="K181" s="221">
        <v>12.620815899581595</v>
      </c>
      <c r="L181" s="221">
        <v>12.660069848661239</v>
      </c>
      <c r="M181" s="221">
        <v>12.696202531645572</v>
      </c>
      <c r="N181" s="221">
        <v>12.784950202877168</v>
      </c>
      <c r="O181" s="221">
        <v>12.536503963287451</v>
      </c>
      <c r="P181" s="221">
        <v>12.476821192052986</v>
      </c>
      <c r="Q181" s="221">
        <v>12.021000381825123</v>
      </c>
      <c r="R181" s="222">
        <f t="shared" si="12"/>
        <v>-0.99037618245246328</v>
      </c>
      <c r="S181" s="222">
        <f t="shared" si="13"/>
        <v>-0.67520214982044813</v>
      </c>
      <c r="T181" s="222">
        <f t="shared" si="14"/>
        <v>-0.45582081022786269</v>
      </c>
    </row>
    <row r="182" spans="1:20" x14ac:dyDescent="0.25">
      <c r="A182" s="95" t="s">
        <v>267</v>
      </c>
      <c r="B182" s="134">
        <v>2</v>
      </c>
      <c r="C182" s="221">
        <v>13.390804597701143</v>
      </c>
      <c r="D182" s="221">
        <v>13.787012987012989</v>
      </c>
      <c r="E182" s="221">
        <v>14.535816618911175</v>
      </c>
      <c r="F182" s="221">
        <v>14.270072992700728</v>
      </c>
      <c r="G182" s="221">
        <v>13.822843822843822</v>
      </c>
      <c r="H182" s="221">
        <v>13.38963531669865</v>
      </c>
      <c r="I182" s="221">
        <v>12.955706984667808</v>
      </c>
      <c r="J182" s="221">
        <v>12.678362573099418</v>
      </c>
      <c r="K182" s="221">
        <v>12.662731871838112</v>
      </c>
      <c r="L182" s="221">
        <v>12.228187919463092</v>
      </c>
      <c r="M182" s="221">
        <v>11.634246575342463</v>
      </c>
      <c r="N182" s="221">
        <v>12.541268462206771</v>
      </c>
      <c r="O182" s="221">
        <v>12.322179732313584</v>
      </c>
      <c r="P182" s="221">
        <v>12.119962511715098</v>
      </c>
      <c r="Q182" s="221">
        <v>11.969230769230769</v>
      </c>
      <c r="R182" s="222">
        <f t="shared" si="12"/>
        <v>-1.4204045474678804</v>
      </c>
      <c r="S182" s="222">
        <f t="shared" si="13"/>
        <v>0.33498419388830669</v>
      </c>
      <c r="T182" s="222">
        <f t="shared" si="14"/>
        <v>-0.15073174248432863</v>
      </c>
    </row>
    <row r="183" spans="1:20" x14ac:dyDescent="0.25">
      <c r="A183" s="95" t="s">
        <v>268</v>
      </c>
      <c r="B183" s="134">
        <v>1</v>
      </c>
      <c r="C183" s="221" t="s">
        <v>100</v>
      </c>
      <c r="D183" s="221" t="s">
        <v>100</v>
      </c>
      <c r="E183" s="221">
        <v>12.564245810055866</v>
      </c>
      <c r="F183" s="221">
        <v>12.78804347826086</v>
      </c>
      <c r="G183" s="221">
        <v>13.666666666666666</v>
      </c>
      <c r="H183" s="221">
        <v>14.055276381909559</v>
      </c>
      <c r="I183" s="221">
        <v>11.443850267379684</v>
      </c>
      <c r="J183" s="221">
        <v>13.551724137931048</v>
      </c>
      <c r="K183" s="221">
        <v>12.954337899543392</v>
      </c>
      <c r="L183" s="221">
        <v>14.119230769230777</v>
      </c>
      <c r="M183" s="221">
        <v>13.864516129032264</v>
      </c>
      <c r="N183" s="221">
        <v>14.348837209302321</v>
      </c>
      <c r="O183" s="221">
        <v>13.949275362318858</v>
      </c>
      <c r="P183" s="221">
        <v>16.04464285714284</v>
      </c>
      <c r="Q183" s="221">
        <v>12.220338983050853</v>
      </c>
      <c r="R183" s="222">
        <f t="shared" si="12"/>
        <v>-1.8349373988587061</v>
      </c>
      <c r="S183" s="222">
        <f t="shared" si="13"/>
        <v>-1.644177145981411</v>
      </c>
      <c r="T183" s="222">
        <f t="shared" si="14"/>
        <v>-3.8243038740919868</v>
      </c>
    </row>
    <row r="184" spans="1:20" x14ac:dyDescent="0.25">
      <c r="A184" s="95" t="s">
        <v>358</v>
      </c>
      <c r="B184" s="134">
        <v>16</v>
      </c>
      <c r="C184" s="221">
        <v>14.728571428571428</v>
      </c>
      <c r="D184" s="221">
        <v>14.343373493975903</v>
      </c>
      <c r="E184" s="221">
        <v>15.57599999999999</v>
      </c>
      <c r="F184" s="221">
        <v>12.527777777777786</v>
      </c>
      <c r="G184" s="221">
        <v>13.971428571428575</v>
      </c>
      <c r="H184" s="221">
        <v>12.253521126760573</v>
      </c>
      <c r="I184" s="221">
        <v>10.858895705521475</v>
      </c>
      <c r="J184" s="221">
        <v>10.322485207100582</v>
      </c>
      <c r="K184" s="221">
        <v>11.359249329758718</v>
      </c>
      <c r="L184" s="221" t="s">
        <v>100</v>
      </c>
      <c r="M184" s="221" t="s">
        <v>100</v>
      </c>
      <c r="N184" s="221">
        <v>12.090909090909099</v>
      </c>
      <c r="O184" s="221">
        <v>13.15282392026578</v>
      </c>
      <c r="P184" s="221">
        <v>14.059459459459459</v>
      </c>
      <c r="Q184" s="221">
        <v>12.986394557823127</v>
      </c>
      <c r="R184" s="222">
        <f t="shared" si="12"/>
        <v>0.7328734310625542</v>
      </c>
      <c r="S184" s="222" t="str">
        <f t="shared" si="13"/>
        <v>n/a</v>
      </c>
      <c r="T184" s="222">
        <f t="shared" si="14"/>
        <v>-1.0730649016363323</v>
      </c>
    </row>
    <row r="185" spans="1:20" x14ac:dyDescent="0.25">
      <c r="A185" s="95" t="s">
        <v>269</v>
      </c>
      <c r="B185" s="134">
        <v>48</v>
      </c>
      <c r="C185" s="221">
        <v>18.117647058823501</v>
      </c>
      <c r="D185" s="221" t="s">
        <v>100</v>
      </c>
      <c r="E185" s="221" t="s">
        <v>100</v>
      </c>
      <c r="F185" s="221" t="s">
        <v>100</v>
      </c>
      <c r="G185" s="221">
        <v>7.9729729729729728</v>
      </c>
      <c r="H185" s="221">
        <v>8.5757575757575761</v>
      </c>
      <c r="I185" s="221">
        <v>8.9299363057324861</v>
      </c>
      <c r="J185" s="221">
        <v>9.5561797752809063</v>
      </c>
      <c r="K185" s="221">
        <v>9</v>
      </c>
      <c r="L185" s="221">
        <v>9.6042780748663148</v>
      </c>
      <c r="M185" s="221">
        <v>11.407894736842103</v>
      </c>
      <c r="N185" s="221">
        <v>13.62931034482761</v>
      </c>
      <c r="O185" s="221">
        <v>16.239999999999995</v>
      </c>
      <c r="P185" s="221">
        <v>18.046153846153818</v>
      </c>
      <c r="Q185" s="221" t="s">
        <v>100</v>
      </c>
      <c r="R185" s="222" t="str">
        <f t="shared" si="12"/>
        <v>n/a</v>
      </c>
      <c r="S185" s="222" t="str">
        <f t="shared" si="13"/>
        <v>n/a</v>
      </c>
      <c r="T185" s="222" t="str">
        <f t="shared" si="14"/>
        <v>n/a</v>
      </c>
    </row>
    <row r="186" spans="1:20" x14ac:dyDescent="0.25">
      <c r="A186" s="95" t="s">
        <v>270</v>
      </c>
      <c r="B186" s="134">
        <v>10</v>
      </c>
      <c r="C186" s="221">
        <v>13.799315068493149</v>
      </c>
      <c r="D186" s="221">
        <v>13.560645161290317</v>
      </c>
      <c r="E186" s="221">
        <v>13.707805203468979</v>
      </c>
      <c r="F186" s="221">
        <v>13.417644059153497</v>
      </c>
      <c r="G186" s="221">
        <v>13.140103432063947</v>
      </c>
      <c r="H186" s="221">
        <v>13.399371069182392</v>
      </c>
      <c r="I186" s="221">
        <v>13.253255500673552</v>
      </c>
      <c r="J186" s="221">
        <v>12.777556109725692</v>
      </c>
      <c r="K186" s="221">
        <v>12.854293628808863</v>
      </c>
      <c r="L186" s="221">
        <v>12.76228878648233</v>
      </c>
      <c r="M186" s="221">
        <v>12.667193675889324</v>
      </c>
      <c r="N186" s="221">
        <v>12.941904434513582</v>
      </c>
      <c r="O186" s="221">
        <v>13.124223602484477</v>
      </c>
      <c r="P186" s="221">
        <v>12.799568034557232</v>
      </c>
      <c r="Q186" s="221">
        <v>12.959252971137525</v>
      </c>
      <c r="R186" s="222">
        <f t="shared" si="12"/>
        <v>-0.44011809804486646</v>
      </c>
      <c r="S186" s="222">
        <f t="shared" si="13"/>
        <v>0.29205929524820107</v>
      </c>
      <c r="T186" s="222">
        <f t="shared" si="14"/>
        <v>0.15968493658029281</v>
      </c>
    </row>
    <row r="187" spans="1:20" x14ac:dyDescent="0.25">
      <c r="A187" s="95" t="s">
        <v>271</v>
      </c>
      <c r="B187" s="134">
        <v>82</v>
      </c>
      <c r="C187" s="221">
        <v>12.531981279251161</v>
      </c>
      <c r="D187" s="221">
        <v>12.507042253521126</v>
      </c>
      <c r="E187" s="221">
        <v>12.636363636363631</v>
      </c>
      <c r="F187" s="221">
        <v>12.998313659359185</v>
      </c>
      <c r="G187" s="221">
        <v>12.339007092198575</v>
      </c>
      <c r="H187" s="221">
        <v>13.346311475409847</v>
      </c>
      <c r="I187" s="221">
        <v>12.989690721649488</v>
      </c>
      <c r="J187" s="221">
        <v>12.606003752345211</v>
      </c>
      <c r="K187" s="221">
        <v>13.513513513513516</v>
      </c>
      <c r="L187" s="221">
        <v>13.693670886075958</v>
      </c>
      <c r="M187" s="221">
        <v>13.619417475728154</v>
      </c>
      <c r="N187" s="221">
        <v>13.876582278481024</v>
      </c>
      <c r="O187" s="221">
        <v>12.814336075205626</v>
      </c>
      <c r="P187" s="221">
        <v>12.886836027713629</v>
      </c>
      <c r="Q187" s="221">
        <v>12.291390728476827</v>
      </c>
      <c r="R187" s="222">
        <f t="shared" si="12"/>
        <v>-1.0549207469330195</v>
      </c>
      <c r="S187" s="222">
        <f t="shared" si="13"/>
        <v>-1.328026747251327</v>
      </c>
      <c r="T187" s="222">
        <f t="shared" si="14"/>
        <v>-0.59544529923680223</v>
      </c>
    </row>
    <row r="188" spans="1:20" x14ac:dyDescent="0.25">
      <c r="A188" s="95" t="s">
        <v>272</v>
      </c>
      <c r="B188" s="134">
        <v>68</v>
      </c>
      <c r="C188" s="221">
        <v>12.431372549019615</v>
      </c>
      <c r="D188" s="221">
        <v>10.666666666666659</v>
      </c>
      <c r="E188" s="221">
        <v>15.128205128205119</v>
      </c>
      <c r="F188" s="221">
        <v>14.069767441860467</v>
      </c>
      <c r="G188" s="221">
        <v>12.761194029850753</v>
      </c>
      <c r="H188" s="221">
        <v>12.833333333333341</v>
      </c>
      <c r="I188" s="221">
        <v>13.7</v>
      </c>
      <c r="J188" s="221">
        <v>15.761467889908255</v>
      </c>
      <c r="K188" s="221">
        <v>15.8125</v>
      </c>
      <c r="L188" s="221">
        <v>15.392156862745111</v>
      </c>
      <c r="M188" s="221">
        <v>13.377551020408148</v>
      </c>
      <c r="N188" s="221">
        <v>14.263999999999992</v>
      </c>
      <c r="O188" s="221">
        <v>13.733766233766222</v>
      </c>
      <c r="P188" s="221">
        <v>15.839622641509429</v>
      </c>
      <c r="Q188" s="221">
        <v>14.25663716814158</v>
      </c>
      <c r="R188" s="222">
        <f t="shared" si="12"/>
        <v>1.4233038348082392</v>
      </c>
      <c r="S188" s="222">
        <f t="shared" si="13"/>
        <v>0.87908614773343174</v>
      </c>
      <c r="T188" s="222">
        <f t="shared" si="14"/>
        <v>-1.5829854733678488</v>
      </c>
    </row>
    <row r="189" spans="1:20" x14ac:dyDescent="0.25">
      <c r="A189" s="95" t="s">
        <v>273</v>
      </c>
      <c r="B189" s="134">
        <v>39</v>
      </c>
      <c r="C189" s="221">
        <v>11.955034213098722</v>
      </c>
      <c r="D189" s="221">
        <v>11.985228951255541</v>
      </c>
      <c r="E189" s="221">
        <v>11.538869257950534</v>
      </c>
      <c r="F189" s="221">
        <v>11.652812975164725</v>
      </c>
      <c r="G189" s="221">
        <v>12.197396199859257</v>
      </c>
      <c r="H189" s="221">
        <v>12.4446434969545</v>
      </c>
      <c r="I189" s="221">
        <v>12.828825962456252</v>
      </c>
      <c r="J189" s="221">
        <v>12.993268259845177</v>
      </c>
      <c r="K189" s="221">
        <v>12.854350567465325</v>
      </c>
      <c r="L189" s="221">
        <v>13.034339846062755</v>
      </c>
      <c r="M189" s="221">
        <v>12.330357142857148</v>
      </c>
      <c r="N189" s="221">
        <v>13.291873530180293</v>
      </c>
      <c r="O189" s="221">
        <v>12.895060323241518</v>
      </c>
      <c r="P189" s="221">
        <v>13.290201729106631</v>
      </c>
      <c r="Q189" s="221">
        <v>12.955449282657943</v>
      </c>
      <c r="R189" s="222">
        <f t="shared" si="12"/>
        <v>0.51080578570344315</v>
      </c>
      <c r="S189" s="222">
        <f t="shared" si="13"/>
        <v>0.62509213980079537</v>
      </c>
      <c r="T189" s="222">
        <f t="shared" si="14"/>
        <v>-0.33475244644868773</v>
      </c>
    </row>
    <row r="190" spans="1:20" x14ac:dyDescent="0.25">
      <c r="A190" s="95" t="s">
        <v>274</v>
      </c>
      <c r="B190" s="134">
        <v>13</v>
      </c>
      <c r="C190" s="221">
        <v>14.541666666666666</v>
      </c>
      <c r="D190" s="221">
        <v>11.851562499999996</v>
      </c>
      <c r="E190" s="221">
        <v>12.008301886792458</v>
      </c>
      <c r="F190" s="221">
        <v>12.383666666666667</v>
      </c>
      <c r="G190" s="221">
        <v>12.323665128543174</v>
      </c>
      <c r="H190" s="221">
        <v>12.616806136680614</v>
      </c>
      <c r="I190" s="221">
        <v>13.341645077720207</v>
      </c>
      <c r="J190" s="221">
        <v>13.722082283795134</v>
      </c>
      <c r="K190" s="221">
        <v>13.91907855877141</v>
      </c>
      <c r="L190" s="221">
        <v>13.08034908215468</v>
      </c>
      <c r="M190" s="221">
        <v>13.626209322779244</v>
      </c>
      <c r="N190" s="221">
        <v>13.646291374728193</v>
      </c>
      <c r="O190" s="221">
        <v>13.548327137546469</v>
      </c>
      <c r="P190" s="221">
        <v>13.030076705692361</v>
      </c>
      <c r="Q190" s="221">
        <v>13.145155393053017</v>
      </c>
      <c r="R190" s="222">
        <f t="shared" si="12"/>
        <v>0.52834925637240282</v>
      </c>
      <c r="S190" s="222">
        <f t="shared" si="13"/>
        <v>-0.48105392972622774</v>
      </c>
      <c r="T190" s="222">
        <f t="shared" si="14"/>
        <v>0.11507868736065596</v>
      </c>
    </row>
    <row r="191" spans="1:20" x14ac:dyDescent="0.25">
      <c r="A191" s="95" t="s">
        <v>275</v>
      </c>
      <c r="B191" s="134">
        <v>17</v>
      </c>
      <c r="C191" s="221">
        <v>13.102040816326536</v>
      </c>
      <c r="D191" s="221">
        <v>12.535714285714281</v>
      </c>
      <c r="E191" s="221">
        <v>11.740259740259743</v>
      </c>
      <c r="F191" s="221">
        <v>10.591549295774646</v>
      </c>
      <c r="G191" s="221">
        <v>11.547904191616768</v>
      </c>
      <c r="H191" s="221">
        <v>12.062972292191446</v>
      </c>
      <c r="I191" s="221">
        <v>12.441595441595455</v>
      </c>
      <c r="J191" s="221">
        <v>13.247011952191233</v>
      </c>
      <c r="K191" s="221">
        <v>13.800578034682092</v>
      </c>
      <c r="L191" s="221">
        <v>14.690789473684225</v>
      </c>
      <c r="M191" s="221">
        <v>16.058823529411747</v>
      </c>
      <c r="N191" s="221">
        <v>15.086538461538465</v>
      </c>
      <c r="O191" s="221">
        <v>15.690476190476177</v>
      </c>
      <c r="P191" s="221">
        <v>14.333333333333334</v>
      </c>
      <c r="Q191" s="221">
        <v>14.523364485981304</v>
      </c>
      <c r="R191" s="222">
        <f t="shared" si="12"/>
        <v>2.4603921937898576</v>
      </c>
      <c r="S191" s="222">
        <f t="shared" si="13"/>
        <v>-1.5354590434304427</v>
      </c>
      <c r="T191" s="222">
        <f t="shared" si="14"/>
        <v>0.1900311526479701</v>
      </c>
    </row>
    <row r="192" spans="1:20" x14ac:dyDescent="0.25">
      <c r="A192" s="95" t="s">
        <v>276</v>
      </c>
      <c r="B192" s="134">
        <v>88</v>
      </c>
      <c r="C192" s="221">
        <v>16.059625212947186</v>
      </c>
      <c r="D192" s="221">
        <v>15.640287769784166</v>
      </c>
      <c r="E192" s="221">
        <v>15.529411764705882</v>
      </c>
      <c r="F192" s="221">
        <v>15.478260869565233</v>
      </c>
      <c r="G192" s="221">
        <v>14.892744479495265</v>
      </c>
      <c r="H192" s="221">
        <v>15.725000000000007</v>
      </c>
      <c r="I192" s="221">
        <v>15.980093676814992</v>
      </c>
      <c r="J192" s="221">
        <v>15.451546391752569</v>
      </c>
      <c r="K192" s="221">
        <v>16.069647463456583</v>
      </c>
      <c r="L192" s="221">
        <v>16.13833992094861</v>
      </c>
      <c r="M192" s="221">
        <v>16.142678347934922</v>
      </c>
      <c r="N192" s="221">
        <v>16.275555555555549</v>
      </c>
      <c r="O192" s="221">
        <v>17.378763866877975</v>
      </c>
      <c r="P192" s="221">
        <v>15.632127955493749</v>
      </c>
      <c r="Q192" s="221">
        <v>15.218124999999995</v>
      </c>
      <c r="R192" s="222">
        <f t="shared" si="12"/>
        <v>-0.50687500000001151</v>
      </c>
      <c r="S192" s="222">
        <f t="shared" si="13"/>
        <v>-0.92455334793492661</v>
      </c>
      <c r="T192" s="222">
        <f t="shared" si="14"/>
        <v>-0.41400295549375343</v>
      </c>
    </row>
    <row r="193" spans="1:20" x14ac:dyDescent="0.25">
      <c r="A193" s="95" t="s">
        <v>277</v>
      </c>
      <c r="B193" s="134">
        <v>54</v>
      </c>
      <c r="C193" s="221">
        <v>9.8577878103837495</v>
      </c>
      <c r="D193" s="221">
        <v>10.095838587641866</v>
      </c>
      <c r="E193" s="221">
        <v>10.226433430515064</v>
      </c>
      <c r="F193" s="221">
        <v>10.371652514696274</v>
      </c>
      <c r="G193" s="221">
        <v>10.226376335250617</v>
      </c>
      <c r="H193" s="221">
        <v>10.706216830932526</v>
      </c>
      <c r="I193" s="221">
        <v>10.929906542056077</v>
      </c>
      <c r="J193" s="221">
        <v>10.833422032996273</v>
      </c>
      <c r="K193" s="221">
        <v>11.049305419683035</v>
      </c>
      <c r="L193" s="221">
        <v>11.177468309230495</v>
      </c>
      <c r="M193" s="221">
        <v>11.163656147986943</v>
      </c>
      <c r="N193" s="221">
        <v>11.66743284010918</v>
      </c>
      <c r="O193" s="221">
        <v>11.726993865030673</v>
      </c>
      <c r="P193" s="221">
        <v>12.073778664007977</v>
      </c>
      <c r="Q193" s="221">
        <v>13.486943907156677</v>
      </c>
      <c r="R193" s="222">
        <f t="shared" si="12"/>
        <v>2.7807270762241512</v>
      </c>
      <c r="S193" s="222">
        <f t="shared" si="13"/>
        <v>2.3232877591697338</v>
      </c>
      <c r="T193" s="222">
        <f t="shared" si="14"/>
        <v>1.4131652431487005</v>
      </c>
    </row>
    <row r="194" spans="1:20" x14ac:dyDescent="0.25">
      <c r="A194" s="95" t="s">
        <v>278</v>
      </c>
      <c r="B194" s="134">
        <v>85</v>
      </c>
      <c r="C194" s="221">
        <v>14.342744583059735</v>
      </c>
      <c r="D194" s="221">
        <v>15.102189781021904</v>
      </c>
      <c r="E194" s="221">
        <v>15.671348314606727</v>
      </c>
      <c r="F194" s="221">
        <v>16.192759295499037</v>
      </c>
      <c r="G194" s="221">
        <v>16.208216619981322</v>
      </c>
      <c r="H194" s="221">
        <v>16.504087193460489</v>
      </c>
      <c r="I194" s="221">
        <v>16.483024691358022</v>
      </c>
      <c r="J194" s="221">
        <v>16.162790697674417</v>
      </c>
      <c r="K194" s="221">
        <v>15.635888501742169</v>
      </c>
      <c r="L194" s="221">
        <v>15.470892626131956</v>
      </c>
      <c r="M194" s="221">
        <v>14.201361867704293</v>
      </c>
      <c r="N194" s="221">
        <v>14.883386581469642</v>
      </c>
      <c r="O194" s="221">
        <v>14.084786053882732</v>
      </c>
      <c r="P194" s="221">
        <v>14.027472527472533</v>
      </c>
      <c r="Q194" s="221">
        <v>13.615870153291253</v>
      </c>
      <c r="R194" s="222">
        <f t="shared" si="12"/>
        <v>-2.888217040169236</v>
      </c>
      <c r="S194" s="222">
        <f t="shared" si="13"/>
        <v>-0.58549171441304004</v>
      </c>
      <c r="T194" s="222">
        <f t="shared" si="14"/>
        <v>-0.41160237418127998</v>
      </c>
    </row>
    <row r="195" spans="1:20" x14ac:dyDescent="0.25">
      <c r="A195" s="157" t="s">
        <v>511</v>
      </c>
      <c r="B195" s="119"/>
      <c r="C195" s="102"/>
      <c r="D195" s="102"/>
      <c r="E195" s="102"/>
      <c r="F195" s="102"/>
      <c r="G195" s="3"/>
      <c r="H195" s="3"/>
      <c r="I195" s="3"/>
      <c r="J195" s="3"/>
      <c r="K195" s="3"/>
      <c r="L195" s="3"/>
      <c r="M195" s="3"/>
      <c r="N195" s="3"/>
      <c r="O195" s="3"/>
      <c r="P195" s="3"/>
      <c r="Q195" s="3"/>
      <c r="R195" s="111"/>
      <c r="S195" s="111"/>
    </row>
    <row r="196" spans="1:20" x14ac:dyDescent="0.25">
      <c r="A196" s="119"/>
      <c r="B196" s="119"/>
      <c r="C196" s="102"/>
      <c r="D196" s="102"/>
      <c r="E196" s="102"/>
      <c r="F196" s="102"/>
      <c r="G196" s="3"/>
      <c r="H196" s="3"/>
      <c r="I196" s="3"/>
      <c r="J196" s="3"/>
      <c r="K196" s="3"/>
      <c r="L196" s="3"/>
      <c r="M196" s="3"/>
      <c r="N196" s="3"/>
      <c r="O196" s="3"/>
      <c r="P196" s="3"/>
      <c r="Q196" s="3"/>
      <c r="R196" s="111"/>
      <c r="S196" s="111"/>
    </row>
    <row r="197" spans="1:20" x14ac:dyDescent="0.25">
      <c r="A197" s="119" t="s">
        <v>414</v>
      </c>
      <c r="B197" s="4"/>
      <c r="C197" s="3"/>
      <c r="D197" s="3"/>
      <c r="E197" s="3"/>
      <c r="F197" s="3"/>
      <c r="G197" s="3"/>
      <c r="H197" s="3"/>
      <c r="I197" s="3"/>
      <c r="J197" s="3"/>
      <c r="K197" s="3"/>
      <c r="L197" s="3"/>
      <c r="M197" s="3"/>
      <c r="N197" s="3"/>
      <c r="O197" s="3"/>
      <c r="P197" s="3"/>
      <c r="Q197" s="3"/>
      <c r="R197" s="111"/>
      <c r="S197" s="111"/>
    </row>
    <row r="198" spans="1:20" ht="15.75" x14ac:dyDescent="0.25">
      <c r="A198" s="122" t="s">
        <v>112</v>
      </c>
      <c r="B198" s="122"/>
      <c r="C198" s="80"/>
      <c r="D198" s="80"/>
      <c r="E198" s="80"/>
      <c r="F198" s="80"/>
      <c r="G198" s="3"/>
      <c r="H198" s="3"/>
      <c r="I198" s="3"/>
      <c r="J198" s="3"/>
      <c r="K198" s="3"/>
      <c r="L198" s="3"/>
      <c r="M198" s="3"/>
      <c r="N198" s="3"/>
      <c r="O198" s="3"/>
      <c r="P198" s="3"/>
      <c r="Q198" s="3"/>
      <c r="R198" s="111"/>
      <c r="S198" s="111"/>
    </row>
    <row r="199" spans="1:20" x14ac:dyDescent="0.25">
      <c r="A199" s="8"/>
      <c r="B199" s="8"/>
      <c r="C199" s="21"/>
      <c r="D199" s="21"/>
      <c r="E199" s="21"/>
      <c r="F199" s="21"/>
      <c r="G199" s="3"/>
      <c r="H199" s="3"/>
      <c r="I199" s="3"/>
      <c r="J199" s="3"/>
      <c r="K199" s="3"/>
      <c r="L199" s="3"/>
      <c r="M199" s="3"/>
      <c r="N199" s="3"/>
      <c r="O199" s="3"/>
      <c r="P199" s="3"/>
      <c r="Q199" s="3"/>
      <c r="R199" s="111"/>
      <c r="S199" s="111"/>
    </row>
    <row r="200" spans="1:20" x14ac:dyDescent="0.25">
      <c r="A200" s="12" t="s">
        <v>94</v>
      </c>
      <c r="B200" s="12"/>
      <c r="C200" s="81"/>
      <c r="D200" s="81"/>
      <c r="E200" s="81"/>
      <c r="F200" s="81"/>
      <c r="G200" s="3"/>
      <c r="H200" s="3"/>
      <c r="I200" s="3"/>
      <c r="J200" s="3"/>
      <c r="K200" s="3"/>
      <c r="L200" s="3"/>
      <c r="M200" s="3"/>
      <c r="N200" s="3"/>
      <c r="O200" s="3"/>
      <c r="P200" s="3"/>
      <c r="Q200" s="3"/>
      <c r="R200" s="111"/>
      <c r="S200" s="111"/>
    </row>
    <row r="201" spans="1:20" x14ac:dyDescent="0.25">
      <c r="A201" s="4"/>
      <c r="B201" s="4"/>
      <c r="C201" s="3"/>
      <c r="D201" s="3"/>
      <c r="E201" s="3"/>
      <c r="F201" s="3"/>
      <c r="G201" s="3"/>
      <c r="H201" s="3"/>
      <c r="I201" s="3"/>
      <c r="J201" s="3"/>
      <c r="K201" s="3"/>
      <c r="L201" s="3"/>
      <c r="M201" s="3"/>
      <c r="N201" s="3"/>
      <c r="O201" s="3"/>
      <c r="P201" s="3"/>
      <c r="Q201" s="3"/>
      <c r="R201" s="111"/>
      <c r="S201" s="111"/>
    </row>
    <row r="202" spans="1:20" x14ac:dyDescent="0.25">
      <c r="A202" s="4"/>
      <c r="B202" s="4"/>
      <c r="C202" s="3"/>
      <c r="D202" s="3"/>
      <c r="E202" s="3"/>
      <c r="F202" s="3"/>
      <c r="G202" s="3"/>
      <c r="H202" s="3"/>
      <c r="I202" s="3"/>
      <c r="J202" s="3"/>
      <c r="K202" s="3"/>
      <c r="L202" s="3"/>
      <c r="M202" s="3"/>
      <c r="N202" s="3"/>
      <c r="O202" s="3"/>
      <c r="P202" s="3"/>
      <c r="Q202" s="3"/>
      <c r="R202" s="111"/>
      <c r="S202" s="111"/>
    </row>
    <row r="203" spans="1:20" x14ac:dyDescent="0.25">
      <c r="A203" s="4"/>
      <c r="B203" s="4"/>
      <c r="C203" s="3"/>
      <c r="D203" s="3"/>
      <c r="E203" s="3"/>
      <c r="F203" s="3"/>
      <c r="G203" s="3"/>
      <c r="H203" s="3"/>
      <c r="I203" s="3"/>
      <c r="J203" s="3"/>
      <c r="K203" s="3"/>
      <c r="L203" s="3"/>
      <c r="M203" s="3"/>
      <c r="N203" s="3"/>
      <c r="O203" s="3"/>
      <c r="P203" s="3"/>
      <c r="Q203" s="3"/>
      <c r="R203" s="111"/>
      <c r="S203" s="111"/>
    </row>
    <row r="204" spans="1:20" x14ac:dyDescent="0.25">
      <c r="A204" s="4"/>
      <c r="B204" s="4"/>
      <c r="C204" s="3"/>
      <c r="D204" s="3"/>
      <c r="E204" s="3"/>
      <c r="F204" s="3"/>
      <c r="G204" s="3"/>
      <c r="H204" s="3"/>
      <c r="I204" s="3"/>
      <c r="J204" s="3"/>
      <c r="K204" s="3"/>
      <c r="L204" s="3"/>
      <c r="M204" s="3"/>
      <c r="N204" s="3"/>
      <c r="O204" s="3"/>
      <c r="P204" s="3"/>
      <c r="Q204" s="3"/>
      <c r="R204" s="111"/>
      <c r="S204" s="111"/>
    </row>
    <row r="205" spans="1:20" x14ac:dyDescent="0.25">
      <c r="A205" s="4"/>
      <c r="B205" s="4"/>
      <c r="C205" s="3"/>
      <c r="D205" s="3"/>
      <c r="E205" s="3"/>
      <c r="F205" s="3"/>
      <c r="G205" s="3"/>
      <c r="H205" s="3"/>
      <c r="I205" s="3"/>
      <c r="J205" s="3"/>
      <c r="K205" s="3"/>
      <c r="L205" s="3"/>
      <c r="M205" s="3"/>
      <c r="N205" s="3"/>
      <c r="O205" s="3"/>
      <c r="P205" s="3"/>
      <c r="Q205" s="3"/>
      <c r="R205" s="111"/>
      <c r="S205" s="111"/>
    </row>
    <row r="206" spans="1:20" x14ac:dyDescent="0.25">
      <c r="A206" s="4"/>
      <c r="B206" s="4"/>
      <c r="C206" s="3"/>
      <c r="D206" s="3"/>
      <c r="E206" s="3"/>
      <c r="F206" s="3"/>
      <c r="G206" s="3"/>
      <c r="H206" s="3"/>
      <c r="I206" s="3"/>
      <c r="J206" s="3"/>
      <c r="K206" s="3"/>
      <c r="L206" s="3"/>
      <c r="M206" s="3"/>
      <c r="N206" s="3"/>
      <c r="O206" s="3"/>
      <c r="P206" s="3"/>
      <c r="Q206" s="3"/>
      <c r="R206" s="111"/>
      <c r="S206" s="111"/>
    </row>
    <row r="207" spans="1:20" x14ac:dyDescent="0.25">
      <c r="A207" s="4"/>
      <c r="B207" s="4"/>
      <c r="C207" s="3"/>
      <c r="D207" s="3"/>
      <c r="E207" s="3"/>
      <c r="F207" s="3"/>
      <c r="G207" s="3"/>
      <c r="H207" s="3"/>
      <c r="I207" s="3"/>
      <c r="J207" s="3"/>
      <c r="K207" s="3"/>
      <c r="L207" s="3"/>
      <c r="M207" s="3"/>
      <c r="N207" s="3"/>
      <c r="O207" s="3"/>
      <c r="P207" s="3"/>
      <c r="Q207" s="3"/>
      <c r="R207" s="111"/>
      <c r="S207" s="111"/>
    </row>
    <row r="208" spans="1:20" x14ac:dyDescent="0.25">
      <c r="A208" s="4"/>
      <c r="B208" s="4"/>
      <c r="C208" s="3"/>
      <c r="D208" s="3"/>
      <c r="E208" s="3"/>
      <c r="F208" s="3"/>
      <c r="G208" s="3"/>
      <c r="H208" s="3"/>
      <c r="I208" s="3"/>
      <c r="J208" s="3"/>
      <c r="K208" s="3"/>
      <c r="L208" s="3"/>
      <c r="M208" s="3"/>
      <c r="N208" s="3"/>
      <c r="O208" s="3"/>
      <c r="P208" s="3"/>
      <c r="Q208" s="3"/>
      <c r="R208" s="111"/>
      <c r="S208" s="111"/>
    </row>
    <row r="209" spans="1:19" x14ac:dyDescent="0.25">
      <c r="A209" s="4"/>
      <c r="B209" s="4"/>
      <c r="C209" s="3"/>
      <c r="D209" s="3"/>
      <c r="E209" s="3"/>
      <c r="F209" s="3"/>
      <c r="G209" s="3"/>
      <c r="H209" s="3"/>
      <c r="I209" s="3"/>
      <c r="J209" s="3"/>
      <c r="K209" s="3"/>
      <c r="L209" s="3"/>
      <c r="M209" s="3"/>
      <c r="N209" s="3"/>
      <c r="O209" s="3"/>
      <c r="P209" s="3"/>
      <c r="Q209" s="3"/>
      <c r="R209" s="111"/>
      <c r="S209" s="111"/>
    </row>
    <row r="210" spans="1:19" x14ac:dyDescent="0.25">
      <c r="A210" s="4"/>
      <c r="B210" s="4"/>
      <c r="C210" s="3"/>
      <c r="D210" s="3"/>
      <c r="E210" s="3"/>
      <c r="F210" s="3"/>
      <c r="G210" s="3"/>
      <c r="H210" s="3"/>
      <c r="I210" s="3"/>
      <c r="J210" s="3"/>
      <c r="K210" s="3"/>
      <c r="L210" s="3"/>
      <c r="M210" s="3"/>
      <c r="N210" s="3"/>
      <c r="O210" s="3"/>
      <c r="P210" s="3"/>
      <c r="Q210" s="3"/>
      <c r="R210" s="111"/>
      <c r="S210" s="111"/>
    </row>
    <row r="211" spans="1:19" x14ac:dyDescent="0.25">
      <c r="A211" s="4"/>
      <c r="B211" s="4"/>
      <c r="C211" s="3"/>
      <c r="D211" s="3"/>
      <c r="E211" s="3"/>
      <c r="F211" s="3"/>
      <c r="G211" s="3"/>
      <c r="H211" s="3"/>
      <c r="I211" s="3"/>
      <c r="J211" s="3"/>
      <c r="K211" s="3"/>
      <c r="L211" s="3"/>
      <c r="M211" s="3"/>
      <c r="N211" s="3"/>
      <c r="O211" s="3"/>
      <c r="P211" s="3"/>
      <c r="Q211" s="3"/>
      <c r="R211" s="111"/>
      <c r="S211" s="111"/>
    </row>
    <row r="212" spans="1:19" x14ac:dyDescent="0.25">
      <c r="A212" s="4"/>
      <c r="B212" s="4"/>
      <c r="C212" s="3"/>
      <c r="D212" s="3"/>
      <c r="E212" s="3"/>
      <c r="F212" s="3"/>
      <c r="G212" s="3"/>
      <c r="H212" s="3"/>
      <c r="I212" s="3"/>
      <c r="J212" s="3"/>
      <c r="K212" s="3"/>
      <c r="L212" s="3"/>
      <c r="M212" s="3"/>
      <c r="N212" s="3"/>
      <c r="O212" s="3"/>
      <c r="P212" s="3"/>
      <c r="Q212" s="3"/>
      <c r="R212" s="111"/>
      <c r="S212" s="111"/>
    </row>
    <row r="213" spans="1:19" x14ac:dyDescent="0.25">
      <c r="A213" s="4"/>
      <c r="B213" s="4"/>
      <c r="C213" s="3"/>
      <c r="D213" s="3"/>
      <c r="E213" s="3"/>
      <c r="F213" s="3"/>
      <c r="G213" s="3"/>
      <c r="H213" s="3"/>
      <c r="I213" s="3"/>
      <c r="J213" s="3"/>
      <c r="K213" s="3"/>
      <c r="L213" s="3"/>
      <c r="M213" s="3"/>
      <c r="N213" s="3"/>
      <c r="O213" s="3"/>
      <c r="P213" s="3"/>
      <c r="Q213" s="3"/>
      <c r="R213" s="111"/>
      <c r="S213" s="111"/>
    </row>
    <row r="214" spans="1:19" x14ac:dyDescent="0.25">
      <c r="A214" s="4"/>
      <c r="B214" s="4"/>
      <c r="C214" s="3"/>
      <c r="D214" s="3"/>
      <c r="E214" s="3"/>
      <c r="F214" s="3"/>
      <c r="G214" s="3"/>
      <c r="H214" s="3"/>
      <c r="I214" s="3"/>
      <c r="J214" s="3"/>
      <c r="K214" s="3"/>
      <c r="L214" s="3"/>
      <c r="M214" s="3"/>
      <c r="N214" s="3"/>
      <c r="O214" s="3"/>
      <c r="P214" s="3"/>
      <c r="Q214" s="3"/>
      <c r="R214" s="111"/>
      <c r="S214" s="111"/>
    </row>
    <row r="215" spans="1:19" x14ac:dyDescent="0.25">
      <c r="A215" s="4"/>
      <c r="B215" s="4"/>
      <c r="C215" s="3"/>
      <c r="D215" s="3"/>
      <c r="E215" s="3"/>
      <c r="F215" s="3"/>
      <c r="G215" s="3"/>
      <c r="H215" s="3"/>
      <c r="I215" s="3"/>
      <c r="J215" s="3"/>
      <c r="K215" s="3"/>
      <c r="L215" s="3"/>
      <c r="M215" s="3"/>
      <c r="N215" s="3"/>
      <c r="O215" s="3"/>
      <c r="P215" s="3"/>
      <c r="Q215" s="3"/>
      <c r="R215" s="111"/>
      <c r="S215" s="111"/>
    </row>
    <row r="216" spans="1:19" x14ac:dyDescent="0.25">
      <c r="A216" s="4"/>
      <c r="B216" s="4"/>
      <c r="C216" s="3"/>
      <c r="D216" s="3"/>
      <c r="E216" s="3"/>
      <c r="F216" s="3"/>
      <c r="G216" s="3"/>
      <c r="H216" s="3"/>
      <c r="I216" s="3"/>
      <c r="J216" s="3"/>
      <c r="K216" s="3"/>
      <c r="L216" s="3"/>
      <c r="M216" s="3"/>
      <c r="N216" s="3"/>
      <c r="O216" s="3"/>
      <c r="P216" s="3"/>
      <c r="Q216" s="3"/>
      <c r="R216" s="111"/>
      <c r="S216" s="111"/>
    </row>
    <row r="217" spans="1:19" x14ac:dyDescent="0.25">
      <c r="A217" s="4"/>
      <c r="B217" s="4"/>
      <c r="C217" s="3"/>
      <c r="D217" s="3"/>
      <c r="E217" s="3"/>
      <c r="F217" s="3"/>
      <c r="G217" s="3"/>
      <c r="H217" s="3"/>
      <c r="I217" s="3"/>
      <c r="J217" s="3"/>
      <c r="K217" s="3"/>
      <c r="L217" s="3"/>
      <c r="M217" s="3"/>
      <c r="N217" s="3"/>
      <c r="O217" s="3"/>
      <c r="P217" s="3"/>
      <c r="Q217" s="3"/>
      <c r="R217" s="111"/>
      <c r="S217" s="111"/>
    </row>
    <row r="218" spans="1:19" x14ac:dyDescent="0.25">
      <c r="A218" s="4"/>
      <c r="B218" s="4"/>
      <c r="C218" s="3"/>
      <c r="D218" s="3"/>
      <c r="E218" s="3"/>
      <c r="F218" s="3"/>
      <c r="G218" s="3"/>
      <c r="H218" s="3"/>
      <c r="I218" s="3"/>
      <c r="J218" s="3"/>
      <c r="K218" s="3"/>
      <c r="L218" s="3"/>
      <c r="M218" s="3"/>
      <c r="N218" s="3"/>
      <c r="O218" s="3"/>
      <c r="P218" s="3"/>
      <c r="Q218" s="3"/>
      <c r="R218" s="111"/>
      <c r="S218" s="111"/>
    </row>
    <row r="219" spans="1:19" x14ac:dyDescent="0.25">
      <c r="A219" s="4"/>
      <c r="B219" s="4"/>
      <c r="C219" s="3"/>
      <c r="D219" s="3"/>
      <c r="E219" s="3"/>
      <c r="F219" s="3"/>
      <c r="G219" s="3"/>
      <c r="H219" s="3"/>
      <c r="I219" s="3"/>
      <c r="J219" s="3"/>
      <c r="K219" s="3"/>
      <c r="L219" s="3"/>
      <c r="M219" s="3"/>
      <c r="N219" s="3"/>
      <c r="O219" s="3"/>
      <c r="P219" s="3"/>
      <c r="Q219" s="3"/>
      <c r="R219" s="111"/>
      <c r="S219" s="111"/>
    </row>
    <row r="220" spans="1:19" x14ac:dyDescent="0.25">
      <c r="A220" s="4"/>
      <c r="B220" s="4"/>
      <c r="C220" s="3"/>
      <c r="D220" s="3"/>
      <c r="E220" s="3"/>
      <c r="F220" s="3"/>
      <c r="G220" s="3"/>
      <c r="H220" s="3"/>
      <c r="I220" s="3"/>
      <c r="J220" s="3"/>
      <c r="K220" s="3"/>
      <c r="L220" s="3"/>
      <c r="M220" s="3"/>
      <c r="N220" s="3"/>
      <c r="O220" s="3"/>
      <c r="P220" s="3"/>
      <c r="Q220" s="3"/>
      <c r="R220" s="111"/>
      <c r="S220" s="111"/>
    </row>
    <row r="221" spans="1:19" x14ac:dyDescent="0.25">
      <c r="A221" s="4"/>
      <c r="B221" s="4"/>
      <c r="C221" s="3"/>
      <c r="D221" s="3"/>
      <c r="E221" s="3"/>
      <c r="F221" s="3"/>
      <c r="G221" s="3"/>
      <c r="H221" s="3"/>
      <c r="I221" s="3"/>
      <c r="J221" s="3"/>
      <c r="K221" s="3"/>
      <c r="L221" s="3"/>
      <c r="M221" s="3"/>
      <c r="N221" s="3"/>
      <c r="O221" s="3"/>
      <c r="P221" s="3"/>
      <c r="Q221" s="3"/>
      <c r="R221" s="111"/>
      <c r="S221" s="111"/>
    </row>
    <row r="222" spans="1:19" x14ac:dyDescent="0.25">
      <c r="A222" s="4"/>
      <c r="B222" s="4"/>
      <c r="C222" s="3"/>
      <c r="D222" s="3"/>
      <c r="E222" s="3"/>
      <c r="F222" s="3"/>
      <c r="G222" s="3"/>
      <c r="H222" s="3"/>
      <c r="I222" s="3"/>
      <c r="J222" s="3"/>
      <c r="K222" s="3"/>
      <c r="L222" s="3"/>
      <c r="M222" s="3"/>
      <c r="N222" s="3"/>
      <c r="O222" s="3"/>
      <c r="P222" s="3"/>
      <c r="Q222" s="3"/>
      <c r="R222" s="111"/>
      <c r="S222" s="111"/>
    </row>
    <row r="223" spans="1:19" x14ac:dyDescent="0.25">
      <c r="A223" s="4"/>
      <c r="B223" s="4"/>
      <c r="C223" s="3"/>
      <c r="D223" s="3"/>
      <c r="E223" s="3"/>
      <c r="F223" s="3"/>
      <c r="G223" s="3"/>
      <c r="H223" s="3"/>
      <c r="I223" s="3"/>
      <c r="J223" s="3"/>
      <c r="K223" s="3"/>
      <c r="L223" s="3"/>
      <c r="M223" s="3"/>
      <c r="N223" s="3"/>
      <c r="O223" s="3"/>
      <c r="P223" s="3"/>
      <c r="Q223" s="3"/>
      <c r="R223" s="111"/>
      <c r="S223" s="111"/>
    </row>
    <row r="224" spans="1:19" x14ac:dyDescent="0.25">
      <c r="A224" s="4"/>
      <c r="B224" s="4"/>
      <c r="C224" s="3"/>
      <c r="D224" s="3"/>
      <c r="E224" s="3"/>
      <c r="F224" s="3"/>
      <c r="G224" s="3"/>
      <c r="H224" s="3"/>
      <c r="I224" s="3"/>
      <c r="J224" s="3"/>
      <c r="K224" s="3"/>
      <c r="L224" s="3"/>
      <c r="M224" s="3"/>
      <c r="N224" s="3"/>
      <c r="O224" s="3"/>
      <c r="P224" s="3"/>
      <c r="Q224" s="3"/>
      <c r="R224" s="111"/>
      <c r="S224" s="111"/>
    </row>
    <row r="225" spans="1:20" x14ac:dyDescent="0.25">
      <c r="A225" s="4"/>
      <c r="B225" s="4"/>
      <c r="C225" s="3"/>
      <c r="D225" s="3"/>
      <c r="E225" s="3"/>
      <c r="F225" s="3"/>
      <c r="G225" s="3"/>
      <c r="H225" s="3"/>
      <c r="I225" s="3"/>
      <c r="J225" s="3"/>
      <c r="K225" s="3"/>
      <c r="L225" s="3"/>
      <c r="M225" s="3"/>
      <c r="N225" s="3"/>
      <c r="O225" s="3"/>
      <c r="P225" s="3"/>
      <c r="Q225" s="3"/>
      <c r="R225" s="111"/>
      <c r="S225" s="111"/>
    </row>
    <row r="226" spans="1:20" x14ac:dyDescent="0.25">
      <c r="A226" s="4"/>
      <c r="B226" s="4"/>
      <c r="C226" s="3"/>
      <c r="D226" s="3"/>
      <c r="E226" s="3"/>
      <c r="F226" s="3"/>
      <c r="G226" s="3"/>
      <c r="H226" s="3"/>
      <c r="I226" s="3"/>
      <c r="J226" s="3"/>
      <c r="K226" s="3"/>
      <c r="L226" s="3"/>
      <c r="M226" s="3"/>
      <c r="N226" s="3"/>
      <c r="O226" s="3"/>
      <c r="P226" s="3"/>
      <c r="Q226" s="3"/>
      <c r="R226" s="111"/>
      <c r="S226" s="111"/>
    </row>
    <row r="227" spans="1:20" x14ac:dyDescent="0.25">
      <c r="A227" s="4"/>
      <c r="B227" s="4"/>
      <c r="C227" s="3"/>
      <c r="D227" s="3"/>
      <c r="E227" s="3"/>
      <c r="F227" s="3"/>
      <c r="G227" s="3"/>
      <c r="H227" s="3"/>
      <c r="I227" s="3"/>
      <c r="J227" s="3"/>
      <c r="K227" s="3"/>
      <c r="L227" s="3"/>
      <c r="M227" s="3"/>
      <c r="N227" s="3"/>
      <c r="O227" s="3"/>
      <c r="P227" s="3"/>
      <c r="Q227" s="3"/>
      <c r="R227" s="111"/>
      <c r="S227" s="111"/>
    </row>
    <row r="228" spans="1:20" x14ac:dyDescent="0.25">
      <c r="A228" s="4"/>
      <c r="B228" s="4"/>
      <c r="C228" s="3"/>
      <c r="D228" s="3"/>
      <c r="E228" s="3"/>
      <c r="F228" s="3"/>
      <c r="G228" s="3"/>
      <c r="H228" s="3"/>
      <c r="I228" s="3"/>
      <c r="J228" s="3"/>
      <c r="K228" s="3"/>
      <c r="L228" s="3"/>
      <c r="M228" s="3"/>
      <c r="N228" s="3"/>
      <c r="O228" s="3"/>
      <c r="P228" s="3"/>
      <c r="Q228" s="3"/>
      <c r="R228" s="111"/>
      <c r="S228" s="111"/>
    </row>
    <row r="229" spans="1:20" x14ac:dyDescent="0.25">
      <c r="A229" s="4"/>
      <c r="B229" s="4"/>
      <c r="C229" s="3"/>
      <c r="D229" s="3"/>
      <c r="E229" s="3"/>
      <c r="F229" s="3"/>
      <c r="G229" s="3"/>
      <c r="H229" s="3"/>
      <c r="I229" s="3"/>
      <c r="J229" s="3"/>
      <c r="K229" s="3"/>
      <c r="L229" s="3"/>
      <c r="M229" s="3"/>
      <c r="N229" s="3"/>
      <c r="O229" s="3"/>
      <c r="P229" s="3"/>
      <c r="Q229" s="3"/>
      <c r="R229" s="111"/>
      <c r="S229" s="111"/>
    </row>
    <row r="230" spans="1:20" x14ac:dyDescent="0.25">
      <c r="A230" s="4"/>
      <c r="B230" s="4"/>
      <c r="C230" s="3"/>
      <c r="D230" s="3"/>
      <c r="E230" s="3"/>
      <c r="F230" s="3"/>
      <c r="G230" s="3"/>
      <c r="H230" s="3"/>
      <c r="I230" s="3"/>
      <c r="J230" s="3"/>
      <c r="K230" s="3"/>
      <c r="L230" s="3"/>
      <c r="M230" s="3"/>
      <c r="N230" s="3"/>
      <c r="O230" s="3"/>
      <c r="P230" s="3"/>
      <c r="Q230" s="3"/>
      <c r="R230" s="111"/>
      <c r="S230" s="111"/>
    </row>
    <row r="231" spans="1:20" x14ac:dyDescent="0.25">
      <c r="A231" s="4"/>
      <c r="B231" s="4"/>
      <c r="C231" s="3"/>
      <c r="D231" s="3"/>
      <c r="E231" s="3"/>
      <c r="F231" s="3"/>
      <c r="G231" s="3"/>
      <c r="H231" s="3"/>
      <c r="I231" s="3"/>
      <c r="J231" s="3"/>
      <c r="K231" s="3"/>
      <c r="L231" s="3"/>
      <c r="M231" s="3"/>
      <c r="N231" s="3"/>
      <c r="O231" s="3"/>
      <c r="P231" s="3"/>
      <c r="Q231" s="3"/>
      <c r="R231" s="111"/>
      <c r="S231" s="111"/>
    </row>
    <row r="232" spans="1:20" x14ac:dyDescent="0.25">
      <c r="A232" s="4"/>
      <c r="B232" s="4"/>
      <c r="C232" s="3"/>
      <c r="D232" s="3"/>
      <c r="E232" s="3"/>
      <c r="F232" s="3"/>
      <c r="G232" s="3"/>
      <c r="H232" s="3"/>
      <c r="I232" s="3"/>
      <c r="J232" s="3"/>
      <c r="K232" s="3"/>
      <c r="L232" s="3"/>
      <c r="M232" s="3"/>
      <c r="N232" s="3"/>
      <c r="O232" s="3"/>
      <c r="P232" s="3"/>
      <c r="Q232" s="3"/>
      <c r="R232" s="111"/>
      <c r="S232" s="111"/>
    </row>
    <row r="233" spans="1:20" s="4" customFormat="1" x14ac:dyDescent="0.25">
      <c r="C233" s="3"/>
      <c r="D233" s="3"/>
      <c r="E233" s="3"/>
      <c r="F233" s="3"/>
      <c r="G233" s="3"/>
      <c r="H233" s="3"/>
      <c r="I233" s="3"/>
      <c r="J233" s="3"/>
      <c r="K233" s="3"/>
      <c r="L233" s="3"/>
      <c r="M233" s="3"/>
      <c r="N233" s="3"/>
      <c r="O233" s="3"/>
      <c r="P233" s="3"/>
      <c r="Q233" s="3"/>
      <c r="R233" s="111"/>
      <c r="S233" s="111"/>
      <c r="T233" s="111"/>
    </row>
    <row r="234" spans="1:20" s="4" customFormat="1" x14ac:dyDescent="0.25">
      <c r="C234" s="3"/>
      <c r="D234" s="3"/>
      <c r="E234" s="3"/>
      <c r="F234" s="3"/>
      <c r="G234" s="3"/>
      <c r="H234" s="3"/>
      <c r="I234" s="3"/>
      <c r="J234" s="3"/>
      <c r="K234" s="3"/>
      <c r="L234" s="3"/>
      <c r="M234" s="3"/>
      <c r="N234" s="3"/>
      <c r="O234" s="3"/>
      <c r="P234" s="3"/>
      <c r="Q234" s="3"/>
      <c r="R234" s="111"/>
      <c r="S234" s="111"/>
      <c r="T234" s="111"/>
    </row>
    <row r="235" spans="1:20" s="4" customFormat="1" x14ac:dyDescent="0.25">
      <c r="C235" s="3"/>
      <c r="D235" s="3"/>
      <c r="E235" s="3"/>
      <c r="F235" s="3"/>
      <c r="G235" s="3"/>
      <c r="H235" s="3"/>
      <c r="I235" s="3"/>
      <c r="J235" s="3"/>
      <c r="K235" s="3"/>
      <c r="L235" s="3"/>
      <c r="M235" s="3"/>
      <c r="N235" s="3"/>
      <c r="O235" s="3"/>
      <c r="P235" s="3"/>
      <c r="Q235" s="3"/>
      <c r="R235" s="111"/>
      <c r="S235" s="111"/>
      <c r="T235" s="111"/>
    </row>
    <row r="236" spans="1:20" s="4" customFormat="1" x14ac:dyDescent="0.25">
      <c r="C236" s="3"/>
      <c r="D236" s="3"/>
      <c r="E236" s="3"/>
      <c r="F236" s="3"/>
      <c r="G236" s="3"/>
      <c r="H236" s="3"/>
      <c r="I236" s="3"/>
      <c r="J236" s="3"/>
      <c r="K236" s="3"/>
      <c r="L236" s="3"/>
      <c r="M236" s="3"/>
      <c r="N236" s="3"/>
      <c r="O236" s="3"/>
      <c r="P236" s="3"/>
      <c r="Q236" s="3"/>
      <c r="R236" s="111"/>
      <c r="S236" s="111"/>
      <c r="T236" s="111"/>
    </row>
    <row r="237" spans="1:20" s="4" customFormat="1" x14ac:dyDescent="0.25">
      <c r="C237" s="3"/>
      <c r="D237" s="3"/>
      <c r="E237" s="3"/>
      <c r="F237" s="3"/>
      <c r="G237" s="3"/>
      <c r="H237" s="3"/>
      <c r="I237" s="3"/>
      <c r="J237" s="3"/>
      <c r="K237" s="3"/>
      <c r="L237" s="3"/>
      <c r="M237" s="3"/>
      <c r="N237" s="3"/>
      <c r="O237" s="3"/>
      <c r="P237" s="3"/>
      <c r="Q237" s="3"/>
      <c r="R237" s="111"/>
      <c r="S237" s="111"/>
      <c r="T237" s="111"/>
    </row>
    <row r="238" spans="1:20" s="4" customFormat="1" x14ac:dyDescent="0.25">
      <c r="C238" s="3"/>
      <c r="D238" s="3"/>
      <c r="E238" s="3"/>
      <c r="F238" s="3"/>
      <c r="G238" s="3"/>
      <c r="H238" s="3"/>
      <c r="I238" s="3"/>
      <c r="J238" s="3"/>
      <c r="K238" s="3"/>
      <c r="L238" s="3"/>
      <c r="M238" s="3"/>
      <c r="N238" s="3"/>
      <c r="O238" s="3"/>
      <c r="P238" s="3"/>
      <c r="Q238" s="3"/>
      <c r="R238" s="111"/>
      <c r="S238" s="111"/>
      <c r="T238" s="111"/>
    </row>
    <row r="239" spans="1:20" s="4" customFormat="1" x14ac:dyDescent="0.25">
      <c r="C239" s="3"/>
      <c r="D239" s="3"/>
      <c r="E239" s="3"/>
      <c r="F239" s="3"/>
      <c r="G239" s="3"/>
      <c r="H239" s="3"/>
      <c r="I239" s="3"/>
      <c r="J239" s="3"/>
      <c r="K239" s="3"/>
      <c r="L239" s="3"/>
      <c r="M239" s="3"/>
      <c r="N239" s="3"/>
      <c r="O239" s="3"/>
      <c r="P239" s="3"/>
      <c r="Q239" s="3"/>
      <c r="R239" s="111"/>
      <c r="S239" s="111"/>
      <c r="T239" s="111"/>
    </row>
    <row r="240" spans="1:20" s="4" customFormat="1" x14ac:dyDescent="0.25">
      <c r="C240" s="3"/>
      <c r="D240" s="3"/>
      <c r="E240" s="3"/>
      <c r="F240" s="3"/>
      <c r="G240" s="3"/>
      <c r="H240" s="3"/>
      <c r="I240" s="3"/>
      <c r="J240" s="3"/>
      <c r="K240" s="3"/>
      <c r="L240" s="3"/>
      <c r="M240" s="3"/>
      <c r="N240" s="3"/>
      <c r="O240" s="3"/>
      <c r="P240" s="3"/>
      <c r="Q240" s="3"/>
      <c r="R240" s="111"/>
      <c r="S240" s="111"/>
      <c r="T240" s="111"/>
    </row>
    <row r="241" spans="3:20" s="4" customFormat="1" x14ac:dyDescent="0.25">
      <c r="C241" s="3"/>
      <c r="D241" s="3"/>
      <c r="E241" s="3"/>
      <c r="F241" s="3"/>
      <c r="G241" s="3"/>
      <c r="H241" s="3"/>
      <c r="I241" s="3"/>
      <c r="J241" s="3"/>
      <c r="K241" s="3"/>
      <c r="L241" s="3"/>
      <c r="M241" s="3"/>
      <c r="N241" s="3"/>
      <c r="O241" s="3"/>
      <c r="P241" s="3"/>
      <c r="Q241" s="3"/>
      <c r="R241" s="111"/>
      <c r="S241" s="111"/>
      <c r="T241" s="111"/>
    </row>
    <row r="242" spans="3:20" s="4" customFormat="1" x14ac:dyDescent="0.25">
      <c r="C242" s="3"/>
      <c r="D242" s="3"/>
      <c r="E242" s="3"/>
      <c r="F242" s="3"/>
      <c r="G242" s="3"/>
      <c r="H242" s="3"/>
      <c r="I242" s="3"/>
      <c r="J242" s="3"/>
      <c r="K242" s="3"/>
      <c r="L242" s="3"/>
      <c r="M242" s="3"/>
      <c r="N242" s="3"/>
      <c r="O242" s="3"/>
      <c r="P242" s="3"/>
      <c r="Q242" s="3"/>
      <c r="R242" s="111"/>
      <c r="S242" s="111"/>
      <c r="T242" s="111"/>
    </row>
    <row r="243" spans="3:20" s="4" customFormat="1" x14ac:dyDescent="0.25">
      <c r="C243" s="3"/>
      <c r="D243" s="3"/>
      <c r="E243" s="3"/>
      <c r="F243" s="3"/>
      <c r="G243" s="3"/>
      <c r="H243" s="3"/>
      <c r="I243" s="3"/>
      <c r="J243" s="3"/>
      <c r="K243" s="3"/>
      <c r="L243" s="3"/>
      <c r="M243" s="3"/>
      <c r="N243" s="3"/>
      <c r="O243" s="3"/>
      <c r="P243" s="3"/>
      <c r="Q243" s="3"/>
      <c r="R243" s="111"/>
      <c r="S243" s="111"/>
      <c r="T243" s="111"/>
    </row>
    <row r="244" spans="3:20" s="4" customFormat="1" x14ac:dyDescent="0.25">
      <c r="C244" s="3"/>
      <c r="D244" s="3"/>
      <c r="E244" s="3"/>
      <c r="F244" s="3"/>
      <c r="G244" s="3"/>
      <c r="H244" s="3"/>
      <c r="I244" s="3"/>
      <c r="J244" s="3"/>
      <c r="K244" s="3"/>
      <c r="L244" s="3"/>
      <c r="M244" s="3"/>
      <c r="N244" s="3"/>
      <c r="O244" s="3"/>
      <c r="P244" s="3"/>
      <c r="Q244" s="3"/>
      <c r="R244" s="111"/>
      <c r="S244" s="111"/>
      <c r="T244" s="111"/>
    </row>
    <row r="245" spans="3:20" s="4" customFormat="1" x14ac:dyDescent="0.25">
      <c r="C245" s="3"/>
      <c r="D245" s="3"/>
      <c r="E245" s="3"/>
      <c r="F245" s="3"/>
      <c r="G245" s="3"/>
      <c r="H245" s="3"/>
      <c r="I245" s="3"/>
      <c r="J245" s="3"/>
      <c r="K245" s="3"/>
      <c r="L245" s="3"/>
      <c r="M245" s="3"/>
      <c r="N245" s="3"/>
      <c r="O245" s="3"/>
      <c r="P245" s="3"/>
      <c r="Q245" s="3"/>
      <c r="R245" s="111"/>
      <c r="S245" s="111"/>
      <c r="T245" s="111"/>
    </row>
    <row r="246" spans="3:20" s="4" customFormat="1" x14ac:dyDescent="0.25">
      <c r="C246" s="3"/>
      <c r="D246" s="3"/>
      <c r="E246" s="3"/>
      <c r="F246" s="3"/>
      <c r="G246" s="3"/>
      <c r="H246" s="3"/>
      <c r="I246" s="3"/>
      <c r="J246" s="3"/>
      <c r="K246" s="3"/>
      <c r="L246" s="3"/>
      <c r="M246" s="3"/>
      <c r="N246" s="3"/>
      <c r="O246" s="3"/>
      <c r="P246" s="3"/>
      <c r="Q246" s="3"/>
      <c r="R246" s="111"/>
      <c r="S246" s="111"/>
      <c r="T246" s="111"/>
    </row>
    <row r="247" spans="3:20" s="4" customFormat="1" x14ac:dyDescent="0.25">
      <c r="C247" s="3"/>
      <c r="D247" s="3"/>
      <c r="E247" s="3"/>
      <c r="F247" s="3"/>
      <c r="G247" s="3"/>
      <c r="H247" s="3"/>
      <c r="I247" s="3"/>
      <c r="J247" s="3"/>
      <c r="K247" s="3"/>
      <c r="L247" s="3"/>
      <c r="M247" s="3"/>
      <c r="N247" s="3"/>
      <c r="O247" s="3"/>
      <c r="P247" s="3"/>
      <c r="Q247" s="3"/>
      <c r="R247" s="111"/>
      <c r="S247" s="111"/>
      <c r="T247" s="111"/>
    </row>
    <row r="248" spans="3:20" s="4" customFormat="1" x14ac:dyDescent="0.25">
      <c r="C248" s="3"/>
      <c r="D248" s="3"/>
      <c r="E248" s="3"/>
      <c r="F248" s="3"/>
      <c r="G248" s="3"/>
      <c r="H248" s="3"/>
      <c r="I248" s="3"/>
      <c r="J248" s="3"/>
      <c r="K248" s="3"/>
      <c r="L248" s="3"/>
      <c r="M248" s="3"/>
      <c r="N248" s="3"/>
      <c r="O248" s="3"/>
      <c r="P248" s="3"/>
      <c r="Q248" s="3"/>
      <c r="R248" s="111"/>
      <c r="S248" s="111"/>
      <c r="T248" s="111"/>
    </row>
    <row r="249" spans="3:20" s="4" customFormat="1" x14ac:dyDescent="0.25">
      <c r="C249" s="3"/>
      <c r="D249" s="3"/>
      <c r="E249" s="3"/>
      <c r="F249" s="3"/>
      <c r="G249" s="3"/>
      <c r="H249" s="3"/>
      <c r="I249" s="3"/>
      <c r="J249" s="3"/>
      <c r="K249" s="3"/>
      <c r="L249" s="3"/>
      <c r="M249" s="3"/>
      <c r="N249" s="3"/>
      <c r="O249" s="3"/>
      <c r="P249" s="3"/>
      <c r="Q249" s="3"/>
      <c r="R249" s="111"/>
      <c r="S249" s="111"/>
      <c r="T249" s="111"/>
    </row>
    <row r="250" spans="3:20" s="4" customFormat="1" x14ac:dyDescent="0.25">
      <c r="C250" s="3"/>
      <c r="D250" s="3"/>
      <c r="E250" s="3"/>
      <c r="F250" s="3"/>
      <c r="G250" s="3"/>
      <c r="H250" s="3"/>
      <c r="I250" s="3"/>
      <c r="J250" s="3"/>
      <c r="K250" s="3"/>
      <c r="L250" s="3"/>
      <c r="M250" s="3"/>
      <c r="N250" s="3"/>
      <c r="O250" s="3"/>
      <c r="P250" s="3"/>
      <c r="Q250" s="3"/>
      <c r="R250" s="111"/>
      <c r="S250" s="111"/>
      <c r="T250" s="111"/>
    </row>
    <row r="251" spans="3:20" s="4" customFormat="1" x14ac:dyDescent="0.25">
      <c r="C251" s="3"/>
      <c r="D251" s="3"/>
      <c r="E251" s="3"/>
      <c r="F251" s="3"/>
      <c r="G251" s="3"/>
      <c r="H251" s="3"/>
      <c r="I251" s="3"/>
      <c r="J251" s="3"/>
      <c r="K251" s="3"/>
      <c r="L251" s="3"/>
      <c r="M251" s="3"/>
      <c r="N251" s="3"/>
      <c r="O251" s="3"/>
      <c r="P251" s="3"/>
      <c r="Q251" s="3"/>
      <c r="R251" s="111"/>
      <c r="S251" s="111"/>
      <c r="T251" s="111"/>
    </row>
    <row r="252" spans="3:20" s="4" customFormat="1" x14ac:dyDescent="0.25">
      <c r="C252" s="3"/>
      <c r="D252" s="3"/>
      <c r="E252" s="3"/>
      <c r="F252" s="3"/>
      <c r="G252" s="3"/>
      <c r="H252" s="3"/>
      <c r="I252" s="3"/>
      <c r="J252" s="3"/>
      <c r="K252" s="3"/>
      <c r="L252" s="3"/>
      <c r="M252" s="3"/>
      <c r="N252" s="3"/>
      <c r="O252" s="3"/>
      <c r="P252" s="3"/>
      <c r="Q252" s="3"/>
      <c r="R252" s="111"/>
      <c r="S252" s="111"/>
      <c r="T252" s="111"/>
    </row>
    <row r="253" spans="3:20" s="4" customFormat="1" x14ac:dyDescent="0.25">
      <c r="C253" s="3"/>
      <c r="D253" s="3"/>
      <c r="E253" s="3"/>
      <c r="F253" s="3"/>
      <c r="G253" s="3"/>
      <c r="H253" s="3"/>
      <c r="I253" s="3"/>
      <c r="J253" s="3"/>
      <c r="K253" s="3"/>
      <c r="L253" s="3"/>
      <c r="M253" s="3"/>
      <c r="N253" s="3"/>
      <c r="O253" s="3"/>
      <c r="P253" s="3"/>
      <c r="Q253" s="3"/>
      <c r="R253" s="111"/>
      <c r="S253" s="111"/>
      <c r="T253" s="111"/>
    </row>
    <row r="254" spans="3:20" s="4" customFormat="1" x14ac:dyDescent="0.25">
      <c r="C254" s="3"/>
      <c r="D254" s="3"/>
      <c r="E254" s="3"/>
      <c r="F254" s="3"/>
      <c r="G254" s="3"/>
      <c r="H254" s="3"/>
      <c r="I254" s="3"/>
      <c r="J254" s="3"/>
      <c r="K254" s="3"/>
      <c r="L254" s="3"/>
      <c r="M254" s="3"/>
      <c r="N254" s="3"/>
      <c r="O254" s="3"/>
      <c r="P254" s="3"/>
      <c r="Q254" s="3"/>
      <c r="R254" s="111"/>
      <c r="S254" s="111"/>
      <c r="T254" s="111"/>
    </row>
    <row r="255" spans="3:20" s="4" customFormat="1" x14ac:dyDescent="0.25">
      <c r="C255" s="3"/>
      <c r="D255" s="3"/>
      <c r="E255" s="3"/>
      <c r="F255" s="3"/>
      <c r="G255" s="3"/>
      <c r="H255" s="3"/>
      <c r="I255" s="3"/>
      <c r="J255" s="3"/>
      <c r="K255" s="3"/>
      <c r="L255" s="3"/>
      <c r="M255" s="3"/>
      <c r="N255" s="3"/>
      <c r="O255" s="3"/>
      <c r="P255" s="3"/>
      <c r="Q255" s="3"/>
      <c r="R255" s="111"/>
      <c r="S255" s="111"/>
      <c r="T255" s="111"/>
    </row>
    <row r="256" spans="3:20" s="4" customFormat="1" x14ac:dyDescent="0.25">
      <c r="C256" s="3"/>
      <c r="D256" s="3"/>
      <c r="E256" s="3"/>
      <c r="F256" s="3"/>
      <c r="G256" s="3"/>
      <c r="H256" s="3"/>
      <c r="I256" s="3"/>
      <c r="J256" s="3"/>
      <c r="K256" s="3"/>
      <c r="L256" s="3"/>
      <c r="M256" s="3"/>
      <c r="N256" s="3"/>
      <c r="O256" s="3"/>
      <c r="P256" s="3"/>
      <c r="Q256" s="3"/>
      <c r="R256" s="111"/>
      <c r="S256" s="111"/>
      <c r="T256" s="111"/>
    </row>
    <row r="257" spans="3:20" s="4" customFormat="1" x14ac:dyDescent="0.25">
      <c r="C257" s="3"/>
      <c r="D257" s="3"/>
      <c r="E257" s="3"/>
      <c r="F257" s="3"/>
      <c r="G257" s="3"/>
      <c r="H257" s="3"/>
      <c r="I257" s="3"/>
      <c r="J257" s="3"/>
      <c r="K257" s="3"/>
      <c r="L257" s="3"/>
      <c r="M257" s="3"/>
      <c r="N257" s="3"/>
      <c r="O257" s="3"/>
      <c r="P257" s="3"/>
      <c r="Q257" s="3"/>
      <c r="R257" s="111"/>
      <c r="S257" s="111"/>
      <c r="T257" s="111"/>
    </row>
    <row r="258" spans="3:20" s="4" customFormat="1" x14ac:dyDescent="0.25">
      <c r="C258" s="3"/>
      <c r="D258" s="3"/>
      <c r="E258" s="3"/>
      <c r="F258" s="3"/>
      <c r="G258" s="3"/>
      <c r="H258" s="3"/>
      <c r="I258" s="3"/>
      <c r="J258" s="3"/>
      <c r="K258" s="3"/>
      <c r="L258" s="3"/>
      <c r="M258" s="3"/>
      <c r="N258" s="3"/>
      <c r="O258" s="3"/>
      <c r="P258" s="3"/>
      <c r="Q258" s="3"/>
      <c r="R258" s="111"/>
      <c r="S258" s="111"/>
      <c r="T258" s="111"/>
    </row>
    <row r="259" spans="3:20" s="4" customFormat="1" x14ac:dyDescent="0.25">
      <c r="C259" s="3"/>
      <c r="D259" s="3"/>
      <c r="E259" s="3"/>
      <c r="F259" s="3"/>
      <c r="G259" s="3"/>
      <c r="H259" s="3"/>
      <c r="I259" s="3"/>
      <c r="J259" s="3"/>
      <c r="K259" s="3"/>
      <c r="L259" s="3"/>
      <c r="M259" s="3"/>
      <c r="N259" s="3"/>
      <c r="O259" s="3"/>
      <c r="P259" s="3"/>
      <c r="Q259" s="3"/>
      <c r="R259" s="111"/>
      <c r="S259" s="111"/>
      <c r="T259" s="111"/>
    </row>
    <row r="260" spans="3:20" s="4" customFormat="1" x14ac:dyDescent="0.25">
      <c r="C260" s="3"/>
      <c r="D260" s="3"/>
      <c r="E260" s="3"/>
      <c r="F260" s="3"/>
      <c r="G260" s="3"/>
      <c r="H260" s="3"/>
      <c r="I260" s="3"/>
      <c r="J260" s="3"/>
      <c r="K260" s="3"/>
      <c r="L260" s="3"/>
      <c r="M260" s="3"/>
      <c r="N260" s="3"/>
      <c r="O260" s="3"/>
      <c r="P260" s="3"/>
      <c r="Q260" s="3"/>
      <c r="R260" s="111"/>
      <c r="S260" s="111"/>
      <c r="T260" s="111"/>
    </row>
    <row r="261" spans="3:20" s="4" customFormat="1" x14ac:dyDescent="0.25">
      <c r="C261" s="3"/>
      <c r="D261" s="3"/>
      <c r="E261" s="3"/>
      <c r="F261" s="3"/>
      <c r="G261" s="3"/>
      <c r="H261" s="3"/>
      <c r="I261" s="3"/>
      <c r="J261" s="3"/>
      <c r="K261" s="3"/>
      <c r="L261" s="3"/>
      <c r="M261" s="3"/>
      <c r="N261" s="3"/>
      <c r="O261" s="3"/>
      <c r="P261" s="3"/>
      <c r="Q261" s="3"/>
      <c r="R261" s="111"/>
      <c r="S261" s="111"/>
      <c r="T261" s="111"/>
    </row>
    <row r="262" spans="3:20" s="4" customFormat="1" x14ac:dyDescent="0.25">
      <c r="C262" s="3"/>
      <c r="D262" s="3"/>
      <c r="E262" s="3"/>
      <c r="F262" s="3"/>
      <c r="G262" s="3"/>
      <c r="H262" s="3"/>
      <c r="I262" s="3"/>
      <c r="J262" s="3"/>
      <c r="K262" s="3"/>
      <c r="L262" s="3"/>
      <c r="M262" s="3"/>
      <c r="N262" s="3"/>
      <c r="O262" s="3"/>
      <c r="P262" s="3"/>
      <c r="Q262" s="3"/>
      <c r="R262" s="111"/>
      <c r="S262" s="111"/>
      <c r="T262" s="111"/>
    </row>
    <row r="263" spans="3:20" s="4" customFormat="1" x14ac:dyDescent="0.25">
      <c r="C263" s="3"/>
      <c r="D263" s="3"/>
      <c r="E263" s="3"/>
      <c r="F263" s="3"/>
      <c r="G263" s="3"/>
      <c r="H263" s="3"/>
      <c r="I263" s="3"/>
      <c r="J263" s="3"/>
      <c r="K263" s="3"/>
      <c r="L263" s="3"/>
      <c r="M263" s="3"/>
      <c r="N263" s="3"/>
      <c r="O263" s="3"/>
      <c r="P263" s="3"/>
      <c r="Q263" s="3"/>
      <c r="R263" s="111"/>
      <c r="S263" s="111"/>
      <c r="T263" s="111"/>
    </row>
    <row r="264" spans="3:20" s="4" customFormat="1" x14ac:dyDescent="0.25">
      <c r="C264" s="3"/>
      <c r="D264" s="3"/>
      <c r="E264" s="3"/>
      <c r="F264" s="3"/>
      <c r="G264" s="3"/>
      <c r="H264" s="3"/>
      <c r="I264" s="3"/>
      <c r="J264" s="3"/>
      <c r="K264" s="3"/>
      <c r="L264" s="3"/>
      <c r="M264" s="3"/>
      <c r="N264" s="3"/>
      <c r="O264" s="3"/>
      <c r="P264" s="3"/>
      <c r="Q264" s="3"/>
      <c r="R264" s="111"/>
      <c r="S264" s="111"/>
      <c r="T264" s="111"/>
    </row>
    <row r="265" spans="3:20" s="4" customFormat="1" x14ac:dyDescent="0.25">
      <c r="C265" s="3"/>
      <c r="D265" s="3"/>
      <c r="E265" s="3"/>
      <c r="F265" s="3"/>
      <c r="G265" s="3"/>
      <c r="H265" s="3"/>
      <c r="I265" s="3"/>
      <c r="J265" s="3"/>
      <c r="K265" s="3"/>
      <c r="L265" s="3"/>
      <c r="M265" s="3"/>
      <c r="N265" s="3"/>
      <c r="O265" s="3"/>
      <c r="P265" s="3"/>
      <c r="Q265" s="3"/>
      <c r="R265" s="111"/>
      <c r="S265" s="111"/>
      <c r="T265" s="111"/>
    </row>
    <row r="266" spans="3:20" s="4" customFormat="1" x14ac:dyDescent="0.25">
      <c r="C266" s="3"/>
      <c r="D266" s="3"/>
      <c r="E266" s="3"/>
      <c r="F266" s="3"/>
      <c r="G266" s="3"/>
      <c r="H266" s="3"/>
      <c r="I266" s="3"/>
      <c r="J266" s="3"/>
      <c r="K266" s="3"/>
      <c r="L266" s="3"/>
      <c r="M266" s="3"/>
      <c r="N266" s="3"/>
      <c r="O266" s="3"/>
      <c r="P266" s="3"/>
      <c r="Q266" s="3"/>
      <c r="R266" s="111"/>
      <c r="S266" s="111"/>
      <c r="T266" s="111"/>
    </row>
    <row r="267" spans="3:20" s="4" customFormat="1" x14ac:dyDescent="0.25">
      <c r="C267" s="3"/>
      <c r="D267" s="3"/>
      <c r="E267" s="3"/>
      <c r="F267" s="3"/>
      <c r="G267" s="3"/>
      <c r="H267" s="3"/>
      <c r="I267" s="3"/>
      <c r="J267" s="3"/>
      <c r="K267" s="3"/>
      <c r="L267" s="3"/>
      <c r="M267" s="3"/>
      <c r="N267" s="3"/>
      <c r="O267" s="3"/>
      <c r="P267" s="3"/>
      <c r="Q267" s="3"/>
      <c r="R267" s="111"/>
      <c r="S267" s="111"/>
      <c r="T267" s="111"/>
    </row>
    <row r="268" spans="3:20" s="4" customFormat="1" x14ac:dyDescent="0.25">
      <c r="C268" s="3"/>
      <c r="D268" s="3"/>
      <c r="E268" s="3"/>
      <c r="F268" s="3"/>
      <c r="G268" s="3"/>
      <c r="H268" s="3"/>
      <c r="I268" s="3"/>
      <c r="J268" s="3"/>
      <c r="K268" s="3"/>
      <c r="L268" s="3"/>
      <c r="M268" s="3"/>
      <c r="N268" s="3"/>
      <c r="O268" s="3"/>
      <c r="P268" s="3"/>
      <c r="Q268" s="3"/>
      <c r="R268" s="111"/>
      <c r="S268" s="111"/>
      <c r="T268" s="111"/>
    </row>
    <row r="269" spans="3:20" s="4" customFormat="1" x14ac:dyDescent="0.25">
      <c r="C269" s="3"/>
      <c r="D269" s="3"/>
      <c r="E269" s="3"/>
      <c r="F269" s="3"/>
      <c r="G269" s="3"/>
      <c r="H269" s="3"/>
      <c r="I269" s="3"/>
      <c r="J269" s="3"/>
      <c r="K269" s="3"/>
      <c r="L269" s="3"/>
      <c r="M269" s="3"/>
      <c r="N269" s="3"/>
      <c r="O269" s="3"/>
      <c r="P269" s="3"/>
      <c r="Q269" s="3"/>
      <c r="R269" s="111"/>
      <c r="S269" s="111"/>
      <c r="T269" s="111"/>
    </row>
    <row r="270" spans="3:20" s="4" customFormat="1" x14ac:dyDescent="0.25">
      <c r="C270" s="3"/>
      <c r="D270" s="3"/>
      <c r="E270" s="3"/>
      <c r="F270" s="3"/>
      <c r="G270" s="3"/>
      <c r="H270" s="3"/>
      <c r="I270" s="3"/>
      <c r="J270" s="3"/>
      <c r="K270" s="3"/>
      <c r="L270" s="3"/>
      <c r="M270" s="3"/>
      <c r="N270" s="3"/>
      <c r="O270" s="3"/>
      <c r="P270" s="3"/>
      <c r="Q270" s="3"/>
      <c r="R270" s="111"/>
      <c r="S270" s="111"/>
      <c r="T270" s="111"/>
    </row>
    <row r="271" spans="3:20" s="4" customFormat="1" x14ac:dyDescent="0.25">
      <c r="C271" s="3"/>
      <c r="D271" s="3"/>
      <c r="E271" s="3"/>
      <c r="F271" s="3"/>
      <c r="G271" s="3"/>
      <c r="H271" s="3"/>
      <c r="I271" s="3"/>
      <c r="J271" s="3"/>
      <c r="K271" s="3"/>
      <c r="L271" s="3"/>
      <c r="M271" s="3"/>
      <c r="N271" s="3"/>
      <c r="O271" s="3"/>
      <c r="P271" s="3"/>
      <c r="Q271" s="3"/>
      <c r="R271" s="111"/>
      <c r="S271" s="111"/>
      <c r="T271" s="111"/>
    </row>
    <row r="272" spans="3:20" s="4" customFormat="1" x14ac:dyDescent="0.25">
      <c r="C272" s="3"/>
      <c r="D272" s="3"/>
      <c r="E272" s="3"/>
      <c r="F272" s="3"/>
      <c r="G272" s="3"/>
      <c r="H272" s="3"/>
      <c r="I272" s="3"/>
      <c r="J272" s="3"/>
      <c r="K272" s="3"/>
      <c r="L272" s="3"/>
      <c r="M272" s="3"/>
      <c r="N272" s="3"/>
      <c r="O272" s="3"/>
      <c r="P272" s="3"/>
      <c r="Q272" s="3"/>
      <c r="R272" s="111"/>
      <c r="S272" s="111"/>
      <c r="T272" s="111"/>
    </row>
    <row r="273" spans="3:20" s="4" customFormat="1" x14ac:dyDescent="0.25">
      <c r="C273" s="3"/>
      <c r="D273" s="3"/>
      <c r="E273" s="3"/>
      <c r="F273" s="3"/>
      <c r="G273" s="3"/>
      <c r="H273" s="3"/>
      <c r="I273" s="3"/>
      <c r="J273" s="3"/>
      <c r="K273" s="3"/>
      <c r="L273" s="3"/>
      <c r="M273" s="3"/>
      <c r="N273" s="3"/>
      <c r="O273" s="3"/>
      <c r="P273" s="3"/>
      <c r="Q273" s="3"/>
      <c r="R273" s="111"/>
      <c r="S273" s="111"/>
      <c r="T273" s="111"/>
    </row>
    <row r="274" spans="3:20" s="4" customFormat="1" x14ac:dyDescent="0.25">
      <c r="C274" s="3"/>
      <c r="D274" s="3"/>
      <c r="E274" s="3"/>
      <c r="F274" s="3"/>
      <c r="G274" s="3"/>
      <c r="H274" s="3"/>
      <c r="I274" s="3"/>
      <c r="J274" s="3"/>
      <c r="K274" s="3"/>
      <c r="L274" s="3"/>
      <c r="M274" s="3"/>
      <c r="N274" s="3"/>
      <c r="O274" s="3"/>
      <c r="P274" s="3"/>
      <c r="Q274" s="3"/>
      <c r="R274" s="111"/>
      <c r="S274" s="111"/>
      <c r="T274" s="111"/>
    </row>
    <row r="275" spans="3:20" s="4" customFormat="1" x14ac:dyDescent="0.25">
      <c r="C275" s="3"/>
      <c r="D275" s="3"/>
      <c r="E275" s="3"/>
      <c r="F275" s="3"/>
      <c r="G275" s="3"/>
      <c r="H275" s="3"/>
      <c r="I275" s="3"/>
      <c r="J275" s="3"/>
      <c r="K275" s="3"/>
      <c r="L275" s="3"/>
      <c r="M275" s="3"/>
      <c r="N275" s="3"/>
      <c r="O275" s="3"/>
      <c r="P275" s="3"/>
      <c r="Q275" s="3"/>
      <c r="R275" s="111"/>
      <c r="S275" s="111"/>
      <c r="T275" s="111"/>
    </row>
    <row r="276" spans="3:20" s="4" customFormat="1" x14ac:dyDescent="0.25">
      <c r="C276" s="3"/>
      <c r="D276" s="3"/>
      <c r="E276" s="3"/>
      <c r="F276" s="3"/>
      <c r="G276" s="3"/>
      <c r="H276" s="3"/>
      <c r="I276" s="3"/>
      <c r="J276" s="3"/>
      <c r="K276" s="3"/>
      <c r="L276" s="3"/>
      <c r="M276" s="3"/>
      <c r="N276" s="3"/>
      <c r="O276" s="3"/>
      <c r="P276" s="3"/>
      <c r="Q276" s="3"/>
      <c r="R276" s="111"/>
      <c r="S276" s="111"/>
      <c r="T276" s="111"/>
    </row>
    <row r="277" spans="3:20" s="4" customFormat="1" x14ac:dyDescent="0.25">
      <c r="C277" s="3"/>
      <c r="D277" s="3"/>
      <c r="E277" s="3"/>
      <c r="F277" s="3"/>
      <c r="G277" s="3"/>
      <c r="H277" s="3"/>
      <c r="I277" s="3"/>
      <c r="J277" s="3"/>
      <c r="K277" s="3"/>
      <c r="L277" s="3"/>
      <c r="M277" s="3"/>
      <c r="N277" s="3"/>
      <c r="O277" s="3"/>
      <c r="P277" s="3"/>
      <c r="Q277" s="3"/>
      <c r="R277" s="111"/>
      <c r="S277" s="111"/>
      <c r="T277" s="111"/>
    </row>
    <row r="278" spans="3:20" s="4" customFormat="1" x14ac:dyDescent="0.25">
      <c r="C278" s="3"/>
      <c r="D278" s="3"/>
      <c r="E278" s="3"/>
      <c r="F278" s="3"/>
      <c r="G278" s="3"/>
      <c r="H278" s="3"/>
      <c r="I278" s="3"/>
      <c r="J278" s="3"/>
      <c r="K278" s="3"/>
      <c r="L278" s="3"/>
      <c r="M278" s="3"/>
      <c r="N278" s="3"/>
      <c r="O278" s="3"/>
      <c r="P278" s="3"/>
      <c r="Q278" s="3"/>
      <c r="R278" s="111"/>
      <c r="S278" s="111"/>
      <c r="T278" s="111"/>
    </row>
    <row r="279" spans="3:20" s="4" customFormat="1" x14ac:dyDescent="0.25">
      <c r="C279" s="3"/>
      <c r="D279" s="3"/>
      <c r="E279" s="3"/>
      <c r="F279" s="3"/>
      <c r="G279" s="3"/>
      <c r="H279" s="3"/>
      <c r="I279" s="3"/>
      <c r="J279" s="3"/>
      <c r="K279" s="3"/>
      <c r="L279" s="3"/>
      <c r="M279" s="3"/>
      <c r="N279" s="3"/>
      <c r="O279" s="3"/>
      <c r="P279" s="3"/>
      <c r="Q279" s="3"/>
      <c r="R279" s="111"/>
      <c r="S279" s="111"/>
      <c r="T279" s="111"/>
    </row>
    <row r="280" spans="3:20" s="4" customFormat="1" x14ac:dyDescent="0.25">
      <c r="C280" s="3"/>
      <c r="D280" s="3"/>
      <c r="E280" s="3"/>
      <c r="F280" s="3"/>
      <c r="G280" s="3"/>
      <c r="H280" s="3"/>
      <c r="I280" s="3"/>
      <c r="J280" s="3"/>
      <c r="K280" s="3"/>
      <c r="L280" s="3"/>
      <c r="M280" s="3"/>
      <c r="N280" s="3"/>
      <c r="O280" s="3"/>
      <c r="P280" s="3"/>
      <c r="Q280" s="3"/>
      <c r="R280" s="111"/>
      <c r="S280" s="111"/>
      <c r="T280" s="111"/>
    </row>
    <row r="281" spans="3:20" s="4" customFormat="1" x14ac:dyDescent="0.25">
      <c r="C281" s="3"/>
      <c r="D281" s="3"/>
      <c r="E281" s="3"/>
      <c r="F281" s="3"/>
      <c r="G281" s="3"/>
      <c r="H281" s="3"/>
      <c r="I281" s="3"/>
      <c r="J281" s="3"/>
      <c r="K281" s="3"/>
      <c r="L281" s="3"/>
      <c r="M281" s="3"/>
      <c r="N281" s="3"/>
      <c r="O281" s="3"/>
      <c r="P281" s="3"/>
      <c r="Q281" s="3"/>
      <c r="R281" s="111"/>
      <c r="S281" s="111"/>
      <c r="T281" s="111"/>
    </row>
    <row r="282" spans="3:20" s="4" customFormat="1" x14ac:dyDescent="0.25">
      <c r="C282" s="3"/>
      <c r="D282" s="3"/>
      <c r="E282" s="3"/>
      <c r="F282" s="3"/>
      <c r="G282" s="3"/>
      <c r="H282" s="3"/>
      <c r="I282" s="3"/>
      <c r="J282" s="3"/>
      <c r="K282" s="3"/>
      <c r="L282" s="3"/>
      <c r="M282" s="3"/>
      <c r="N282" s="3"/>
      <c r="O282" s="3"/>
      <c r="P282" s="3"/>
      <c r="Q282" s="3"/>
      <c r="R282" s="111"/>
      <c r="S282" s="111"/>
      <c r="T282" s="111"/>
    </row>
    <row r="283" spans="3:20" s="4" customFormat="1" x14ac:dyDescent="0.25">
      <c r="C283" s="3"/>
      <c r="D283" s="3"/>
      <c r="E283" s="3"/>
      <c r="F283" s="3"/>
      <c r="G283" s="3"/>
      <c r="H283" s="3"/>
      <c r="I283" s="3"/>
      <c r="J283" s="3"/>
      <c r="K283" s="3"/>
      <c r="L283" s="3"/>
      <c r="M283" s="3"/>
      <c r="N283" s="3"/>
      <c r="O283" s="3"/>
      <c r="P283" s="3"/>
      <c r="Q283" s="3"/>
      <c r="R283" s="111"/>
      <c r="S283" s="111"/>
      <c r="T283" s="111"/>
    </row>
    <row r="284" spans="3:20" s="4" customFormat="1" x14ac:dyDescent="0.25">
      <c r="C284" s="3"/>
      <c r="D284" s="3"/>
      <c r="E284" s="3"/>
      <c r="F284" s="3"/>
      <c r="G284" s="3"/>
      <c r="H284" s="3"/>
      <c r="I284" s="3"/>
      <c r="J284" s="3"/>
      <c r="K284" s="3"/>
      <c r="L284" s="3"/>
      <c r="M284" s="3"/>
      <c r="N284" s="3"/>
      <c r="O284" s="3"/>
      <c r="P284" s="3"/>
      <c r="Q284" s="3"/>
      <c r="R284" s="111"/>
      <c r="S284" s="111"/>
      <c r="T284" s="111"/>
    </row>
    <row r="285" spans="3:20" s="4" customFormat="1" x14ac:dyDescent="0.25">
      <c r="C285" s="3"/>
      <c r="D285" s="3"/>
      <c r="E285" s="3"/>
      <c r="F285" s="3"/>
      <c r="G285" s="3"/>
      <c r="H285" s="3"/>
      <c r="I285" s="3"/>
      <c r="J285" s="3"/>
      <c r="K285" s="3"/>
      <c r="L285" s="3"/>
      <c r="M285" s="3"/>
      <c r="N285" s="3"/>
      <c r="O285" s="3"/>
      <c r="P285" s="3"/>
      <c r="Q285" s="3"/>
      <c r="R285" s="111"/>
      <c r="S285" s="111"/>
      <c r="T285" s="111"/>
    </row>
    <row r="286" spans="3:20" s="4" customFormat="1" x14ac:dyDescent="0.25">
      <c r="C286" s="3"/>
      <c r="D286" s="3"/>
      <c r="E286" s="3"/>
      <c r="F286" s="3"/>
      <c r="G286" s="3"/>
      <c r="H286" s="3"/>
      <c r="I286" s="3"/>
      <c r="J286" s="3"/>
      <c r="K286" s="3"/>
      <c r="L286" s="3"/>
      <c r="M286" s="3"/>
      <c r="N286" s="3"/>
      <c r="O286" s="3"/>
      <c r="P286" s="3"/>
      <c r="Q286" s="3"/>
      <c r="R286" s="111"/>
      <c r="S286" s="111"/>
      <c r="T286" s="111"/>
    </row>
    <row r="287" spans="3:20" s="4" customFormat="1" x14ac:dyDescent="0.25">
      <c r="C287" s="3"/>
      <c r="D287" s="3"/>
      <c r="E287" s="3"/>
      <c r="F287" s="3"/>
      <c r="G287" s="3"/>
      <c r="H287" s="3"/>
      <c r="I287" s="3"/>
      <c r="J287" s="3"/>
      <c r="K287" s="3"/>
      <c r="L287" s="3"/>
      <c r="M287" s="3"/>
      <c r="N287" s="3"/>
      <c r="O287" s="3"/>
      <c r="P287" s="3"/>
      <c r="Q287" s="3"/>
      <c r="R287" s="111"/>
      <c r="S287" s="111"/>
      <c r="T287" s="111"/>
    </row>
    <row r="288" spans="3:20" s="4" customFormat="1" x14ac:dyDescent="0.25">
      <c r="C288" s="3"/>
      <c r="D288" s="3"/>
      <c r="E288" s="3"/>
      <c r="F288" s="3"/>
      <c r="G288" s="3"/>
      <c r="H288" s="3"/>
      <c r="I288" s="3"/>
      <c r="J288" s="3"/>
      <c r="K288" s="3"/>
      <c r="L288" s="3"/>
      <c r="M288" s="3"/>
      <c r="N288" s="3"/>
      <c r="O288" s="3"/>
      <c r="P288" s="3"/>
      <c r="Q288" s="3"/>
      <c r="R288" s="111"/>
      <c r="S288" s="111"/>
      <c r="T288" s="111"/>
    </row>
    <row r="289" spans="3:20" s="4" customFormat="1" x14ac:dyDescent="0.25">
      <c r="C289" s="3"/>
      <c r="D289" s="3"/>
      <c r="E289" s="3"/>
      <c r="F289" s="3"/>
      <c r="G289" s="3"/>
      <c r="H289" s="3"/>
      <c r="I289" s="3"/>
      <c r="J289" s="3"/>
      <c r="K289" s="3"/>
      <c r="L289" s="3"/>
      <c r="M289" s="3"/>
      <c r="N289" s="3"/>
      <c r="O289" s="3"/>
      <c r="P289" s="3"/>
      <c r="Q289" s="3"/>
      <c r="R289" s="111"/>
      <c r="S289" s="111"/>
      <c r="T289" s="111"/>
    </row>
    <row r="290" spans="3:20" s="4" customFormat="1" x14ac:dyDescent="0.25">
      <c r="C290" s="3"/>
      <c r="D290" s="3"/>
      <c r="E290" s="3"/>
      <c r="F290" s="3"/>
      <c r="G290" s="3"/>
      <c r="H290" s="3"/>
      <c r="I290" s="3"/>
      <c r="J290" s="3"/>
      <c r="K290" s="3"/>
      <c r="L290" s="3"/>
      <c r="M290" s="3"/>
      <c r="N290" s="3"/>
      <c r="O290" s="3"/>
      <c r="P290" s="3"/>
      <c r="Q290" s="3"/>
      <c r="R290" s="111"/>
      <c r="S290" s="111"/>
      <c r="T290" s="111"/>
    </row>
    <row r="291" spans="3:20" s="4" customFormat="1" x14ac:dyDescent="0.25">
      <c r="C291" s="3"/>
      <c r="D291" s="3"/>
      <c r="E291" s="3"/>
      <c r="F291" s="3"/>
      <c r="G291" s="3"/>
      <c r="H291" s="3"/>
      <c r="I291" s="3"/>
      <c r="J291" s="3"/>
      <c r="K291" s="3"/>
      <c r="L291" s="3"/>
      <c r="M291" s="3"/>
      <c r="N291" s="3"/>
      <c r="O291" s="3"/>
      <c r="P291" s="3"/>
      <c r="Q291" s="3"/>
      <c r="R291" s="111"/>
      <c r="S291" s="111"/>
      <c r="T291" s="111"/>
    </row>
    <row r="292" spans="3:20" s="4" customFormat="1" x14ac:dyDescent="0.25">
      <c r="C292" s="3"/>
      <c r="D292" s="3"/>
      <c r="E292" s="3"/>
      <c r="F292" s="3"/>
      <c r="G292" s="3"/>
      <c r="H292" s="3"/>
      <c r="I292" s="3"/>
      <c r="J292" s="3"/>
      <c r="K292" s="3"/>
      <c r="L292" s="3"/>
      <c r="M292" s="3"/>
      <c r="N292" s="3"/>
      <c r="O292" s="3"/>
      <c r="P292" s="3"/>
      <c r="Q292" s="3"/>
      <c r="R292" s="111"/>
      <c r="S292" s="111"/>
      <c r="T292" s="111"/>
    </row>
    <row r="293" spans="3:20" s="4" customFormat="1" x14ac:dyDescent="0.25">
      <c r="C293" s="3"/>
      <c r="D293" s="3"/>
      <c r="E293" s="3"/>
      <c r="F293" s="3"/>
      <c r="G293" s="3"/>
      <c r="H293" s="3"/>
      <c r="I293" s="3"/>
      <c r="J293" s="3"/>
      <c r="K293" s="3"/>
      <c r="L293" s="3"/>
      <c r="M293" s="3"/>
      <c r="N293" s="3"/>
      <c r="O293" s="3"/>
      <c r="P293" s="3"/>
      <c r="Q293" s="3"/>
      <c r="R293" s="111"/>
      <c r="S293" s="111"/>
      <c r="T293" s="111"/>
    </row>
    <row r="294" spans="3:20" s="4" customFormat="1" x14ac:dyDescent="0.25">
      <c r="C294" s="3"/>
      <c r="D294" s="3"/>
      <c r="E294" s="3"/>
      <c r="F294" s="3"/>
      <c r="G294" s="3"/>
      <c r="H294" s="3"/>
      <c r="I294" s="3"/>
      <c r="J294" s="3"/>
      <c r="K294" s="3"/>
      <c r="L294" s="3"/>
      <c r="M294" s="3"/>
      <c r="N294" s="3"/>
      <c r="O294" s="3"/>
      <c r="P294" s="3"/>
      <c r="Q294" s="3"/>
      <c r="R294" s="111"/>
      <c r="S294" s="111"/>
      <c r="T294" s="111"/>
    </row>
    <row r="295" spans="3:20" s="4" customFormat="1" x14ac:dyDescent="0.25">
      <c r="C295" s="3"/>
      <c r="D295" s="3"/>
      <c r="E295" s="3"/>
      <c r="F295" s="3"/>
      <c r="G295" s="3"/>
      <c r="H295" s="3"/>
      <c r="I295" s="3"/>
      <c r="J295" s="3"/>
      <c r="K295" s="3"/>
      <c r="L295" s="3"/>
      <c r="M295" s="3"/>
      <c r="N295" s="3"/>
      <c r="O295" s="3"/>
      <c r="P295" s="3"/>
      <c r="Q295" s="3"/>
      <c r="R295" s="111"/>
      <c r="S295" s="111"/>
      <c r="T295" s="111"/>
    </row>
    <row r="296" spans="3:20" s="4" customFormat="1" x14ac:dyDescent="0.25">
      <c r="C296" s="3"/>
      <c r="D296" s="3"/>
      <c r="E296" s="3"/>
      <c r="F296" s="3"/>
      <c r="G296" s="3"/>
      <c r="H296" s="3"/>
      <c r="I296" s="3"/>
      <c r="J296" s="3"/>
      <c r="K296" s="3"/>
      <c r="L296" s="3"/>
      <c r="M296" s="3"/>
      <c r="N296" s="3"/>
      <c r="O296" s="3"/>
      <c r="P296" s="3"/>
      <c r="Q296" s="3"/>
      <c r="R296" s="111"/>
      <c r="S296" s="111"/>
      <c r="T296" s="111"/>
    </row>
    <row r="297" spans="3:20" s="4" customFormat="1" x14ac:dyDescent="0.25">
      <c r="C297" s="3"/>
      <c r="D297" s="3"/>
      <c r="E297" s="3"/>
      <c r="F297" s="3"/>
      <c r="G297" s="3"/>
      <c r="H297" s="3"/>
      <c r="I297" s="3"/>
      <c r="J297" s="3"/>
      <c r="K297" s="3"/>
      <c r="L297" s="3"/>
      <c r="M297" s="3"/>
      <c r="N297" s="3"/>
      <c r="O297" s="3"/>
      <c r="P297" s="3"/>
      <c r="Q297" s="3"/>
      <c r="R297" s="111"/>
      <c r="S297" s="111"/>
      <c r="T297" s="111"/>
    </row>
    <row r="298" spans="3:20" s="4" customFormat="1" x14ac:dyDescent="0.25">
      <c r="C298" s="3"/>
      <c r="D298" s="3"/>
      <c r="E298" s="3"/>
      <c r="F298" s="3"/>
      <c r="G298" s="3"/>
      <c r="H298" s="3"/>
      <c r="I298" s="3"/>
      <c r="J298" s="3"/>
      <c r="K298" s="3"/>
      <c r="L298" s="3"/>
      <c r="M298" s="3"/>
      <c r="N298" s="3"/>
      <c r="O298" s="3"/>
      <c r="P298" s="3"/>
      <c r="Q298" s="3"/>
      <c r="R298" s="111"/>
      <c r="S298" s="111"/>
      <c r="T298" s="111"/>
    </row>
    <row r="299" spans="3:20" s="4" customFormat="1" x14ac:dyDescent="0.25">
      <c r="C299" s="3"/>
      <c r="D299" s="3"/>
      <c r="E299" s="3"/>
      <c r="F299" s="3"/>
      <c r="G299" s="3"/>
      <c r="H299" s="3"/>
      <c r="I299" s="3"/>
      <c r="J299" s="3"/>
      <c r="K299" s="3"/>
      <c r="L299" s="3"/>
      <c r="M299" s="3"/>
      <c r="N299" s="3"/>
      <c r="O299" s="3"/>
      <c r="P299" s="3"/>
      <c r="Q299" s="3"/>
      <c r="R299" s="111"/>
      <c r="S299" s="111"/>
      <c r="T299" s="111"/>
    </row>
    <row r="300" spans="3:20" s="4" customFormat="1" x14ac:dyDescent="0.25">
      <c r="C300" s="3"/>
      <c r="D300" s="3"/>
      <c r="E300" s="3"/>
      <c r="F300" s="3"/>
      <c r="G300" s="3"/>
      <c r="H300" s="3"/>
      <c r="I300" s="3"/>
      <c r="J300" s="3"/>
      <c r="K300" s="3"/>
      <c r="L300" s="3"/>
      <c r="M300" s="3"/>
      <c r="N300" s="3"/>
      <c r="O300" s="3"/>
      <c r="P300" s="3"/>
      <c r="Q300" s="3"/>
      <c r="R300" s="111"/>
      <c r="S300" s="111"/>
      <c r="T300" s="111"/>
    </row>
    <row r="301" spans="3:20" s="4" customFormat="1" x14ac:dyDescent="0.25">
      <c r="C301" s="3"/>
      <c r="D301" s="3"/>
      <c r="E301" s="3"/>
      <c r="F301" s="3"/>
      <c r="G301" s="3"/>
      <c r="H301" s="3"/>
      <c r="I301" s="3"/>
      <c r="J301" s="3"/>
      <c r="K301" s="3"/>
      <c r="L301" s="3"/>
      <c r="M301" s="3"/>
      <c r="N301" s="3"/>
      <c r="O301" s="3"/>
      <c r="P301" s="3"/>
      <c r="Q301" s="3"/>
      <c r="R301" s="111"/>
      <c r="S301" s="111"/>
      <c r="T301" s="111"/>
    </row>
    <row r="302" spans="3:20" s="4" customFormat="1" x14ac:dyDescent="0.25">
      <c r="C302" s="3"/>
      <c r="D302" s="3"/>
      <c r="E302" s="3"/>
      <c r="F302" s="3"/>
      <c r="G302" s="3"/>
      <c r="H302" s="3"/>
      <c r="I302" s="3"/>
      <c r="J302" s="3"/>
      <c r="K302" s="3"/>
      <c r="L302" s="3"/>
      <c r="M302" s="3"/>
      <c r="N302" s="3"/>
      <c r="O302" s="3"/>
      <c r="P302" s="3"/>
      <c r="Q302" s="3"/>
      <c r="R302" s="111"/>
      <c r="S302" s="111"/>
      <c r="T302" s="111"/>
    </row>
    <row r="303" spans="3:20" s="4" customFormat="1" x14ac:dyDescent="0.25">
      <c r="C303" s="3"/>
      <c r="D303" s="3"/>
      <c r="E303" s="3"/>
      <c r="F303" s="3"/>
      <c r="G303" s="3"/>
      <c r="H303" s="3"/>
      <c r="I303" s="3"/>
      <c r="J303" s="3"/>
      <c r="K303" s="3"/>
      <c r="L303" s="3"/>
      <c r="M303" s="3"/>
      <c r="N303" s="3"/>
      <c r="O303" s="3"/>
      <c r="P303" s="3"/>
      <c r="Q303" s="3"/>
      <c r="R303" s="111"/>
      <c r="S303" s="111"/>
      <c r="T303" s="111"/>
    </row>
    <row r="304" spans="3:20" s="4" customFormat="1" x14ac:dyDescent="0.25">
      <c r="C304" s="3"/>
      <c r="D304" s="3"/>
      <c r="E304" s="3"/>
      <c r="F304" s="3"/>
      <c r="G304" s="3"/>
      <c r="H304" s="3"/>
      <c r="I304" s="3"/>
      <c r="J304" s="3"/>
      <c r="K304" s="3"/>
      <c r="L304" s="3"/>
      <c r="M304" s="3"/>
      <c r="N304" s="3"/>
      <c r="O304" s="3"/>
      <c r="P304" s="3"/>
      <c r="Q304" s="3"/>
      <c r="R304" s="111"/>
      <c r="S304" s="111"/>
      <c r="T304" s="111"/>
    </row>
    <row r="305" spans="3:20" s="4" customFormat="1" x14ac:dyDescent="0.25">
      <c r="C305" s="3"/>
      <c r="D305" s="3"/>
      <c r="E305" s="3"/>
      <c r="F305" s="3"/>
      <c r="G305" s="3"/>
      <c r="H305" s="3"/>
      <c r="I305" s="3"/>
      <c r="J305" s="3"/>
      <c r="K305" s="3"/>
      <c r="L305" s="3"/>
      <c r="M305" s="3"/>
      <c r="N305" s="3"/>
      <c r="O305" s="3"/>
      <c r="P305" s="3"/>
      <c r="Q305" s="3"/>
      <c r="R305" s="111"/>
      <c r="S305" s="111"/>
      <c r="T305" s="111"/>
    </row>
    <row r="306" spans="3:20" s="4" customFormat="1" x14ac:dyDescent="0.25">
      <c r="C306" s="3"/>
      <c r="D306" s="3"/>
      <c r="E306" s="3"/>
      <c r="F306" s="3"/>
      <c r="G306" s="3"/>
      <c r="H306" s="3"/>
      <c r="I306" s="3"/>
      <c r="J306" s="3"/>
      <c r="K306" s="3"/>
      <c r="L306" s="3"/>
      <c r="M306" s="3"/>
      <c r="N306" s="3"/>
      <c r="O306" s="3"/>
      <c r="P306" s="3"/>
      <c r="Q306" s="3"/>
      <c r="R306" s="111"/>
      <c r="S306" s="111"/>
      <c r="T306" s="111"/>
    </row>
    <row r="307" spans="3:20" s="4" customFormat="1" x14ac:dyDescent="0.25">
      <c r="C307" s="3"/>
      <c r="D307" s="3"/>
      <c r="E307" s="3"/>
      <c r="F307" s="3"/>
      <c r="G307" s="3"/>
      <c r="H307" s="3"/>
      <c r="I307" s="3"/>
      <c r="J307" s="3"/>
      <c r="K307" s="3"/>
      <c r="L307" s="3"/>
      <c r="M307" s="3"/>
      <c r="N307" s="3"/>
      <c r="O307" s="3"/>
      <c r="P307" s="3"/>
      <c r="Q307" s="3"/>
      <c r="R307" s="111"/>
      <c r="S307" s="111"/>
      <c r="T307" s="111"/>
    </row>
    <row r="308" spans="3:20" s="4" customFormat="1" x14ac:dyDescent="0.25">
      <c r="C308" s="3"/>
      <c r="D308" s="3"/>
      <c r="E308" s="3"/>
      <c r="F308" s="3"/>
      <c r="G308" s="3"/>
      <c r="H308" s="3"/>
      <c r="I308" s="3"/>
      <c r="J308" s="3"/>
      <c r="K308" s="3"/>
      <c r="L308" s="3"/>
      <c r="M308" s="3"/>
      <c r="N308" s="3"/>
      <c r="O308" s="3"/>
      <c r="P308" s="3"/>
      <c r="Q308" s="3"/>
      <c r="R308" s="111"/>
      <c r="S308" s="111"/>
      <c r="T308" s="111"/>
    </row>
    <row r="309" spans="3:20" s="4" customFormat="1" x14ac:dyDescent="0.25">
      <c r="C309" s="3"/>
      <c r="D309" s="3"/>
      <c r="E309" s="3"/>
      <c r="F309" s="3"/>
      <c r="G309" s="3"/>
      <c r="H309" s="3"/>
      <c r="I309" s="3"/>
      <c r="J309" s="3"/>
      <c r="K309" s="3"/>
      <c r="L309" s="3"/>
      <c r="M309" s="3"/>
      <c r="N309" s="3"/>
      <c r="O309" s="3"/>
      <c r="P309" s="3"/>
      <c r="Q309" s="3"/>
      <c r="R309" s="111"/>
      <c r="S309" s="111"/>
      <c r="T309" s="111"/>
    </row>
    <row r="310" spans="3:20" s="4" customFormat="1" x14ac:dyDescent="0.25">
      <c r="C310" s="3"/>
      <c r="D310" s="3"/>
      <c r="E310" s="3"/>
      <c r="F310" s="3"/>
      <c r="G310" s="3"/>
      <c r="H310" s="3"/>
      <c r="I310" s="3"/>
      <c r="J310" s="3"/>
      <c r="K310" s="3"/>
      <c r="L310" s="3"/>
      <c r="M310" s="3"/>
      <c r="N310" s="3"/>
      <c r="O310" s="3"/>
      <c r="P310" s="3"/>
      <c r="Q310" s="3"/>
      <c r="R310" s="111"/>
      <c r="S310" s="111"/>
      <c r="T310" s="111"/>
    </row>
    <row r="311" spans="3:20" s="4" customFormat="1" x14ac:dyDescent="0.25">
      <c r="C311" s="3"/>
      <c r="D311" s="3"/>
      <c r="E311" s="3"/>
      <c r="F311" s="3"/>
      <c r="G311" s="3"/>
      <c r="H311" s="3"/>
      <c r="I311" s="3"/>
      <c r="J311" s="3"/>
      <c r="K311" s="3"/>
      <c r="L311" s="3"/>
      <c r="M311" s="3"/>
      <c r="N311" s="3"/>
      <c r="O311" s="3"/>
      <c r="P311" s="3"/>
      <c r="Q311" s="3"/>
      <c r="R311" s="111"/>
      <c r="S311" s="111"/>
      <c r="T311" s="111"/>
    </row>
    <row r="312" spans="3:20" s="4" customFormat="1" x14ac:dyDescent="0.25">
      <c r="C312" s="3"/>
      <c r="D312" s="3"/>
      <c r="E312" s="3"/>
      <c r="F312" s="3"/>
      <c r="G312" s="3"/>
      <c r="H312" s="3"/>
      <c r="I312" s="3"/>
      <c r="J312" s="3"/>
      <c r="K312" s="3"/>
      <c r="L312" s="3"/>
      <c r="M312" s="3"/>
      <c r="N312" s="3"/>
      <c r="O312" s="3"/>
      <c r="P312" s="3"/>
      <c r="Q312" s="3"/>
      <c r="R312" s="111"/>
      <c r="S312" s="111"/>
      <c r="T312" s="111"/>
    </row>
    <row r="313" spans="3:20" s="4" customFormat="1" x14ac:dyDescent="0.25">
      <c r="C313" s="3"/>
      <c r="D313" s="3"/>
      <c r="E313" s="3"/>
      <c r="F313" s="3"/>
      <c r="G313" s="3"/>
      <c r="H313" s="3"/>
      <c r="I313" s="3"/>
      <c r="J313" s="3"/>
      <c r="K313" s="3"/>
      <c r="L313" s="3"/>
      <c r="M313" s="3"/>
      <c r="N313" s="3"/>
      <c r="O313" s="3"/>
      <c r="P313" s="3"/>
      <c r="Q313" s="3"/>
      <c r="R313" s="111"/>
      <c r="S313" s="111"/>
      <c r="T313" s="111"/>
    </row>
    <row r="314" spans="3:20" s="4" customFormat="1" x14ac:dyDescent="0.25">
      <c r="C314" s="3"/>
      <c r="D314" s="3"/>
      <c r="E314" s="3"/>
      <c r="F314" s="3"/>
      <c r="G314" s="3"/>
      <c r="H314" s="3"/>
      <c r="I314" s="3"/>
      <c r="J314" s="3"/>
      <c r="K314" s="3"/>
      <c r="L314" s="3"/>
      <c r="M314" s="3"/>
      <c r="N314" s="3"/>
      <c r="O314" s="3"/>
      <c r="P314" s="3"/>
      <c r="Q314" s="3"/>
      <c r="R314" s="111"/>
      <c r="S314" s="111"/>
      <c r="T314" s="111"/>
    </row>
    <row r="315" spans="3:20" s="4" customFormat="1" x14ac:dyDescent="0.25">
      <c r="C315" s="3"/>
      <c r="D315" s="3"/>
      <c r="E315" s="3"/>
      <c r="F315" s="3"/>
      <c r="G315" s="3"/>
      <c r="H315" s="3"/>
      <c r="I315" s="3"/>
      <c r="J315" s="3"/>
      <c r="K315" s="3"/>
      <c r="L315" s="3"/>
      <c r="M315" s="3"/>
      <c r="N315" s="3"/>
      <c r="O315" s="3"/>
      <c r="P315" s="3"/>
      <c r="Q315" s="3"/>
      <c r="R315" s="111"/>
      <c r="S315" s="111"/>
      <c r="T315" s="111"/>
    </row>
    <row r="316" spans="3:20" s="4" customFormat="1" x14ac:dyDescent="0.25">
      <c r="C316" s="3"/>
      <c r="D316" s="3"/>
      <c r="E316" s="3"/>
      <c r="F316" s="3"/>
      <c r="G316" s="3"/>
      <c r="H316" s="3"/>
      <c r="I316" s="3"/>
      <c r="J316" s="3"/>
      <c r="K316" s="3"/>
      <c r="L316" s="3"/>
      <c r="M316" s="3"/>
      <c r="N316" s="3"/>
      <c r="O316" s="3"/>
      <c r="P316" s="3"/>
      <c r="Q316" s="3"/>
      <c r="R316" s="111"/>
      <c r="S316" s="111"/>
      <c r="T316" s="111"/>
    </row>
    <row r="317" spans="3:20" s="4" customFormat="1" x14ac:dyDescent="0.25">
      <c r="C317" s="3"/>
      <c r="D317" s="3"/>
      <c r="E317" s="3"/>
      <c r="F317" s="3"/>
      <c r="G317" s="3"/>
      <c r="H317" s="3"/>
      <c r="I317" s="3"/>
      <c r="J317" s="3"/>
      <c r="K317" s="3"/>
      <c r="L317" s="3"/>
      <c r="M317" s="3"/>
      <c r="N317" s="3"/>
      <c r="O317" s="3"/>
      <c r="P317" s="3"/>
      <c r="Q317" s="3"/>
      <c r="R317" s="111"/>
      <c r="S317" s="111"/>
      <c r="T317" s="111"/>
    </row>
    <row r="318" spans="3:20" s="4" customFormat="1" x14ac:dyDescent="0.25">
      <c r="C318" s="3"/>
      <c r="D318" s="3"/>
      <c r="E318" s="3"/>
      <c r="F318" s="3"/>
      <c r="G318" s="3"/>
      <c r="H318" s="3"/>
      <c r="I318" s="3"/>
      <c r="J318" s="3"/>
      <c r="K318" s="3"/>
      <c r="L318" s="3"/>
      <c r="M318" s="3"/>
      <c r="N318" s="3"/>
      <c r="O318" s="3"/>
      <c r="P318" s="3"/>
      <c r="Q318" s="3"/>
      <c r="R318" s="111"/>
      <c r="S318" s="111"/>
      <c r="T318" s="111"/>
    </row>
    <row r="319" spans="3:20" s="4" customFormat="1" x14ac:dyDescent="0.25">
      <c r="C319" s="3"/>
      <c r="D319" s="3"/>
      <c r="E319" s="3"/>
      <c r="F319" s="3"/>
      <c r="G319" s="3"/>
      <c r="H319" s="3"/>
      <c r="I319" s="3"/>
      <c r="J319" s="3"/>
      <c r="K319" s="3"/>
      <c r="L319" s="3"/>
      <c r="M319" s="3"/>
      <c r="N319" s="3"/>
      <c r="O319" s="3"/>
      <c r="P319" s="3"/>
      <c r="Q319" s="3"/>
      <c r="R319" s="111"/>
      <c r="S319" s="111"/>
      <c r="T319" s="111"/>
    </row>
    <row r="320" spans="3:20" s="4" customFormat="1" x14ac:dyDescent="0.25">
      <c r="C320" s="3"/>
      <c r="D320" s="3"/>
      <c r="E320" s="3"/>
      <c r="F320" s="3"/>
      <c r="G320" s="3"/>
      <c r="H320" s="3"/>
      <c r="I320" s="3"/>
      <c r="J320" s="3"/>
      <c r="K320" s="3"/>
      <c r="L320" s="3"/>
      <c r="M320" s="3"/>
      <c r="N320" s="3"/>
      <c r="O320" s="3"/>
      <c r="P320" s="3"/>
      <c r="Q320" s="3"/>
      <c r="R320" s="111"/>
      <c r="S320" s="111"/>
      <c r="T320" s="111"/>
    </row>
    <row r="321" spans="3:20" s="4" customFormat="1" x14ac:dyDescent="0.25">
      <c r="C321" s="3"/>
      <c r="D321" s="3"/>
      <c r="E321" s="3"/>
      <c r="F321" s="3"/>
      <c r="G321" s="3"/>
      <c r="H321" s="3"/>
      <c r="I321" s="3"/>
      <c r="J321" s="3"/>
      <c r="K321" s="3"/>
      <c r="L321" s="3"/>
      <c r="M321" s="3"/>
      <c r="N321" s="3"/>
      <c r="O321" s="3"/>
      <c r="P321" s="3"/>
      <c r="Q321" s="3"/>
      <c r="R321" s="111"/>
      <c r="S321" s="111"/>
      <c r="T321" s="111"/>
    </row>
    <row r="322" spans="3:20" s="4" customFormat="1" x14ac:dyDescent="0.25">
      <c r="C322" s="3"/>
      <c r="D322" s="3"/>
      <c r="E322" s="3"/>
      <c r="F322" s="3"/>
      <c r="G322" s="3"/>
      <c r="H322" s="3"/>
      <c r="I322" s="3"/>
      <c r="J322" s="3"/>
      <c r="K322" s="3"/>
      <c r="L322" s="3"/>
      <c r="M322" s="3"/>
      <c r="N322" s="3"/>
      <c r="O322" s="3"/>
      <c r="P322" s="3"/>
      <c r="Q322" s="3"/>
      <c r="R322" s="111"/>
      <c r="S322" s="111"/>
      <c r="T322" s="111"/>
    </row>
    <row r="323" spans="3:20" s="4" customFormat="1" x14ac:dyDescent="0.25">
      <c r="C323" s="3"/>
      <c r="D323" s="3"/>
      <c r="E323" s="3"/>
      <c r="F323" s="3"/>
      <c r="G323" s="3"/>
      <c r="H323" s="3"/>
      <c r="I323" s="3"/>
      <c r="J323" s="3"/>
      <c r="K323" s="3"/>
      <c r="L323" s="3"/>
      <c r="M323" s="3"/>
      <c r="N323" s="3"/>
      <c r="O323" s="3"/>
      <c r="P323" s="3"/>
      <c r="Q323" s="3"/>
      <c r="R323" s="111"/>
      <c r="S323" s="111"/>
      <c r="T323" s="111"/>
    </row>
    <row r="324" spans="3:20" s="4" customFormat="1" x14ac:dyDescent="0.25">
      <c r="C324" s="3"/>
      <c r="D324" s="3"/>
      <c r="E324" s="3"/>
      <c r="F324" s="3"/>
      <c r="G324" s="3"/>
      <c r="H324" s="3"/>
      <c r="I324" s="3"/>
      <c r="J324" s="3"/>
      <c r="K324" s="3"/>
      <c r="L324" s="3"/>
      <c r="M324" s="3"/>
      <c r="N324" s="3"/>
      <c r="O324" s="3"/>
      <c r="P324" s="3"/>
      <c r="Q324" s="3"/>
      <c r="R324" s="111"/>
      <c r="S324" s="111"/>
      <c r="T324" s="111"/>
    </row>
    <row r="325" spans="3:20" s="4" customFormat="1" x14ac:dyDescent="0.25">
      <c r="C325" s="3"/>
      <c r="D325" s="3"/>
      <c r="E325" s="3"/>
      <c r="F325" s="3"/>
      <c r="G325" s="3"/>
      <c r="H325" s="3"/>
      <c r="I325" s="3"/>
      <c r="J325" s="3"/>
      <c r="K325" s="3"/>
      <c r="L325" s="3"/>
      <c r="M325" s="3"/>
      <c r="N325" s="3"/>
      <c r="O325" s="3"/>
      <c r="P325" s="3"/>
      <c r="Q325" s="3"/>
      <c r="R325" s="111"/>
      <c r="S325" s="111"/>
      <c r="T325" s="111"/>
    </row>
    <row r="326" spans="3:20" s="4" customFormat="1" x14ac:dyDescent="0.25">
      <c r="C326" s="3"/>
      <c r="D326" s="3"/>
      <c r="E326" s="3"/>
      <c r="F326" s="3"/>
      <c r="G326" s="3"/>
      <c r="H326" s="3"/>
      <c r="I326" s="3"/>
      <c r="J326" s="3"/>
      <c r="K326" s="3"/>
      <c r="L326" s="3"/>
      <c r="M326" s="3"/>
      <c r="N326" s="3"/>
      <c r="O326" s="3"/>
      <c r="P326" s="3"/>
      <c r="Q326" s="3"/>
      <c r="R326" s="111"/>
      <c r="S326" s="111"/>
      <c r="T326" s="111"/>
    </row>
    <row r="327" spans="3:20" s="4" customFormat="1" x14ac:dyDescent="0.25">
      <c r="C327" s="3"/>
      <c r="D327" s="3"/>
      <c r="E327" s="3"/>
      <c r="F327" s="3"/>
      <c r="G327" s="3"/>
      <c r="H327" s="3"/>
      <c r="I327" s="3"/>
      <c r="J327" s="3"/>
      <c r="K327" s="3"/>
      <c r="L327" s="3"/>
      <c r="M327" s="3"/>
      <c r="N327" s="3"/>
      <c r="O327" s="3"/>
      <c r="P327" s="3"/>
      <c r="Q327" s="3"/>
      <c r="R327" s="111"/>
      <c r="S327" s="111"/>
      <c r="T327" s="111"/>
    </row>
    <row r="328" spans="3:20" s="4" customFormat="1" x14ac:dyDescent="0.25">
      <c r="C328" s="3"/>
      <c r="D328" s="3"/>
      <c r="E328" s="3"/>
      <c r="F328" s="3"/>
      <c r="G328" s="3"/>
      <c r="H328" s="3"/>
      <c r="I328" s="3"/>
      <c r="J328" s="3"/>
      <c r="K328" s="3"/>
      <c r="L328" s="3"/>
      <c r="M328" s="3"/>
      <c r="N328" s="3"/>
      <c r="O328" s="3"/>
      <c r="P328" s="3"/>
      <c r="Q328" s="3"/>
      <c r="R328" s="111"/>
      <c r="S328" s="111"/>
      <c r="T328" s="111"/>
    </row>
    <row r="329" spans="3:20" s="4" customFormat="1" x14ac:dyDescent="0.25">
      <c r="C329" s="3"/>
      <c r="D329" s="3"/>
      <c r="E329" s="3"/>
      <c r="F329" s="3"/>
      <c r="G329" s="3"/>
      <c r="H329" s="3"/>
      <c r="I329" s="3"/>
      <c r="J329" s="3"/>
      <c r="K329" s="3"/>
      <c r="L329" s="3"/>
      <c r="M329" s="3"/>
      <c r="N329" s="3"/>
      <c r="O329" s="3"/>
      <c r="P329" s="3"/>
      <c r="Q329" s="3"/>
      <c r="R329" s="111"/>
      <c r="S329" s="111"/>
      <c r="T329" s="111"/>
    </row>
    <row r="330" spans="3:20" s="4" customFormat="1" x14ac:dyDescent="0.25">
      <c r="C330" s="3"/>
      <c r="D330" s="3"/>
      <c r="E330" s="3"/>
      <c r="F330" s="3"/>
      <c r="G330" s="3"/>
      <c r="H330" s="3"/>
      <c r="I330" s="3"/>
      <c r="J330" s="3"/>
      <c r="K330" s="3"/>
      <c r="L330" s="3"/>
      <c r="M330" s="3"/>
      <c r="N330" s="3"/>
      <c r="O330" s="3"/>
      <c r="P330" s="3"/>
      <c r="Q330" s="3"/>
      <c r="R330" s="111"/>
      <c r="S330" s="111"/>
      <c r="T330" s="111"/>
    </row>
    <row r="331" spans="3:20" s="4" customFormat="1" x14ac:dyDescent="0.25">
      <c r="C331" s="3"/>
      <c r="D331" s="3"/>
      <c r="E331" s="3"/>
      <c r="F331" s="3"/>
      <c r="G331" s="3"/>
      <c r="H331" s="3"/>
      <c r="I331" s="3"/>
      <c r="J331" s="3"/>
      <c r="K331" s="3"/>
      <c r="L331" s="3"/>
      <c r="M331" s="3"/>
      <c r="N331" s="3"/>
      <c r="O331" s="3"/>
      <c r="P331" s="3"/>
      <c r="Q331" s="3"/>
      <c r="R331" s="111"/>
      <c r="S331" s="111"/>
      <c r="T331" s="111"/>
    </row>
    <row r="332" spans="3:20" s="4" customFormat="1" x14ac:dyDescent="0.25">
      <c r="C332" s="3"/>
      <c r="D332" s="3"/>
      <c r="E332" s="3"/>
      <c r="F332" s="3"/>
      <c r="G332" s="3"/>
      <c r="H332" s="3"/>
      <c r="I332" s="3"/>
      <c r="J332" s="3"/>
      <c r="K332" s="3"/>
      <c r="L332" s="3"/>
      <c r="M332" s="3"/>
      <c r="N332" s="3"/>
      <c r="O332" s="3"/>
      <c r="P332" s="3"/>
      <c r="Q332" s="3"/>
      <c r="R332" s="111"/>
      <c r="S332" s="111"/>
      <c r="T332" s="111"/>
    </row>
    <row r="333" spans="3:20" s="4" customFormat="1" x14ac:dyDescent="0.25">
      <c r="C333" s="3"/>
      <c r="D333" s="3"/>
      <c r="E333" s="3"/>
      <c r="F333" s="3"/>
      <c r="G333" s="3"/>
      <c r="H333" s="3"/>
      <c r="I333" s="3"/>
      <c r="J333" s="3"/>
      <c r="K333" s="3"/>
      <c r="L333" s="3"/>
      <c r="M333" s="3"/>
      <c r="N333" s="3"/>
      <c r="O333" s="3"/>
      <c r="P333" s="3"/>
      <c r="Q333" s="3"/>
      <c r="R333" s="111"/>
      <c r="S333" s="111"/>
      <c r="T333" s="111"/>
    </row>
    <row r="334" spans="3:20" s="4" customFormat="1" x14ac:dyDescent="0.25">
      <c r="C334" s="3"/>
      <c r="D334" s="3"/>
      <c r="E334" s="3"/>
      <c r="F334" s="3"/>
      <c r="G334" s="3"/>
      <c r="H334" s="3"/>
      <c r="I334" s="3"/>
      <c r="J334" s="3"/>
      <c r="K334" s="3"/>
      <c r="L334" s="3"/>
      <c r="M334" s="3"/>
      <c r="N334" s="3"/>
      <c r="O334" s="3"/>
      <c r="P334" s="3"/>
      <c r="Q334" s="3"/>
      <c r="R334" s="111"/>
      <c r="S334" s="111"/>
      <c r="T334" s="111"/>
    </row>
    <row r="335" spans="3:20" s="4" customFormat="1" x14ac:dyDescent="0.25">
      <c r="C335" s="3"/>
      <c r="D335" s="3"/>
      <c r="E335" s="3"/>
      <c r="F335" s="3"/>
      <c r="G335" s="3"/>
      <c r="H335" s="3"/>
      <c r="I335" s="3"/>
      <c r="J335" s="3"/>
      <c r="K335" s="3"/>
      <c r="L335" s="3"/>
      <c r="M335" s="3"/>
      <c r="N335" s="3"/>
      <c r="O335" s="3"/>
      <c r="P335" s="3"/>
      <c r="Q335" s="3"/>
      <c r="R335" s="111"/>
      <c r="S335" s="111"/>
      <c r="T335" s="111"/>
    </row>
    <row r="336" spans="3:20" s="4" customFormat="1" x14ac:dyDescent="0.25">
      <c r="C336" s="3"/>
      <c r="D336" s="3"/>
      <c r="E336" s="3"/>
      <c r="F336" s="3"/>
      <c r="G336" s="3"/>
      <c r="H336" s="3"/>
      <c r="I336" s="3"/>
      <c r="J336" s="3"/>
      <c r="K336" s="3"/>
      <c r="L336" s="3"/>
      <c r="M336" s="3"/>
      <c r="N336" s="3"/>
      <c r="O336" s="3"/>
      <c r="P336" s="3"/>
      <c r="Q336" s="3"/>
      <c r="R336" s="111"/>
      <c r="S336" s="111"/>
      <c r="T336" s="111"/>
    </row>
    <row r="337" spans="3:20" s="4" customFormat="1" x14ac:dyDescent="0.25">
      <c r="C337" s="3"/>
      <c r="D337" s="3"/>
      <c r="E337" s="3"/>
      <c r="F337" s="3"/>
      <c r="G337" s="3"/>
      <c r="H337" s="3"/>
      <c r="I337" s="3"/>
      <c r="J337" s="3"/>
      <c r="K337" s="3"/>
      <c r="L337" s="3"/>
      <c r="M337" s="3"/>
      <c r="N337" s="3"/>
      <c r="O337" s="3"/>
      <c r="P337" s="3"/>
      <c r="Q337" s="3"/>
      <c r="R337" s="111"/>
      <c r="S337" s="111"/>
      <c r="T337" s="111"/>
    </row>
    <row r="338" spans="3:20" s="4" customFormat="1" x14ac:dyDescent="0.25">
      <c r="C338" s="3"/>
      <c r="D338" s="3"/>
      <c r="E338" s="3"/>
      <c r="F338" s="3"/>
      <c r="G338" s="3"/>
      <c r="H338" s="3"/>
      <c r="I338" s="3"/>
      <c r="J338" s="3"/>
      <c r="K338" s="3"/>
      <c r="L338" s="3"/>
      <c r="M338" s="3"/>
      <c r="N338" s="3"/>
      <c r="O338" s="3"/>
      <c r="P338" s="3"/>
      <c r="Q338" s="3"/>
      <c r="R338" s="111"/>
      <c r="S338" s="111"/>
      <c r="T338" s="111"/>
    </row>
    <row r="339" spans="3:20" s="4" customFormat="1" x14ac:dyDescent="0.25">
      <c r="C339" s="3"/>
      <c r="D339" s="3"/>
      <c r="E339" s="3"/>
      <c r="F339" s="3"/>
      <c r="G339" s="3"/>
      <c r="H339" s="3"/>
      <c r="I339" s="3"/>
      <c r="J339" s="3"/>
      <c r="K339" s="3"/>
      <c r="L339" s="3"/>
      <c r="M339" s="3"/>
      <c r="N339" s="3"/>
      <c r="O339" s="3"/>
      <c r="P339" s="3"/>
      <c r="Q339" s="3"/>
      <c r="R339" s="111"/>
      <c r="S339" s="111"/>
      <c r="T339" s="111"/>
    </row>
    <row r="340" spans="3:20" s="4" customFormat="1" x14ac:dyDescent="0.25">
      <c r="C340" s="3"/>
      <c r="D340" s="3"/>
      <c r="E340" s="3"/>
      <c r="F340" s="3"/>
      <c r="G340" s="3"/>
      <c r="H340" s="3"/>
      <c r="I340" s="3"/>
      <c r="J340" s="3"/>
      <c r="K340" s="3"/>
      <c r="L340" s="3"/>
      <c r="M340" s="3"/>
      <c r="N340" s="3"/>
      <c r="O340" s="3"/>
      <c r="P340" s="3"/>
      <c r="Q340" s="3"/>
      <c r="R340" s="111"/>
      <c r="S340" s="111"/>
      <c r="T340" s="111"/>
    </row>
    <row r="341" spans="3:20" s="4" customFormat="1" x14ac:dyDescent="0.25">
      <c r="C341" s="3"/>
      <c r="D341" s="3"/>
      <c r="E341" s="3"/>
      <c r="F341" s="3"/>
      <c r="G341" s="3"/>
      <c r="H341" s="3"/>
      <c r="I341" s="3"/>
      <c r="J341" s="3"/>
      <c r="K341" s="3"/>
      <c r="L341" s="3"/>
      <c r="M341" s="3"/>
      <c r="N341" s="3"/>
      <c r="O341" s="3"/>
      <c r="P341" s="3"/>
      <c r="Q341" s="3"/>
      <c r="R341" s="111"/>
      <c r="S341" s="111"/>
      <c r="T341" s="111"/>
    </row>
    <row r="342" spans="3:20" s="4" customFormat="1" x14ac:dyDescent="0.25">
      <c r="C342" s="3"/>
      <c r="D342" s="3"/>
      <c r="E342" s="3"/>
      <c r="F342" s="3"/>
      <c r="G342" s="3"/>
      <c r="H342" s="3"/>
      <c r="I342" s="3"/>
      <c r="J342" s="3"/>
      <c r="K342" s="3"/>
      <c r="L342" s="3"/>
      <c r="M342" s="3"/>
      <c r="N342" s="3"/>
      <c r="O342" s="3"/>
      <c r="P342" s="3"/>
      <c r="Q342" s="3"/>
      <c r="R342" s="111"/>
      <c r="S342" s="111"/>
      <c r="T342" s="111"/>
    </row>
    <row r="343" spans="3:20" s="4" customFormat="1" x14ac:dyDescent="0.25">
      <c r="C343" s="3"/>
      <c r="D343" s="3"/>
      <c r="E343" s="3"/>
      <c r="F343" s="3"/>
      <c r="G343" s="3"/>
      <c r="H343" s="3"/>
      <c r="I343" s="3"/>
      <c r="J343" s="3"/>
      <c r="K343" s="3"/>
      <c r="L343" s="3"/>
      <c r="M343" s="3"/>
      <c r="N343" s="3"/>
      <c r="O343" s="3"/>
      <c r="P343" s="3"/>
      <c r="Q343" s="3"/>
      <c r="R343" s="111"/>
      <c r="S343" s="111"/>
      <c r="T343" s="111"/>
    </row>
    <row r="344" spans="3:20" s="4" customFormat="1" x14ac:dyDescent="0.25">
      <c r="C344" s="3"/>
      <c r="D344" s="3"/>
      <c r="E344" s="3"/>
      <c r="F344" s="3"/>
      <c r="G344" s="3"/>
      <c r="H344" s="3"/>
      <c r="I344" s="3"/>
      <c r="J344" s="3"/>
      <c r="K344" s="3"/>
      <c r="L344" s="3"/>
      <c r="M344" s="3"/>
      <c r="N344" s="3"/>
      <c r="O344" s="3"/>
      <c r="P344" s="3"/>
      <c r="Q344" s="3"/>
      <c r="R344" s="111"/>
      <c r="S344" s="111"/>
      <c r="T344" s="111"/>
    </row>
    <row r="345" spans="3:20" s="4" customFormat="1" x14ac:dyDescent="0.25">
      <c r="C345" s="3"/>
      <c r="D345" s="3"/>
      <c r="E345" s="3"/>
      <c r="F345" s="3"/>
      <c r="G345" s="3"/>
      <c r="H345" s="3"/>
      <c r="I345" s="3"/>
      <c r="J345" s="3"/>
      <c r="K345" s="3"/>
      <c r="L345" s="3"/>
      <c r="M345" s="3"/>
      <c r="N345" s="3"/>
      <c r="O345" s="3"/>
      <c r="P345" s="3"/>
      <c r="Q345" s="3"/>
      <c r="R345" s="111"/>
      <c r="S345" s="111"/>
      <c r="T345" s="111"/>
    </row>
    <row r="346" spans="3:20" s="4" customFormat="1" x14ac:dyDescent="0.25">
      <c r="C346" s="3"/>
      <c r="D346" s="3"/>
      <c r="E346" s="3"/>
      <c r="F346" s="3"/>
      <c r="G346" s="3"/>
      <c r="H346" s="3"/>
      <c r="I346" s="3"/>
      <c r="J346" s="3"/>
      <c r="K346" s="3"/>
      <c r="L346" s="3"/>
      <c r="M346" s="3"/>
      <c r="N346" s="3"/>
      <c r="O346" s="3"/>
      <c r="P346" s="3"/>
      <c r="Q346" s="3"/>
      <c r="R346" s="111"/>
      <c r="S346" s="111"/>
      <c r="T346" s="111"/>
    </row>
    <row r="347" spans="3:20" s="4" customFormat="1" x14ac:dyDescent="0.25">
      <c r="C347" s="3"/>
      <c r="D347" s="3"/>
      <c r="E347" s="3"/>
      <c r="F347" s="3"/>
      <c r="G347" s="3"/>
      <c r="H347" s="3"/>
      <c r="I347" s="3"/>
      <c r="J347" s="3"/>
      <c r="K347" s="3"/>
      <c r="L347" s="3"/>
      <c r="M347" s="3"/>
      <c r="N347" s="3"/>
      <c r="O347" s="3"/>
      <c r="P347" s="3"/>
      <c r="Q347" s="3"/>
      <c r="R347" s="111"/>
      <c r="S347" s="111"/>
      <c r="T347" s="111"/>
    </row>
    <row r="348" spans="3:20" s="4" customFormat="1" x14ac:dyDescent="0.25">
      <c r="C348" s="3"/>
      <c r="D348" s="3"/>
      <c r="E348" s="3"/>
      <c r="F348" s="3"/>
      <c r="G348" s="3"/>
      <c r="H348" s="3"/>
      <c r="I348" s="3"/>
      <c r="J348" s="3"/>
      <c r="K348" s="3"/>
      <c r="L348" s="3"/>
      <c r="M348" s="3"/>
      <c r="N348" s="3"/>
      <c r="O348" s="3"/>
      <c r="P348" s="3"/>
      <c r="Q348" s="3"/>
      <c r="R348" s="111"/>
      <c r="S348" s="111"/>
      <c r="T348" s="111"/>
    </row>
    <row r="349" spans="3:20" s="4" customFormat="1" x14ac:dyDescent="0.25">
      <c r="C349" s="3"/>
      <c r="D349" s="3"/>
      <c r="E349" s="3"/>
      <c r="F349" s="3"/>
      <c r="G349" s="3"/>
      <c r="H349" s="3"/>
      <c r="I349" s="3"/>
      <c r="J349" s="3"/>
      <c r="K349" s="3"/>
      <c r="L349" s="3"/>
      <c r="M349" s="3"/>
      <c r="N349" s="3"/>
      <c r="O349" s="3"/>
      <c r="P349" s="3"/>
      <c r="Q349" s="3"/>
      <c r="R349" s="111"/>
      <c r="S349" s="111"/>
      <c r="T349" s="111"/>
    </row>
    <row r="350" spans="3:20" s="4" customFormat="1" x14ac:dyDescent="0.25">
      <c r="C350" s="3"/>
      <c r="D350" s="3"/>
      <c r="E350" s="3"/>
      <c r="F350" s="3"/>
      <c r="G350" s="3"/>
      <c r="H350" s="3"/>
      <c r="I350" s="3"/>
      <c r="J350" s="3"/>
      <c r="K350" s="3"/>
      <c r="L350" s="3"/>
      <c r="M350" s="3"/>
      <c r="N350" s="3"/>
      <c r="O350" s="3"/>
      <c r="P350" s="3"/>
      <c r="Q350" s="3"/>
      <c r="R350" s="111"/>
      <c r="S350" s="111"/>
      <c r="T350" s="111"/>
    </row>
    <row r="351" spans="3:20" s="4" customFormat="1" x14ac:dyDescent="0.25">
      <c r="C351" s="3"/>
      <c r="D351" s="3"/>
      <c r="E351" s="3"/>
      <c r="F351" s="3"/>
      <c r="G351" s="3"/>
      <c r="H351" s="3"/>
      <c r="I351" s="3"/>
      <c r="J351" s="3"/>
      <c r="K351" s="3"/>
      <c r="L351" s="3"/>
      <c r="M351" s="3"/>
      <c r="N351" s="3"/>
      <c r="O351" s="3"/>
      <c r="P351" s="3"/>
      <c r="Q351" s="3"/>
      <c r="R351" s="111"/>
      <c r="S351" s="111"/>
      <c r="T351" s="111"/>
    </row>
    <row r="352" spans="3:20" s="4" customFormat="1" x14ac:dyDescent="0.25">
      <c r="C352" s="3"/>
      <c r="D352" s="3"/>
      <c r="E352" s="3"/>
      <c r="F352" s="3"/>
      <c r="G352" s="3"/>
      <c r="H352" s="3"/>
      <c r="I352" s="3"/>
      <c r="J352" s="3"/>
      <c r="K352" s="3"/>
      <c r="L352" s="3"/>
      <c r="M352" s="3"/>
      <c r="N352" s="3"/>
      <c r="O352" s="3"/>
      <c r="P352" s="3"/>
      <c r="Q352" s="3"/>
      <c r="R352" s="111"/>
      <c r="S352" s="111"/>
      <c r="T352" s="111"/>
    </row>
    <row r="353" spans="3:20" s="4" customFormat="1" x14ac:dyDescent="0.25">
      <c r="C353" s="3"/>
      <c r="D353" s="3"/>
      <c r="E353" s="3"/>
      <c r="F353" s="3"/>
      <c r="G353" s="3"/>
      <c r="H353" s="3"/>
      <c r="I353" s="3"/>
      <c r="J353" s="3"/>
      <c r="K353" s="3"/>
      <c r="L353" s="3"/>
      <c r="M353" s="3"/>
      <c r="N353" s="3"/>
      <c r="O353" s="3"/>
      <c r="P353" s="3"/>
      <c r="Q353" s="3"/>
      <c r="R353" s="111"/>
      <c r="S353" s="111"/>
      <c r="T353" s="111"/>
    </row>
    <row r="354" spans="3:20" s="4" customFormat="1" x14ac:dyDescent="0.25">
      <c r="C354" s="3"/>
      <c r="D354" s="3"/>
      <c r="E354" s="3"/>
      <c r="F354" s="3"/>
      <c r="G354" s="3"/>
      <c r="H354" s="3"/>
      <c r="I354" s="3"/>
      <c r="J354" s="3"/>
      <c r="K354" s="3"/>
      <c r="L354" s="3"/>
      <c r="M354" s="3"/>
      <c r="N354" s="3"/>
      <c r="O354" s="3"/>
      <c r="P354" s="3"/>
      <c r="Q354" s="3"/>
      <c r="R354" s="111"/>
      <c r="S354" s="111"/>
      <c r="T354" s="111"/>
    </row>
    <row r="355" spans="3:20" s="4" customFormat="1" x14ac:dyDescent="0.25">
      <c r="C355" s="3"/>
      <c r="D355" s="3"/>
      <c r="E355" s="3"/>
      <c r="F355" s="3"/>
      <c r="G355" s="3"/>
      <c r="H355" s="3"/>
      <c r="I355" s="3"/>
      <c r="J355" s="3"/>
      <c r="K355" s="3"/>
      <c r="L355" s="3"/>
      <c r="M355" s="3"/>
      <c r="N355" s="3"/>
      <c r="O355" s="3"/>
      <c r="P355" s="3"/>
      <c r="Q355" s="3"/>
      <c r="R355" s="111"/>
      <c r="S355" s="111"/>
      <c r="T355" s="111"/>
    </row>
    <row r="356" spans="3:20" s="4" customFormat="1" x14ac:dyDescent="0.25">
      <c r="C356" s="3"/>
      <c r="D356" s="3"/>
      <c r="E356" s="3"/>
      <c r="F356" s="3"/>
      <c r="G356" s="3"/>
      <c r="H356" s="3"/>
      <c r="I356" s="3"/>
      <c r="J356" s="3"/>
      <c r="K356" s="3"/>
      <c r="L356" s="3"/>
      <c r="M356" s="3"/>
      <c r="N356" s="3"/>
      <c r="O356" s="3"/>
      <c r="P356" s="3"/>
      <c r="Q356" s="3"/>
      <c r="R356" s="111"/>
      <c r="S356" s="111"/>
      <c r="T356" s="111"/>
    </row>
    <row r="357" spans="3:20" s="4" customFormat="1" x14ac:dyDescent="0.25">
      <c r="C357" s="3"/>
      <c r="D357" s="3"/>
      <c r="E357" s="3"/>
      <c r="F357" s="3"/>
      <c r="G357" s="3"/>
      <c r="H357" s="3"/>
      <c r="I357" s="3"/>
      <c r="J357" s="3"/>
      <c r="K357" s="3"/>
      <c r="L357" s="3"/>
      <c r="M357" s="3"/>
      <c r="N357" s="3"/>
      <c r="O357" s="3"/>
      <c r="P357" s="3"/>
      <c r="Q357" s="3"/>
      <c r="R357" s="111"/>
      <c r="S357" s="111"/>
      <c r="T357" s="111"/>
    </row>
    <row r="358" spans="3:20" s="4" customFormat="1" x14ac:dyDescent="0.25">
      <c r="C358" s="3"/>
      <c r="D358" s="3"/>
      <c r="E358" s="3"/>
      <c r="F358" s="3"/>
      <c r="G358" s="3"/>
      <c r="H358" s="3"/>
      <c r="I358" s="3"/>
      <c r="J358" s="3"/>
      <c r="K358" s="3"/>
      <c r="L358" s="3"/>
      <c r="M358" s="3"/>
      <c r="N358" s="3"/>
      <c r="O358" s="3"/>
      <c r="P358" s="3"/>
      <c r="Q358" s="3"/>
      <c r="R358" s="111"/>
      <c r="S358" s="111"/>
      <c r="T358" s="111"/>
    </row>
    <row r="359" spans="3:20" s="4" customFormat="1" x14ac:dyDescent="0.25">
      <c r="C359" s="3"/>
      <c r="D359" s="3"/>
      <c r="E359" s="3"/>
      <c r="F359" s="3"/>
      <c r="G359" s="3"/>
      <c r="H359" s="3"/>
      <c r="I359" s="3"/>
      <c r="J359" s="3"/>
      <c r="K359" s="3"/>
      <c r="L359" s="3"/>
      <c r="M359" s="3"/>
      <c r="N359" s="3"/>
      <c r="O359" s="3"/>
      <c r="P359" s="3"/>
      <c r="Q359" s="3"/>
      <c r="R359" s="111"/>
      <c r="S359" s="111"/>
      <c r="T359" s="111"/>
    </row>
    <row r="360" spans="3:20" s="4" customFormat="1" x14ac:dyDescent="0.25">
      <c r="C360" s="3"/>
      <c r="D360" s="3"/>
      <c r="E360" s="3"/>
      <c r="F360" s="3"/>
      <c r="G360" s="3"/>
      <c r="H360" s="3"/>
      <c r="I360" s="3"/>
      <c r="J360" s="3"/>
      <c r="K360" s="3"/>
      <c r="L360" s="3"/>
      <c r="M360" s="3"/>
      <c r="N360" s="3"/>
      <c r="O360" s="3"/>
      <c r="P360" s="3"/>
      <c r="Q360" s="3"/>
      <c r="R360" s="111"/>
      <c r="S360" s="111"/>
      <c r="T360" s="111"/>
    </row>
    <row r="361" spans="3:20" s="4" customFormat="1" x14ac:dyDescent="0.25">
      <c r="C361" s="3"/>
      <c r="D361" s="3"/>
      <c r="E361" s="3"/>
      <c r="F361" s="3"/>
      <c r="G361" s="3"/>
      <c r="H361" s="3"/>
      <c r="I361" s="3"/>
      <c r="J361" s="3"/>
      <c r="K361" s="3"/>
      <c r="L361" s="3"/>
      <c r="M361" s="3"/>
      <c r="N361" s="3"/>
      <c r="O361" s="3"/>
      <c r="P361" s="3"/>
      <c r="Q361" s="3"/>
      <c r="R361" s="111"/>
      <c r="S361" s="111"/>
      <c r="T361" s="111"/>
    </row>
    <row r="362" spans="3:20" s="4" customFormat="1" x14ac:dyDescent="0.25">
      <c r="C362" s="3"/>
      <c r="D362" s="3"/>
      <c r="E362" s="3"/>
      <c r="F362" s="3"/>
      <c r="G362" s="3"/>
      <c r="H362" s="3"/>
      <c r="I362" s="3"/>
      <c r="J362" s="3"/>
      <c r="K362" s="3"/>
      <c r="L362" s="3"/>
      <c r="M362" s="3"/>
      <c r="N362" s="3"/>
      <c r="O362" s="3"/>
      <c r="P362" s="3"/>
      <c r="Q362" s="3"/>
      <c r="R362" s="111"/>
      <c r="S362" s="111"/>
      <c r="T362" s="111"/>
    </row>
    <row r="363" spans="3:20" s="4" customFormat="1" x14ac:dyDescent="0.25">
      <c r="C363" s="3"/>
      <c r="D363" s="3"/>
      <c r="E363" s="3"/>
      <c r="F363" s="3"/>
      <c r="G363" s="3"/>
      <c r="H363" s="3"/>
      <c r="I363" s="3"/>
      <c r="J363" s="3"/>
      <c r="K363" s="3"/>
      <c r="L363" s="3"/>
      <c r="M363" s="3"/>
      <c r="N363" s="3"/>
      <c r="O363" s="3"/>
      <c r="P363" s="3"/>
      <c r="Q363" s="3"/>
      <c r="R363" s="111"/>
      <c r="S363" s="111"/>
      <c r="T363" s="111"/>
    </row>
    <row r="364" spans="3:20" s="4" customFormat="1" x14ac:dyDescent="0.25">
      <c r="C364" s="3"/>
      <c r="D364" s="3"/>
      <c r="E364" s="3"/>
      <c r="F364" s="3"/>
      <c r="G364" s="3"/>
      <c r="H364" s="3"/>
      <c r="I364" s="3"/>
      <c r="J364" s="3"/>
      <c r="K364" s="3"/>
      <c r="L364" s="3"/>
      <c r="M364" s="3"/>
      <c r="N364" s="3"/>
      <c r="O364" s="3"/>
      <c r="P364" s="3"/>
      <c r="Q364" s="3"/>
      <c r="R364" s="111"/>
      <c r="S364" s="111"/>
      <c r="T364" s="111"/>
    </row>
    <row r="365" spans="3:20" s="4" customFormat="1" x14ac:dyDescent="0.25">
      <c r="C365" s="3"/>
      <c r="D365" s="3"/>
      <c r="E365" s="3"/>
      <c r="F365" s="3"/>
      <c r="G365" s="3"/>
      <c r="H365" s="3"/>
      <c r="I365" s="3"/>
      <c r="J365" s="3"/>
      <c r="K365" s="3"/>
      <c r="L365" s="3"/>
      <c r="M365" s="3"/>
      <c r="N365" s="3"/>
      <c r="O365" s="3"/>
      <c r="P365" s="3"/>
      <c r="Q365" s="3"/>
      <c r="R365" s="111"/>
      <c r="S365" s="111"/>
      <c r="T365" s="111"/>
    </row>
    <row r="366" spans="3:20" s="4" customFormat="1" x14ac:dyDescent="0.25">
      <c r="C366" s="3"/>
      <c r="D366" s="3"/>
      <c r="E366" s="3"/>
      <c r="F366" s="3"/>
      <c r="G366" s="3"/>
      <c r="H366" s="3"/>
      <c r="I366" s="3"/>
      <c r="J366" s="3"/>
      <c r="K366" s="3"/>
      <c r="L366" s="3"/>
      <c r="M366" s="3"/>
      <c r="N366" s="3"/>
      <c r="O366" s="3"/>
      <c r="P366" s="3"/>
      <c r="Q366" s="3"/>
      <c r="R366" s="111"/>
      <c r="S366" s="111"/>
      <c r="T366" s="111"/>
    </row>
    <row r="367" spans="3:20" s="4" customFormat="1" x14ac:dyDescent="0.25">
      <c r="C367" s="3"/>
      <c r="D367" s="3"/>
      <c r="E367" s="3"/>
      <c r="F367" s="3"/>
      <c r="G367" s="3"/>
      <c r="H367" s="3"/>
      <c r="I367" s="3"/>
      <c r="J367" s="3"/>
      <c r="K367" s="3"/>
      <c r="L367" s="3"/>
      <c r="M367" s="3"/>
      <c r="N367" s="3"/>
      <c r="O367" s="3"/>
      <c r="P367" s="3"/>
      <c r="Q367" s="3"/>
      <c r="R367" s="111"/>
      <c r="S367" s="111"/>
      <c r="T367" s="111"/>
    </row>
    <row r="368" spans="3:20" s="4" customFormat="1" x14ac:dyDescent="0.25">
      <c r="C368" s="3"/>
      <c r="D368" s="3"/>
      <c r="E368" s="3"/>
      <c r="F368" s="3"/>
      <c r="G368" s="3"/>
      <c r="H368" s="3"/>
      <c r="I368" s="3"/>
      <c r="J368" s="3"/>
      <c r="K368" s="3"/>
      <c r="L368" s="3"/>
      <c r="M368" s="3"/>
      <c r="N368" s="3"/>
      <c r="O368" s="3"/>
      <c r="P368" s="3"/>
      <c r="Q368" s="3"/>
      <c r="R368" s="111"/>
      <c r="S368" s="111"/>
      <c r="T368" s="111"/>
    </row>
    <row r="369" spans="3:20" s="4" customFormat="1" x14ac:dyDescent="0.25">
      <c r="C369" s="3"/>
      <c r="D369" s="3"/>
      <c r="E369" s="3"/>
      <c r="F369" s="3"/>
      <c r="G369" s="3"/>
      <c r="H369" s="3"/>
      <c r="I369" s="3"/>
      <c r="J369" s="3"/>
      <c r="K369" s="3"/>
      <c r="L369" s="3"/>
      <c r="M369" s="3"/>
      <c r="N369" s="3"/>
      <c r="O369" s="3"/>
      <c r="P369" s="3"/>
      <c r="Q369" s="3"/>
      <c r="R369" s="111"/>
      <c r="S369" s="111"/>
      <c r="T369" s="111"/>
    </row>
    <row r="370" spans="3:20" s="4" customFormat="1" x14ac:dyDescent="0.25">
      <c r="C370" s="3"/>
      <c r="D370" s="3"/>
      <c r="E370" s="3"/>
      <c r="F370" s="3"/>
      <c r="G370" s="3"/>
      <c r="H370" s="3"/>
      <c r="I370" s="3"/>
      <c r="J370" s="3"/>
      <c r="K370" s="3"/>
      <c r="L370" s="3"/>
      <c r="M370" s="3"/>
      <c r="N370" s="3"/>
      <c r="O370" s="3"/>
      <c r="P370" s="3"/>
      <c r="Q370" s="3"/>
      <c r="R370" s="111"/>
      <c r="S370" s="111"/>
      <c r="T370" s="111"/>
    </row>
    <row r="371" spans="3:20" s="4" customFormat="1" x14ac:dyDescent="0.25">
      <c r="C371" s="3"/>
      <c r="D371" s="3"/>
      <c r="E371" s="3"/>
      <c r="F371" s="3"/>
      <c r="G371" s="3"/>
      <c r="H371" s="3"/>
      <c r="I371" s="3"/>
      <c r="J371" s="3"/>
      <c r="K371" s="3"/>
      <c r="L371" s="3"/>
      <c r="M371" s="3"/>
      <c r="N371" s="3"/>
      <c r="O371" s="3"/>
      <c r="P371" s="3"/>
      <c r="Q371" s="3"/>
      <c r="R371" s="111"/>
      <c r="S371" s="111"/>
      <c r="T371" s="111"/>
    </row>
    <row r="372" spans="3:20" s="4" customFormat="1" x14ac:dyDescent="0.25">
      <c r="C372" s="3"/>
      <c r="D372" s="3"/>
      <c r="E372" s="3"/>
      <c r="F372" s="3"/>
      <c r="G372" s="3"/>
      <c r="H372" s="3"/>
      <c r="I372" s="3"/>
      <c r="J372" s="3"/>
      <c r="K372" s="3"/>
      <c r="L372" s="3"/>
      <c r="M372" s="3"/>
      <c r="N372" s="3"/>
      <c r="O372" s="3"/>
      <c r="P372" s="3"/>
      <c r="Q372" s="3"/>
      <c r="R372" s="111"/>
      <c r="S372" s="111"/>
      <c r="T372" s="111"/>
    </row>
    <row r="373" spans="3:20" s="4" customFormat="1" x14ac:dyDescent="0.25">
      <c r="C373" s="3"/>
      <c r="D373" s="3"/>
      <c r="E373" s="3"/>
      <c r="F373" s="3"/>
      <c r="G373" s="3"/>
      <c r="H373" s="3"/>
      <c r="I373" s="3"/>
      <c r="J373" s="3"/>
      <c r="K373" s="3"/>
      <c r="L373" s="3"/>
      <c r="M373" s="3"/>
      <c r="N373" s="3"/>
      <c r="O373" s="3"/>
      <c r="P373" s="3"/>
      <c r="Q373" s="3"/>
      <c r="R373" s="111"/>
      <c r="S373" s="111"/>
      <c r="T373" s="111"/>
    </row>
    <row r="374" spans="3:20" s="4" customFormat="1" x14ac:dyDescent="0.25">
      <c r="C374" s="3"/>
      <c r="D374" s="3"/>
      <c r="E374" s="3"/>
      <c r="F374" s="3"/>
      <c r="G374" s="3"/>
      <c r="H374" s="3"/>
      <c r="I374" s="3"/>
      <c r="J374" s="3"/>
      <c r="K374" s="3"/>
      <c r="L374" s="3"/>
      <c r="M374" s="3"/>
      <c r="N374" s="3"/>
      <c r="O374" s="3"/>
      <c r="P374" s="3"/>
      <c r="Q374" s="3"/>
      <c r="R374" s="111"/>
      <c r="S374" s="111"/>
      <c r="T374" s="111"/>
    </row>
    <row r="375" spans="3:20" s="4" customFormat="1" x14ac:dyDescent="0.25">
      <c r="C375" s="3"/>
      <c r="D375" s="3"/>
      <c r="E375" s="3"/>
      <c r="F375" s="3"/>
      <c r="G375" s="3"/>
      <c r="H375" s="3"/>
      <c r="I375" s="3"/>
      <c r="J375" s="3"/>
      <c r="K375" s="3"/>
      <c r="L375" s="3"/>
      <c r="M375" s="3"/>
      <c r="N375" s="3"/>
      <c r="O375" s="3"/>
      <c r="P375" s="3"/>
      <c r="Q375" s="3"/>
      <c r="R375" s="111"/>
      <c r="S375" s="111"/>
      <c r="T375" s="111"/>
    </row>
    <row r="376" spans="3:20" s="4" customFormat="1" x14ac:dyDescent="0.25">
      <c r="C376" s="3"/>
      <c r="D376" s="3"/>
      <c r="E376" s="3"/>
      <c r="F376" s="3"/>
      <c r="G376" s="3"/>
      <c r="H376" s="3"/>
      <c r="I376" s="3"/>
      <c r="J376" s="3"/>
      <c r="K376" s="3"/>
      <c r="L376" s="3"/>
      <c r="M376" s="3"/>
      <c r="N376" s="3"/>
      <c r="O376" s="3"/>
      <c r="P376" s="3"/>
      <c r="Q376" s="3"/>
      <c r="R376" s="111"/>
      <c r="S376" s="111"/>
      <c r="T376" s="111"/>
    </row>
    <row r="377" spans="3:20" s="4" customFormat="1" x14ac:dyDescent="0.25">
      <c r="C377" s="3"/>
      <c r="D377" s="3"/>
      <c r="E377" s="3"/>
      <c r="F377" s="3"/>
      <c r="G377" s="3"/>
      <c r="H377" s="3"/>
      <c r="I377" s="3"/>
      <c r="J377" s="3"/>
      <c r="K377" s="3"/>
      <c r="L377" s="3"/>
      <c r="M377" s="3"/>
      <c r="N377" s="3"/>
      <c r="O377" s="3"/>
      <c r="P377" s="3"/>
      <c r="Q377" s="3"/>
      <c r="R377" s="111"/>
      <c r="S377" s="111"/>
      <c r="T377" s="111"/>
    </row>
    <row r="378" spans="3:20" s="4" customFormat="1" x14ac:dyDescent="0.25">
      <c r="C378" s="3"/>
      <c r="D378" s="3"/>
      <c r="E378" s="3"/>
      <c r="F378" s="3"/>
      <c r="G378" s="3"/>
      <c r="H378" s="3"/>
      <c r="I378" s="3"/>
      <c r="J378" s="3"/>
      <c r="K378" s="3"/>
      <c r="L378" s="3"/>
      <c r="M378" s="3"/>
      <c r="N378" s="3"/>
      <c r="O378" s="3"/>
      <c r="P378" s="3"/>
      <c r="Q378" s="3"/>
      <c r="R378" s="111"/>
      <c r="S378" s="111"/>
      <c r="T378" s="111"/>
    </row>
    <row r="379" spans="3:20" s="4" customFormat="1" x14ac:dyDescent="0.25">
      <c r="C379" s="3"/>
      <c r="D379" s="3"/>
      <c r="E379" s="3"/>
      <c r="F379" s="3"/>
      <c r="G379" s="3"/>
      <c r="H379" s="3"/>
      <c r="I379" s="3"/>
      <c r="J379" s="3"/>
      <c r="K379" s="3"/>
      <c r="L379" s="3"/>
      <c r="M379" s="3"/>
      <c r="N379" s="3"/>
      <c r="O379" s="3"/>
      <c r="P379" s="3"/>
      <c r="Q379" s="3"/>
      <c r="R379" s="111"/>
      <c r="S379" s="111"/>
      <c r="T379" s="111"/>
    </row>
    <row r="380" spans="3:20" s="4" customFormat="1" x14ac:dyDescent="0.25">
      <c r="C380" s="3"/>
      <c r="D380" s="3"/>
      <c r="E380" s="3"/>
      <c r="F380" s="3"/>
      <c r="G380" s="3"/>
      <c r="H380" s="3"/>
      <c r="I380" s="3"/>
      <c r="J380" s="3"/>
      <c r="K380" s="3"/>
      <c r="L380" s="3"/>
      <c r="M380" s="3"/>
      <c r="N380" s="3"/>
      <c r="O380" s="3"/>
      <c r="P380" s="3"/>
      <c r="Q380" s="3"/>
      <c r="R380" s="111"/>
      <c r="S380" s="111"/>
      <c r="T380" s="111"/>
    </row>
    <row r="381" spans="3:20" s="4" customFormat="1" x14ac:dyDescent="0.25">
      <c r="C381" s="3"/>
      <c r="D381" s="3"/>
      <c r="E381" s="3"/>
      <c r="F381" s="3"/>
      <c r="G381" s="3"/>
      <c r="H381" s="3"/>
      <c r="I381" s="3"/>
      <c r="J381" s="3"/>
      <c r="K381" s="3"/>
      <c r="L381" s="3"/>
      <c r="M381" s="3"/>
      <c r="N381" s="3"/>
      <c r="O381" s="3"/>
      <c r="P381" s="3"/>
      <c r="Q381" s="3"/>
      <c r="R381" s="111"/>
      <c r="S381" s="111"/>
      <c r="T381" s="111"/>
    </row>
    <row r="382" spans="3:20" s="4" customFormat="1" x14ac:dyDescent="0.25">
      <c r="C382" s="3"/>
      <c r="D382" s="3"/>
      <c r="E382" s="3"/>
      <c r="F382" s="3"/>
      <c r="G382" s="3"/>
      <c r="H382" s="3"/>
      <c r="I382" s="3"/>
      <c r="J382" s="3"/>
      <c r="K382" s="3"/>
      <c r="L382" s="3"/>
      <c r="M382" s="3"/>
      <c r="N382" s="3"/>
      <c r="O382" s="3"/>
      <c r="P382" s="3"/>
      <c r="Q382" s="3"/>
      <c r="R382" s="111"/>
      <c r="S382" s="111"/>
      <c r="T382" s="111"/>
    </row>
    <row r="383" spans="3:20" s="4" customFormat="1" x14ac:dyDescent="0.25">
      <c r="C383" s="3"/>
      <c r="D383" s="3"/>
      <c r="E383" s="3"/>
      <c r="F383" s="3"/>
      <c r="G383" s="3"/>
      <c r="H383" s="3"/>
      <c r="I383" s="3"/>
      <c r="J383" s="3"/>
      <c r="K383" s="3"/>
      <c r="L383" s="3"/>
      <c r="M383" s="3"/>
      <c r="N383" s="3"/>
      <c r="O383" s="3"/>
      <c r="P383" s="3"/>
      <c r="Q383" s="3"/>
      <c r="R383" s="111"/>
      <c r="S383" s="111"/>
      <c r="T383" s="111"/>
    </row>
    <row r="384" spans="3:20" s="4" customFormat="1" x14ac:dyDescent="0.25">
      <c r="C384" s="3"/>
      <c r="D384" s="3"/>
      <c r="E384" s="3"/>
      <c r="F384" s="3"/>
      <c r="G384" s="3"/>
      <c r="H384" s="3"/>
      <c r="I384" s="3"/>
      <c r="J384" s="3"/>
      <c r="K384" s="3"/>
      <c r="L384" s="3"/>
      <c r="M384" s="3"/>
      <c r="N384" s="3"/>
      <c r="O384" s="3"/>
      <c r="P384" s="3"/>
      <c r="Q384" s="3"/>
      <c r="R384" s="111"/>
      <c r="S384" s="111"/>
      <c r="T384" s="111"/>
    </row>
    <row r="385" spans="3:20" s="4" customFormat="1" x14ac:dyDescent="0.25">
      <c r="C385" s="3"/>
      <c r="D385" s="3"/>
      <c r="E385" s="3"/>
      <c r="F385" s="3"/>
      <c r="G385" s="3"/>
      <c r="H385" s="3"/>
      <c r="I385" s="3"/>
      <c r="J385" s="3"/>
      <c r="K385" s="3"/>
      <c r="L385" s="3"/>
      <c r="M385" s="3"/>
      <c r="N385" s="3"/>
      <c r="O385" s="3"/>
      <c r="P385" s="3"/>
      <c r="Q385" s="3"/>
      <c r="R385" s="111"/>
      <c r="S385" s="111"/>
      <c r="T385" s="111"/>
    </row>
    <row r="386" spans="3:20" s="4" customFormat="1" x14ac:dyDescent="0.25">
      <c r="C386" s="3"/>
      <c r="D386" s="3"/>
      <c r="E386" s="3"/>
      <c r="F386" s="3"/>
      <c r="G386" s="3"/>
      <c r="H386" s="3"/>
      <c r="I386" s="3"/>
      <c r="J386" s="3"/>
      <c r="K386" s="3"/>
      <c r="L386" s="3"/>
      <c r="M386" s="3"/>
      <c r="N386" s="3"/>
      <c r="O386" s="3"/>
      <c r="P386" s="3"/>
      <c r="Q386" s="3"/>
      <c r="R386" s="111"/>
      <c r="S386" s="111"/>
      <c r="T386" s="111"/>
    </row>
    <row r="387" spans="3:20" s="4" customFormat="1" x14ac:dyDescent="0.25">
      <c r="C387" s="3"/>
      <c r="D387" s="3"/>
      <c r="E387" s="3"/>
      <c r="F387" s="3"/>
      <c r="G387" s="3"/>
      <c r="H387" s="3"/>
      <c r="I387" s="3"/>
      <c r="J387" s="3"/>
      <c r="K387" s="3"/>
      <c r="L387" s="3"/>
      <c r="M387" s="3"/>
      <c r="N387" s="3"/>
      <c r="O387" s="3"/>
      <c r="P387" s="3"/>
      <c r="Q387" s="3"/>
      <c r="R387" s="111"/>
      <c r="S387" s="111"/>
      <c r="T387" s="111"/>
    </row>
    <row r="388" spans="3:20" s="4" customFormat="1" x14ac:dyDescent="0.25">
      <c r="C388" s="3"/>
      <c r="D388" s="3"/>
      <c r="E388" s="3"/>
      <c r="F388" s="3"/>
      <c r="G388" s="3"/>
      <c r="H388" s="3"/>
      <c r="I388" s="3"/>
      <c r="J388" s="3"/>
      <c r="K388" s="3"/>
      <c r="L388" s="3"/>
      <c r="M388" s="3"/>
      <c r="N388" s="3"/>
      <c r="O388" s="3"/>
      <c r="P388" s="3"/>
      <c r="Q388" s="3"/>
      <c r="R388" s="111"/>
      <c r="S388" s="111"/>
      <c r="T388" s="111"/>
    </row>
    <row r="389" spans="3:20" s="4" customFormat="1" x14ac:dyDescent="0.25">
      <c r="C389" s="3"/>
      <c r="D389" s="3"/>
      <c r="E389" s="3"/>
      <c r="F389" s="3"/>
      <c r="G389" s="3"/>
      <c r="H389" s="3"/>
      <c r="I389" s="3"/>
      <c r="J389" s="3"/>
      <c r="K389" s="3"/>
      <c r="L389" s="3"/>
      <c r="M389" s="3"/>
      <c r="N389" s="3"/>
      <c r="O389" s="3"/>
      <c r="P389" s="3"/>
      <c r="Q389" s="3"/>
      <c r="R389" s="111"/>
      <c r="S389" s="111"/>
      <c r="T389" s="111"/>
    </row>
    <row r="390" spans="3:20" s="4" customFormat="1" x14ac:dyDescent="0.25">
      <c r="C390" s="3"/>
      <c r="D390" s="3"/>
      <c r="E390" s="3"/>
      <c r="F390" s="3"/>
      <c r="G390" s="3"/>
      <c r="H390" s="3"/>
      <c r="I390" s="3"/>
      <c r="J390" s="3"/>
      <c r="K390" s="3"/>
      <c r="L390" s="3"/>
      <c r="M390" s="3"/>
      <c r="N390" s="3"/>
      <c r="O390" s="3"/>
      <c r="P390" s="3"/>
      <c r="Q390" s="3"/>
      <c r="R390" s="111"/>
      <c r="S390" s="111"/>
      <c r="T390" s="111"/>
    </row>
    <row r="391" spans="3:20" s="4" customFormat="1" x14ac:dyDescent="0.25">
      <c r="C391" s="3"/>
      <c r="D391" s="3"/>
      <c r="E391" s="3"/>
      <c r="F391" s="3"/>
      <c r="G391" s="3"/>
      <c r="H391" s="3"/>
      <c r="I391" s="3"/>
      <c r="J391" s="3"/>
      <c r="K391" s="3"/>
      <c r="L391" s="3"/>
      <c r="M391" s="3"/>
      <c r="N391" s="3"/>
      <c r="O391" s="3"/>
      <c r="P391" s="3"/>
      <c r="Q391" s="3"/>
      <c r="R391" s="111"/>
      <c r="S391" s="111"/>
      <c r="T391" s="111"/>
    </row>
    <row r="392" spans="3:20" s="4" customFormat="1" x14ac:dyDescent="0.25">
      <c r="C392" s="3"/>
      <c r="D392" s="3"/>
      <c r="E392" s="3"/>
      <c r="F392" s="3"/>
      <c r="G392" s="3"/>
      <c r="H392" s="3"/>
      <c r="I392" s="3"/>
      <c r="J392" s="3"/>
      <c r="K392" s="3"/>
      <c r="L392" s="3"/>
      <c r="M392" s="3"/>
      <c r="N392" s="3"/>
      <c r="O392" s="3"/>
      <c r="P392" s="3"/>
      <c r="Q392" s="3"/>
      <c r="R392" s="111"/>
      <c r="S392" s="111"/>
      <c r="T392" s="111"/>
    </row>
    <row r="393" spans="3:20" s="4" customFormat="1" x14ac:dyDescent="0.25">
      <c r="C393" s="3"/>
      <c r="D393" s="3"/>
      <c r="E393" s="3"/>
      <c r="F393" s="3"/>
      <c r="G393" s="3"/>
      <c r="H393" s="3"/>
      <c r="I393" s="3"/>
      <c r="J393" s="3"/>
      <c r="K393" s="3"/>
      <c r="L393" s="3"/>
      <c r="M393" s="3"/>
      <c r="N393" s="3"/>
      <c r="O393" s="3"/>
      <c r="P393" s="3"/>
      <c r="Q393" s="3"/>
      <c r="R393" s="111"/>
      <c r="S393" s="111"/>
      <c r="T393" s="111"/>
    </row>
    <row r="394" spans="3:20" s="4" customFormat="1" x14ac:dyDescent="0.25">
      <c r="C394" s="3"/>
      <c r="D394" s="3"/>
      <c r="E394" s="3"/>
      <c r="F394" s="3"/>
      <c r="G394" s="3"/>
      <c r="H394" s="3"/>
      <c r="I394" s="3"/>
      <c r="J394" s="3"/>
      <c r="K394" s="3"/>
      <c r="L394" s="3"/>
      <c r="M394" s="3"/>
      <c r="N394" s="3"/>
      <c r="O394" s="3"/>
      <c r="P394" s="3"/>
      <c r="Q394" s="3"/>
      <c r="R394" s="111"/>
      <c r="S394" s="111"/>
      <c r="T394" s="111"/>
    </row>
    <row r="395" spans="3:20" s="4" customFormat="1" x14ac:dyDescent="0.25">
      <c r="C395" s="3"/>
      <c r="D395" s="3"/>
      <c r="E395" s="3"/>
      <c r="F395" s="3"/>
      <c r="G395" s="3"/>
      <c r="H395" s="3"/>
      <c r="I395" s="3"/>
      <c r="J395" s="3"/>
      <c r="K395" s="3"/>
      <c r="L395" s="3"/>
      <c r="M395" s="3"/>
      <c r="N395" s="3"/>
      <c r="O395" s="3"/>
      <c r="P395" s="3"/>
      <c r="Q395" s="3"/>
      <c r="R395" s="111"/>
      <c r="S395" s="111"/>
      <c r="T395" s="111"/>
    </row>
    <row r="396" spans="3:20" s="4" customFormat="1" x14ac:dyDescent="0.25">
      <c r="C396" s="3"/>
      <c r="D396" s="3"/>
      <c r="E396" s="3"/>
      <c r="F396" s="3"/>
      <c r="G396" s="3"/>
      <c r="H396" s="3"/>
      <c r="I396" s="3"/>
      <c r="J396" s="3"/>
      <c r="K396" s="3"/>
      <c r="L396" s="3"/>
      <c r="M396" s="3"/>
      <c r="N396" s="3"/>
      <c r="O396" s="3"/>
      <c r="P396" s="3"/>
      <c r="Q396" s="3"/>
      <c r="R396" s="111"/>
      <c r="S396" s="111"/>
      <c r="T396" s="111"/>
    </row>
    <row r="397" spans="3:20" s="4" customFormat="1" x14ac:dyDescent="0.25">
      <c r="C397" s="3"/>
      <c r="D397" s="3"/>
      <c r="E397" s="3"/>
      <c r="F397" s="3"/>
      <c r="G397" s="3"/>
      <c r="H397" s="3"/>
      <c r="I397" s="3"/>
      <c r="J397" s="3"/>
      <c r="K397" s="3"/>
      <c r="L397" s="3"/>
      <c r="M397" s="3"/>
      <c r="N397" s="3"/>
      <c r="O397" s="3"/>
      <c r="P397" s="3"/>
      <c r="Q397" s="3"/>
      <c r="R397" s="111"/>
      <c r="S397" s="111"/>
      <c r="T397" s="111"/>
    </row>
    <row r="398" spans="3:20" s="4" customFormat="1" x14ac:dyDescent="0.25">
      <c r="C398" s="3"/>
      <c r="D398" s="3"/>
      <c r="E398" s="3"/>
      <c r="F398" s="3"/>
      <c r="G398" s="3"/>
      <c r="H398" s="3"/>
      <c r="I398" s="3"/>
      <c r="J398" s="3"/>
      <c r="K398" s="3"/>
      <c r="L398" s="3"/>
      <c r="M398" s="3"/>
      <c r="N398" s="3"/>
      <c r="O398" s="3"/>
      <c r="P398" s="3"/>
      <c r="Q398" s="3"/>
      <c r="R398" s="111"/>
      <c r="S398" s="111"/>
      <c r="T398" s="111"/>
    </row>
    <row r="399" spans="3:20" s="4" customFormat="1" x14ac:dyDescent="0.25">
      <c r="C399" s="3"/>
      <c r="D399" s="3"/>
      <c r="E399" s="3"/>
      <c r="F399" s="3"/>
      <c r="G399" s="3"/>
      <c r="H399" s="3"/>
      <c r="I399" s="3"/>
      <c r="J399" s="3"/>
      <c r="K399" s="3"/>
      <c r="L399" s="3"/>
      <c r="M399" s="3"/>
      <c r="N399" s="3"/>
      <c r="O399" s="3"/>
      <c r="P399" s="3"/>
      <c r="Q399" s="3"/>
      <c r="R399" s="111"/>
      <c r="S399" s="111"/>
      <c r="T399" s="111"/>
    </row>
    <row r="400" spans="3:20" s="4" customFormat="1" x14ac:dyDescent="0.25">
      <c r="C400" s="3"/>
      <c r="D400" s="3"/>
      <c r="E400" s="3"/>
      <c r="F400" s="3"/>
      <c r="G400" s="3"/>
      <c r="H400" s="3"/>
      <c r="I400" s="3"/>
      <c r="J400" s="3"/>
      <c r="K400" s="3"/>
      <c r="L400" s="3"/>
      <c r="M400" s="3"/>
      <c r="N400" s="3"/>
      <c r="O400" s="3"/>
      <c r="P400" s="3"/>
      <c r="Q400" s="3"/>
      <c r="R400" s="111"/>
      <c r="S400" s="111"/>
      <c r="T400" s="111"/>
    </row>
    <row r="401" spans="3:20" s="4" customFormat="1" x14ac:dyDescent="0.25">
      <c r="C401" s="3"/>
      <c r="D401" s="3"/>
      <c r="E401" s="3"/>
      <c r="F401" s="3"/>
      <c r="G401" s="3"/>
      <c r="H401" s="3"/>
      <c r="I401" s="3"/>
      <c r="J401" s="3"/>
      <c r="K401" s="3"/>
      <c r="L401" s="3"/>
      <c r="M401" s="3"/>
      <c r="N401" s="3"/>
      <c r="O401" s="3"/>
      <c r="P401" s="3"/>
      <c r="Q401" s="3"/>
      <c r="R401" s="111"/>
      <c r="S401" s="111"/>
      <c r="T401" s="111"/>
    </row>
    <row r="402" spans="3:20" s="4" customFormat="1" x14ac:dyDescent="0.25">
      <c r="C402" s="3"/>
      <c r="D402" s="3"/>
      <c r="E402" s="3"/>
      <c r="F402" s="3"/>
      <c r="G402" s="3"/>
      <c r="H402" s="3"/>
      <c r="I402" s="3"/>
      <c r="J402" s="3"/>
      <c r="K402" s="3"/>
      <c r="L402" s="3"/>
      <c r="M402" s="3"/>
      <c r="N402" s="3"/>
      <c r="O402" s="3"/>
      <c r="P402" s="3"/>
      <c r="Q402" s="3"/>
      <c r="R402" s="111"/>
      <c r="S402" s="111"/>
      <c r="T402" s="111"/>
    </row>
    <row r="403" spans="3:20" s="4" customFormat="1" x14ac:dyDescent="0.25">
      <c r="C403" s="3"/>
      <c r="D403" s="3"/>
      <c r="E403" s="3"/>
      <c r="F403" s="3"/>
      <c r="G403" s="3"/>
      <c r="H403" s="3"/>
      <c r="I403" s="3"/>
      <c r="J403" s="3"/>
      <c r="K403" s="3"/>
      <c r="L403" s="3"/>
      <c r="M403" s="3"/>
      <c r="N403" s="3"/>
      <c r="O403" s="3"/>
      <c r="P403" s="3"/>
      <c r="Q403" s="3"/>
      <c r="R403" s="111"/>
      <c r="S403" s="111"/>
      <c r="T403" s="111"/>
    </row>
    <row r="404" spans="3:20" s="4" customFormat="1" x14ac:dyDescent="0.25">
      <c r="C404" s="3"/>
      <c r="D404" s="3"/>
      <c r="E404" s="3"/>
      <c r="F404" s="3"/>
      <c r="G404" s="3"/>
      <c r="H404" s="3"/>
      <c r="I404" s="3"/>
      <c r="J404" s="3"/>
      <c r="K404" s="3"/>
      <c r="L404" s="3"/>
      <c r="M404" s="3"/>
      <c r="N404" s="3"/>
      <c r="O404" s="3"/>
      <c r="P404" s="3"/>
      <c r="Q404" s="3"/>
      <c r="R404" s="111"/>
      <c r="S404" s="111"/>
      <c r="T404" s="111"/>
    </row>
    <row r="405" spans="3:20" s="4" customFormat="1" x14ac:dyDescent="0.25">
      <c r="C405" s="3"/>
      <c r="D405" s="3"/>
      <c r="E405" s="3"/>
      <c r="F405" s="3"/>
      <c r="G405" s="3"/>
      <c r="H405" s="3"/>
      <c r="I405" s="3"/>
      <c r="J405" s="3"/>
      <c r="K405" s="3"/>
      <c r="L405" s="3"/>
      <c r="M405" s="3"/>
      <c r="N405" s="3"/>
      <c r="O405" s="3"/>
      <c r="P405" s="3"/>
      <c r="Q405" s="3"/>
      <c r="R405" s="111"/>
      <c r="S405" s="111"/>
      <c r="T405" s="111"/>
    </row>
    <row r="406" spans="3:20" s="4" customFormat="1" x14ac:dyDescent="0.25">
      <c r="C406" s="3"/>
      <c r="D406" s="3"/>
      <c r="E406" s="3"/>
      <c r="F406" s="3"/>
      <c r="G406" s="3"/>
      <c r="H406" s="3"/>
      <c r="I406" s="3"/>
      <c r="J406" s="3"/>
      <c r="K406" s="3"/>
      <c r="L406" s="3"/>
      <c r="M406" s="3"/>
      <c r="N406" s="3"/>
      <c r="O406" s="3"/>
      <c r="P406" s="3"/>
      <c r="Q406" s="3"/>
      <c r="R406" s="111"/>
      <c r="S406" s="111"/>
      <c r="T406" s="111"/>
    </row>
    <row r="407" spans="3:20" s="4" customFormat="1" x14ac:dyDescent="0.25">
      <c r="C407" s="3"/>
      <c r="D407" s="3"/>
      <c r="E407" s="3"/>
      <c r="F407" s="3"/>
      <c r="G407" s="3"/>
      <c r="H407" s="3"/>
      <c r="I407" s="3"/>
      <c r="J407" s="3"/>
      <c r="K407" s="3"/>
      <c r="L407" s="3"/>
      <c r="M407" s="3"/>
      <c r="N407" s="3"/>
      <c r="O407" s="3"/>
      <c r="P407" s="3"/>
      <c r="Q407" s="3"/>
      <c r="R407" s="111"/>
      <c r="S407" s="111"/>
      <c r="T407" s="111"/>
    </row>
    <row r="408" spans="3:20" s="4" customFormat="1" x14ac:dyDescent="0.25">
      <c r="C408" s="3"/>
      <c r="D408" s="3"/>
      <c r="E408" s="3"/>
      <c r="F408" s="3"/>
      <c r="G408" s="3"/>
      <c r="H408" s="3"/>
      <c r="I408" s="3"/>
      <c r="J408" s="3"/>
      <c r="K408" s="3"/>
      <c r="L408" s="3"/>
      <c r="M408" s="3"/>
      <c r="N408" s="3"/>
      <c r="O408" s="3"/>
      <c r="P408" s="3"/>
      <c r="Q408" s="3"/>
      <c r="R408" s="111"/>
      <c r="S408" s="111"/>
      <c r="T408" s="111"/>
    </row>
    <row r="409" spans="3:20" s="4" customFormat="1" x14ac:dyDescent="0.25">
      <c r="C409" s="3"/>
      <c r="D409" s="3"/>
      <c r="E409" s="3"/>
      <c r="F409" s="3"/>
      <c r="G409" s="3"/>
      <c r="H409" s="3"/>
      <c r="I409" s="3"/>
      <c r="J409" s="3"/>
      <c r="K409" s="3"/>
      <c r="L409" s="3"/>
      <c r="M409" s="3"/>
      <c r="N409" s="3"/>
      <c r="O409" s="3"/>
      <c r="P409" s="3"/>
      <c r="Q409" s="3"/>
      <c r="R409" s="111"/>
      <c r="S409" s="111"/>
      <c r="T409" s="111"/>
    </row>
    <row r="410" spans="3:20" s="4" customFormat="1" x14ac:dyDescent="0.25">
      <c r="C410" s="3"/>
      <c r="D410" s="3"/>
      <c r="E410" s="3"/>
      <c r="F410" s="3"/>
      <c r="G410" s="3"/>
      <c r="H410" s="3"/>
      <c r="I410" s="3"/>
      <c r="J410" s="3"/>
      <c r="K410" s="3"/>
      <c r="L410" s="3"/>
      <c r="M410" s="3"/>
      <c r="N410" s="3"/>
      <c r="O410" s="3"/>
      <c r="P410" s="3"/>
      <c r="Q410" s="3"/>
      <c r="R410" s="111"/>
      <c r="S410" s="111"/>
      <c r="T410" s="111"/>
    </row>
    <row r="411" spans="3:20" s="4" customFormat="1" x14ac:dyDescent="0.25">
      <c r="C411" s="3"/>
      <c r="D411" s="3"/>
      <c r="E411" s="3"/>
      <c r="F411" s="3"/>
      <c r="G411" s="3"/>
      <c r="H411" s="3"/>
      <c r="I411" s="3"/>
      <c r="J411" s="3"/>
      <c r="K411" s="3"/>
      <c r="L411" s="3"/>
      <c r="M411" s="3"/>
      <c r="N411" s="3"/>
      <c r="O411" s="3"/>
      <c r="P411" s="3"/>
      <c r="Q411" s="3"/>
      <c r="R411" s="111"/>
      <c r="S411" s="111"/>
      <c r="T411" s="111"/>
    </row>
    <row r="412" spans="3:20" s="4" customFormat="1" x14ac:dyDescent="0.25">
      <c r="C412" s="3"/>
      <c r="D412" s="3"/>
      <c r="E412" s="3"/>
      <c r="F412" s="3"/>
      <c r="G412" s="3"/>
      <c r="H412" s="3"/>
      <c r="I412" s="3"/>
      <c r="J412" s="3"/>
      <c r="K412" s="3"/>
      <c r="L412" s="3"/>
      <c r="M412" s="3"/>
      <c r="N412" s="3"/>
      <c r="O412" s="3"/>
      <c r="P412" s="3"/>
      <c r="Q412" s="3"/>
      <c r="R412" s="111"/>
      <c r="S412" s="111"/>
      <c r="T412" s="111"/>
    </row>
    <row r="413" spans="3:20" s="4" customFormat="1" x14ac:dyDescent="0.25">
      <c r="C413" s="3"/>
      <c r="D413" s="3"/>
      <c r="E413" s="3"/>
      <c r="F413" s="3"/>
      <c r="G413" s="3"/>
      <c r="H413" s="3"/>
      <c r="I413" s="3"/>
      <c r="J413" s="3"/>
      <c r="K413" s="3"/>
      <c r="L413" s="3"/>
      <c r="M413" s="3"/>
      <c r="N413" s="3"/>
      <c r="O413" s="3"/>
      <c r="P413" s="3"/>
      <c r="Q413" s="3"/>
      <c r="R413" s="111"/>
      <c r="S413" s="111"/>
      <c r="T413" s="111"/>
    </row>
    <row r="414" spans="3:20" s="4" customFormat="1" x14ac:dyDescent="0.25">
      <c r="C414" s="3"/>
      <c r="D414" s="3"/>
      <c r="E414" s="3"/>
      <c r="F414" s="3"/>
      <c r="G414" s="3"/>
      <c r="H414" s="3"/>
      <c r="I414" s="3"/>
      <c r="J414" s="3"/>
      <c r="K414" s="3"/>
      <c r="L414" s="3"/>
      <c r="M414" s="3"/>
      <c r="N414" s="3"/>
      <c r="O414" s="3"/>
      <c r="P414" s="3"/>
      <c r="Q414" s="3"/>
      <c r="R414" s="111"/>
      <c r="S414" s="111"/>
      <c r="T414" s="111"/>
    </row>
    <row r="415" spans="3:20" s="4" customFormat="1" x14ac:dyDescent="0.25">
      <c r="C415" s="3"/>
      <c r="D415" s="3"/>
      <c r="E415" s="3"/>
      <c r="F415" s="3"/>
      <c r="G415" s="3"/>
      <c r="H415" s="3"/>
      <c r="I415" s="3"/>
      <c r="J415" s="3"/>
      <c r="K415" s="3"/>
      <c r="L415" s="3"/>
      <c r="M415" s="3"/>
      <c r="N415" s="3"/>
      <c r="O415" s="3"/>
      <c r="P415" s="3"/>
      <c r="Q415" s="3"/>
      <c r="R415" s="111"/>
      <c r="S415" s="111"/>
      <c r="T415" s="111"/>
    </row>
    <row r="416" spans="3:20" s="4" customFormat="1" x14ac:dyDescent="0.25">
      <c r="C416" s="3"/>
      <c r="D416" s="3"/>
      <c r="E416" s="3"/>
      <c r="F416" s="3"/>
      <c r="G416" s="3"/>
      <c r="H416" s="3"/>
      <c r="I416" s="3"/>
      <c r="J416" s="3"/>
      <c r="K416" s="3"/>
      <c r="L416" s="3"/>
      <c r="M416" s="3"/>
      <c r="N416" s="3"/>
      <c r="O416" s="3"/>
      <c r="P416" s="3"/>
      <c r="Q416" s="3"/>
      <c r="R416" s="111"/>
      <c r="S416" s="111"/>
      <c r="T416" s="111"/>
    </row>
    <row r="417" spans="3:20" s="4" customFormat="1" x14ac:dyDescent="0.25">
      <c r="C417" s="3"/>
      <c r="D417" s="3"/>
      <c r="E417" s="3"/>
      <c r="F417" s="3"/>
      <c r="G417" s="3"/>
      <c r="H417" s="3"/>
      <c r="I417" s="3"/>
      <c r="J417" s="3"/>
      <c r="K417" s="3"/>
      <c r="L417" s="3"/>
      <c r="M417" s="3"/>
      <c r="N417" s="3"/>
      <c r="O417" s="3"/>
      <c r="P417" s="3"/>
      <c r="Q417" s="3"/>
      <c r="R417" s="111"/>
      <c r="S417" s="111"/>
      <c r="T417" s="111"/>
    </row>
    <row r="418" spans="3:20" s="4" customFormat="1" x14ac:dyDescent="0.25">
      <c r="C418" s="3"/>
      <c r="D418" s="3"/>
      <c r="E418" s="3"/>
      <c r="F418" s="3"/>
      <c r="G418" s="3"/>
      <c r="H418" s="3"/>
      <c r="I418" s="3"/>
      <c r="J418" s="3"/>
      <c r="K418" s="3"/>
      <c r="L418" s="3"/>
      <c r="M418" s="3"/>
      <c r="N418" s="3"/>
      <c r="O418" s="3"/>
      <c r="P418" s="3"/>
      <c r="Q418" s="3"/>
      <c r="R418" s="111"/>
      <c r="S418" s="111"/>
      <c r="T418" s="111"/>
    </row>
    <row r="419" spans="3:20" s="4" customFormat="1" x14ac:dyDescent="0.25">
      <c r="C419" s="3"/>
      <c r="D419" s="3"/>
      <c r="E419" s="3"/>
      <c r="F419" s="3"/>
      <c r="G419" s="3"/>
      <c r="H419" s="3"/>
      <c r="I419" s="3"/>
      <c r="J419" s="3"/>
      <c r="K419" s="3"/>
      <c r="L419" s="3"/>
      <c r="M419" s="3"/>
      <c r="N419" s="3"/>
      <c r="O419" s="3"/>
      <c r="P419" s="3"/>
      <c r="Q419" s="3"/>
      <c r="R419" s="111"/>
      <c r="S419" s="111"/>
      <c r="T419" s="111"/>
    </row>
    <row r="420" spans="3:20" s="4" customFormat="1" x14ac:dyDescent="0.25">
      <c r="C420" s="3"/>
      <c r="D420" s="3"/>
      <c r="E420" s="3"/>
      <c r="F420" s="3"/>
      <c r="G420" s="3"/>
      <c r="H420" s="3"/>
      <c r="I420" s="3"/>
      <c r="J420" s="3"/>
      <c r="K420" s="3"/>
      <c r="L420" s="3"/>
      <c r="M420" s="3"/>
      <c r="N420" s="3"/>
      <c r="O420" s="3"/>
      <c r="P420" s="3"/>
      <c r="Q420" s="3"/>
      <c r="R420" s="111"/>
      <c r="S420" s="111"/>
      <c r="T420" s="111"/>
    </row>
    <row r="421" spans="3:20" s="4" customFormat="1" x14ac:dyDescent="0.25">
      <c r="C421" s="3"/>
      <c r="D421" s="3"/>
      <c r="E421" s="3"/>
      <c r="F421" s="3"/>
      <c r="G421" s="3"/>
      <c r="H421" s="3"/>
      <c r="I421" s="3"/>
      <c r="J421" s="3"/>
      <c r="K421" s="3"/>
      <c r="L421" s="3"/>
      <c r="M421" s="3"/>
      <c r="N421" s="3"/>
      <c r="O421" s="3"/>
      <c r="P421" s="3"/>
      <c r="Q421" s="3"/>
      <c r="R421" s="111"/>
      <c r="S421" s="111"/>
      <c r="T421" s="111"/>
    </row>
    <row r="422" spans="3:20" s="4" customFormat="1" x14ac:dyDescent="0.25">
      <c r="C422" s="3"/>
      <c r="D422" s="3"/>
      <c r="E422" s="3"/>
      <c r="F422" s="3"/>
      <c r="G422" s="3"/>
      <c r="H422" s="3"/>
      <c r="I422" s="3"/>
      <c r="J422" s="3"/>
      <c r="K422" s="3"/>
      <c r="L422" s="3"/>
      <c r="M422" s="3"/>
      <c r="N422" s="3"/>
      <c r="O422" s="3"/>
      <c r="P422" s="3"/>
      <c r="Q422" s="3"/>
      <c r="R422" s="111"/>
      <c r="S422" s="111"/>
      <c r="T422" s="111"/>
    </row>
    <row r="423" spans="3:20" s="4" customFormat="1" x14ac:dyDescent="0.25">
      <c r="C423" s="3"/>
      <c r="D423" s="3"/>
      <c r="E423" s="3"/>
      <c r="F423" s="3"/>
      <c r="G423" s="3"/>
      <c r="H423" s="3"/>
      <c r="I423" s="3"/>
      <c r="J423" s="3"/>
      <c r="K423" s="3"/>
      <c r="L423" s="3"/>
      <c r="M423" s="3"/>
      <c r="N423" s="3"/>
      <c r="O423" s="3"/>
      <c r="P423" s="3"/>
      <c r="Q423" s="3"/>
      <c r="R423" s="111"/>
      <c r="S423" s="111"/>
      <c r="T423" s="111"/>
    </row>
    <row r="424" spans="3:20" s="4" customFormat="1" x14ac:dyDescent="0.25">
      <c r="C424" s="3"/>
      <c r="D424" s="3"/>
      <c r="E424" s="3"/>
      <c r="F424" s="3"/>
      <c r="G424" s="3"/>
      <c r="H424" s="3"/>
      <c r="I424" s="3"/>
      <c r="J424" s="3"/>
      <c r="K424" s="3"/>
      <c r="L424" s="3"/>
      <c r="M424" s="3"/>
      <c r="N424" s="3"/>
      <c r="O424" s="3"/>
      <c r="P424" s="3"/>
      <c r="Q424" s="3"/>
      <c r="R424" s="111"/>
      <c r="S424" s="111"/>
      <c r="T424" s="111"/>
    </row>
    <row r="425" spans="3:20" s="4" customFormat="1" x14ac:dyDescent="0.25">
      <c r="C425" s="3"/>
      <c r="D425" s="3"/>
      <c r="E425" s="3"/>
      <c r="F425" s="3"/>
      <c r="G425" s="3"/>
      <c r="H425" s="3"/>
      <c r="I425" s="3"/>
      <c r="J425" s="3"/>
      <c r="K425" s="3"/>
      <c r="L425" s="3"/>
      <c r="M425" s="3"/>
      <c r="N425" s="3"/>
      <c r="O425" s="3"/>
      <c r="P425" s="3"/>
      <c r="Q425" s="3"/>
      <c r="R425" s="111"/>
      <c r="S425" s="111"/>
      <c r="T425" s="111"/>
    </row>
    <row r="426" spans="3:20" s="4" customFormat="1" x14ac:dyDescent="0.25">
      <c r="C426" s="3"/>
      <c r="D426" s="3"/>
      <c r="E426" s="3"/>
      <c r="F426" s="3"/>
      <c r="G426" s="3"/>
      <c r="H426" s="3"/>
      <c r="I426" s="3"/>
      <c r="J426" s="3"/>
      <c r="K426" s="3"/>
      <c r="L426" s="3"/>
      <c r="M426" s="3"/>
      <c r="N426" s="3"/>
      <c r="O426" s="3"/>
      <c r="P426" s="3"/>
      <c r="Q426" s="3"/>
      <c r="R426" s="111"/>
      <c r="S426" s="111"/>
      <c r="T426" s="111"/>
    </row>
    <row r="427" spans="3:20" s="4" customFormat="1" x14ac:dyDescent="0.25">
      <c r="C427" s="3"/>
      <c r="D427" s="3"/>
      <c r="E427" s="3"/>
      <c r="F427" s="3"/>
      <c r="G427" s="3"/>
      <c r="H427" s="3"/>
      <c r="I427" s="3"/>
      <c r="J427" s="3"/>
      <c r="K427" s="3"/>
      <c r="L427" s="3"/>
      <c r="M427" s="3"/>
      <c r="N427" s="3"/>
      <c r="O427" s="3"/>
      <c r="P427" s="3"/>
      <c r="Q427" s="3"/>
      <c r="R427" s="111"/>
      <c r="S427" s="111"/>
      <c r="T427" s="111"/>
    </row>
    <row r="428" spans="3:20" s="4" customFormat="1" x14ac:dyDescent="0.25">
      <c r="C428" s="3"/>
      <c r="D428" s="3"/>
      <c r="E428" s="3"/>
      <c r="F428" s="3"/>
      <c r="G428" s="3"/>
      <c r="H428" s="3"/>
      <c r="I428" s="3"/>
      <c r="J428" s="3"/>
      <c r="K428" s="3"/>
      <c r="L428" s="3"/>
      <c r="M428" s="3"/>
      <c r="N428" s="3"/>
      <c r="O428" s="3"/>
      <c r="P428" s="3"/>
      <c r="Q428" s="3"/>
      <c r="R428" s="111"/>
      <c r="S428" s="111"/>
      <c r="T428" s="111"/>
    </row>
    <row r="429" spans="3:20" s="4" customFormat="1" x14ac:dyDescent="0.25">
      <c r="C429" s="3"/>
      <c r="D429" s="3"/>
      <c r="E429" s="3"/>
      <c r="F429" s="3"/>
      <c r="G429" s="3"/>
      <c r="H429" s="3"/>
      <c r="I429" s="3"/>
      <c r="J429" s="3"/>
      <c r="K429" s="3"/>
      <c r="L429" s="3"/>
      <c r="M429" s="3"/>
      <c r="N429" s="3"/>
      <c r="O429" s="3"/>
      <c r="P429" s="3"/>
      <c r="Q429" s="3"/>
      <c r="R429" s="111"/>
      <c r="S429" s="111"/>
      <c r="T429" s="111"/>
    </row>
    <row r="430" spans="3:20" s="4" customFormat="1" x14ac:dyDescent="0.25">
      <c r="C430" s="3"/>
      <c r="D430" s="3"/>
      <c r="E430" s="3"/>
      <c r="F430" s="3"/>
      <c r="G430" s="3"/>
      <c r="H430" s="3"/>
      <c r="I430" s="3"/>
      <c r="J430" s="3"/>
      <c r="K430" s="3"/>
      <c r="L430" s="3"/>
      <c r="M430" s="3"/>
      <c r="N430" s="3"/>
      <c r="O430" s="3"/>
      <c r="P430" s="3"/>
      <c r="Q430" s="3"/>
      <c r="R430" s="111"/>
      <c r="S430" s="111"/>
      <c r="T430" s="111"/>
    </row>
    <row r="431" spans="3:20" s="4" customFormat="1" x14ac:dyDescent="0.25">
      <c r="C431" s="3"/>
      <c r="D431" s="3"/>
      <c r="E431" s="3"/>
      <c r="F431" s="3"/>
      <c r="G431" s="3"/>
      <c r="H431" s="3"/>
      <c r="I431" s="3"/>
      <c r="J431" s="3"/>
      <c r="K431" s="3"/>
      <c r="L431" s="3"/>
      <c r="M431" s="3"/>
      <c r="N431" s="3"/>
      <c r="O431" s="3"/>
      <c r="P431" s="3"/>
      <c r="Q431" s="3"/>
      <c r="R431" s="111"/>
      <c r="S431" s="111"/>
      <c r="T431" s="111"/>
    </row>
    <row r="432" spans="3:20" s="4" customFormat="1" x14ac:dyDescent="0.25">
      <c r="C432" s="3"/>
      <c r="D432" s="3"/>
      <c r="E432" s="3"/>
      <c r="F432" s="3"/>
      <c r="G432" s="3"/>
      <c r="H432" s="3"/>
      <c r="I432" s="3"/>
      <c r="J432" s="3"/>
      <c r="K432" s="3"/>
      <c r="L432" s="3"/>
      <c r="M432" s="3"/>
      <c r="N432" s="3"/>
      <c r="O432" s="3"/>
      <c r="P432" s="3"/>
      <c r="Q432" s="3"/>
      <c r="R432" s="111"/>
      <c r="S432" s="111"/>
      <c r="T432" s="111"/>
    </row>
    <row r="433" spans="3:20" s="4" customFormat="1" x14ac:dyDescent="0.25">
      <c r="C433" s="3"/>
      <c r="D433" s="3"/>
      <c r="E433" s="3"/>
      <c r="F433" s="3"/>
      <c r="G433" s="3"/>
      <c r="H433" s="3"/>
      <c r="I433" s="3"/>
      <c r="J433" s="3"/>
      <c r="K433" s="3"/>
      <c r="L433" s="3"/>
      <c r="M433" s="3"/>
      <c r="N433" s="3"/>
      <c r="O433" s="3"/>
      <c r="P433" s="3"/>
      <c r="Q433" s="3"/>
      <c r="R433" s="111"/>
      <c r="S433" s="111"/>
      <c r="T433" s="111"/>
    </row>
    <row r="434" spans="3:20" s="4" customFormat="1" x14ac:dyDescent="0.25">
      <c r="C434" s="3"/>
      <c r="D434" s="3"/>
      <c r="E434" s="3"/>
      <c r="F434" s="3"/>
      <c r="G434" s="3"/>
      <c r="H434" s="3"/>
      <c r="I434" s="3"/>
      <c r="J434" s="3"/>
      <c r="K434" s="3"/>
      <c r="L434" s="3"/>
      <c r="M434" s="3"/>
      <c r="N434" s="3"/>
      <c r="O434" s="3"/>
      <c r="P434" s="3"/>
      <c r="Q434" s="3"/>
      <c r="R434" s="111"/>
      <c r="S434" s="111"/>
      <c r="T434" s="111"/>
    </row>
    <row r="435" spans="3:20" s="4" customFormat="1" x14ac:dyDescent="0.25">
      <c r="C435" s="3"/>
      <c r="D435" s="3"/>
      <c r="E435" s="3"/>
      <c r="F435" s="3"/>
      <c r="G435" s="3"/>
      <c r="H435" s="3"/>
      <c r="I435" s="3"/>
      <c r="J435" s="3"/>
      <c r="K435" s="3"/>
      <c r="L435" s="3"/>
      <c r="M435" s="3"/>
      <c r="N435" s="3"/>
      <c r="O435" s="3"/>
      <c r="P435" s="3"/>
      <c r="Q435" s="3"/>
      <c r="R435" s="111"/>
      <c r="S435" s="111"/>
      <c r="T435" s="111"/>
    </row>
    <row r="436" spans="3:20" s="4" customFormat="1" x14ac:dyDescent="0.25">
      <c r="C436" s="3"/>
      <c r="D436" s="3"/>
      <c r="E436" s="3"/>
      <c r="F436" s="3"/>
      <c r="G436" s="3"/>
      <c r="H436" s="3"/>
      <c r="I436" s="3"/>
      <c r="J436" s="3"/>
      <c r="K436" s="3"/>
      <c r="L436" s="3"/>
      <c r="M436" s="3"/>
      <c r="N436" s="3"/>
      <c r="O436" s="3"/>
      <c r="P436" s="3"/>
      <c r="Q436" s="3"/>
      <c r="R436" s="111"/>
      <c r="S436" s="111"/>
      <c r="T436" s="111"/>
    </row>
    <row r="437" spans="3:20" s="4" customFormat="1" x14ac:dyDescent="0.25">
      <c r="C437" s="3"/>
      <c r="D437" s="3"/>
      <c r="E437" s="3"/>
      <c r="F437" s="3"/>
      <c r="G437" s="3"/>
      <c r="H437" s="3"/>
      <c r="I437" s="3"/>
      <c r="J437" s="3"/>
      <c r="K437" s="3"/>
      <c r="L437" s="3"/>
      <c r="M437" s="3"/>
      <c r="N437" s="3"/>
      <c r="O437" s="3"/>
      <c r="P437" s="3"/>
      <c r="Q437" s="3"/>
      <c r="R437" s="111"/>
      <c r="S437" s="111"/>
      <c r="T437" s="111"/>
    </row>
    <row r="438" spans="3:20" s="4" customFormat="1" x14ac:dyDescent="0.25">
      <c r="C438" s="3"/>
      <c r="D438" s="3"/>
      <c r="E438" s="3"/>
      <c r="F438" s="3"/>
      <c r="G438" s="3"/>
      <c r="H438" s="3"/>
      <c r="I438" s="3"/>
      <c r="J438" s="3"/>
      <c r="K438" s="3"/>
      <c r="L438" s="3"/>
      <c r="M438" s="3"/>
      <c r="N438" s="3"/>
      <c r="O438" s="3"/>
      <c r="P438" s="3"/>
      <c r="Q438" s="3"/>
      <c r="R438" s="111"/>
      <c r="S438" s="111"/>
      <c r="T438" s="111"/>
    </row>
    <row r="439" spans="3:20" s="4" customFormat="1" x14ac:dyDescent="0.25">
      <c r="C439" s="3"/>
      <c r="D439" s="3"/>
      <c r="E439" s="3"/>
      <c r="F439" s="3"/>
      <c r="G439" s="3"/>
      <c r="H439" s="3"/>
      <c r="I439" s="3"/>
      <c r="J439" s="3"/>
      <c r="K439" s="3"/>
      <c r="L439" s="3"/>
      <c r="M439" s="3"/>
      <c r="N439" s="3"/>
      <c r="O439" s="3"/>
      <c r="P439" s="3"/>
      <c r="Q439" s="3"/>
      <c r="R439" s="111"/>
      <c r="S439" s="111"/>
      <c r="T439" s="111"/>
    </row>
    <row r="440" spans="3:20" s="4" customFormat="1" x14ac:dyDescent="0.25">
      <c r="C440" s="3"/>
      <c r="D440" s="3"/>
      <c r="E440" s="3"/>
      <c r="F440" s="3"/>
      <c r="G440" s="3"/>
      <c r="H440" s="3"/>
      <c r="I440" s="3"/>
      <c r="J440" s="3"/>
      <c r="K440" s="3"/>
      <c r="L440" s="3"/>
      <c r="M440" s="3"/>
      <c r="N440" s="3"/>
      <c r="O440" s="3"/>
      <c r="P440" s="3"/>
      <c r="Q440" s="3"/>
      <c r="R440" s="111"/>
      <c r="S440" s="111"/>
      <c r="T440" s="111"/>
    </row>
    <row r="441" spans="3:20" s="4" customFormat="1" x14ac:dyDescent="0.25">
      <c r="C441" s="3"/>
      <c r="D441" s="3"/>
      <c r="E441" s="3"/>
      <c r="F441" s="3"/>
      <c r="G441" s="3"/>
      <c r="H441" s="3"/>
      <c r="I441" s="3"/>
      <c r="J441" s="3"/>
      <c r="K441" s="3"/>
      <c r="L441" s="3"/>
      <c r="M441" s="3"/>
      <c r="N441" s="3"/>
      <c r="O441" s="3"/>
      <c r="P441" s="3"/>
      <c r="Q441" s="3"/>
      <c r="R441" s="111"/>
      <c r="S441" s="111"/>
      <c r="T441" s="111"/>
    </row>
    <row r="442" spans="3:20" s="4" customFormat="1" x14ac:dyDescent="0.25">
      <c r="C442" s="3"/>
      <c r="D442" s="3"/>
      <c r="E442" s="3"/>
      <c r="F442" s="3"/>
      <c r="G442" s="3"/>
      <c r="H442" s="3"/>
      <c r="I442" s="3"/>
      <c r="J442" s="3"/>
      <c r="K442" s="3"/>
      <c r="L442" s="3"/>
      <c r="M442" s="3"/>
      <c r="N442" s="3"/>
      <c r="O442" s="3"/>
      <c r="P442" s="3"/>
      <c r="Q442" s="3"/>
      <c r="R442" s="111"/>
      <c r="S442" s="111"/>
      <c r="T442" s="111"/>
    </row>
    <row r="443" spans="3:20" s="4" customFormat="1" x14ac:dyDescent="0.25">
      <c r="C443" s="3"/>
      <c r="D443" s="3"/>
      <c r="E443" s="3"/>
      <c r="F443" s="3"/>
      <c r="G443" s="3"/>
      <c r="H443" s="3"/>
      <c r="I443" s="3"/>
      <c r="J443" s="3"/>
      <c r="K443" s="3"/>
      <c r="L443" s="3"/>
      <c r="M443" s="3"/>
      <c r="N443" s="3"/>
      <c r="O443" s="3"/>
      <c r="P443" s="3"/>
      <c r="Q443" s="3"/>
      <c r="R443" s="111"/>
      <c r="S443" s="111"/>
      <c r="T443" s="111"/>
    </row>
    <row r="444" spans="3:20" s="4" customFormat="1" x14ac:dyDescent="0.25">
      <c r="C444" s="3"/>
      <c r="D444" s="3"/>
      <c r="E444" s="3"/>
      <c r="F444" s="3"/>
      <c r="G444" s="3"/>
      <c r="H444" s="3"/>
      <c r="I444" s="3"/>
      <c r="J444" s="3"/>
      <c r="K444" s="3"/>
      <c r="L444" s="3"/>
      <c r="M444" s="3"/>
      <c r="N444" s="3"/>
      <c r="O444" s="3"/>
      <c r="P444" s="3"/>
      <c r="Q444" s="3"/>
      <c r="R444" s="111"/>
      <c r="S444" s="111"/>
      <c r="T444" s="111"/>
    </row>
    <row r="445" spans="3:20" s="4" customFormat="1" x14ac:dyDescent="0.25">
      <c r="C445" s="3"/>
      <c r="D445" s="3"/>
      <c r="E445" s="3"/>
      <c r="F445" s="3"/>
      <c r="G445" s="3"/>
      <c r="H445" s="3"/>
      <c r="I445" s="3"/>
      <c r="J445" s="3"/>
      <c r="K445" s="3"/>
      <c r="L445" s="3"/>
      <c r="M445" s="3"/>
      <c r="N445" s="3"/>
      <c r="O445" s="3"/>
      <c r="P445" s="3"/>
      <c r="Q445" s="3"/>
      <c r="R445" s="111"/>
      <c r="S445" s="111"/>
      <c r="T445" s="111"/>
    </row>
    <row r="446" spans="3:20" s="4" customFormat="1" x14ac:dyDescent="0.25">
      <c r="C446" s="3"/>
      <c r="D446" s="3"/>
      <c r="E446" s="3"/>
      <c r="F446" s="3"/>
      <c r="G446" s="3"/>
      <c r="H446" s="3"/>
      <c r="I446" s="3"/>
      <c r="J446" s="3"/>
      <c r="K446" s="3"/>
      <c r="L446" s="3"/>
      <c r="M446" s="3"/>
      <c r="N446" s="3"/>
      <c r="O446" s="3"/>
      <c r="P446" s="3"/>
      <c r="Q446" s="3"/>
      <c r="R446" s="111"/>
      <c r="S446" s="111"/>
      <c r="T446" s="111"/>
    </row>
    <row r="447" spans="3:20" s="4" customFormat="1" x14ac:dyDescent="0.25">
      <c r="C447" s="3"/>
      <c r="D447" s="3"/>
      <c r="E447" s="3"/>
      <c r="F447" s="3"/>
      <c r="G447" s="3"/>
      <c r="H447" s="3"/>
      <c r="I447" s="3"/>
      <c r="J447" s="3"/>
      <c r="K447" s="3"/>
      <c r="L447" s="3"/>
      <c r="M447" s="3"/>
      <c r="N447" s="3"/>
      <c r="O447" s="3"/>
      <c r="P447" s="3"/>
      <c r="Q447" s="3"/>
      <c r="R447" s="111"/>
      <c r="S447" s="111"/>
      <c r="T447" s="111"/>
    </row>
    <row r="448" spans="3:20" s="4" customFormat="1" x14ac:dyDescent="0.25">
      <c r="C448" s="3"/>
      <c r="D448" s="3"/>
      <c r="E448" s="3"/>
      <c r="F448" s="3"/>
      <c r="G448" s="3"/>
      <c r="H448" s="3"/>
      <c r="I448" s="3"/>
      <c r="J448" s="3"/>
      <c r="K448" s="3"/>
      <c r="L448" s="3"/>
      <c r="M448" s="3"/>
      <c r="N448" s="3"/>
      <c r="O448" s="3"/>
      <c r="P448" s="3"/>
      <c r="Q448" s="3"/>
      <c r="R448" s="111"/>
      <c r="S448" s="111"/>
      <c r="T448" s="111"/>
    </row>
    <row r="449" spans="3:20" s="4" customFormat="1" x14ac:dyDescent="0.25">
      <c r="C449" s="3"/>
      <c r="D449" s="3"/>
      <c r="E449" s="3"/>
      <c r="F449" s="3"/>
      <c r="G449" s="3"/>
      <c r="H449" s="3"/>
      <c r="I449" s="3"/>
      <c r="J449" s="3"/>
      <c r="K449" s="3"/>
      <c r="L449" s="3"/>
      <c r="M449" s="3"/>
      <c r="N449" s="3"/>
      <c r="O449" s="3"/>
      <c r="P449" s="3"/>
      <c r="Q449" s="3"/>
      <c r="R449" s="111"/>
      <c r="S449" s="111"/>
      <c r="T449" s="111"/>
    </row>
    <row r="450" spans="3:20" s="4" customFormat="1" x14ac:dyDescent="0.25">
      <c r="C450" s="3"/>
      <c r="D450" s="3"/>
      <c r="E450" s="3"/>
      <c r="F450" s="3"/>
      <c r="G450" s="3"/>
      <c r="H450" s="3"/>
      <c r="I450" s="3"/>
      <c r="J450" s="3"/>
      <c r="K450" s="3"/>
      <c r="L450" s="3"/>
      <c r="M450" s="3"/>
      <c r="N450" s="3"/>
      <c r="O450" s="3"/>
      <c r="P450" s="3"/>
      <c r="Q450" s="3"/>
      <c r="R450" s="111"/>
      <c r="S450" s="111"/>
      <c r="T450" s="111"/>
    </row>
    <row r="451" spans="3:20" s="4" customFormat="1" x14ac:dyDescent="0.25">
      <c r="C451" s="3"/>
      <c r="D451" s="3"/>
      <c r="E451" s="3"/>
      <c r="F451" s="3"/>
      <c r="G451" s="3"/>
      <c r="H451" s="3"/>
      <c r="I451" s="3"/>
      <c r="J451" s="3"/>
      <c r="K451" s="3"/>
      <c r="L451" s="3"/>
      <c r="M451" s="3"/>
      <c r="N451" s="3"/>
      <c r="O451" s="3"/>
      <c r="P451" s="3"/>
      <c r="Q451" s="3"/>
      <c r="R451" s="111"/>
      <c r="S451" s="111"/>
      <c r="T451" s="111"/>
    </row>
    <row r="452" spans="3:20" s="4" customFormat="1" x14ac:dyDescent="0.25">
      <c r="C452" s="3"/>
      <c r="D452" s="3"/>
      <c r="E452" s="3"/>
      <c r="F452" s="3"/>
      <c r="G452" s="3"/>
      <c r="H452" s="3"/>
      <c r="I452" s="3"/>
      <c r="J452" s="3"/>
      <c r="K452" s="3"/>
      <c r="L452" s="3"/>
      <c r="M452" s="3"/>
      <c r="N452" s="3"/>
      <c r="O452" s="3"/>
      <c r="P452" s="3"/>
      <c r="Q452" s="3"/>
      <c r="R452" s="111"/>
      <c r="S452" s="111"/>
      <c r="T452" s="111"/>
    </row>
    <row r="453" spans="3:20" s="4" customFormat="1" x14ac:dyDescent="0.25">
      <c r="C453" s="3"/>
      <c r="D453" s="3"/>
      <c r="E453" s="3"/>
      <c r="F453" s="3"/>
      <c r="G453" s="3"/>
      <c r="H453" s="3"/>
      <c r="I453" s="3"/>
      <c r="J453" s="3"/>
      <c r="K453" s="3"/>
      <c r="L453" s="3"/>
      <c r="M453" s="3"/>
      <c r="N453" s="3"/>
      <c r="O453" s="3"/>
      <c r="P453" s="3"/>
      <c r="Q453" s="3"/>
      <c r="R453" s="111"/>
      <c r="S453" s="111"/>
      <c r="T453" s="111"/>
    </row>
    <row r="454" spans="3:20" s="4" customFormat="1" x14ac:dyDescent="0.25">
      <c r="C454" s="3"/>
      <c r="D454" s="3"/>
      <c r="E454" s="3"/>
      <c r="F454" s="3"/>
      <c r="G454" s="3"/>
      <c r="H454" s="3"/>
      <c r="I454" s="3"/>
      <c r="J454" s="3"/>
      <c r="K454" s="3"/>
      <c r="L454" s="3"/>
      <c r="M454" s="3"/>
      <c r="N454" s="3"/>
      <c r="O454" s="3"/>
      <c r="P454" s="3"/>
      <c r="Q454" s="3"/>
      <c r="R454" s="111"/>
      <c r="S454" s="111"/>
      <c r="T454" s="111"/>
    </row>
    <row r="455" spans="3:20" s="4" customFormat="1" x14ac:dyDescent="0.25">
      <c r="C455" s="3"/>
      <c r="D455" s="3"/>
      <c r="E455" s="3"/>
      <c r="F455" s="3"/>
      <c r="G455" s="3"/>
      <c r="H455" s="3"/>
      <c r="I455" s="3"/>
      <c r="J455" s="3"/>
      <c r="K455" s="3"/>
      <c r="L455" s="3"/>
      <c r="M455" s="3"/>
      <c r="N455" s="3"/>
      <c r="O455" s="3"/>
      <c r="P455" s="3"/>
      <c r="Q455" s="3"/>
      <c r="R455" s="111"/>
      <c r="S455" s="111"/>
      <c r="T455" s="111"/>
    </row>
    <row r="456" spans="3:20" s="4" customFormat="1" x14ac:dyDescent="0.25">
      <c r="C456" s="3"/>
      <c r="D456" s="3"/>
      <c r="E456" s="3"/>
      <c r="F456" s="3"/>
      <c r="G456" s="3"/>
      <c r="H456" s="3"/>
      <c r="I456" s="3"/>
      <c r="J456" s="3"/>
      <c r="K456" s="3"/>
      <c r="L456" s="3"/>
      <c r="M456" s="3"/>
      <c r="N456" s="3"/>
      <c r="O456" s="3"/>
      <c r="P456" s="3"/>
      <c r="Q456" s="3"/>
      <c r="R456" s="111"/>
      <c r="S456" s="111"/>
      <c r="T456" s="111"/>
    </row>
    <row r="457" spans="3:20" s="4" customFormat="1" x14ac:dyDescent="0.25">
      <c r="C457" s="3"/>
      <c r="D457" s="3"/>
      <c r="E457" s="3"/>
      <c r="F457" s="3"/>
      <c r="G457" s="3"/>
      <c r="H457" s="3"/>
      <c r="I457" s="3"/>
      <c r="J457" s="3"/>
      <c r="K457" s="3"/>
      <c r="L457" s="3"/>
      <c r="M457" s="3"/>
      <c r="N457" s="3"/>
      <c r="O457" s="3"/>
      <c r="P457" s="3"/>
      <c r="Q457" s="3"/>
      <c r="R457" s="111"/>
      <c r="S457" s="111"/>
      <c r="T457" s="111"/>
    </row>
    <row r="458" spans="3:20" s="4" customFormat="1" x14ac:dyDescent="0.25">
      <c r="C458" s="3"/>
      <c r="D458" s="3"/>
      <c r="E458" s="3"/>
      <c r="F458" s="3"/>
      <c r="G458" s="3"/>
      <c r="H458" s="3"/>
      <c r="I458" s="3"/>
      <c r="J458" s="3"/>
      <c r="K458" s="3"/>
      <c r="L458" s="3"/>
      <c r="M458" s="3"/>
      <c r="N458" s="3"/>
      <c r="O458" s="3"/>
      <c r="P458" s="3"/>
      <c r="Q458" s="3"/>
      <c r="R458" s="111"/>
      <c r="S458" s="111"/>
      <c r="T458" s="111"/>
    </row>
    <row r="459" spans="3:20" s="4" customFormat="1" x14ac:dyDescent="0.25">
      <c r="C459" s="3"/>
      <c r="D459" s="3"/>
      <c r="E459" s="3"/>
      <c r="F459" s="3"/>
      <c r="G459" s="3"/>
      <c r="H459" s="3"/>
      <c r="I459" s="3"/>
      <c r="J459" s="3"/>
      <c r="K459" s="3"/>
      <c r="L459" s="3"/>
      <c r="M459" s="3"/>
      <c r="N459" s="3"/>
      <c r="O459" s="3"/>
      <c r="P459" s="3"/>
      <c r="Q459" s="3"/>
      <c r="R459" s="111"/>
      <c r="S459" s="111"/>
      <c r="T459" s="111"/>
    </row>
    <row r="460" spans="3:20" s="4" customFormat="1" x14ac:dyDescent="0.25">
      <c r="C460" s="3"/>
      <c r="D460" s="3"/>
      <c r="E460" s="3"/>
      <c r="F460" s="3"/>
      <c r="G460" s="3"/>
      <c r="H460" s="3"/>
      <c r="I460" s="3"/>
      <c r="J460" s="3"/>
      <c r="K460" s="3"/>
      <c r="L460" s="3"/>
      <c r="M460" s="3"/>
      <c r="N460" s="3"/>
      <c r="O460" s="3"/>
      <c r="P460" s="3"/>
      <c r="Q460" s="3"/>
      <c r="R460" s="111"/>
      <c r="S460" s="111"/>
      <c r="T460" s="111"/>
    </row>
    <row r="461" spans="3:20" s="4" customFormat="1" x14ac:dyDescent="0.25">
      <c r="C461" s="3"/>
      <c r="D461" s="3"/>
      <c r="E461" s="3"/>
      <c r="F461" s="3"/>
      <c r="G461" s="3"/>
      <c r="H461" s="3"/>
      <c r="I461" s="3"/>
      <c r="J461" s="3"/>
      <c r="K461" s="3"/>
      <c r="L461" s="3"/>
      <c r="M461" s="3"/>
      <c r="N461" s="3"/>
      <c r="O461" s="3"/>
      <c r="P461" s="3"/>
      <c r="Q461" s="3"/>
      <c r="R461" s="111"/>
      <c r="S461" s="111"/>
      <c r="T461" s="111"/>
    </row>
    <row r="462" spans="3:20" s="4" customFormat="1" x14ac:dyDescent="0.25">
      <c r="C462" s="3"/>
      <c r="D462" s="3"/>
      <c r="E462" s="3"/>
      <c r="F462" s="3"/>
      <c r="G462" s="3"/>
      <c r="H462" s="3"/>
      <c r="I462" s="3"/>
      <c r="J462" s="3"/>
      <c r="K462" s="3"/>
      <c r="L462" s="3"/>
      <c r="M462" s="3"/>
      <c r="N462" s="3"/>
      <c r="O462" s="3"/>
      <c r="P462" s="3"/>
      <c r="Q462" s="3"/>
      <c r="R462" s="111"/>
      <c r="S462" s="111"/>
      <c r="T462" s="111"/>
    </row>
    <row r="463" spans="3:20" s="4" customFormat="1" x14ac:dyDescent="0.25">
      <c r="C463" s="3"/>
      <c r="D463" s="3"/>
      <c r="E463" s="3"/>
      <c r="F463" s="3"/>
      <c r="G463" s="3"/>
      <c r="H463" s="3"/>
      <c r="I463" s="3"/>
      <c r="J463" s="3"/>
      <c r="K463" s="3"/>
      <c r="L463" s="3"/>
      <c r="M463" s="3"/>
      <c r="N463" s="3"/>
      <c r="O463" s="3"/>
      <c r="P463" s="3"/>
      <c r="Q463" s="3"/>
      <c r="R463" s="111"/>
      <c r="S463" s="111"/>
      <c r="T463" s="111"/>
    </row>
    <row r="464" spans="3:20" s="4" customFormat="1" x14ac:dyDescent="0.25">
      <c r="C464" s="3"/>
      <c r="D464" s="3"/>
      <c r="E464" s="3"/>
      <c r="F464" s="3"/>
      <c r="G464" s="3"/>
      <c r="H464" s="3"/>
      <c r="I464" s="3"/>
      <c r="J464" s="3"/>
      <c r="K464" s="3"/>
      <c r="L464" s="3"/>
      <c r="M464" s="3"/>
      <c r="N464" s="3"/>
      <c r="O464" s="3"/>
      <c r="P464" s="3"/>
      <c r="Q464" s="3"/>
      <c r="R464" s="111"/>
      <c r="S464" s="111"/>
      <c r="T464" s="111"/>
    </row>
    <row r="465" spans="3:20" s="4" customFormat="1" x14ac:dyDescent="0.25">
      <c r="C465" s="3"/>
      <c r="D465" s="3"/>
      <c r="E465" s="3"/>
      <c r="F465" s="3"/>
      <c r="G465" s="3"/>
      <c r="H465" s="3"/>
      <c r="I465" s="3"/>
      <c r="J465" s="3"/>
      <c r="K465" s="3"/>
      <c r="L465" s="3"/>
      <c r="M465" s="3"/>
      <c r="N465" s="3"/>
      <c r="O465" s="3"/>
      <c r="P465" s="3"/>
      <c r="Q465" s="3"/>
      <c r="R465" s="111"/>
      <c r="S465" s="111"/>
      <c r="T465" s="111"/>
    </row>
    <row r="466" spans="3:20" s="4" customFormat="1" x14ac:dyDescent="0.25">
      <c r="C466" s="3"/>
      <c r="D466" s="3"/>
      <c r="E466" s="3"/>
      <c r="F466" s="3"/>
      <c r="G466" s="3"/>
      <c r="H466" s="3"/>
      <c r="I466" s="3"/>
      <c r="J466" s="3"/>
      <c r="K466" s="3"/>
      <c r="L466" s="3"/>
      <c r="M466" s="3"/>
      <c r="N466" s="3"/>
      <c r="O466" s="3"/>
      <c r="P466" s="3"/>
      <c r="Q466" s="3"/>
      <c r="R466" s="111"/>
      <c r="S466" s="111"/>
      <c r="T466" s="111"/>
    </row>
    <row r="467" spans="3:20" s="4" customFormat="1" x14ac:dyDescent="0.25">
      <c r="C467" s="3"/>
      <c r="D467" s="3"/>
      <c r="E467" s="3"/>
      <c r="F467" s="3"/>
      <c r="G467" s="3"/>
      <c r="H467" s="3"/>
      <c r="I467" s="3"/>
      <c r="J467" s="3"/>
      <c r="K467" s="3"/>
      <c r="L467" s="3"/>
      <c r="M467" s="3"/>
      <c r="N467" s="3"/>
      <c r="O467" s="3"/>
      <c r="P467" s="3"/>
      <c r="Q467" s="3"/>
      <c r="R467" s="111"/>
      <c r="S467" s="111"/>
      <c r="T467" s="111"/>
    </row>
    <row r="468" spans="3:20" s="4" customFormat="1" x14ac:dyDescent="0.25">
      <c r="C468" s="3"/>
      <c r="D468" s="3"/>
      <c r="E468" s="3"/>
      <c r="F468" s="3"/>
      <c r="G468" s="3"/>
      <c r="H468" s="3"/>
      <c r="I468" s="3"/>
      <c r="J468" s="3"/>
      <c r="K468" s="3"/>
      <c r="L468" s="3"/>
      <c r="M468" s="3"/>
      <c r="N468" s="3"/>
      <c r="O468" s="3"/>
      <c r="P468" s="3"/>
      <c r="Q468" s="3"/>
      <c r="R468" s="111"/>
      <c r="S468" s="111"/>
      <c r="T468" s="111"/>
    </row>
    <row r="469" spans="3:20" s="4" customFormat="1" x14ac:dyDescent="0.25">
      <c r="C469" s="3"/>
      <c r="D469" s="3"/>
      <c r="E469" s="3"/>
      <c r="F469" s="3"/>
      <c r="G469" s="3"/>
      <c r="H469" s="3"/>
      <c r="I469" s="3"/>
      <c r="J469" s="3"/>
      <c r="K469" s="3"/>
      <c r="L469" s="3"/>
      <c r="M469" s="3"/>
      <c r="N469" s="3"/>
      <c r="O469" s="3"/>
      <c r="P469" s="3"/>
      <c r="Q469" s="3"/>
      <c r="R469" s="111"/>
      <c r="S469" s="111"/>
      <c r="T469" s="111"/>
    </row>
    <row r="470" spans="3:20" s="4" customFormat="1" x14ac:dyDescent="0.25">
      <c r="C470" s="3"/>
      <c r="D470" s="3"/>
      <c r="E470" s="3"/>
      <c r="F470" s="3"/>
      <c r="G470" s="3"/>
      <c r="H470" s="3"/>
      <c r="I470" s="3"/>
      <c r="J470" s="3"/>
      <c r="K470" s="3"/>
      <c r="L470" s="3"/>
      <c r="M470" s="3"/>
      <c r="N470" s="3"/>
      <c r="O470" s="3"/>
      <c r="P470" s="3"/>
      <c r="Q470" s="3"/>
      <c r="R470" s="111"/>
      <c r="S470" s="111"/>
      <c r="T470" s="111"/>
    </row>
    <row r="471" spans="3:20" s="4" customFormat="1" x14ac:dyDescent="0.25">
      <c r="C471" s="3"/>
      <c r="D471" s="3"/>
      <c r="E471" s="3"/>
      <c r="F471" s="3"/>
      <c r="G471" s="3"/>
      <c r="H471" s="3"/>
      <c r="I471" s="3"/>
      <c r="J471" s="3"/>
      <c r="K471" s="3"/>
      <c r="L471" s="3"/>
      <c r="M471" s="3"/>
      <c r="N471" s="3"/>
      <c r="O471" s="3"/>
      <c r="P471" s="3"/>
      <c r="Q471" s="3"/>
      <c r="R471" s="111"/>
      <c r="S471" s="111"/>
      <c r="T471" s="111"/>
    </row>
    <row r="472" spans="3:20" s="4" customFormat="1" x14ac:dyDescent="0.25">
      <c r="C472" s="3"/>
      <c r="D472" s="3"/>
      <c r="E472" s="3"/>
      <c r="F472" s="3"/>
      <c r="G472" s="3"/>
      <c r="H472" s="3"/>
      <c r="I472" s="3"/>
      <c r="J472" s="3"/>
      <c r="K472" s="3"/>
      <c r="L472" s="3"/>
      <c r="M472" s="3"/>
      <c r="N472" s="3"/>
      <c r="O472" s="3"/>
      <c r="P472" s="3"/>
      <c r="Q472" s="3"/>
      <c r="R472" s="111"/>
      <c r="S472" s="111"/>
      <c r="T472" s="111"/>
    </row>
    <row r="473" spans="3:20" s="4" customFormat="1" x14ac:dyDescent="0.25">
      <c r="C473" s="3"/>
      <c r="D473" s="3"/>
      <c r="E473" s="3"/>
      <c r="F473" s="3"/>
      <c r="G473" s="3"/>
      <c r="H473" s="3"/>
      <c r="I473" s="3"/>
      <c r="J473" s="3"/>
      <c r="K473" s="3"/>
      <c r="L473" s="3"/>
      <c r="M473" s="3"/>
      <c r="N473" s="3"/>
      <c r="O473" s="3"/>
      <c r="P473" s="3"/>
      <c r="Q473" s="3"/>
      <c r="R473" s="111"/>
      <c r="S473" s="111"/>
      <c r="T473" s="111"/>
    </row>
    <row r="474" spans="3:20" s="4" customFormat="1" x14ac:dyDescent="0.25">
      <c r="C474" s="3"/>
      <c r="D474" s="3"/>
      <c r="E474" s="3"/>
      <c r="F474" s="3"/>
      <c r="G474" s="3"/>
      <c r="H474" s="3"/>
      <c r="I474" s="3"/>
      <c r="J474" s="3"/>
      <c r="K474" s="3"/>
      <c r="L474" s="3"/>
      <c r="M474" s="3"/>
      <c r="N474" s="3"/>
      <c r="O474" s="3"/>
      <c r="P474" s="3"/>
      <c r="Q474" s="3"/>
      <c r="R474" s="111"/>
      <c r="S474" s="111"/>
      <c r="T474" s="111"/>
    </row>
    <row r="475" spans="3:20" s="4" customFormat="1" x14ac:dyDescent="0.25">
      <c r="C475" s="3"/>
      <c r="D475" s="3"/>
      <c r="E475" s="3"/>
      <c r="F475" s="3"/>
      <c r="G475" s="3"/>
      <c r="H475" s="3"/>
      <c r="I475" s="3"/>
      <c r="J475" s="3"/>
      <c r="K475" s="3"/>
      <c r="L475" s="3"/>
      <c r="M475" s="3"/>
      <c r="N475" s="3"/>
      <c r="O475" s="3"/>
      <c r="P475" s="3"/>
      <c r="Q475" s="3"/>
      <c r="R475" s="111"/>
      <c r="S475" s="111"/>
      <c r="T475" s="111"/>
    </row>
    <row r="476" spans="3:20" s="4" customFormat="1" x14ac:dyDescent="0.25">
      <c r="C476" s="3"/>
      <c r="D476" s="3"/>
      <c r="E476" s="3"/>
      <c r="F476" s="3"/>
      <c r="G476" s="3"/>
      <c r="H476" s="3"/>
      <c r="I476" s="3"/>
      <c r="J476" s="3"/>
      <c r="K476" s="3"/>
      <c r="L476" s="3"/>
      <c r="M476" s="3"/>
      <c r="N476" s="3"/>
      <c r="O476" s="3"/>
      <c r="P476" s="3"/>
      <c r="Q476" s="3"/>
      <c r="R476" s="111"/>
      <c r="S476" s="111"/>
      <c r="T476" s="111"/>
    </row>
    <row r="477" spans="3:20" s="4" customFormat="1" x14ac:dyDescent="0.25">
      <c r="C477" s="3"/>
      <c r="D477" s="3"/>
      <c r="E477" s="3"/>
      <c r="F477" s="3"/>
      <c r="G477" s="3"/>
      <c r="H477" s="3"/>
      <c r="I477" s="3"/>
      <c r="J477" s="3"/>
      <c r="K477" s="3"/>
      <c r="L477" s="3"/>
      <c r="M477" s="3"/>
      <c r="N477" s="3"/>
      <c r="O477" s="3"/>
      <c r="P477" s="3"/>
      <c r="Q477" s="3"/>
      <c r="R477" s="111"/>
      <c r="S477" s="111"/>
      <c r="T477" s="111"/>
    </row>
    <row r="478" spans="3:20" s="4" customFormat="1" x14ac:dyDescent="0.25">
      <c r="C478" s="3"/>
      <c r="D478" s="3"/>
      <c r="E478" s="3"/>
      <c r="F478" s="3"/>
      <c r="G478" s="3"/>
      <c r="H478" s="3"/>
      <c r="I478" s="3"/>
      <c r="J478" s="3"/>
      <c r="K478" s="3"/>
      <c r="L478" s="3"/>
      <c r="M478" s="3"/>
      <c r="N478" s="3"/>
      <c r="O478" s="3"/>
      <c r="P478" s="3"/>
      <c r="Q478" s="3"/>
      <c r="R478" s="111"/>
      <c r="S478" s="111"/>
      <c r="T478" s="111"/>
    </row>
    <row r="479" spans="3:20" s="4" customFormat="1" x14ac:dyDescent="0.25">
      <c r="C479" s="3"/>
      <c r="D479" s="3"/>
      <c r="E479" s="3"/>
      <c r="F479" s="3"/>
      <c r="G479" s="3"/>
      <c r="H479" s="3"/>
      <c r="I479" s="3"/>
      <c r="J479" s="3"/>
      <c r="K479" s="3"/>
      <c r="L479" s="3"/>
      <c r="M479" s="3"/>
      <c r="N479" s="3"/>
      <c r="O479" s="3"/>
      <c r="P479" s="3"/>
      <c r="Q479" s="3"/>
      <c r="R479" s="111"/>
      <c r="S479" s="111"/>
      <c r="T479" s="111"/>
    </row>
    <row r="480" spans="3:20" s="4" customFormat="1" x14ac:dyDescent="0.25">
      <c r="C480" s="3"/>
      <c r="D480" s="3"/>
      <c r="E480" s="3"/>
      <c r="F480" s="3"/>
      <c r="G480" s="3"/>
      <c r="H480" s="3"/>
      <c r="I480" s="3"/>
      <c r="J480" s="3"/>
      <c r="K480" s="3"/>
      <c r="L480" s="3"/>
      <c r="M480" s="3"/>
      <c r="N480" s="3"/>
      <c r="O480" s="3"/>
      <c r="P480" s="3"/>
      <c r="Q480" s="3"/>
      <c r="R480" s="111"/>
      <c r="S480" s="111"/>
      <c r="T480" s="111"/>
    </row>
    <row r="481" spans="3:20" s="4" customFormat="1" x14ac:dyDescent="0.25">
      <c r="C481" s="3"/>
      <c r="D481" s="3"/>
      <c r="E481" s="3"/>
      <c r="F481" s="3"/>
      <c r="G481" s="3"/>
      <c r="H481" s="3"/>
      <c r="I481" s="3"/>
      <c r="J481" s="3"/>
      <c r="K481" s="3"/>
      <c r="L481" s="3"/>
      <c r="M481" s="3"/>
      <c r="N481" s="3"/>
      <c r="O481" s="3"/>
      <c r="P481" s="3"/>
      <c r="Q481" s="3"/>
      <c r="R481" s="111"/>
      <c r="S481" s="111"/>
      <c r="T481" s="111"/>
    </row>
    <row r="482" spans="3:20" s="4" customFormat="1" x14ac:dyDescent="0.25">
      <c r="C482" s="3"/>
      <c r="D482" s="3"/>
      <c r="E482" s="3"/>
      <c r="F482" s="3"/>
      <c r="G482" s="3"/>
      <c r="H482" s="3"/>
      <c r="I482" s="3"/>
      <c r="J482" s="3"/>
      <c r="K482" s="3"/>
      <c r="L482" s="3"/>
      <c r="M482" s="3"/>
      <c r="N482" s="3"/>
      <c r="O482" s="3"/>
      <c r="P482" s="3"/>
      <c r="Q482" s="3"/>
      <c r="R482" s="111"/>
      <c r="S482" s="111"/>
      <c r="T482" s="111"/>
    </row>
    <row r="483" spans="3:20" s="4" customFormat="1" x14ac:dyDescent="0.25">
      <c r="C483" s="3"/>
      <c r="D483" s="3"/>
      <c r="E483" s="3"/>
      <c r="F483" s="3"/>
      <c r="G483" s="3"/>
      <c r="H483" s="3"/>
      <c r="I483" s="3"/>
      <c r="J483" s="3"/>
      <c r="K483" s="3"/>
      <c r="L483" s="3"/>
      <c r="M483" s="3"/>
      <c r="N483" s="3"/>
      <c r="O483" s="3"/>
      <c r="P483" s="3"/>
      <c r="Q483" s="3"/>
      <c r="R483" s="111"/>
      <c r="S483" s="111"/>
      <c r="T483" s="111"/>
    </row>
    <row r="484" spans="3:20" s="4" customFormat="1" x14ac:dyDescent="0.25">
      <c r="C484" s="3"/>
      <c r="D484" s="3"/>
      <c r="E484" s="3"/>
      <c r="F484" s="3"/>
      <c r="G484" s="3"/>
      <c r="H484" s="3"/>
      <c r="I484" s="3"/>
      <c r="J484" s="3"/>
      <c r="K484" s="3"/>
      <c r="L484" s="3"/>
      <c r="M484" s="3"/>
      <c r="N484" s="3"/>
      <c r="O484" s="3"/>
      <c r="P484" s="3"/>
      <c r="Q484" s="3"/>
      <c r="R484" s="111"/>
      <c r="S484" s="111"/>
      <c r="T484" s="111"/>
    </row>
    <row r="485" spans="3:20" s="4" customFormat="1" x14ac:dyDescent="0.25">
      <c r="C485" s="3"/>
      <c r="D485" s="3"/>
      <c r="E485" s="3"/>
      <c r="F485" s="3"/>
      <c r="G485" s="3"/>
      <c r="H485" s="3"/>
      <c r="I485" s="3"/>
      <c r="J485" s="3"/>
      <c r="K485" s="3"/>
      <c r="L485" s="3"/>
      <c r="M485" s="3"/>
      <c r="N485" s="3"/>
      <c r="O485" s="3"/>
      <c r="P485" s="3"/>
      <c r="Q485" s="3"/>
      <c r="R485" s="111"/>
      <c r="S485" s="111"/>
      <c r="T485" s="111"/>
    </row>
    <row r="486" spans="3:20" s="4" customFormat="1" x14ac:dyDescent="0.25">
      <c r="C486" s="3"/>
      <c r="D486" s="3"/>
      <c r="E486" s="3"/>
      <c r="F486" s="3"/>
      <c r="G486" s="3"/>
      <c r="H486" s="3"/>
      <c r="I486" s="3"/>
      <c r="J486" s="3"/>
      <c r="K486" s="3"/>
      <c r="L486" s="3"/>
      <c r="M486" s="3"/>
      <c r="N486" s="3"/>
      <c r="O486" s="3"/>
      <c r="P486" s="3"/>
      <c r="Q486" s="3"/>
      <c r="R486" s="111"/>
      <c r="S486" s="111"/>
      <c r="T486" s="111"/>
    </row>
    <row r="487" spans="3:20" s="4" customFormat="1" x14ac:dyDescent="0.25">
      <c r="C487" s="3"/>
      <c r="D487" s="3"/>
      <c r="E487" s="3"/>
      <c r="F487" s="3"/>
      <c r="G487" s="3"/>
      <c r="H487" s="3"/>
      <c r="I487" s="3"/>
      <c r="J487" s="3"/>
      <c r="K487" s="3"/>
      <c r="L487" s="3"/>
      <c r="M487" s="3"/>
      <c r="N487" s="3"/>
      <c r="O487" s="3"/>
      <c r="P487" s="3"/>
      <c r="Q487" s="3"/>
      <c r="R487" s="111"/>
      <c r="S487" s="111"/>
      <c r="T487" s="111"/>
    </row>
    <row r="488" spans="3:20" s="4" customFormat="1" x14ac:dyDescent="0.25">
      <c r="C488" s="3"/>
      <c r="D488" s="3"/>
      <c r="E488" s="3"/>
      <c r="F488" s="3"/>
      <c r="G488" s="3"/>
      <c r="H488" s="3"/>
      <c r="I488" s="3"/>
      <c r="J488" s="3"/>
      <c r="K488" s="3"/>
      <c r="L488" s="3"/>
      <c r="M488" s="3"/>
      <c r="N488" s="3"/>
      <c r="O488" s="3"/>
      <c r="P488" s="3"/>
      <c r="Q488" s="3"/>
      <c r="R488" s="111"/>
      <c r="S488" s="111"/>
      <c r="T488" s="111"/>
    </row>
    <row r="489" spans="3:20" s="4" customFormat="1" x14ac:dyDescent="0.25">
      <c r="C489" s="3"/>
      <c r="D489" s="3"/>
      <c r="E489" s="3"/>
      <c r="F489" s="3"/>
      <c r="G489" s="3"/>
      <c r="H489" s="3"/>
      <c r="I489" s="3"/>
      <c r="J489" s="3"/>
      <c r="K489" s="3"/>
      <c r="L489" s="3"/>
      <c r="M489" s="3"/>
      <c r="N489" s="3"/>
      <c r="O489" s="3"/>
      <c r="P489" s="3"/>
      <c r="Q489" s="3"/>
      <c r="R489" s="111"/>
      <c r="S489" s="111"/>
      <c r="T489" s="111"/>
    </row>
    <row r="490" spans="3:20" s="4" customFormat="1" x14ac:dyDescent="0.25">
      <c r="C490" s="3"/>
      <c r="D490" s="3"/>
      <c r="E490" s="3"/>
      <c r="F490" s="3"/>
      <c r="G490" s="3"/>
      <c r="H490" s="3"/>
      <c r="I490" s="3"/>
      <c r="J490" s="3"/>
      <c r="K490" s="3"/>
      <c r="L490" s="3"/>
      <c r="M490" s="3"/>
      <c r="N490" s="3"/>
      <c r="O490" s="3"/>
      <c r="P490" s="3"/>
      <c r="Q490" s="3"/>
      <c r="R490" s="111"/>
      <c r="S490" s="111"/>
      <c r="T490" s="111"/>
    </row>
    <row r="491" spans="3:20" s="4" customFormat="1" x14ac:dyDescent="0.25">
      <c r="C491" s="3"/>
      <c r="D491" s="3"/>
      <c r="E491" s="3"/>
      <c r="F491" s="3"/>
      <c r="G491" s="3"/>
      <c r="H491" s="3"/>
      <c r="I491" s="3"/>
      <c r="J491" s="3"/>
      <c r="K491" s="3"/>
      <c r="L491" s="3"/>
      <c r="M491" s="3"/>
      <c r="N491" s="3"/>
      <c r="O491" s="3"/>
      <c r="P491" s="3"/>
      <c r="Q491" s="3"/>
      <c r="R491" s="111"/>
      <c r="S491" s="111"/>
      <c r="T491" s="111"/>
    </row>
    <row r="492" spans="3:20" s="4" customFormat="1" x14ac:dyDescent="0.25">
      <c r="C492" s="3"/>
      <c r="D492" s="3"/>
      <c r="E492" s="3"/>
      <c r="F492" s="3"/>
      <c r="G492" s="3"/>
      <c r="H492" s="3"/>
      <c r="I492" s="3"/>
      <c r="J492" s="3"/>
      <c r="K492" s="3"/>
      <c r="L492" s="3"/>
      <c r="M492" s="3"/>
      <c r="N492" s="3"/>
      <c r="O492" s="3"/>
      <c r="P492" s="3"/>
      <c r="Q492" s="3"/>
      <c r="R492" s="111"/>
      <c r="S492" s="111"/>
      <c r="T492" s="111"/>
    </row>
    <row r="493" spans="3:20" s="4" customFormat="1" x14ac:dyDescent="0.25">
      <c r="C493" s="3"/>
      <c r="D493" s="3"/>
      <c r="E493" s="3"/>
      <c r="F493" s="3"/>
      <c r="G493" s="3"/>
      <c r="H493" s="3"/>
      <c r="I493" s="3"/>
      <c r="J493" s="3"/>
      <c r="K493" s="3"/>
      <c r="L493" s="3"/>
      <c r="M493" s="3"/>
      <c r="N493" s="3"/>
      <c r="O493" s="3"/>
      <c r="P493" s="3"/>
      <c r="Q493" s="3"/>
      <c r="R493" s="111"/>
      <c r="S493" s="111"/>
      <c r="T493" s="111"/>
    </row>
    <row r="494" spans="3:20" s="4" customFormat="1" x14ac:dyDescent="0.25">
      <c r="C494" s="3"/>
      <c r="D494" s="3"/>
      <c r="E494" s="3"/>
      <c r="F494" s="3"/>
      <c r="G494" s="3"/>
      <c r="H494" s="3"/>
      <c r="I494" s="3"/>
      <c r="J494" s="3"/>
      <c r="K494" s="3"/>
      <c r="L494" s="3"/>
      <c r="M494" s="3"/>
      <c r="N494" s="3"/>
      <c r="O494" s="3"/>
      <c r="P494" s="3"/>
      <c r="Q494" s="3"/>
      <c r="R494" s="111"/>
      <c r="S494" s="111"/>
      <c r="T494" s="111"/>
    </row>
    <row r="495" spans="3:20" s="4" customFormat="1" x14ac:dyDescent="0.25">
      <c r="C495" s="3"/>
      <c r="D495" s="3"/>
      <c r="E495" s="3"/>
      <c r="F495" s="3"/>
      <c r="G495" s="3"/>
      <c r="H495" s="3"/>
      <c r="I495" s="3"/>
      <c r="J495" s="3"/>
      <c r="K495" s="3"/>
      <c r="L495" s="3"/>
      <c r="M495" s="3"/>
      <c r="N495" s="3"/>
      <c r="O495" s="3"/>
      <c r="P495" s="3"/>
      <c r="Q495" s="3"/>
      <c r="R495" s="111"/>
      <c r="S495" s="111"/>
      <c r="T495" s="111"/>
    </row>
    <row r="496" spans="3:20" s="4" customFormat="1" x14ac:dyDescent="0.25">
      <c r="C496" s="3"/>
      <c r="D496" s="3"/>
      <c r="E496" s="3"/>
      <c r="F496" s="3"/>
      <c r="G496" s="3"/>
      <c r="H496" s="3"/>
      <c r="I496" s="3"/>
      <c r="J496" s="3"/>
      <c r="K496" s="3"/>
      <c r="L496" s="3"/>
      <c r="M496" s="3"/>
      <c r="N496" s="3"/>
      <c r="O496" s="3"/>
      <c r="P496" s="3"/>
      <c r="Q496" s="3"/>
      <c r="R496" s="111"/>
      <c r="S496" s="111"/>
      <c r="T496" s="111"/>
    </row>
    <row r="497" spans="3:20" s="4" customFormat="1" x14ac:dyDescent="0.25">
      <c r="C497" s="3"/>
      <c r="D497" s="3"/>
      <c r="E497" s="3"/>
      <c r="F497" s="3"/>
      <c r="G497" s="3"/>
      <c r="H497" s="3"/>
      <c r="I497" s="3"/>
      <c r="J497" s="3"/>
      <c r="K497" s="3"/>
      <c r="L497" s="3"/>
      <c r="M497" s="3"/>
      <c r="N497" s="3"/>
      <c r="O497" s="3"/>
      <c r="P497" s="3"/>
      <c r="Q497" s="3"/>
      <c r="R497" s="111"/>
      <c r="S497" s="111"/>
      <c r="T497" s="111"/>
    </row>
    <row r="498" spans="3:20" s="4" customFormat="1" x14ac:dyDescent="0.25">
      <c r="C498" s="3"/>
      <c r="D498" s="3"/>
      <c r="E498" s="3"/>
      <c r="F498" s="3"/>
      <c r="G498" s="3"/>
      <c r="H498" s="3"/>
      <c r="I498" s="3"/>
      <c r="J498" s="3"/>
      <c r="K498" s="3"/>
      <c r="L498" s="3"/>
      <c r="M498" s="3"/>
      <c r="N498" s="3"/>
      <c r="O498" s="3"/>
      <c r="P498" s="3"/>
      <c r="Q498" s="3"/>
      <c r="R498" s="111"/>
      <c r="S498" s="111"/>
      <c r="T498" s="111"/>
    </row>
    <row r="499" spans="3:20" s="4" customFormat="1" x14ac:dyDescent="0.25">
      <c r="C499" s="3"/>
      <c r="D499" s="3"/>
      <c r="E499" s="3"/>
      <c r="F499" s="3"/>
      <c r="G499" s="3"/>
      <c r="H499" s="3"/>
      <c r="I499" s="3"/>
      <c r="J499" s="3"/>
      <c r="K499" s="3"/>
      <c r="L499" s="3"/>
      <c r="M499" s="3"/>
      <c r="N499" s="3"/>
      <c r="O499" s="3"/>
      <c r="P499" s="3"/>
      <c r="Q499" s="3"/>
      <c r="R499" s="111"/>
      <c r="S499" s="111"/>
      <c r="T499" s="111"/>
    </row>
    <row r="500" spans="3:20" s="4" customFormat="1" x14ac:dyDescent="0.25">
      <c r="C500" s="3"/>
      <c r="D500" s="3"/>
      <c r="E500" s="3"/>
      <c r="F500" s="3"/>
      <c r="G500" s="3"/>
      <c r="H500" s="3"/>
      <c r="I500" s="3"/>
      <c r="J500" s="3"/>
      <c r="K500" s="3"/>
      <c r="L500" s="3"/>
      <c r="M500" s="3"/>
      <c r="N500" s="3"/>
      <c r="O500" s="3"/>
      <c r="P500" s="3"/>
      <c r="Q500" s="3"/>
      <c r="R500" s="111"/>
      <c r="S500" s="111"/>
      <c r="T500" s="111"/>
    </row>
    <row r="501" spans="3:20" s="4" customFormat="1" x14ac:dyDescent="0.25">
      <c r="C501" s="3"/>
      <c r="D501" s="3"/>
      <c r="E501" s="3"/>
      <c r="F501" s="3"/>
      <c r="G501" s="3"/>
      <c r="H501" s="3"/>
      <c r="I501" s="3"/>
      <c r="J501" s="3"/>
      <c r="K501" s="3"/>
      <c r="L501" s="3"/>
      <c r="M501" s="3"/>
      <c r="N501" s="3"/>
      <c r="O501" s="3"/>
      <c r="P501" s="3"/>
      <c r="Q501" s="3"/>
      <c r="R501" s="111"/>
      <c r="S501" s="111"/>
      <c r="T501" s="111"/>
    </row>
    <row r="502" spans="3:20" s="4" customFormat="1" x14ac:dyDescent="0.25">
      <c r="C502" s="3"/>
      <c r="D502" s="3"/>
      <c r="E502" s="3"/>
      <c r="F502" s="3"/>
      <c r="G502" s="3"/>
      <c r="H502" s="3"/>
      <c r="I502" s="3"/>
      <c r="J502" s="3"/>
      <c r="K502" s="3"/>
      <c r="L502" s="3"/>
      <c r="M502" s="3"/>
      <c r="N502" s="3"/>
      <c r="O502" s="3"/>
      <c r="P502" s="3"/>
      <c r="Q502" s="3"/>
      <c r="R502" s="111"/>
      <c r="S502" s="111"/>
      <c r="T502" s="111"/>
    </row>
    <row r="503" spans="3:20" s="4" customFormat="1" x14ac:dyDescent="0.25">
      <c r="C503" s="3"/>
      <c r="D503" s="3"/>
      <c r="E503" s="3"/>
      <c r="F503" s="3"/>
      <c r="G503" s="3"/>
      <c r="H503" s="3"/>
      <c r="I503" s="3"/>
      <c r="J503" s="3"/>
      <c r="K503" s="3"/>
      <c r="L503" s="3"/>
      <c r="M503" s="3"/>
      <c r="N503" s="3"/>
      <c r="O503" s="3"/>
      <c r="P503" s="3"/>
      <c r="Q503" s="3"/>
      <c r="R503" s="111"/>
      <c r="S503" s="111"/>
      <c r="T503" s="111"/>
    </row>
    <row r="504" spans="3:20" s="4" customFormat="1" x14ac:dyDescent="0.25">
      <c r="C504" s="3"/>
      <c r="D504" s="3"/>
      <c r="E504" s="3"/>
      <c r="F504" s="3"/>
      <c r="G504" s="3"/>
      <c r="H504" s="3"/>
      <c r="I504" s="3"/>
      <c r="J504" s="3"/>
      <c r="K504" s="3"/>
      <c r="L504" s="3"/>
      <c r="M504" s="3"/>
      <c r="N504" s="3"/>
      <c r="O504" s="3"/>
      <c r="P504" s="3"/>
      <c r="Q504" s="3"/>
      <c r="R504" s="111"/>
      <c r="S504" s="111"/>
      <c r="T504" s="111"/>
    </row>
    <row r="505" spans="3:20" s="4" customFormat="1" x14ac:dyDescent="0.25">
      <c r="C505" s="3"/>
      <c r="D505" s="3"/>
      <c r="E505" s="3"/>
      <c r="F505" s="3"/>
      <c r="G505" s="3"/>
      <c r="H505" s="3"/>
      <c r="I505" s="3"/>
      <c r="J505" s="3"/>
      <c r="K505" s="3"/>
      <c r="L505" s="3"/>
      <c r="M505" s="3"/>
      <c r="N505" s="3"/>
      <c r="O505" s="3"/>
      <c r="P505" s="3"/>
      <c r="Q505" s="3"/>
      <c r="R505" s="111"/>
      <c r="S505" s="111"/>
      <c r="T505" s="111"/>
    </row>
    <row r="506" spans="3:20" s="4" customFormat="1" x14ac:dyDescent="0.25">
      <c r="C506" s="3"/>
      <c r="D506" s="3"/>
      <c r="E506" s="3"/>
      <c r="F506" s="3"/>
      <c r="G506" s="3"/>
      <c r="H506" s="3"/>
      <c r="I506" s="3"/>
      <c r="J506" s="3"/>
      <c r="K506" s="3"/>
      <c r="L506" s="3"/>
      <c r="M506" s="3"/>
      <c r="N506" s="3"/>
      <c r="O506" s="3"/>
      <c r="P506" s="3"/>
      <c r="Q506" s="3"/>
      <c r="R506" s="111"/>
      <c r="S506" s="111"/>
      <c r="T506" s="111"/>
    </row>
    <row r="507" spans="3:20" s="4" customFormat="1" x14ac:dyDescent="0.25">
      <c r="C507" s="3"/>
      <c r="D507" s="3"/>
      <c r="E507" s="3"/>
      <c r="F507" s="3"/>
      <c r="G507" s="3"/>
      <c r="H507" s="3"/>
      <c r="I507" s="3"/>
      <c r="J507" s="3"/>
      <c r="K507" s="3"/>
      <c r="L507" s="3"/>
      <c r="M507" s="3"/>
      <c r="N507" s="3"/>
      <c r="O507" s="3"/>
      <c r="P507" s="3"/>
      <c r="Q507" s="3"/>
      <c r="R507" s="111"/>
      <c r="S507" s="111"/>
      <c r="T507" s="111"/>
    </row>
    <row r="508" spans="3:20" s="4" customFormat="1" x14ac:dyDescent="0.25">
      <c r="C508" s="3"/>
      <c r="D508" s="3"/>
      <c r="E508" s="3"/>
      <c r="F508" s="3"/>
      <c r="G508" s="3"/>
      <c r="H508" s="3"/>
      <c r="I508" s="3"/>
      <c r="J508" s="3"/>
      <c r="K508" s="3"/>
      <c r="L508" s="3"/>
      <c r="M508" s="3"/>
      <c r="N508" s="3"/>
      <c r="O508" s="3"/>
      <c r="P508" s="3"/>
      <c r="Q508" s="3"/>
      <c r="R508" s="111"/>
      <c r="S508" s="111"/>
      <c r="T508" s="111"/>
    </row>
    <row r="509" spans="3:20" s="4" customFormat="1" x14ac:dyDescent="0.25">
      <c r="C509" s="3"/>
      <c r="D509" s="3"/>
      <c r="E509" s="3"/>
      <c r="F509" s="3"/>
      <c r="G509" s="3"/>
      <c r="H509" s="3"/>
      <c r="I509" s="3"/>
      <c r="J509" s="3"/>
      <c r="K509" s="3"/>
      <c r="L509" s="3"/>
      <c r="M509" s="3"/>
      <c r="N509" s="3"/>
      <c r="O509" s="3"/>
      <c r="P509" s="3"/>
      <c r="Q509" s="3"/>
      <c r="R509" s="111"/>
      <c r="S509" s="111"/>
      <c r="T509" s="111"/>
    </row>
    <row r="510" spans="3:20" s="4" customFormat="1" x14ac:dyDescent="0.25">
      <c r="C510" s="3"/>
      <c r="D510" s="3"/>
      <c r="E510" s="3"/>
      <c r="F510" s="3"/>
      <c r="G510" s="3"/>
      <c r="H510" s="3"/>
      <c r="I510" s="3"/>
      <c r="J510" s="3"/>
      <c r="K510" s="3"/>
      <c r="L510" s="3"/>
      <c r="M510" s="3"/>
      <c r="N510" s="3"/>
      <c r="O510" s="3"/>
      <c r="P510" s="3"/>
      <c r="Q510" s="3"/>
      <c r="R510" s="111"/>
      <c r="S510" s="111"/>
      <c r="T510" s="111"/>
    </row>
    <row r="511" spans="3:20" s="4" customFormat="1" x14ac:dyDescent="0.25">
      <c r="C511" s="3"/>
      <c r="D511" s="3"/>
      <c r="E511" s="3"/>
      <c r="F511" s="3"/>
      <c r="G511" s="3"/>
      <c r="H511" s="3"/>
      <c r="I511" s="3"/>
      <c r="J511" s="3"/>
      <c r="K511" s="3"/>
      <c r="L511" s="3"/>
      <c r="M511" s="3"/>
      <c r="N511" s="3"/>
      <c r="O511" s="3"/>
      <c r="P511" s="3"/>
      <c r="Q511" s="3"/>
      <c r="R511" s="111"/>
      <c r="S511" s="111"/>
      <c r="T511" s="111"/>
    </row>
    <row r="512" spans="3:20" s="4" customFormat="1" x14ac:dyDescent="0.25">
      <c r="C512" s="3"/>
      <c r="D512" s="3"/>
      <c r="E512" s="3"/>
      <c r="F512" s="3"/>
      <c r="G512" s="3"/>
      <c r="H512" s="3"/>
      <c r="I512" s="3"/>
      <c r="J512" s="3"/>
      <c r="K512" s="3"/>
      <c r="L512" s="3"/>
      <c r="M512" s="3"/>
      <c r="N512" s="3"/>
      <c r="O512" s="3"/>
      <c r="P512" s="3"/>
      <c r="Q512" s="3"/>
      <c r="R512" s="111"/>
      <c r="S512" s="111"/>
      <c r="T512" s="111"/>
    </row>
    <row r="513" spans="3:20" s="4" customFormat="1" x14ac:dyDescent="0.25">
      <c r="C513" s="3"/>
      <c r="D513" s="3"/>
      <c r="E513" s="3"/>
      <c r="F513" s="3"/>
      <c r="G513" s="3"/>
      <c r="H513" s="3"/>
      <c r="I513" s="3"/>
      <c r="J513" s="3"/>
      <c r="K513" s="3"/>
      <c r="L513" s="3"/>
      <c r="M513" s="3"/>
      <c r="N513" s="3"/>
      <c r="O513" s="3"/>
      <c r="P513" s="3"/>
      <c r="Q513" s="3"/>
      <c r="R513" s="111"/>
      <c r="S513" s="111"/>
      <c r="T513" s="111"/>
    </row>
    <row r="514" spans="3:20" s="4" customFormat="1" x14ac:dyDescent="0.25">
      <c r="C514" s="3"/>
      <c r="D514" s="3"/>
      <c r="E514" s="3"/>
      <c r="F514" s="3"/>
      <c r="G514" s="3"/>
      <c r="H514" s="3"/>
      <c r="I514" s="3"/>
      <c r="J514" s="3"/>
      <c r="K514" s="3"/>
      <c r="L514" s="3"/>
      <c r="M514" s="3"/>
      <c r="N514" s="3"/>
      <c r="O514" s="3"/>
      <c r="P514" s="3"/>
      <c r="Q514" s="3"/>
      <c r="R514" s="111"/>
      <c r="S514" s="111"/>
      <c r="T514" s="111"/>
    </row>
    <row r="515" spans="3:20" s="4" customFormat="1" x14ac:dyDescent="0.25">
      <c r="C515" s="3"/>
      <c r="D515" s="3"/>
      <c r="E515" s="3"/>
      <c r="F515" s="3"/>
      <c r="G515" s="3"/>
      <c r="H515" s="3"/>
      <c r="I515" s="3"/>
      <c r="J515" s="3"/>
      <c r="K515" s="3"/>
      <c r="L515" s="3"/>
      <c r="M515" s="3"/>
      <c r="N515" s="3"/>
      <c r="O515" s="3"/>
      <c r="P515" s="3"/>
      <c r="Q515" s="3"/>
      <c r="R515" s="111"/>
      <c r="S515" s="111"/>
      <c r="T515" s="111"/>
    </row>
    <row r="516" spans="3:20" s="4" customFormat="1" x14ac:dyDescent="0.25">
      <c r="C516" s="3"/>
      <c r="D516" s="3"/>
      <c r="E516" s="3"/>
      <c r="F516" s="3"/>
      <c r="G516" s="3"/>
      <c r="H516" s="3"/>
      <c r="I516" s="3"/>
      <c r="J516" s="3"/>
      <c r="K516" s="3"/>
      <c r="L516" s="3"/>
      <c r="M516" s="3"/>
      <c r="N516" s="3"/>
      <c r="O516" s="3"/>
      <c r="P516" s="3"/>
      <c r="Q516" s="3"/>
      <c r="R516" s="111"/>
      <c r="S516" s="111"/>
      <c r="T516" s="111"/>
    </row>
    <row r="517" spans="3:20" s="4" customFormat="1" x14ac:dyDescent="0.25">
      <c r="C517" s="3"/>
      <c r="D517" s="3"/>
      <c r="E517" s="3"/>
      <c r="F517" s="3"/>
      <c r="G517" s="3"/>
      <c r="H517" s="3"/>
      <c r="I517" s="3"/>
      <c r="J517" s="3"/>
      <c r="K517" s="3"/>
      <c r="L517" s="3"/>
      <c r="M517" s="3"/>
      <c r="N517" s="3"/>
      <c r="O517" s="3"/>
      <c r="P517" s="3"/>
      <c r="Q517" s="3"/>
      <c r="R517" s="111"/>
      <c r="S517" s="111"/>
      <c r="T517" s="111"/>
    </row>
    <row r="518" spans="3:20" s="4" customFormat="1" x14ac:dyDescent="0.25">
      <c r="C518" s="3"/>
      <c r="D518" s="3"/>
      <c r="E518" s="3"/>
      <c r="F518" s="3"/>
      <c r="G518" s="3"/>
      <c r="H518" s="3"/>
      <c r="I518" s="3"/>
      <c r="J518" s="3"/>
      <c r="K518" s="3"/>
      <c r="L518" s="3"/>
      <c r="M518" s="3"/>
      <c r="N518" s="3"/>
      <c r="O518" s="3"/>
      <c r="P518" s="3"/>
      <c r="Q518" s="3"/>
      <c r="R518" s="111"/>
      <c r="S518" s="111"/>
      <c r="T518" s="111"/>
    </row>
    <row r="519" spans="3:20" s="4" customFormat="1" x14ac:dyDescent="0.25">
      <c r="C519" s="3"/>
      <c r="D519" s="3"/>
      <c r="E519" s="3"/>
      <c r="F519" s="3"/>
      <c r="G519" s="3"/>
      <c r="H519" s="3"/>
      <c r="I519" s="3"/>
      <c r="J519" s="3"/>
      <c r="K519" s="3"/>
      <c r="L519" s="3"/>
      <c r="M519" s="3"/>
      <c r="N519" s="3"/>
      <c r="O519" s="3"/>
      <c r="P519" s="3"/>
      <c r="Q519" s="3"/>
      <c r="R519" s="111"/>
      <c r="S519" s="111"/>
      <c r="T519" s="111"/>
    </row>
    <row r="520" spans="3:20" s="4" customFormat="1" x14ac:dyDescent="0.25">
      <c r="C520" s="3"/>
      <c r="D520" s="3"/>
      <c r="E520" s="3"/>
      <c r="F520" s="3"/>
      <c r="G520" s="3"/>
      <c r="H520" s="3"/>
      <c r="I520" s="3"/>
      <c r="J520" s="3"/>
      <c r="K520" s="3"/>
      <c r="L520" s="3"/>
      <c r="M520" s="3"/>
      <c r="N520" s="3"/>
      <c r="O520" s="3"/>
      <c r="P520" s="3"/>
      <c r="Q520" s="3"/>
      <c r="R520" s="111"/>
      <c r="S520" s="111"/>
      <c r="T520" s="111"/>
    </row>
    <row r="521" spans="3:20" s="4" customFormat="1" x14ac:dyDescent="0.25">
      <c r="C521" s="3"/>
      <c r="D521" s="3"/>
      <c r="E521" s="3"/>
      <c r="F521" s="3"/>
      <c r="G521" s="3"/>
      <c r="H521" s="3"/>
      <c r="I521" s="3"/>
      <c r="J521" s="3"/>
      <c r="K521" s="3"/>
      <c r="L521" s="3"/>
      <c r="M521" s="3"/>
      <c r="N521" s="3"/>
      <c r="O521" s="3"/>
      <c r="P521" s="3"/>
      <c r="Q521" s="3"/>
      <c r="R521" s="111"/>
      <c r="S521" s="111"/>
      <c r="T521" s="111"/>
    </row>
    <row r="522" spans="3:20" s="4" customFormat="1" x14ac:dyDescent="0.25">
      <c r="C522" s="3"/>
      <c r="D522" s="3"/>
      <c r="E522" s="3"/>
      <c r="F522" s="3"/>
      <c r="G522" s="3"/>
      <c r="H522" s="3"/>
      <c r="I522" s="3"/>
      <c r="J522" s="3"/>
      <c r="K522" s="3"/>
      <c r="L522" s="3"/>
      <c r="M522" s="3"/>
      <c r="N522" s="3"/>
      <c r="O522" s="3"/>
      <c r="P522" s="3"/>
      <c r="Q522" s="3"/>
      <c r="R522" s="111"/>
      <c r="S522" s="111"/>
      <c r="T522" s="111"/>
    </row>
    <row r="523" spans="3:20" s="4" customFormat="1" x14ac:dyDescent="0.25">
      <c r="C523" s="3"/>
      <c r="D523" s="3"/>
      <c r="E523" s="3"/>
      <c r="F523" s="3"/>
      <c r="G523" s="3"/>
      <c r="H523" s="3"/>
      <c r="I523" s="3"/>
      <c r="J523" s="3"/>
      <c r="K523" s="3"/>
      <c r="L523" s="3"/>
      <c r="M523" s="3"/>
      <c r="N523" s="3"/>
      <c r="O523" s="3"/>
      <c r="P523" s="3"/>
      <c r="Q523" s="3"/>
      <c r="R523" s="111"/>
      <c r="S523" s="111"/>
      <c r="T523" s="111"/>
    </row>
    <row r="524" spans="3:20" s="4" customFormat="1" x14ac:dyDescent="0.25">
      <c r="C524" s="3"/>
      <c r="D524" s="3"/>
      <c r="E524" s="3"/>
      <c r="F524" s="3"/>
      <c r="G524" s="3"/>
      <c r="H524" s="3"/>
      <c r="I524" s="3"/>
      <c r="J524" s="3"/>
      <c r="K524" s="3"/>
      <c r="L524" s="3"/>
      <c r="M524" s="3"/>
      <c r="N524" s="3"/>
      <c r="O524" s="3"/>
      <c r="P524" s="3"/>
      <c r="Q524" s="3"/>
      <c r="R524" s="111"/>
      <c r="S524" s="111"/>
      <c r="T524" s="111"/>
    </row>
    <row r="525" spans="3:20" s="4" customFormat="1" x14ac:dyDescent="0.25">
      <c r="C525" s="3"/>
      <c r="D525" s="3"/>
      <c r="E525" s="3"/>
      <c r="F525" s="3"/>
      <c r="G525" s="3"/>
      <c r="H525" s="3"/>
      <c r="I525" s="3"/>
      <c r="J525" s="3"/>
      <c r="K525" s="3"/>
      <c r="L525" s="3"/>
      <c r="M525" s="3"/>
      <c r="N525" s="3"/>
      <c r="O525" s="3"/>
      <c r="P525" s="3"/>
      <c r="Q525" s="3"/>
      <c r="R525" s="111"/>
      <c r="S525" s="111"/>
      <c r="T525" s="111"/>
    </row>
    <row r="526" spans="3:20" s="4" customFormat="1" x14ac:dyDescent="0.25">
      <c r="C526" s="3"/>
      <c r="D526" s="3"/>
      <c r="E526" s="3"/>
      <c r="F526" s="3"/>
      <c r="G526" s="3"/>
      <c r="H526" s="3"/>
      <c r="I526" s="3"/>
      <c r="J526" s="3"/>
      <c r="K526" s="3"/>
      <c r="L526" s="3"/>
      <c r="M526" s="3"/>
      <c r="N526" s="3"/>
      <c r="O526" s="3"/>
      <c r="P526" s="3"/>
      <c r="Q526" s="3"/>
      <c r="R526" s="111"/>
      <c r="S526" s="111"/>
      <c r="T526" s="111"/>
    </row>
    <row r="527" spans="3:20" s="4" customFormat="1" x14ac:dyDescent="0.25">
      <c r="C527" s="3"/>
      <c r="D527" s="3"/>
      <c r="E527" s="3"/>
      <c r="F527" s="3"/>
      <c r="G527" s="3"/>
      <c r="H527" s="3"/>
      <c r="I527" s="3"/>
      <c r="J527" s="3"/>
      <c r="K527" s="3"/>
      <c r="L527" s="3"/>
      <c r="M527" s="3"/>
      <c r="N527" s="3"/>
      <c r="O527" s="3"/>
      <c r="P527" s="3"/>
      <c r="Q527" s="3"/>
      <c r="R527" s="111"/>
      <c r="S527" s="111"/>
      <c r="T527" s="111"/>
    </row>
    <row r="528" spans="3:20" s="4" customFormat="1" x14ac:dyDescent="0.25">
      <c r="C528" s="3"/>
      <c r="D528" s="3"/>
      <c r="E528" s="3"/>
      <c r="F528" s="3"/>
      <c r="G528" s="3"/>
      <c r="H528" s="3"/>
      <c r="I528" s="3"/>
      <c r="J528" s="3"/>
      <c r="K528" s="3"/>
      <c r="L528" s="3"/>
      <c r="M528" s="3"/>
      <c r="N528" s="3"/>
      <c r="O528" s="3"/>
      <c r="P528" s="3"/>
      <c r="Q528" s="3"/>
      <c r="R528" s="111"/>
      <c r="S528" s="111"/>
      <c r="T528" s="111"/>
    </row>
    <row r="529" spans="3:20" s="4" customFormat="1" x14ac:dyDescent="0.25">
      <c r="C529" s="3"/>
      <c r="D529" s="3"/>
      <c r="E529" s="3"/>
      <c r="F529" s="3"/>
      <c r="G529" s="3"/>
      <c r="H529" s="3"/>
      <c r="I529" s="3"/>
      <c r="J529" s="3"/>
      <c r="K529" s="3"/>
      <c r="L529" s="3"/>
      <c r="M529" s="3"/>
      <c r="N529" s="3"/>
      <c r="O529" s="3"/>
      <c r="P529" s="3"/>
      <c r="Q529" s="3"/>
      <c r="R529" s="111"/>
      <c r="S529" s="111"/>
      <c r="T529" s="111"/>
    </row>
    <row r="530" spans="3:20" s="4" customFormat="1" x14ac:dyDescent="0.25">
      <c r="C530" s="3"/>
      <c r="D530" s="3"/>
      <c r="E530" s="3"/>
      <c r="F530" s="3"/>
      <c r="G530" s="3"/>
      <c r="H530" s="3"/>
      <c r="I530" s="3"/>
      <c r="J530" s="3"/>
      <c r="K530" s="3"/>
      <c r="L530" s="3"/>
      <c r="M530" s="3"/>
      <c r="N530" s="3"/>
      <c r="O530" s="3"/>
      <c r="P530" s="3"/>
      <c r="Q530" s="3"/>
      <c r="R530" s="111"/>
      <c r="S530" s="111"/>
      <c r="T530" s="111"/>
    </row>
    <row r="531" spans="3:20" s="4" customFormat="1" x14ac:dyDescent="0.25">
      <c r="C531" s="3"/>
      <c r="D531" s="3"/>
      <c r="E531" s="3"/>
      <c r="F531" s="3"/>
      <c r="G531" s="3"/>
      <c r="H531" s="3"/>
      <c r="I531" s="3"/>
      <c r="J531" s="3"/>
      <c r="K531" s="3"/>
      <c r="L531" s="3"/>
      <c r="M531" s="3"/>
      <c r="N531" s="3"/>
      <c r="O531" s="3"/>
      <c r="P531" s="3"/>
      <c r="Q531" s="3"/>
      <c r="R531" s="111"/>
      <c r="S531" s="111"/>
      <c r="T531" s="111"/>
    </row>
    <row r="532" spans="3:20" s="4" customFormat="1" x14ac:dyDescent="0.25">
      <c r="C532" s="3"/>
      <c r="D532" s="3"/>
      <c r="E532" s="3"/>
      <c r="F532" s="3"/>
      <c r="G532" s="3"/>
      <c r="H532" s="3"/>
      <c r="I532" s="3"/>
      <c r="J532" s="3"/>
      <c r="K532" s="3"/>
      <c r="L532" s="3"/>
      <c r="M532" s="3"/>
      <c r="N532" s="3"/>
      <c r="O532" s="3"/>
      <c r="P532" s="3"/>
      <c r="Q532" s="3"/>
      <c r="R532" s="111"/>
      <c r="S532" s="111"/>
      <c r="T532" s="111"/>
    </row>
    <row r="533" spans="3:20" s="4" customFormat="1" x14ac:dyDescent="0.25">
      <c r="C533" s="3"/>
      <c r="D533" s="3"/>
      <c r="E533" s="3"/>
      <c r="F533" s="3"/>
      <c r="G533" s="3"/>
      <c r="H533" s="3"/>
      <c r="I533" s="3"/>
      <c r="J533" s="3"/>
      <c r="K533" s="3"/>
      <c r="L533" s="3"/>
      <c r="M533" s="3"/>
      <c r="N533" s="3"/>
      <c r="O533" s="3"/>
      <c r="P533" s="3"/>
      <c r="Q533" s="3"/>
      <c r="R533" s="111"/>
      <c r="S533" s="111"/>
      <c r="T533" s="111"/>
    </row>
    <row r="534" spans="3:20" s="4" customFormat="1" x14ac:dyDescent="0.25">
      <c r="C534" s="3"/>
      <c r="D534" s="3"/>
      <c r="E534" s="3"/>
      <c r="F534" s="3"/>
      <c r="G534" s="3"/>
      <c r="H534" s="3"/>
      <c r="I534" s="3"/>
      <c r="J534" s="3"/>
      <c r="K534" s="3"/>
      <c r="L534" s="3"/>
      <c r="M534" s="3"/>
      <c r="N534" s="3"/>
      <c r="O534" s="3"/>
      <c r="P534" s="3"/>
      <c r="Q534" s="3"/>
      <c r="R534" s="111"/>
      <c r="S534" s="111"/>
      <c r="T534" s="111"/>
    </row>
    <row r="535" spans="3:20" s="4" customFormat="1" x14ac:dyDescent="0.25">
      <c r="C535" s="3"/>
      <c r="D535" s="3"/>
      <c r="E535" s="3"/>
      <c r="F535" s="3"/>
      <c r="G535" s="3"/>
      <c r="H535" s="3"/>
      <c r="I535" s="3"/>
      <c r="J535" s="3"/>
      <c r="K535" s="3"/>
      <c r="L535" s="3"/>
      <c r="M535" s="3"/>
      <c r="N535" s="3"/>
      <c r="O535" s="3"/>
      <c r="P535" s="3"/>
      <c r="Q535" s="3"/>
      <c r="R535" s="111"/>
      <c r="S535" s="111"/>
      <c r="T535" s="111"/>
    </row>
    <row r="536" spans="3:20" s="4" customFormat="1" x14ac:dyDescent="0.25">
      <c r="C536" s="3"/>
      <c r="D536" s="3"/>
      <c r="E536" s="3"/>
      <c r="F536" s="3"/>
      <c r="G536" s="3"/>
      <c r="H536" s="3"/>
      <c r="I536" s="3"/>
      <c r="J536" s="3"/>
      <c r="K536" s="3"/>
      <c r="L536" s="3"/>
      <c r="M536" s="3"/>
      <c r="N536" s="3"/>
      <c r="O536" s="3"/>
      <c r="P536" s="3"/>
      <c r="Q536" s="3"/>
      <c r="R536" s="111"/>
      <c r="S536" s="111"/>
      <c r="T536" s="111"/>
    </row>
    <row r="537" spans="3:20" s="4" customFormat="1" x14ac:dyDescent="0.25">
      <c r="C537" s="3"/>
      <c r="D537" s="3"/>
      <c r="E537" s="3"/>
      <c r="F537" s="3"/>
      <c r="G537" s="3"/>
      <c r="H537" s="3"/>
      <c r="I537" s="3"/>
      <c r="J537" s="3"/>
      <c r="K537" s="3"/>
      <c r="L537" s="3"/>
      <c r="M537" s="3"/>
      <c r="N537" s="3"/>
      <c r="O537" s="3"/>
      <c r="P537" s="3"/>
      <c r="Q537" s="3"/>
      <c r="R537" s="111"/>
      <c r="S537" s="111"/>
      <c r="T537" s="111"/>
    </row>
    <row r="538" spans="3:20" s="4" customFormat="1" x14ac:dyDescent="0.25">
      <c r="C538" s="3"/>
      <c r="D538" s="3"/>
      <c r="E538" s="3"/>
      <c r="F538" s="3"/>
      <c r="G538" s="3"/>
      <c r="H538" s="3"/>
      <c r="I538" s="3"/>
      <c r="J538" s="3"/>
      <c r="K538" s="3"/>
      <c r="L538" s="3"/>
      <c r="M538" s="3"/>
      <c r="N538" s="3"/>
      <c r="O538" s="3"/>
      <c r="P538" s="3"/>
      <c r="Q538" s="3"/>
      <c r="R538" s="111"/>
      <c r="S538" s="111"/>
      <c r="T538" s="111"/>
    </row>
    <row r="539" spans="3:20" s="4" customFormat="1" x14ac:dyDescent="0.25">
      <c r="C539" s="3"/>
      <c r="D539" s="3"/>
      <c r="E539" s="3"/>
      <c r="F539" s="3"/>
      <c r="G539" s="3"/>
      <c r="H539" s="3"/>
      <c r="I539" s="3"/>
      <c r="J539" s="3"/>
      <c r="K539" s="3"/>
      <c r="L539" s="3"/>
      <c r="M539" s="3"/>
      <c r="N539" s="3"/>
      <c r="O539" s="3"/>
      <c r="P539" s="3"/>
      <c r="Q539" s="3"/>
      <c r="R539" s="111"/>
      <c r="S539" s="111"/>
      <c r="T539" s="111"/>
    </row>
    <row r="540" spans="3:20" s="4" customFormat="1" x14ac:dyDescent="0.25">
      <c r="C540" s="3"/>
      <c r="D540" s="3"/>
      <c r="E540" s="3"/>
      <c r="F540" s="3"/>
      <c r="G540" s="3"/>
      <c r="H540" s="3"/>
      <c r="I540" s="3"/>
      <c r="J540" s="3"/>
      <c r="K540" s="3"/>
      <c r="L540" s="3"/>
      <c r="M540" s="3"/>
      <c r="N540" s="3"/>
      <c r="O540" s="3"/>
      <c r="P540" s="3"/>
      <c r="Q540" s="3"/>
      <c r="R540" s="111"/>
      <c r="S540" s="111"/>
      <c r="T540" s="111"/>
    </row>
    <row r="541" spans="3:20" s="4" customFormat="1" x14ac:dyDescent="0.25">
      <c r="C541" s="3"/>
      <c r="D541" s="3"/>
      <c r="E541" s="3"/>
      <c r="F541" s="3"/>
      <c r="G541" s="3"/>
      <c r="H541" s="3"/>
      <c r="I541" s="3"/>
      <c r="J541" s="3"/>
      <c r="K541" s="3"/>
      <c r="L541" s="3"/>
      <c r="M541" s="3"/>
      <c r="N541" s="3"/>
      <c r="O541" s="3"/>
      <c r="P541" s="3"/>
      <c r="Q541" s="3"/>
      <c r="R541" s="111"/>
      <c r="S541" s="111"/>
      <c r="T541" s="111"/>
    </row>
    <row r="542" spans="3:20" s="4" customFormat="1" x14ac:dyDescent="0.25">
      <c r="C542" s="3"/>
      <c r="D542" s="3"/>
      <c r="E542" s="3"/>
      <c r="F542" s="3"/>
      <c r="G542" s="3"/>
      <c r="H542" s="3"/>
      <c r="I542" s="3"/>
      <c r="J542" s="3"/>
      <c r="K542" s="3"/>
      <c r="L542" s="3"/>
      <c r="M542" s="3"/>
      <c r="N542" s="3"/>
      <c r="O542" s="3"/>
      <c r="P542" s="3"/>
      <c r="Q542" s="3"/>
      <c r="R542" s="111"/>
      <c r="S542" s="111"/>
      <c r="T542" s="111"/>
    </row>
    <row r="543" spans="3:20" s="4" customFormat="1" x14ac:dyDescent="0.25">
      <c r="C543" s="3"/>
      <c r="D543" s="3"/>
      <c r="E543" s="3"/>
      <c r="F543" s="3"/>
      <c r="G543" s="3"/>
      <c r="H543" s="3"/>
      <c r="I543" s="3"/>
      <c r="J543" s="3"/>
      <c r="K543" s="3"/>
      <c r="L543" s="3"/>
      <c r="M543" s="3"/>
      <c r="N543" s="3"/>
      <c r="O543" s="3"/>
      <c r="P543" s="3"/>
      <c r="Q543" s="3"/>
      <c r="R543" s="111"/>
      <c r="S543" s="111"/>
      <c r="T543" s="111"/>
    </row>
    <row r="544" spans="3:20" s="4" customFormat="1" x14ac:dyDescent="0.25">
      <c r="C544" s="3"/>
      <c r="D544" s="3"/>
      <c r="E544" s="3"/>
      <c r="F544" s="3"/>
      <c r="G544" s="3"/>
      <c r="H544" s="3"/>
      <c r="I544" s="3"/>
      <c r="J544" s="3"/>
      <c r="K544" s="3"/>
      <c r="L544" s="3"/>
      <c r="M544" s="3"/>
      <c r="N544" s="3"/>
      <c r="O544" s="3"/>
      <c r="P544" s="3"/>
      <c r="Q544" s="3"/>
      <c r="R544" s="111"/>
      <c r="S544" s="111"/>
      <c r="T544" s="111"/>
    </row>
    <row r="545" spans="3:20" s="4" customFormat="1" x14ac:dyDescent="0.25">
      <c r="C545" s="3"/>
      <c r="D545" s="3"/>
      <c r="E545" s="3"/>
      <c r="F545" s="3"/>
      <c r="G545" s="3"/>
      <c r="H545" s="3"/>
      <c r="I545" s="3"/>
      <c r="J545" s="3"/>
      <c r="K545" s="3"/>
      <c r="L545" s="3"/>
      <c r="M545" s="3"/>
      <c r="N545" s="3"/>
      <c r="O545" s="3"/>
      <c r="P545" s="3"/>
      <c r="Q545" s="3"/>
      <c r="R545" s="111"/>
      <c r="S545" s="111"/>
      <c r="T545" s="111"/>
    </row>
    <row r="546" spans="3:20" s="4" customFormat="1" x14ac:dyDescent="0.25">
      <c r="C546" s="3"/>
      <c r="D546" s="3"/>
      <c r="E546" s="3"/>
      <c r="F546" s="3"/>
      <c r="G546" s="3"/>
      <c r="H546" s="3"/>
      <c r="I546" s="3"/>
      <c r="J546" s="3"/>
      <c r="K546" s="3"/>
      <c r="L546" s="3"/>
      <c r="M546" s="3"/>
      <c r="N546" s="3"/>
      <c r="O546" s="3"/>
      <c r="P546" s="3"/>
      <c r="Q546" s="3"/>
      <c r="R546" s="111"/>
      <c r="S546" s="111"/>
      <c r="T546" s="111"/>
    </row>
    <row r="547" spans="3:20" s="4" customFormat="1" x14ac:dyDescent="0.25">
      <c r="C547" s="3"/>
      <c r="D547" s="3"/>
      <c r="E547" s="3"/>
      <c r="F547" s="3"/>
      <c r="G547" s="3"/>
      <c r="H547" s="3"/>
      <c r="I547" s="3"/>
      <c r="J547" s="3"/>
      <c r="K547" s="3"/>
      <c r="L547" s="3"/>
      <c r="M547" s="3"/>
      <c r="N547" s="3"/>
      <c r="O547" s="3"/>
      <c r="P547" s="3"/>
      <c r="Q547" s="3"/>
      <c r="R547" s="111"/>
      <c r="S547" s="111"/>
      <c r="T547" s="111"/>
    </row>
    <row r="548" spans="3:20" s="4" customFormat="1" x14ac:dyDescent="0.25">
      <c r="C548" s="3"/>
      <c r="D548" s="3"/>
      <c r="E548" s="3"/>
      <c r="F548" s="3"/>
      <c r="G548" s="3"/>
      <c r="H548" s="3"/>
      <c r="I548" s="3"/>
      <c r="J548" s="3"/>
      <c r="K548" s="3"/>
      <c r="L548" s="3"/>
      <c r="M548" s="3"/>
      <c r="N548" s="3"/>
      <c r="O548" s="3"/>
      <c r="P548" s="3"/>
      <c r="Q548" s="3"/>
      <c r="R548" s="111"/>
      <c r="S548" s="111"/>
      <c r="T548" s="111"/>
    </row>
    <row r="549" spans="3:20" s="4" customFormat="1" x14ac:dyDescent="0.25">
      <c r="C549" s="3"/>
      <c r="D549" s="3"/>
      <c r="E549" s="3"/>
      <c r="F549" s="3"/>
      <c r="G549" s="3"/>
      <c r="H549" s="3"/>
      <c r="I549" s="3"/>
      <c r="J549" s="3"/>
      <c r="K549" s="3"/>
      <c r="L549" s="3"/>
      <c r="M549" s="3"/>
      <c r="N549" s="3"/>
      <c r="O549" s="3"/>
      <c r="P549" s="3"/>
      <c r="Q549" s="3"/>
      <c r="R549" s="111"/>
      <c r="S549" s="111"/>
      <c r="T549" s="111"/>
    </row>
    <row r="550" spans="3:20" s="4" customFormat="1" x14ac:dyDescent="0.25">
      <c r="C550" s="3"/>
      <c r="D550" s="3"/>
      <c r="E550" s="3"/>
      <c r="F550" s="3"/>
      <c r="G550" s="3"/>
      <c r="H550" s="3"/>
      <c r="I550" s="3"/>
      <c r="J550" s="3"/>
      <c r="K550" s="3"/>
      <c r="L550" s="3"/>
      <c r="M550" s="3"/>
      <c r="N550" s="3"/>
      <c r="O550" s="3"/>
      <c r="P550" s="3"/>
      <c r="Q550" s="3"/>
      <c r="R550" s="111"/>
      <c r="S550" s="111"/>
      <c r="T550" s="111"/>
    </row>
    <row r="551" spans="3:20" s="4" customFormat="1" x14ac:dyDescent="0.25">
      <c r="C551" s="3"/>
      <c r="D551" s="3"/>
      <c r="E551" s="3"/>
      <c r="F551" s="3"/>
      <c r="G551" s="3"/>
      <c r="H551" s="3"/>
      <c r="I551" s="3"/>
      <c r="J551" s="3"/>
      <c r="K551" s="3"/>
      <c r="L551" s="3"/>
      <c r="M551" s="3"/>
      <c r="N551" s="3"/>
      <c r="O551" s="3"/>
      <c r="P551" s="3"/>
      <c r="Q551" s="3"/>
      <c r="R551" s="111"/>
      <c r="S551" s="111"/>
      <c r="T551" s="111"/>
    </row>
    <row r="552" spans="3:20" s="4" customFormat="1" x14ac:dyDescent="0.25">
      <c r="C552" s="3"/>
      <c r="D552" s="3"/>
      <c r="E552" s="3"/>
      <c r="F552" s="3"/>
      <c r="G552" s="3"/>
      <c r="H552" s="3"/>
      <c r="I552" s="3"/>
      <c r="J552" s="3"/>
      <c r="K552" s="3"/>
      <c r="L552" s="3"/>
      <c r="M552" s="3"/>
      <c r="N552" s="3"/>
      <c r="O552" s="3"/>
      <c r="P552" s="3"/>
      <c r="Q552" s="3"/>
      <c r="R552" s="111"/>
      <c r="S552" s="111"/>
      <c r="T552" s="111"/>
    </row>
    <row r="553" spans="3:20" s="4" customFormat="1" x14ac:dyDescent="0.25">
      <c r="C553" s="3"/>
      <c r="D553" s="3"/>
      <c r="E553" s="3"/>
      <c r="F553" s="3"/>
      <c r="G553" s="3"/>
      <c r="H553" s="3"/>
      <c r="I553" s="3"/>
      <c r="J553" s="3"/>
      <c r="K553" s="3"/>
      <c r="L553" s="3"/>
      <c r="M553" s="3"/>
      <c r="N553" s="3"/>
      <c r="O553" s="3"/>
      <c r="P553" s="3"/>
      <c r="Q553" s="3"/>
      <c r="R553" s="111"/>
      <c r="S553" s="111"/>
      <c r="T553" s="111"/>
    </row>
    <row r="554" spans="3:20" s="4" customFormat="1" x14ac:dyDescent="0.25">
      <c r="C554" s="3"/>
      <c r="D554" s="3"/>
      <c r="E554" s="3"/>
      <c r="F554" s="3"/>
      <c r="G554" s="3"/>
      <c r="H554" s="3"/>
      <c r="I554" s="3"/>
      <c r="J554" s="3"/>
      <c r="K554" s="3"/>
      <c r="L554" s="3"/>
      <c r="M554" s="3"/>
      <c r="N554" s="3"/>
      <c r="O554" s="3"/>
      <c r="P554" s="3"/>
      <c r="Q554" s="3"/>
      <c r="R554" s="111"/>
      <c r="S554" s="111"/>
      <c r="T554" s="111"/>
    </row>
    <row r="555" spans="3:20" s="4" customFormat="1" x14ac:dyDescent="0.25">
      <c r="C555" s="3"/>
      <c r="D555" s="3"/>
      <c r="E555" s="3"/>
      <c r="F555" s="3"/>
      <c r="G555" s="3"/>
      <c r="H555" s="3"/>
      <c r="I555" s="3"/>
      <c r="J555" s="3"/>
      <c r="K555" s="3"/>
      <c r="L555" s="3"/>
      <c r="M555" s="3"/>
      <c r="N555" s="3"/>
      <c r="O555" s="3"/>
      <c r="P555" s="3"/>
      <c r="Q555" s="3"/>
      <c r="R555" s="111"/>
      <c r="S555" s="111"/>
      <c r="T555" s="111"/>
    </row>
    <row r="556" spans="3:20" s="4" customFormat="1" x14ac:dyDescent="0.25">
      <c r="C556" s="3"/>
      <c r="D556" s="3"/>
      <c r="E556" s="3"/>
      <c r="F556" s="3"/>
      <c r="G556" s="3"/>
      <c r="H556" s="3"/>
      <c r="I556" s="3"/>
      <c r="J556" s="3"/>
      <c r="K556" s="3"/>
      <c r="L556" s="3"/>
      <c r="M556" s="3"/>
      <c r="N556" s="3"/>
      <c r="O556" s="3"/>
      <c r="P556" s="3"/>
      <c r="Q556" s="3"/>
      <c r="R556" s="111"/>
      <c r="S556" s="111"/>
      <c r="T556" s="111"/>
    </row>
    <row r="557" spans="3:20" s="4" customFormat="1" x14ac:dyDescent="0.25">
      <c r="C557" s="3"/>
      <c r="D557" s="3"/>
      <c r="E557" s="3"/>
      <c r="F557" s="3"/>
      <c r="G557" s="3"/>
      <c r="H557" s="3"/>
      <c r="I557" s="3"/>
      <c r="J557" s="3"/>
      <c r="K557" s="3"/>
      <c r="L557" s="3"/>
      <c r="M557" s="3"/>
      <c r="N557" s="3"/>
      <c r="O557" s="3"/>
      <c r="P557" s="3"/>
      <c r="Q557" s="3"/>
      <c r="R557" s="111"/>
      <c r="S557" s="111"/>
      <c r="T557" s="111"/>
    </row>
    <row r="558" spans="3:20" s="4" customFormat="1" x14ac:dyDescent="0.25">
      <c r="C558" s="3"/>
      <c r="D558" s="3"/>
      <c r="E558" s="3"/>
      <c r="F558" s="3"/>
      <c r="G558" s="3"/>
      <c r="H558" s="3"/>
      <c r="I558" s="3"/>
      <c r="J558" s="3"/>
      <c r="K558" s="3"/>
      <c r="L558" s="3"/>
      <c r="M558" s="3"/>
      <c r="N558" s="3"/>
      <c r="O558" s="3"/>
      <c r="P558" s="3"/>
      <c r="Q558" s="3"/>
      <c r="R558" s="111"/>
      <c r="S558" s="111"/>
      <c r="T558" s="111"/>
    </row>
    <row r="559" spans="3:20" s="4" customFormat="1" x14ac:dyDescent="0.25">
      <c r="C559" s="3"/>
      <c r="D559" s="3"/>
      <c r="E559" s="3"/>
      <c r="F559" s="3"/>
      <c r="G559" s="3"/>
      <c r="H559" s="3"/>
      <c r="I559" s="3"/>
      <c r="J559" s="3"/>
      <c r="K559" s="3"/>
      <c r="L559" s="3"/>
      <c r="M559" s="3"/>
      <c r="N559" s="3"/>
      <c r="O559" s="3"/>
      <c r="P559" s="3"/>
      <c r="Q559" s="3"/>
      <c r="R559" s="111"/>
      <c r="S559" s="111"/>
      <c r="T559" s="111"/>
    </row>
    <row r="560" spans="3:20" s="4" customFormat="1" x14ac:dyDescent="0.25">
      <c r="C560" s="3"/>
      <c r="D560" s="3"/>
      <c r="E560" s="3"/>
      <c r="F560" s="3"/>
      <c r="G560" s="3"/>
      <c r="H560" s="3"/>
      <c r="I560" s="3"/>
      <c r="J560" s="3"/>
      <c r="K560" s="3"/>
      <c r="L560" s="3"/>
      <c r="M560" s="3"/>
      <c r="N560" s="3"/>
      <c r="O560" s="3"/>
      <c r="P560" s="3"/>
      <c r="Q560" s="3"/>
      <c r="R560" s="111"/>
      <c r="S560" s="111"/>
      <c r="T560" s="111"/>
    </row>
    <row r="561" spans="3:20" s="4" customFormat="1" x14ac:dyDescent="0.25">
      <c r="C561" s="3"/>
      <c r="D561" s="3"/>
      <c r="E561" s="3"/>
      <c r="F561" s="3"/>
      <c r="G561" s="3"/>
      <c r="H561" s="3"/>
      <c r="I561" s="3"/>
      <c r="J561" s="3"/>
      <c r="K561" s="3"/>
      <c r="L561" s="3"/>
      <c r="M561" s="3"/>
      <c r="N561" s="3"/>
      <c r="O561" s="3"/>
      <c r="P561" s="3"/>
      <c r="Q561" s="3"/>
      <c r="R561" s="111"/>
      <c r="S561" s="111"/>
      <c r="T561" s="111"/>
    </row>
    <row r="562" spans="3:20" s="4" customFormat="1" x14ac:dyDescent="0.25">
      <c r="C562" s="3"/>
      <c r="D562" s="3"/>
      <c r="E562" s="3"/>
      <c r="F562" s="3"/>
      <c r="G562" s="3"/>
      <c r="H562" s="3"/>
      <c r="I562" s="3"/>
      <c r="J562" s="3"/>
      <c r="K562" s="3"/>
      <c r="L562" s="3"/>
      <c r="M562" s="3"/>
      <c r="N562" s="3"/>
      <c r="O562" s="3"/>
      <c r="P562" s="3"/>
      <c r="Q562" s="3"/>
      <c r="R562" s="111"/>
      <c r="S562" s="111"/>
      <c r="T562" s="111"/>
    </row>
    <row r="563" spans="3:20" s="4" customFormat="1" x14ac:dyDescent="0.25">
      <c r="C563" s="3"/>
      <c r="D563" s="3"/>
      <c r="E563" s="3"/>
      <c r="F563" s="3"/>
      <c r="G563" s="3"/>
      <c r="H563" s="3"/>
      <c r="I563" s="3"/>
      <c r="J563" s="3"/>
      <c r="K563" s="3"/>
      <c r="L563" s="3"/>
      <c r="M563" s="3"/>
      <c r="N563" s="3"/>
      <c r="O563" s="3"/>
      <c r="P563" s="3"/>
      <c r="Q563" s="3"/>
      <c r="R563" s="111"/>
      <c r="S563" s="111"/>
      <c r="T563" s="111"/>
    </row>
    <row r="564" spans="3:20" s="4" customFormat="1" x14ac:dyDescent="0.25">
      <c r="C564" s="3"/>
      <c r="D564" s="3"/>
      <c r="E564" s="3"/>
      <c r="F564" s="3"/>
      <c r="G564" s="3"/>
      <c r="H564" s="3"/>
      <c r="I564" s="3"/>
      <c r="J564" s="3"/>
      <c r="K564" s="3"/>
      <c r="L564" s="3"/>
      <c r="M564" s="3"/>
      <c r="N564" s="3"/>
      <c r="O564" s="3"/>
      <c r="P564" s="3"/>
      <c r="Q564" s="3"/>
      <c r="R564" s="111"/>
      <c r="S564" s="111"/>
      <c r="T564" s="111"/>
    </row>
    <row r="565" spans="3:20" s="4" customFormat="1" x14ac:dyDescent="0.25">
      <c r="C565" s="3"/>
      <c r="D565" s="3"/>
      <c r="E565" s="3"/>
      <c r="F565" s="3"/>
      <c r="G565" s="3"/>
      <c r="H565" s="3"/>
      <c r="I565" s="3"/>
      <c r="J565" s="3"/>
      <c r="K565" s="3"/>
      <c r="L565" s="3"/>
      <c r="M565" s="3"/>
      <c r="N565" s="3"/>
      <c r="O565" s="3"/>
      <c r="P565" s="3"/>
      <c r="Q565" s="3"/>
      <c r="R565" s="111"/>
      <c r="S565" s="111"/>
      <c r="T565" s="111"/>
    </row>
    <row r="566" spans="3:20" s="4" customFormat="1" x14ac:dyDescent="0.25">
      <c r="C566" s="3"/>
      <c r="D566" s="3"/>
      <c r="E566" s="3"/>
      <c r="F566" s="3"/>
      <c r="G566" s="3"/>
      <c r="H566" s="3"/>
      <c r="I566" s="3"/>
      <c r="J566" s="3"/>
      <c r="K566" s="3"/>
      <c r="L566" s="3"/>
      <c r="M566" s="3"/>
      <c r="N566" s="3"/>
      <c r="O566" s="3"/>
      <c r="P566" s="3"/>
      <c r="Q566" s="3"/>
      <c r="R566" s="111"/>
      <c r="S566" s="111"/>
      <c r="T566" s="111"/>
    </row>
    <row r="567" spans="3:20" s="4" customFormat="1" x14ac:dyDescent="0.25">
      <c r="C567" s="3"/>
      <c r="D567" s="3"/>
      <c r="E567" s="3"/>
      <c r="F567" s="3"/>
      <c r="G567" s="3"/>
      <c r="H567" s="3"/>
      <c r="I567" s="3"/>
      <c r="J567" s="3"/>
      <c r="K567" s="3"/>
      <c r="L567" s="3"/>
      <c r="M567" s="3"/>
      <c r="N567" s="3"/>
      <c r="O567" s="3"/>
      <c r="P567" s="3"/>
      <c r="Q567" s="3"/>
      <c r="R567" s="111"/>
      <c r="S567" s="111"/>
      <c r="T567" s="111"/>
    </row>
    <row r="568" spans="3:20" s="4" customFormat="1" x14ac:dyDescent="0.25">
      <c r="C568" s="3"/>
      <c r="D568" s="3"/>
      <c r="E568" s="3"/>
      <c r="F568" s="3"/>
      <c r="G568" s="3"/>
      <c r="H568" s="3"/>
      <c r="I568" s="3"/>
      <c r="J568" s="3"/>
      <c r="K568" s="3"/>
      <c r="L568" s="3"/>
      <c r="M568" s="3"/>
      <c r="N568" s="3"/>
      <c r="O568" s="3"/>
      <c r="P568" s="3"/>
      <c r="Q568" s="3"/>
      <c r="R568" s="111"/>
      <c r="S568" s="111"/>
      <c r="T568" s="111"/>
    </row>
    <row r="569" spans="3:20" s="4" customFormat="1" x14ac:dyDescent="0.25">
      <c r="C569" s="3"/>
      <c r="D569" s="3"/>
      <c r="E569" s="3"/>
      <c r="F569" s="3"/>
      <c r="G569" s="3"/>
      <c r="H569" s="3"/>
      <c r="I569" s="3"/>
      <c r="J569" s="3"/>
      <c r="K569" s="3"/>
      <c r="L569" s="3"/>
      <c r="M569" s="3"/>
      <c r="N569" s="3"/>
      <c r="O569" s="3"/>
      <c r="P569" s="3"/>
      <c r="Q569" s="3"/>
      <c r="R569" s="111"/>
      <c r="S569" s="111"/>
      <c r="T569" s="111"/>
    </row>
    <row r="570" spans="3:20" s="4" customFormat="1" x14ac:dyDescent="0.25">
      <c r="C570" s="3"/>
      <c r="D570" s="3"/>
      <c r="E570" s="3"/>
      <c r="F570" s="3"/>
      <c r="G570" s="3"/>
      <c r="H570" s="3"/>
      <c r="I570" s="3"/>
      <c r="J570" s="3"/>
      <c r="K570" s="3"/>
      <c r="L570" s="3"/>
      <c r="M570" s="3"/>
      <c r="N570" s="3"/>
      <c r="O570" s="3"/>
      <c r="P570" s="3"/>
      <c r="Q570" s="3"/>
      <c r="R570" s="111"/>
      <c r="S570" s="111"/>
      <c r="T570" s="111"/>
    </row>
    <row r="571" spans="3:20" s="4" customFormat="1" x14ac:dyDescent="0.25">
      <c r="C571" s="3"/>
      <c r="D571" s="3"/>
      <c r="E571" s="3"/>
      <c r="F571" s="3"/>
      <c r="G571" s="3"/>
      <c r="H571" s="3"/>
      <c r="I571" s="3"/>
      <c r="J571" s="3"/>
      <c r="K571" s="3"/>
      <c r="L571" s="3"/>
      <c r="M571" s="3"/>
      <c r="N571" s="3"/>
      <c r="O571" s="3"/>
      <c r="P571" s="3"/>
      <c r="Q571" s="3"/>
      <c r="R571" s="111"/>
      <c r="S571" s="111"/>
      <c r="T571" s="111"/>
    </row>
    <row r="572" spans="3:20" s="4" customFormat="1" x14ac:dyDescent="0.25">
      <c r="C572" s="3"/>
      <c r="D572" s="3"/>
      <c r="E572" s="3"/>
      <c r="F572" s="3"/>
      <c r="G572" s="3"/>
      <c r="H572" s="3"/>
      <c r="I572" s="3"/>
      <c r="J572" s="3"/>
      <c r="K572" s="3"/>
      <c r="L572" s="3"/>
      <c r="M572" s="3"/>
      <c r="N572" s="3"/>
      <c r="O572" s="3"/>
      <c r="P572" s="3"/>
      <c r="Q572" s="3"/>
      <c r="R572" s="111"/>
      <c r="S572" s="111"/>
      <c r="T572" s="111"/>
    </row>
    <row r="573" spans="3:20" s="4" customFormat="1" x14ac:dyDescent="0.25">
      <c r="C573" s="3"/>
      <c r="D573" s="3"/>
      <c r="E573" s="3"/>
      <c r="F573" s="3"/>
      <c r="G573" s="3"/>
      <c r="H573" s="3"/>
      <c r="I573" s="3"/>
      <c r="J573" s="3"/>
      <c r="K573" s="3"/>
      <c r="L573" s="3"/>
      <c r="M573" s="3"/>
      <c r="N573" s="3"/>
      <c r="O573" s="3"/>
      <c r="P573" s="3"/>
      <c r="Q573" s="3"/>
      <c r="R573" s="111"/>
      <c r="S573" s="111"/>
      <c r="T573" s="111"/>
    </row>
    <row r="574" spans="3:20" s="4" customFormat="1" x14ac:dyDescent="0.25">
      <c r="C574" s="3"/>
      <c r="D574" s="3"/>
      <c r="E574" s="3"/>
      <c r="F574" s="3"/>
      <c r="G574" s="3"/>
      <c r="H574" s="3"/>
      <c r="I574" s="3"/>
      <c r="J574" s="3"/>
      <c r="K574" s="3"/>
      <c r="L574" s="3"/>
      <c r="M574" s="3"/>
      <c r="N574" s="3"/>
      <c r="O574" s="3"/>
      <c r="P574" s="3"/>
      <c r="Q574" s="3"/>
      <c r="R574" s="111"/>
      <c r="S574" s="111"/>
      <c r="T574" s="111"/>
    </row>
    <row r="575" spans="3:20" s="4" customFormat="1" x14ac:dyDescent="0.25">
      <c r="C575" s="3"/>
      <c r="D575" s="3"/>
      <c r="E575" s="3"/>
      <c r="F575" s="3"/>
      <c r="G575" s="3"/>
      <c r="H575" s="3"/>
      <c r="I575" s="3"/>
      <c r="J575" s="3"/>
      <c r="K575" s="3"/>
      <c r="L575" s="3"/>
      <c r="M575" s="3"/>
      <c r="N575" s="3"/>
      <c r="O575" s="3"/>
      <c r="P575" s="3"/>
      <c r="Q575" s="3"/>
      <c r="R575" s="111"/>
      <c r="S575" s="111"/>
      <c r="T575" s="111"/>
    </row>
    <row r="576" spans="3:20" s="4" customFormat="1" x14ac:dyDescent="0.25">
      <c r="C576" s="3"/>
      <c r="D576" s="3"/>
      <c r="E576" s="3"/>
      <c r="F576" s="3"/>
      <c r="G576" s="3"/>
      <c r="H576" s="3"/>
      <c r="I576" s="3"/>
      <c r="J576" s="3"/>
      <c r="K576" s="3"/>
      <c r="L576" s="3"/>
      <c r="M576" s="3"/>
      <c r="N576" s="3"/>
      <c r="O576" s="3"/>
      <c r="P576" s="3"/>
      <c r="Q576" s="3"/>
      <c r="R576" s="111"/>
      <c r="S576" s="111"/>
      <c r="T576" s="111"/>
    </row>
    <row r="577" spans="3:20" s="4" customFormat="1" x14ac:dyDescent="0.25">
      <c r="C577" s="3"/>
      <c r="D577" s="3"/>
      <c r="E577" s="3"/>
      <c r="F577" s="3"/>
      <c r="G577" s="3"/>
      <c r="H577" s="3"/>
      <c r="I577" s="3"/>
      <c r="J577" s="3"/>
      <c r="K577" s="3"/>
      <c r="L577" s="3"/>
      <c r="M577" s="3"/>
      <c r="N577" s="3"/>
      <c r="O577" s="3"/>
      <c r="P577" s="3"/>
      <c r="Q577" s="3"/>
      <c r="R577" s="111"/>
      <c r="S577" s="111"/>
      <c r="T577" s="111"/>
    </row>
    <row r="578" spans="3:20" s="4" customFormat="1" x14ac:dyDescent="0.25">
      <c r="C578" s="3"/>
      <c r="D578" s="3"/>
      <c r="E578" s="3"/>
      <c r="F578" s="3"/>
      <c r="G578" s="3"/>
      <c r="H578" s="3"/>
      <c r="I578" s="3"/>
      <c r="J578" s="3"/>
      <c r="K578" s="3"/>
      <c r="L578" s="3"/>
      <c r="M578" s="3"/>
      <c r="N578" s="3"/>
      <c r="O578" s="3"/>
      <c r="P578" s="3"/>
      <c r="Q578" s="3"/>
      <c r="R578" s="111"/>
      <c r="S578" s="111"/>
      <c r="T578" s="111"/>
    </row>
    <row r="579" spans="3:20" s="4" customFormat="1" x14ac:dyDescent="0.25">
      <c r="C579" s="3"/>
      <c r="D579" s="3"/>
      <c r="E579" s="3"/>
      <c r="F579" s="3"/>
      <c r="G579" s="3"/>
      <c r="H579" s="3"/>
      <c r="I579" s="3"/>
      <c r="J579" s="3"/>
      <c r="K579" s="3"/>
      <c r="L579" s="3"/>
      <c r="M579" s="3"/>
      <c r="N579" s="3"/>
      <c r="O579" s="3"/>
      <c r="P579" s="3"/>
      <c r="Q579" s="3"/>
      <c r="R579" s="111"/>
      <c r="S579" s="111"/>
      <c r="T579" s="111"/>
    </row>
    <row r="580" spans="3:20" s="4" customFormat="1" x14ac:dyDescent="0.25">
      <c r="C580" s="3"/>
      <c r="D580" s="3"/>
      <c r="E580" s="3"/>
      <c r="F580" s="3"/>
      <c r="G580" s="3"/>
      <c r="H580" s="3"/>
      <c r="I580" s="3"/>
      <c r="J580" s="3"/>
      <c r="K580" s="3"/>
      <c r="L580" s="3"/>
      <c r="M580" s="3"/>
      <c r="N580" s="3"/>
      <c r="O580" s="3"/>
      <c r="P580" s="3"/>
      <c r="Q580" s="3"/>
      <c r="R580" s="111"/>
      <c r="S580" s="111"/>
      <c r="T580" s="111"/>
    </row>
    <row r="581" spans="3:20" s="4" customFormat="1" x14ac:dyDescent="0.25">
      <c r="C581" s="3"/>
      <c r="D581" s="3"/>
      <c r="E581" s="3"/>
      <c r="F581" s="3"/>
      <c r="G581" s="3"/>
      <c r="H581" s="3"/>
      <c r="I581" s="3"/>
      <c r="J581" s="3"/>
      <c r="K581" s="3"/>
      <c r="L581" s="3"/>
      <c r="M581" s="3"/>
      <c r="N581" s="3"/>
      <c r="O581" s="3"/>
      <c r="P581" s="3"/>
      <c r="Q581" s="3"/>
      <c r="R581" s="111"/>
      <c r="S581" s="111"/>
      <c r="T581" s="111"/>
    </row>
    <row r="582" spans="3:20" s="4" customFormat="1" x14ac:dyDescent="0.25">
      <c r="C582" s="3"/>
      <c r="D582" s="3"/>
      <c r="E582" s="3"/>
      <c r="F582" s="3"/>
      <c r="G582" s="3"/>
      <c r="H582" s="3"/>
      <c r="I582" s="3"/>
      <c r="J582" s="3"/>
      <c r="K582" s="3"/>
      <c r="L582" s="3"/>
      <c r="M582" s="3"/>
      <c r="N582" s="3"/>
      <c r="O582" s="3"/>
      <c r="P582" s="3"/>
      <c r="Q582" s="3"/>
      <c r="R582" s="111"/>
      <c r="S582" s="111"/>
      <c r="T582" s="111"/>
    </row>
    <row r="583" spans="3:20" s="4" customFormat="1" x14ac:dyDescent="0.25">
      <c r="C583" s="3"/>
      <c r="D583" s="3"/>
      <c r="E583" s="3"/>
      <c r="F583" s="3"/>
      <c r="G583" s="3"/>
      <c r="H583" s="3"/>
      <c r="I583" s="3"/>
      <c r="J583" s="3"/>
      <c r="K583" s="3"/>
      <c r="L583" s="3"/>
      <c r="M583" s="3"/>
      <c r="N583" s="3"/>
      <c r="O583" s="3"/>
      <c r="P583" s="3"/>
      <c r="Q583" s="3"/>
      <c r="R583" s="111"/>
      <c r="S583" s="111"/>
      <c r="T583" s="111"/>
    </row>
    <row r="584" spans="3:20" s="4" customFormat="1" x14ac:dyDescent="0.25">
      <c r="C584" s="3"/>
      <c r="D584" s="3"/>
      <c r="E584" s="3"/>
      <c r="F584" s="3"/>
      <c r="G584" s="3"/>
      <c r="H584" s="3"/>
      <c r="I584" s="3"/>
      <c r="J584" s="3"/>
      <c r="K584" s="3"/>
      <c r="L584" s="3"/>
      <c r="M584" s="3"/>
      <c r="N584" s="3"/>
      <c r="O584" s="3"/>
      <c r="P584" s="3"/>
      <c r="Q584" s="3"/>
      <c r="R584" s="111"/>
      <c r="S584" s="111"/>
      <c r="T584" s="111"/>
    </row>
    <row r="585" spans="3:20" s="4" customFormat="1" x14ac:dyDescent="0.25">
      <c r="C585" s="3"/>
      <c r="D585" s="3"/>
      <c r="E585" s="3"/>
      <c r="F585" s="3"/>
      <c r="G585" s="3"/>
      <c r="H585" s="3"/>
      <c r="I585" s="3"/>
      <c r="J585" s="3"/>
      <c r="K585" s="3"/>
      <c r="L585" s="3"/>
      <c r="M585" s="3"/>
      <c r="N585" s="3"/>
      <c r="O585" s="3"/>
      <c r="P585" s="3"/>
      <c r="Q585" s="3"/>
      <c r="R585" s="111"/>
      <c r="S585" s="111"/>
      <c r="T585" s="111"/>
    </row>
    <row r="586" spans="3:20" s="4" customFormat="1" x14ac:dyDescent="0.25">
      <c r="C586" s="3"/>
      <c r="D586" s="3"/>
      <c r="E586" s="3"/>
      <c r="F586" s="3"/>
      <c r="G586" s="3"/>
      <c r="H586" s="3"/>
      <c r="I586" s="3"/>
      <c r="J586" s="3"/>
      <c r="K586" s="3"/>
      <c r="L586" s="3"/>
      <c r="M586" s="3"/>
      <c r="N586" s="3"/>
      <c r="O586" s="3"/>
      <c r="P586" s="3"/>
      <c r="Q586" s="3"/>
      <c r="R586" s="111"/>
      <c r="S586" s="111"/>
      <c r="T586" s="111"/>
    </row>
    <row r="587" spans="3:20" s="4" customFormat="1" x14ac:dyDescent="0.25">
      <c r="C587" s="3"/>
      <c r="D587" s="3"/>
      <c r="E587" s="3"/>
      <c r="F587" s="3"/>
      <c r="G587" s="3"/>
      <c r="H587" s="3"/>
      <c r="I587" s="3"/>
      <c r="J587" s="3"/>
      <c r="K587" s="3"/>
      <c r="L587" s="3"/>
      <c r="M587" s="3"/>
      <c r="N587" s="3"/>
      <c r="O587" s="3"/>
      <c r="P587" s="3"/>
      <c r="Q587" s="3"/>
      <c r="R587" s="111"/>
      <c r="S587" s="111"/>
      <c r="T587" s="111"/>
    </row>
    <row r="588" spans="3:20" s="4" customFormat="1" x14ac:dyDescent="0.25">
      <c r="C588" s="3"/>
      <c r="D588" s="3"/>
      <c r="E588" s="3"/>
      <c r="F588" s="3"/>
      <c r="G588" s="3"/>
      <c r="H588" s="3"/>
      <c r="I588" s="3"/>
      <c r="J588" s="3"/>
      <c r="K588" s="3"/>
      <c r="L588" s="3"/>
      <c r="M588" s="3"/>
      <c r="N588" s="3"/>
      <c r="O588" s="3"/>
      <c r="P588" s="3"/>
      <c r="Q588" s="3"/>
      <c r="R588" s="111"/>
      <c r="S588" s="111"/>
      <c r="T588" s="111"/>
    </row>
    <row r="589" spans="3:20" s="4" customFormat="1" x14ac:dyDescent="0.25">
      <c r="C589" s="3"/>
      <c r="D589" s="3"/>
      <c r="E589" s="3"/>
      <c r="F589" s="3"/>
      <c r="G589" s="3"/>
      <c r="H589" s="3"/>
      <c r="I589" s="3"/>
      <c r="J589" s="3"/>
      <c r="K589" s="3"/>
      <c r="L589" s="3"/>
      <c r="M589" s="3"/>
      <c r="N589" s="3"/>
      <c r="O589" s="3"/>
      <c r="P589" s="3"/>
      <c r="Q589" s="3"/>
      <c r="R589" s="111"/>
      <c r="S589" s="111"/>
      <c r="T589" s="111"/>
    </row>
    <row r="590" spans="3:20" s="4" customFormat="1" x14ac:dyDescent="0.25">
      <c r="C590" s="3"/>
      <c r="D590" s="3"/>
      <c r="E590" s="3"/>
      <c r="F590" s="3"/>
      <c r="G590" s="3"/>
      <c r="H590" s="3"/>
      <c r="I590" s="3"/>
      <c r="J590" s="3"/>
      <c r="K590" s="3"/>
      <c r="L590" s="3"/>
      <c r="M590" s="3"/>
      <c r="N590" s="3"/>
      <c r="O590" s="3"/>
      <c r="P590" s="3"/>
      <c r="Q590" s="3"/>
      <c r="R590" s="111"/>
      <c r="S590" s="111"/>
      <c r="T590" s="111"/>
    </row>
    <row r="591" spans="3:20" s="4" customFormat="1" x14ac:dyDescent="0.25">
      <c r="C591" s="3"/>
      <c r="D591" s="3"/>
      <c r="E591" s="3"/>
      <c r="F591" s="3"/>
      <c r="G591" s="3"/>
      <c r="H591" s="3"/>
      <c r="I591" s="3"/>
      <c r="J591" s="3"/>
      <c r="K591" s="3"/>
      <c r="L591" s="3"/>
      <c r="M591" s="3"/>
      <c r="N591" s="3"/>
      <c r="O591" s="3"/>
      <c r="P591" s="3"/>
      <c r="Q591" s="3"/>
      <c r="R591" s="111"/>
      <c r="S591" s="111"/>
      <c r="T591" s="111"/>
    </row>
    <row r="592" spans="3:20" s="4" customFormat="1" x14ac:dyDescent="0.25">
      <c r="C592" s="3"/>
      <c r="D592" s="3"/>
      <c r="E592" s="3"/>
      <c r="F592" s="3"/>
      <c r="G592" s="3"/>
      <c r="H592" s="3"/>
      <c r="I592" s="3"/>
      <c r="J592" s="3"/>
      <c r="K592" s="3"/>
      <c r="L592" s="3"/>
      <c r="M592" s="3"/>
      <c r="N592" s="3"/>
      <c r="O592" s="3"/>
      <c r="P592" s="3"/>
      <c r="Q592" s="3"/>
      <c r="R592" s="111"/>
      <c r="S592" s="111"/>
      <c r="T592" s="111"/>
    </row>
    <row r="593" spans="3:20" s="4" customFormat="1" x14ac:dyDescent="0.25">
      <c r="C593" s="3"/>
      <c r="D593" s="3"/>
      <c r="E593" s="3"/>
      <c r="F593" s="3"/>
      <c r="G593" s="3"/>
      <c r="H593" s="3"/>
      <c r="I593" s="3"/>
      <c r="J593" s="3"/>
      <c r="K593" s="3"/>
      <c r="L593" s="3"/>
      <c r="M593" s="3"/>
      <c r="N593" s="3"/>
      <c r="O593" s="3"/>
      <c r="P593" s="3"/>
      <c r="Q593" s="3"/>
      <c r="R593" s="111"/>
      <c r="S593" s="111"/>
      <c r="T593" s="111"/>
    </row>
    <row r="594" spans="3:20" s="4" customFormat="1" x14ac:dyDescent="0.25">
      <c r="C594" s="3"/>
      <c r="D594" s="3"/>
      <c r="E594" s="3"/>
      <c r="F594" s="3"/>
      <c r="G594" s="3"/>
      <c r="H594" s="3"/>
      <c r="I594" s="3"/>
      <c r="J594" s="3"/>
      <c r="K594" s="3"/>
      <c r="L594" s="3"/>
      <c r="M594" s="3"/>
      <c r="N594" s="3"/>
      <c r="O594" s="3"/>
      <c r="P594" s="3"/>
      <c r="Q594" s="3"/>
      <c r="R594" s="111"/>
      <c r="S594" s="111"/>
      <c r="T594" s="111"/>
    </row>
    <row r="595" spans="3:20" s="4" customFormat="1" x14ac:dyDescent="0.25">
      <c r="C595" s="3"/>
      <c r="D595" s="3"/>
      <c r="E595" s="3"/>
      <c r="F595" s="3"/>
      <c r="G595" s="3"/>
      <c r="H595" s="3"/>
      <c r="I595" s="3"/>
      <c r="J595" s="3"/>
      <c r="K595" s="3"/>
      <c r="L595" s="3"/>
      <c r="M595" s="3"/>
      <c r="N595" s="3"/>
      <c r="O595" s="3"/>
      <c r="P595" s="3"/>
      <c r="Q595" s="3"/>
      <c r="R595" s="111"/>
      <c r="S595" s="111"/>
      <c r="T595" s="111"/>
    </row>
    <row r="596" spans="3:20" s="4" customFormat="1" x14ac:dyDescent="0.25">
      <c r="C596" s="3"/>
      <c r="D596" s="3"/>
      <c r="E596" s="3"/>
      <c r="F596" s="3"/>
      <c r="G596" s="3"/>
      <c r="H596" s="3"/>
      <c r="I596" s="3"/>
      <c r="J596" s="3"/>
      <c r="K596" s="3"/>
      <c r="L596" s="3"/>
      <c r="M596" s="3"/>
      <c r="N596" s="3"/>
      <c r="O596" s="3"/>
      <c r="P596" s="3"/>
      <c r="Q596" s="3"/>
      <c r="R596" s="111"/>
      <c r="S596" s="111"/>
      <c r="T596" s="111"/>
    </row>
    <row r="597" spans="3:20" s="4" customFormat="1" x14ac:dyDescent="0.25">
      <c r="C597" s="3"/>
      <c r="D597" s="3"/>
      <c r="E597" s="3"/>
      <c r="F597" s="3"/>
      <c r="G597" s="3"/>
      <c r="H597" s="3"/>
      <c r="I597" s="3"/>
      <c r="J597" s="3"/>
      <c r="K597" s="3"/>
      <c r="L597" s="3"/>
      <c r="M597" s="3"/>
      <c r="N597" s="3"/>
      <c r="O597" s="3"/>
      <c r="P597" s="3"/>
      <c r="Q597" s="3"/>
      <c r="R597" s="111"/>
      <c r="S597" s="111"/>
      <c r="T597" s="111"/>
    </row>
    <row r="598" spans="3:20" s="4" customFormat="1" x14ac:dyDescent="0.25">
      <c r="C598" s="3"/>
      <c r="D598" s="3"/>
      <c r="E598" s="3"/>
      <c r="F598" s="3"/>
      <c r="G598" s="3"/>
      <c r="H598" s="3"/>
      <c r="I598" s="3"/>
      <c r="J598" s="3"/>
      <c r="K598" s="3"/>
      <c r="L598" s="3"/>
      <c r="M598" s="3"/>
      <c r="N598" s="3"/>
      <c r="O598" s="3"/>
      <c r="P598" s="3"/>
      <c r="Q598" s="3"/>
      <c r="R598" s="111"/>
      <c r="S598" s="111"/>
      <c r="T598" s="111"/>
    </row>
    <row r="599" spans="3:20" s="4" customFormat="1" x14ac:dyDescent="0.25">
      <c r="C599" s="3"/>
      <c r="D599" s="3"/>
      <c r="E599" s="3"/>
      <c r="F599" s="3"/>
      <c r="G599" s="3"/>
      <c r="H599" s="3"/>
      <c r="I599" s="3"/>
      <c r="J599" s="3"/>
      <c r="K599" s="3"/>
      <c r="L599" s="3"/>
      <c r="M599" s="3"/>
      <c r="N599" s="3"/>
      <c r="O599" s="3"/>
      <c r="P599" s="3"/>
      <c r="Q599" s="3"/>
      <c r="R599" s="111"/>
      <c r="S599" s="111"/>
      <c r="T599" s="111"/>
    </row>
    <row r="600" spans="3:20" s="4" customFormat="1" x14ac:dyDescent="0.25">
      <c r="C600" s="3"/>
      <c r="D600" s="3"/>
      <c r="E600" s="3"/>
      <c r="F600" s="3"/>
      <c r="G600" s="3"/>
      <c r="H600" s="3"/>
      <c r="I600" s="3"/>
      <c r="J600" s="3"/>
      <c r="K600" s="3"/>
      <c r="L600" s="3"/>
      <c r="M600" s="3"/>
      <c r="N600" s="3"/>
      <c r="O600" s="3"/>
      <c r="P600" s="3"/>
      <c r="Q600" s="3"/>
      <c r="R600" s="111"/>
      <c r="S600" s="111"/>
      <c r="T600" s="111"/>
    </row>
    <row r="601" spans="3:20" s="4" customFormat="1" x14ac:dyDescent="0.25">
      <c r="C601" s="3"/>
      <c r="D601" s="3"/>
      <c r="E601" s="3"/>
      <c r="F601" s="3"/>
      <c r="G601" s="3"/>
      <c r="H601" s="3"/>
      <c r="I601" s="3"/>
      <c r="J601" s="3"/>
      <c r="K601" s="3"/>
      <c r="L601" s="3"/>
      <c r="M601" s="3"/>
      <c r="N601" s="3"/>
      <c r="O601" s="3"/>
      <c r="P601" s="3"/>
      <c r="Q601" s="3"/>
      <c r="R601" s="111"/>
      <c r="S601" s="111"/>
      <c r="T601" s="111"/>
    </row>
    <row r="602" spans="3:20" s="4" customFormat="1" x14ac:dyDescent="0.25">
      <c r="C602" s="3"/>
      <c r="D602" s="3"/>
      <c r="E602" s="3"/>
      <c r="F602" s="3"/>
      <c r="G602" s="3"/>
      <c r="H602" s="3"/>
      <c r="I602" s="3"/>
      <c r="J602" s="3"/>
      <c r="K602" s="3"/>
      <c r="L602" s="3"/>
      <c r="M602" s="3"/>
      <c r="N602" s="3"/>
      <c r="O602" s="3"/>
      <c r="P602" s="3"/>
      <c r="Q602" s="3"/>
      <c r="R602" s="111"/>
      <c r="S602" s="111"/>
      <c r="T602" s="111"/>
    </row>
    <row r="603" spans="3:20" s="4" customFormat="1" x14ac:dyDescent="0.25">
      <c r="C603" s="3"/>
      <c r="D603" s="3"/>
      <c r="E603" s="3"/>
      <c r="F603" s="3"/>
      <c r="G603" s="3"/>
      <c r="H603" s="3"/>
      <c r="I603" s="3"/>
      <c r="J603" s="3"/>
      <c r="K603" s="3"/>
      <c r="L603" s="3"/>
      <c r="M603" s="3"/>
      <c r="N603" s="3"/>
      <c r="O603" s="3"/>
      <c r="P603" s="3"/>
      <c r="Q603" s="3"/>
      <c r="R603" s="111"/>
      <c r="S603" s="111"/>
      <c r="T603" s="111"/>
    </row>
    <row r="604" spans="3:20" s="4" customFormat="1" x14ac:dyDescent="0.25">
      <c r="C604" s="3"/>
      <c r="D604" s="3"/>
      <c r="E604" s="3"/>
      <c r="F604" s="3"/>
      <c r="G604" s="3"/>
      <c r="H604" s="3"/>
      <c r="I604" s="3"/>
      <c r="J604" s="3"/>
      <c r="K604" s="3"/>
      <c r="L604" s="3"/>
      <c r="M604" s="3"/>
      <c r="N604" s="3"/>
      <c r="O604" s="3"/>
      <c r="P604" s="3"/>
      <c r="Q604" s="3"/>
      <c r="R604" s="111"/>
      <c r="S604" s="111"/>
      <c r="T604" s="111"/>
    </row>
    <row r="605" spans="3:20" s="4" customFormat="1" x14ac:dyDescent="0.25">
      <c r="C605" s="3"/>
      <c r="D605" s="3"/>
      <c r="E605" s="3"/>
      <c r="F605" s="3"/>
      <c r="G605" s="3"/>
      <c r="H605" s="3"/>
      <c r="I605" s="3"/>
      <c r="J605" s="3"/>
      <c r="K605" s="3"/>
      <c r="L605" s="3"/>
      <c r="M605" s="3"/>
      <c r="N605" s="3"/>
      <c r="O605" s="3"/>
      <c r="P605" s="3"/>
      <c r="Q605" s="3"/>
      <c r="R605" s="111"/>
      <c r="S605" s="111"/>
      <c r="T605" s="111"/>
    </row>
    <row r="606" spans="3:20" s="4" customFormat="1" x14ac:dyDescent="0.25">
      <c r="C606" s="3"/>
      <c r="D606" s="3"/>
      <c r="E606" s="3"/>
      <c r="F606" s="3"/>
      <c r="G606" s="3"/>
      <c r="H606" s="3"/>
      <c r="I606" s="3"/>
      <c r="J606" s="3"/>
      <c r="K606" s="3"/>
      <c r="L606" s="3"/>
      <c r="M606" s="3"/>
      <c r="N606" s="3"/>
      <c r="O606" s="3"/>
      <c r="P606" s="3"/>
      <c r="Q606" s="3"/>
      <c r="R606" s="111"/>
      <c r="S606" s="111"/>
      <c r="T606" s="111"/>
    </row>
    <row r="607" spans="3:20" s="4" customFormat="1" x14ac:dyDescent="0.25">
      <c r="C607" s="3"/>
      <c r="D607" s="3"/>
      <c r="E607" s="3"/>
      <c r="F607" s="3"/>
      <c r="G607" s="3"/>
      <c r="H607" s="3"/>
      <c r="I607" s="3"/>
      <c r="J607" s="3"/>
      <c r="K607" s="3"/>
      <c r="L607" s="3"/>
      <c r="M607" s="3"/>
      <c r="N607" s="3"/>
      <c r="O607" s="3"/>
      <c r="P607" s="3"/>
      <c r="Q607" s="3"/>
      <c r="R607" s="111"/>
      <c r="S607" s="111"/>
      <c r="T607" s="111"/>
    </row>
    <row r="608" spans="3:20" s="4" customFormat="1" x14ac:dyDescent="0.25">
      <c r="C608" s="3"/>
      <c r="D608" s="3"/>
      <c r="E608" s="3"/>
      <c r="F608" s="3"/>
      <c r="G608" s="3"/>
      <c r="H608" s="3"/>
      <c r="I608" s="3"/>
      <c r="J608" s="3"/>
      <c r="K608" s="3"/>
      <c r="L608" s="3"/>
      <c r="M608" s="3"/>
      <c r="N608" s="3"/>
      <c r="O608" s="3"/>
      <c r="P608" s="3"/>
      <c r="Q608" s="3"/>
      <c r="R608" s="111"/>
      <c r="S608" s="111"/>
      <c r="T608" s="111"/>
    </row>
    <row r="609" spans="3:20" s="4" customFormat="1" x14ac:dyDescent="0.25">
      <c r="C609" s="3"/>
      <c r="D609" s="3"/>
      <c r="E609" s="3"/>
      <c r="F609" s="3"/>
      <c r="G609" s="3"/>
      <c r="H609" s="3"/>
      <c r="I609" s="3"/>
      <c r="J609" s="3"/>
      <c r="K609" s="3"/>
      <c r="L609" s="3"/>
      <c r="M609" s="3"/>
      <c r="N609" s="3"/>
      <c r="O609" s="3"/>
      <c r="P609" s="3"/>
      <c r="Q609" s="3"/>
      <c r="R609" s="111"/>
      <c r="S609" s="111"/>
      <c r="T609" s="111"/>
    </row>
    <row r="610" spans="3:20" s="4" customFormat="1" x14ac:dyDescent="0.25">
      <c r="C610" s="3"/>
      <c r="D610" s="3"/>
      <c r="E610" s="3"/>
      <c r="F610" s="3"/>
      <c r="G610" s="3"/>
      <c r="H610" s="3"/>
      <c r="I610" s="3"/>
      <c r="J610" s="3"/>
      <c r="K610" s="3"/>
      <c r="L610" s="3"/>
      <c r="M610" s="3"/>
      <c r="N610" s="3"/>
      <c r="O610" s="3"/>
      <c r="P610" s="3"/>
      <c r="Q610" s="3"/>
      <c r="R610" s="111"/>
      <c r="S610" s="111"/>
      <c r="T610" s="111"/>
    </row>
    <row r="611" spans="3:20" s="4" customFormat="1" x14ac:dyDescent="0.25">
      <c r="C611" s="3"/>
      <c r="D611" s="3"/>
      <c r="E611" s="3"/>
      <c r="F611" s="3"/>
      <c r="G611" s="3"/>
      <c r="H611" s="3"/>
      <c r="I611" s="3"/>
      <c r="J611" s="3"/>
      <c r="K611" s="3"/>
      <c r="L611" s="3"/>
      <c r="M611" s="3"/>
      <c r="N611" s="3"/>
      <c r="O611" s="3"/>
      <c r="P611" s="3"/>
      <c r="Q611" s="3"/>
      <c r="R611" s="111"/>
      <c r="S611" s="111"/>
      <c r="T611" s="111"/>
    </row>
    <row r="612" spans="3:20" s="4" customFormat="1" x14ac:dyDescent="0.25">
      <c r="C612" s="3"/>
      <c r="D612" s="3"/>
      <c r="E612" s="3"/>
      <c r="F612" s="3"/>
      <c r="G612" s="3"/>
      <c r="H612" s="3"/>
      <c r="I612" s="3"/>
      <c r="J612" s="3"/>
      <c r="K612" s="3"/>
      <c r="L612" s="3"/>
      <c r="M612" s="3"/>
      <c r="N612" s="3"/>
      <c r="O612" s="3"/>
      <c r="P612" s="3"/>
      <c r="Q612" s="3"/>
      <c r="R612" s="111"/>
      <c r="S612" s="111"/>
      <c r="T612" s="111"/>
    </row>
    <row r="613" spans="3:20" s="4" customFormat="1" x14ac:dyDescent="0.25">
      <c r="C613" s="3"/>
      <c r="D613" s="3"/>
      <c r="E613" s="3"/>
      <c r="F613" s="3"/>
      <c r="G613" s="3"/>
      <c r="H613" s="3"/>
      <c r="I613" s="3"/>
      <c r="J613" s="3"/>
      <c r="K613" s="3"/>
      <c r="L613" s="3"/>
      <c r="M613" s="3"/>
      <c r="N613" s="3"/>
      <c r="O613" s="3"/>
      <c r="P613" s="3"/>
      <c r="Q613" s="3"/>
      <c r="R613" s="111"/>
      <c r="S613" s="111"/>
      <c r="T613" s="111"/>
    </row>
    <row r="614" spans="3:20" s="4" customFormat="1" x14ac:dyDescent="0.25">
      <c r="C614" s="3"/>
      <c r="D614" s="3"/>
      <c r="E614" s="3"/>
      <c r="F614" s="3"/>
      <c r="G614" s="3"/>
      <c r="H614" s="3"/>
      <c r="I614" s="3"/>
      <c r="J614" s="3"/>
      <c r="K614" s="3"/>
      <c r="L614" s="3"/>
      <c r="M614" s="3"/>
      <c r="N614" s="3"/>
      <c r="O614" s="3"/>
      <c r="P614" s="3"/>
      <c r="Q614" s="3"/>
      <c r="R614" s="111"/>
      <c r="S614" s="111"/>
      <c r="T614" s="111"/>
    </row>
    <row r="615" spans="3:20" s="4" customFormat="1" x14ac:dyDescent="0.25">
      <c r="C615" s="3"/>
      <c r="D615" s="3"/>
      <c r="E615" s="3"/>
      <c r="F615" s="3"/>
      <c r="G615" s="3"/>
      <c r="H615" s="3"/>
      <c r="I615" s="3"/>
      <c r="J615" s="3"/>
      <c r="K615" s="3"/>
      <c r="L615" s="3"/>
      <c r="M615" s="3"/>
      <c r="N615" s="3"/>
      <c r="O615" s="3"/>
      <c r="P615" s="3"/>
      <c r="Q615" s="3"/>
      <c r="R615" s="111"/>
      <c r="S615" s="111"/>
      <c r="T615" s="111"/>
    </row>
    <row r="616" spans="3:20" s="4" customFormat="1" x14ac:dyDescent="0.25">
      <c r="C616" s="3"/>
      <c r="D616" s="3"/>
      <c r="E616" s="3"/>
      <c r="F616" s="3"/>
      <c r="G616" s="3"/>
      <c r="H616" s="3"/>
      <c r="I616" s="3"/>
      <c r="J616" s="3"/>
      <c r="K616" s="3"/>
      <c r="L616" s="3"/>
      <c r="M616" s="3"/>
      <c r="N616" s="3"/>
      <c r="O616" s="3"/>
      <c r="P616" s="3"/>
      <c r="Q616" s="3"/>
      <c r="R616" s="111"/>
      <c r="S616" s="111"/>
      <c r="T616" s="111"/>
    </row>
    <row r="617" spans="3:20" s="4" customFormat="1" x14ac:dyDescent="0.25">
      <c r="C617" s="3"/>
      <c r="D617" s="3"/>
      <c r="E617" s="3"/>
      <c r="F617" s="3"/>
      <c r="G617" s="3"/>
      <c r="H617" s="3"/>
      <c r="I617" s="3"/>
      <c r="J617" s="3"/>
      <c r="K617" s="3"/>
      <c r="L617" s="3"/>
      <c r="M617" s="3"/>
      <c r="N617" s="3"/>
      <c r="O617" s="3"/>
      <c r="P617" s="3"/>
      <c r="Q617" s="3"/>
      <c r="R617" s="111"/>
      <c r="S617" s="111"/>
      <c r="T617" s="111"/>
    </row>
    <row r="618" spans="3:20" s="4" customFormat="1" x14ac:dyDescent="0.25">
      <c r="C618" s="3"/>
      <c r="D618" s="3"/>
      <c r="E618" s="3"/>
      <c r="F618" s="3"/>
      <c r="G618" s="3"/>
      <c r="H618" s="3"/>
      <c r="I618" s="3"/>
      <c r="J618" s="3"/>
      <c r="K618" s="3"/>
      <c r="L618" s="3"/>
      <c r="M618" s="3"/>
      <c r="N618" s="3"/>
      <c r="O618" s="3"/>
      <c r="P618" s="3"/>
      <c r="Q618" s="3"/>
      <c r="R618" s="111"/>
      <c r="S618" s="111"/>
      <c r="T618" s="111"/>
    </row>
    <row r="619" spans="3:20" s="4" customFormat="1" x14ac:dyDescent="0.25">
      <c r="C619" s="3"/>
      <c r="D619" s="3"/>
      <c r="E619" s="3"/>
      <c r="F619" s="3"/>
      <c r="G619" s="3"/>
      <c r="H619" s="3"/>
      <c r="I619" s="3"/>
      <c r="J619" s="3"/>
      <c r="K619" s="3"/>
      <c r="L619" s="3"/>
      <c r="M619" s="3"/>
      <c r="N619" s="3"/>
      <c r="O619" s="3"/>
      <c r="P619" s="3"/>
      <c r="Q619" s="3"/>
      <c r="R619" s="111"/>
      <c r="S619" s="111"/>
      <c r="T619" s="111"/>
    </row>
    <row r="620" spans="3:20" s="4" customFormat="1" x14ac:dyDescent="0.25">
      <c r="C620" s="3"/>
      <c r="D620" s="3"/>
      <c r="E620" s="3"/>
      <c r="F620" s="3"/>
      <c r="G620" s="3"/>
      <c r="H620" s="3"/>
      <c r="I620" s="3"/>
      <c r="J620" s="3"/>
      <c r="K620" s="3"/>
      <c r="L620" s="3"/>
      <c r="M620" s="3"/>
      <c r="N620" s="3"/>
      <c r="O620" s="3"/>
      <c r="P620" s="3"/>
      <c r="Q620" s="3"/>
      <c r="R620" s="111"/>
      <c r="S620" s="111"/>
      <c r="T620" s="111"/>
    </row>
    <row r="621" spans="3:20" s="4" customFormat="1" x14ac:dyDescent="0.25">
      <c r="C621" s="3"/>
      <c r="D621" s="3"/>
      <c r="E621" s="3"/>
      <c r="F621" s="3"/>
      <c r="G621" s="3"/>
      <c r="H621" s="3"/>
      <c r="I621" s="3"/>
      <c r="J621" s="3"/>
      <c r="K621" s="3"/>
      <c r="L621" s="3"/>
      <c r="M621" s="3"/>
      <c r="N621" s="3"/>
      <c r="O621" s="3"/>
      <c r="P621" s="3"/>
      <c r="Q621" s="3"/>
      <c r="R621" s="111"/>
      <c r="S621" s="111"/>
      <c r="T621" s="111"/>
    </row>
    <row r="622" spans="3:20" s="4" customFormat="1" x14ac:dyDescent="0.25">
      <c r="C622" s="3"/>
      <c r="D622" s="3"/>
      <c r="E622" s="3"/>
      <c r="F622" s="3"/>
      <c r="G622" s="3"/>
      <c r="H622" s="3"/>
      <c r="I622" s="3"/>
      <c r="J622" s="3"/>
      <c r="K622" s="3"/>
      <c r="L622" s="3"/>
      <c r="M622" s="3"/>
      <c r="N622" s="3"/>
      <c r="O622" s="3"/>
      <c r="P622" s="3"/>
      <c r="Q622" s="3"/>
      <c r="R622" s="111"/>
      <c r="S622" s="111"/>
      <c r="T622" s="111"/>
    </row>
    <row r="623" spans="3:20" s="4" customFormat="1" x14ac:dyDescent="0.25">
      <c r="C623" s="3"/>
      <c r="D623" s="3"/>
      <c r="E623" s="3"/>
      <c r="F623" s="3"/>
      <c r="G623" s="3"/>
      <c r="H623" s="3"/>
      <c r="I623" s="3"/>
      <c r="J623" s="3"/>
      <c r="K623" s="3"/>
      <c r="L623" s="3"/>
      <c r="M623" s="3"/>
      <c r="N623" s="3"/>
      <c r="O623" s="3"/>
      <c r="P623" s="3"/>
      <c r="Q623" s="3"/>
      <c r="R623" s="111"/>
      <c r="S623" s="111"/>
      <c r="T623" s="111"/>
    </row>
    <row r="624" spans="3:20" s="4" customFormat="1" x14ac:dyDescent="0.25">
      <c r="C624" s="3"/>
      <c r="D624" s="3"/>
      <c r="E624" s="3"/>
      <c r="F624" s="3"/>
      <c r="G624" s="3"/>
      <c r="H624" s="3"/>
      <c r="I624" s="3"/>
      <c r="J624" s="3"/>
      <c r="K624" s="3"/>
      <c r="L624" s="3"/>
      <c r="M624" s="3"/>
      <c r="N624" s="3"/>
      <c r="O624" s="3"/>
      <c r="P624" s="3"/>
      <c r="Q624" s="3"/>
      <c r="R624" s="111"/>
      <c r="S624" s="111"/>
      <c r="T624" s="111"/>
    </row>
    <row r="625" spans="3:20" s="4" customFormat="1" x14ac:dyDescent="0.25">
      <c r="C625" s="3"/>
      <c r="D625" s="3"/>
      <c r="E625" s="3"/>
      <c r="F625" s="3"/>
      <c r="G625" s="3"/>
      <c r="H625" s="3"/>
      <c r="I625" s="3"/>
      <c r="J625" s="3"/>
      <c r="K625" s="3"/>
      <c r="L625" s="3"/>
      <c r="M625" s="3"/>
      <c r="N625" s="3"/>
      <c r="O625" s="3"/>
      <c r="P625" s="3"/>
      <c r="Q625" s="3"/>
      <c r="R625" s="111"/>
      <c r="S625" s="111"/>
      <c r="T625" s="111"/>
    </row>
    <row r="626" spans="3:20" s="4" customFormat="1" x14ac:dyDescent="0.25">
      <c r="C626" s="3"/>
      <c r="D626" s="3"/>
      <c r="E626" s="3"/>
      <c r="F626" s="3"/>
      <c r="G626" s="3"/>
      <c r="H626" s="3"/>
      <c r="I626" s="3"/>
      <c r="J626" s="3"/>
      <c r="K626" s="3"/>
      <c r="L626" s="3"/>
      <c r="M626" s="3"/>
      <c r="N626" s="3"/>
      <c r="O626" s="3"/>
      <c r="P626" s="3"/>
      <c r="Q626" s="3"/>
      <c r="R626" s="111"/>
      <c r="S626" s="111"/>
      <c r="T626" s="111"/>
    </row>
    <row r="627" spans="3:20" s="4" customFormat="1" x14ac:dyDescent="0.25">
      <c r="C627" s="3"/>
      <c r="D627" s="3"/>
      <c r="E627" s="3"/>
      <c r="F627" s="3"/>
      <c r="G627" s="3"/>
      <c r="H627" s="3"/>
      <c r="I627" s="3"/>
      <c r="J627" s="3"/>
      <c r="K627" s="3"/>
      <c r="L627" s="3"/>
      <c r="M627" s="3"/>
      <c r="N627" s="3"/>
      <c r="O627" s="3"/>
      <c r="P627" s="3"/>
      <c r="Q627" s="3"/>
      <c r="R627" s="111"/>
      <c r="S627" s="111"/>
      <c r="T627" s="111"/>
    </row>
    <row r="628" spans="3:20" s="4" customFormat="1" x14ac:dyDescent="0.25">
      <c r="C628" s="3"/>
      <c r="D628" s="3"/>
      <c r="E628" s="3"/>
      <c r="F628" s="3"/>
      <c r="G628" s="3"/>
      <c r="H628" s="3"/>
      <c r="I628" s="3"/>
      <c r="J628" s="3"/>
      <c r="K628" s="3"/>
      <c r="L628" s="3"/>
      <c r="M628" s="3"/>
      <c r="N628" s="3"/>
      <c r="O628" s="3"/>
      <c r="P628" s="3"/>
      <c r="Q628" s="3"/>
      <c r="R628" s="111"/>
      <c r="S628" s="111"/>
      <c r="T628" s="111"/>
    </row>
    <row r="629" spans="3:20" s="4" customFormat="1" x14ac:dyDescent="0.25">
      <c r="C629" s="3"/>
      <c r="D629" s="3"/>
      <c r="E629" s="3"/>
      <c r="F629" s="3"/>
      <c r="G629" s="3"/>
      <c r="H629" s="3"/>
      <c r="I629" s="3"/>
      <c r="J629" s="3"/>
      <c r="K629" s="3"/>
      <c r="L629" s="3"/>
      <c r="M629" s="3"/>
      <c r="N629" s="3"/>
      <c r="O629" s="3"/>
      <c r="P629" s="3"/>
      <c r="Q629" s="3"/>
      <c r="R629" s="111"/>
      <c r="S629" s="111"/>
      <c r="T629" s="111"/>
    </row>
    <row r="630" spans="3:20" s="4" customFormat="1" x14ac:dyDescent="0.25">
      <c r="C630" s="3"/>
      <c r="D630" s="3"/>
      <c r="E630" s="3"/>
      <c r="F630" s="3"/>
      <c r="G630" s="3"/>
      <c r="H630" s="3"/>
      <c r="I630" s="3"/>
      <c r="J630" s="3"/>
      <c r="K630" s="3"/>
      <c r="L630" s="3"/>
      <c r="M630" s="3"/>
      <c r="N630" s="3"/>
      <c r="O630" s="3"/>
      <c r="P630" s="3"/>
      <c r="Q630" s="3"/>
      <c r="R630" s="111"/>
      <c r="S630" s="111"/>
      <c r="T630" s="111"/>
    </row>
    <row r="631" spans="3:20" s="4" customFormat="1" x14ac:dyDescent="0.25">
      <c r="C631" s="3"/>
      <c r="D631" s="3"/>
      <c r="E631" s="3"/>
      <c r="F631" s="3"/>
      <c r="G631" s="3"/>
      <c r="H631" s="3"/>
      <c r="I631" s="3"/>
      <c r="J631" s="3"/>
      <c r="K631" s="3"/>
      <c r="L631" s="3"/>
      <c r="M631" s="3"/>
      <c r="N631" s="3"/>
      <c r="O631" s="3"/>
      <c r="P631" s="3"/>
      <c r="Q631" s="3"/>
      <c r="R631" s="111"/>
      <c r="S631" s="111"/>
      <c r="T631" s="111"/>
    </row>
    <row r="632" spans="3:20" s="4" customFormat="1" x14ac:dyDescent="0.25">
      <c r="C632" s="3"/>
      <c r="D632" s="3"/>
      <c r="E632" s="3"/>
      <c r="F632" s="3"/>
      <c r="G632" s="3"/>
      <c r="H632" s="3"/>
      <c r="I632" s="3"/>
      <c r="J632" s="3"/>
      <c r="K632" s="3"/>
      <c r="L632" s="3"/>
      <c r="M632" s="3"/>
      <c r="N632" s="3"/>
      <c r="O632" s="3"/>
      <c r="P632" s="3"/>
      <c r="Q632" s="3"/>
      <c r="R632" s="111"/>
      <c r="S632" s="111"/>
      <c r="T632" s="111"/>
    </row>
    <row r="633" spans="3:20" s="4" customFormat="1" x14ac:dyDescent="0.25">
      <c r="C633" s="3"/>
      <c r="D633" s="3"/>
      <c r="E633" s="3"/>
      <c r="F633" s="3"/>
      <c r="G633" s="3"/>
      <c r="H633" s="3"/>
      <c r="I633" s="3"/>
      <c r="J633" s="3"/>
      <c r="K633" s="3"/>
      <c r="L633" s="3"/>
      <c r="M633" s="3"/>
      <c r="N633" s="3"/>
      <c r="O633" s="3"/>
      <c r="P633" s="3"/>
      <c r="Q633" s="3"/>
      <c r="R633" s="111"/>
      <c r="S633" s="111"/>
      <c r="T633" s="111"/>
    </row>
    <row r="634" spans="3:20" s="4" customFormat="1" x14ac:dyDescent="0.25">
      <c r="C634" s="3"/>
      <c r="D634" s="3"/>
      <c r="E634" s="3"/>
      <c r="F634" s="3"/>
      <c r="G634" s="3"/>
      <c r="H634" s="3"/>
      <c r="I634" s="3"/>
      <c r="J634" s="3"/>
      <c r="K634" s="3"/>
      <c r="L634" s="3"/>
      <c r="M634" s="3"/>
      <c r="N634" s="3"/>
      <c r="O634" s="3"/>
      <c r="P634" s="3"/>
      <c r="Q634" s="3"/>
      <c r="R634" s="111"/>
      <c r="S634" s="111"/>
      <c r="T634" s="111"/>
    </row>
    <row r="635" spans="3:20" s="4" customFormat="1" x14ac:dyDescent="0.25">
      <c r="C635" s="3"/>
      <c r="D635" s="3"/>
      <c r="E635" s="3"/>
      <c r="F635" s="3"/>
      <c r="G635" s="3"/>
      <c r="H635" s="3"/>
      <c r="I635" s="3"/>
      <c r="J635" s="3"/>
      <c r="K635" s="3"/>
      <c r="L635" s="3"/>
      <c r="M635" s="3"/>
      <c r="N635" s="3"/>
      <c r="O635" s="3"/>
      <c r="P635" s="3"/>
      <c r="Q635" s="3"/>
      <c r="R635" s="111"/>
      <c r="S635" s="111"/>
      <c r="T635" s="111"/>
    </row>
    <row r="636" spans="3:20" s="4" customFormat="1" x14ac:dyDescent="0.25">
      <c r="C636" s="3"/>
      <c r="D636" s="3"/>
      <c r="E636" s="3"/>
      <c r="F636" s="3"/>
      <c r="G636" s="3"/>
      <c r="H636" s="3"/>
      <c r="I636" s="3"/>
      <c r="J636" s="3"/>
      <c r="K636" s="3"/>
      <c r="L636" s="3"/>
      <c r="M636" s="3"/>
      <c r="N636" s="3"/>
      <c r="O636" s="3"/>
      <c r="P636" s="3"/>
      <c r="Q636" s="3"/>
      <c r="R636" s="111"/>
      <c r="S636" s="111"/>
      <c r="T636" s="111"/>
    </row>
    <row r="637" spans="3:20" s="4" customFormat="1" x14ac:dyDescent="0.25">
      <c r="C637" s="3"/>
      <c r="D637" s="3"/>
      <c r="E637" s="3"/>
      <c r="F637" s="3"/>
      <c r="G637" s="3"/>
      <c r="H637" s="3"/>
      <c r="I637" s="3"/>
      <c r="J637" s="3"/>
      <c r="K637" s="3"/>
      <c r="L637" s="3"/>
      <c r="M637" s="3"/>
      <c r="N637" s="3"/>
      <c r="O637" s="3"/>
      <c r="P637" s="3"/>
      <c r="Q637" s="3"/>
      <c r="R637" s="111"/>
      <c r="S637" s="111"/>
      <c r="T637" s="111"/>
    </row>
    <row r="638" spans="3:20" s="4" customFormat="1" x14ac:dyDescent="0.25">
      <c r="C638" s="3"/>
      <c r="D638" s="3"/>
      <c r="E638" s="3"/>
      <c r="F638" s="3"/>
      <c r="G638" s="3"/>
      <c r="H638" s="3"/>
      <c r="I638" s="3"/>
      <c r="J638" s="3"/>
      <c r="K638" s="3"/>
      <c r="L638" s="3"/>
      <c r="M638" s="3"/>
      <c r="N638" s="3"/>
      <c r="O638" s="3"/>
      <c r="P638" s="3"/>
      <c r="Q638" s="3"/>
      <c r="R638" s="111"/>
      <c r="S638" s="111"/>
      <c r="T638" s="111"/>
    </row>
    <row r="639" spans="3:20" s="4" customFormat="1" x14ac:dyDescent="0.25">
      <c r="C639" s="3"/>
      <c r="D639" s="3"/>
      <c r="E639" s="3"/>
      <c r="F639" s="3"/>
      <c r="G639" s="3"/>
      <c r="H639" s="3"/>
      <c r="I639" s="3"/>
      <c r="J639" s="3"/>
      <c r="K639" s="3"/>
      <c r="L639" s="3"/>
      <c r="M639" s="3"/>
      <c r="N639" s="3"/>
      <c r="O639" s="3"/>
      <c r="P639" s="3"/>
      <c r="Q639" s="3"/>
      <c r="R639" s="111"/>
      <c r="S639" s="111"/>
      <c r="T639" s="111"/>
    </row>
    <row r="640" spans="3:20" s="4" customFormat="1" x14ac:dyDescent="0.25">
      <c r="C640" s="3"/>
      <c r="D640" s="3"/>
      <c r="E640" s="3"/>
      <c r="F640" s="3"/>
      <c r="G640" s="3"/>
      <c r="H640" s="3"/>
      <c r="I640" s="3"/>
      <c r="J640" s="3"/>
      <c r="K640" s="3"/>
      <c r="L640" s="3"/>
      <c r="M640" s="3"/>
      <c r="N640" s="3"/>
      <c r="O640" s="3"/>
      <c r="P640" s="3"/>
      <c r="Q640" s="3"/>
      <c r="R640" s="111"/>
      <c r="S640" s="111"/>
      <c r="T640" s="111"/>
    </row>
    <row r="641" spans="3:20" s="4" customFormat="1" x14ac:dyDescent="0.25">
      <c r="C641" s="3"/>
      <c r="D641" s="3"/>
      <c r="E641" s="3"/>
      <c r="F641" s="3"/>
      <c r="G641" s="3"/>
      <c r="H641" s="3"/>
      <c r="I641" s="3"/>
      <c r="J641" s="3"/>
      <c r="K641" s="3"/>
      <c r="L641" s="3"/>
      <c r="M641" s="3"/>
      <c r="N641" s="3"/>
      <c r="O641" s="3"/>
      <c r="P641" s="3"/>
      <c r="Q641" s="3"/>
      <c r="R641" s="111"/>
      <c r="S641" s="111"/>
      <c r="T641" s="111"/>
    </row>
    <row r="642" spans="3:20" s="4" customFormat="1" x14ac:dyDescent="0.25">
      <c r="C642" s="3"/>
      <c r="D642" s="3"/>
      <c r="E642" s="3"/>
      <c r="F642" s="3"/>
      <c r="G642" s="3"/>
      <c r="H642" s="3"/>
      <c r="I642" s="3"/>
      <c r="J642" s="3"/>
      <c r="K642" s="3"/>
      <c r="L642" s="3"/>
      <c r="M642" s="3"/>
      <c r="N642" s="3"/>
      <c r="O642" s="3"/>
      <c r="P642" s="3"/>
      <c r="Q642" s="3"/>
      <c r="R642" s="111"/>
      <c r="S642" s="111"/>
      <c r="T642" s="111"/>
    </row>
    <row r="643" spans="3:20" s="4" customFormat="1" x14ac:dyDescent="0.25">
      <c r="C643" s="3"/>
      <c r="D643" s="3"/>
      <c r="E643" s="3"/>
      <c r="F643" s="3"/>
      <c r="G643" s="3"/>
      <c r="H643" s="3"/>
      <c r="I643" s="3"/>
      <c r="J643" s="3"/>
      <c r="K643" s="3"/>
      <c r="L643" s="3"/>
      <c r="M643" s="3"/>
      <c r="N643" s="3"/>
      <c r="O643" s="3"/>
      <c r="P643" s="3"/>
      <c r="Q643" s="3"/>
      <c r="R643" s="111"/>
      <c r="S643" s="111"/>
      <c r="T643" s="111"/>
    </row>
    <row r="644" spans="3:20" s="4" customFormat="1" x14ac:dyDescent="0.25">
      <c r="C644" s="3"/>
      <c r="D644" s="3"/>
      <c r="E644" s="3"/>
      <c r="F644" s="3"/>
      <c r="G644" s="3"/>
      <c r="H644" s="3"/>
      <c r="I644" s="3"/>
      <c r="J644" s="3"/>
      <c r="K644" s="3"/>
      <c r="L644" s="3"/>
      <c r="M644" s="3"/>
      <c r="N644" s="3"/>
      <c r="O644" s="3"/>
      <c r="P644" s="3"/>
      <c r="Q644" s="3"/>
      <c r="R644" s="111"/>
      <c r="S644" s="111"/>
      <c r="T644" s="111"/>
    </row>
    <row r="645" spans="3:20" s="4" customFormat="1" x14ac:dyDescent="0.25">
      <c r="C645" s="3"/>
      <c r="D645" s="3"/>
      <c r="E645" s="3"/>
      <c r="F645" s="3"/>
      <c r="G645" s="3"/>
      <c r="H645" s="3"/>
      <c r="I645" s="3"/>
      <c r="J645" s="3"/>
      <c r="K645" s="3"/>
      <c r="L645" s="3"/>
      <c r="M645" s="3"/>
      <c r="N645" s="3"/>
      <c r="O645" s="3"/>
      <c r="P645" s="3"/>
      <c r="Q645" s="3"/>
      <c r="R645" s="111"/>
      <c r="S645" s="111"/>
      <c r="T645" s="111"/>
    </row>
    <row r="646" spans="3:20" s="4" customFormat="1" x14ac:dyDescent="0.25">
      <c r="C646" s="3"/>
      <c r="D646" s="3"/>
      <c r="E646" s="3"/>
      <c r="F646" s="3"/>
      <c r="G646" s="3"/>
      <c r="H646" s="3"/>
      <c r="I646" s="3"/>
      <c r="J646" s="3"/>
      <c r="K646" s="3"/>
      <c r="L646" s="3"/>
      <c r="M646" s="3"/>
      <c r="N646" s="3"/>
      <c r="O646" s="3"/>
      <c r="P646" s="3"/>
      <c r="Q646" s="3"/>
      <c r="R646" s="111"/>
      <c r="S646" s="111"/>
      <c r="T646" s="111"/>
    </row>
    <row r="647" spans="3:20" s="4" customFormat="1" x14ac:dyDescent="0.25">
      <c r="C647" s="3"/>
      <c r="D647" s="3"/>
      <c r="E647" s="3"/>
      <c r="F647" s="3"/>
      <c r="G647" s="3"/>
      <c r="H647" s="3"/>
      <c r="I647" s="3"/>
      <c r="J647" s="3"/>
      <c r="K647" s="3"/>
      <c r="L647" s="3"/>
      <c r="M647" s="3"/>
      <c r="N647" s="3"/>
      <c r="O647" s="3"/>
      <c r="P647" s="3"/>
      <c r="Q647" s="3"/>
      <c r="R647" s="111"/>
      <c r="S647" s="111"/>
      <c r="T647" s="111"/>
    </row>
    <row r="648" spans="3:20" s="4" customFormat="1" x14ac:dyDescent="0.25">
      <c r="C648" s="3"/>
      <c r="D648" s="3"/>
      <c r="E648" s="3"/>
      <c r="F648" s="3"/>
      <c r="G648" s="3"/>
      <c r="H648" s="3"/>
      <c r="I648" s="3"/>
      <c r="J648" s="3"/>
      <c r="K648" s="3"/>
      <c r="L648" s="3"/>
      <c r="M648" s="3"/>
      <c r="N648" s="3"/>
      <c r="O648" s="3"/>
      <c r="P648" s="3"/>
      <c r="Q648" s="3"/>
      <c r="R648" s="111"/>
      <c r="S648" s="111"/>
      <c r="T648" s="111"/>
    </row>
    <row r="649" spans="3:20" s="4" customFormat="1" x14ac:dyDescent="0.25">
      <c r="C649" s="3"/>
      <c r="D649" s="3"/>
      <c r="E649" s="3"/>
      <c r="F649" s="3"/>
      <c r="G649" s="3"/>
      <c r="H649" s="3"/>
      <c r="I649" s="3"/>
      <c r="J649" s="3"/>
      <c r="K649" s="3"/>
      <c r="L649" s="3"/>
      <c r="M649" s="3"/>
      <c r="N649" s="3"/>
      <c r="O649" s="3"/>
      <c r="P649" s="3"/>
      <c r="Q649" s="3"/>
      <c r="R649" s="111"/>
      <c r="S649" s="111"/>
      <c r="T649" s="111"/>
    </row>
    <row r="650" spans="3:20" s="4" customFormat="1" x14ac:dyDescent="0.25">
      <c r="C650" s="3"/>
      <c r="D650" s="3"/>
      <c r="E650" s="3"/>
      <c r="F650" s="3"/>
      <c r="G650" s="3"/>
      <c r="H650" s="3"/>
      <c r="I650" s="3"/>
      <c r="J650" s="3"/>
      <c r="K650" s="3"/>
      <c r="L650" s="3"/>
      <c r="M650" s="3"/>
      <c r="N650" s="3"/>
      <c r="O650" s="3"/>
      <c r="P650" s="3"/>
      <c r="Q650" s="3"/>
      <c r="R650" s="111"/>
      <c r="S650" s="111"/>
      <c r="T650" s="111"/>
    </row>
    <row r="651" spans="3:20" s="4" customFormat="1" x14ac:dyDescent="0.25">
      <c r="C651" s="3"/>
      <c r="D651" s="3"/>
      <c r="E651" s="3"/>
      <c r="F651" s="3"/>
      <c r="G651" s="3"/>
      <c r="H651" s="3"/>
      <c r="I651" s="3"/>
      <c r="J651" s="3"/>
      <c r="K651" s="3"/>
      <c r="L651" s="3"/>
      <c r="M651" s="3"/>
      <c r="N651" s="3"/>
      <c r="O651" s="3"/>
      <c r="P651" s="3"/>
      <c r="Q651" s="3"/>
      <c r="R651" s="111"/>
      <c r="S651" s="111"/>
      <c r="T651" s="111"/>
    </row>
    <row r="652" spans="3:20" s="4" customFormat="1" x14ac:dyDescent="0.25">
      <c r="C652" s="3"/>
      <c r="D652" s="3"/>
      <c r="E652" s="3"/>
      <c r="F652" s="3"/>
      <c r="G652" s="3"/>
      <c r="H652" s="3"/>
      <c r="I652" s="3"/>
      <c r="J652" s="3"/>
      <c r="K652" s="3"/>
      <c r="L652" s="3"/>
      <c r="M652" s="3"/>
      <c r="N652" s="3"/>
      <c r="O652" s="3"/>
      <c r="P652" s="3"/>
      <c r="Q652" s="3"/>
      <c r="R652" s="111"/>
      <c r="S652" s="111"/>
      <c r="T652" s="111"/>
    </row>
    <row r="653" spans="3:20" s="4" customFormat="1" x14ac:dyDescent="0.25">
      <c r="C653" s="3"/>
      <c r="D653" s="3"/>
      <c r="E653" s="3"/>
      <c r="F653" s="3"/>
      <c r="G653" s="3"/>
      <c r="H653" s="3"/>
      <c r="I653" s="3"/>
      <c r="J653" s="3"/>
      <c r="K653" s="3"/>
      <c r="L653" s="3"/>
      <c r="M653" s="3"/>
      <c r="N653" s="3"/>
      <c r="O653" s="3"/>
      <c r="P653" s="3"/>
      <c r="Q653" s="3"/>
      <c r="R653" s="111"/>
      <c r="S653" s="111"/>
      <c r="T653" s="111"/>
    </row>
    <row r="654" spans="3:20" s="4" customFormat="1" x14ac:dyDescent="0.25">
      <c r="C654" s="3"/>
      <c r="D654" s="3"/>
      <c r="E654" s="3"/>
      <c r="F654" s="3"/>
      <c r="G654" s="3"/>
      <c r="H654" s="3"/>
      <c r="I654" s="3"/>
      <c r="J654" s="3"/>
      <c r="K654" s="3"/>
      <c r="L654" s="3"/>
      <c r="M654" s="3"/>
      <c r="N654" s="3"/>
      <c r="O654" s="3"/>
      <c r="P654" s="3"/>
      <c r="Q654" s="3"/>
      <c r="R654" s="111"/>
      <c r="S654" s="111"/>
      <c r="T654" s="111"/>
    </row>
    <row r="655" spans="3:20" s="4" customFormat="1" x14ac:dyDescent="0.25">
      <c r="C655" s="3"/>
      <c r="D655" s="3"/>
      <c r="E655" s="3"/>
      <c r="F655" s="3"/>
      <c r="G655" s="3"/>
      <c r="H655" s="3"/>
      <c r="I655" s="3"/>
      <c r="J655" s="3"/>
      <c r="K655" s="3"/>
      <c r="L655" s="3"/>
      <c r="M655" s="3"/>
      <c r="N655" s="3"/>
      <c r="O655" s="3"/>
      <c r="P655" s="3"/>
      <c r="Q655" s="3"/>
      <c r="R655" s="111"/>
      <c r="S655" s="111"/>
      <c r="T655" s="111"/>
    </row>
    <row r="656" spans="3:20" s="4" customFormat="1" x14ac:dyDescent="0.25">
      <c r="C656" s="3"/>
      <c r="D656" s="3"/>
      <c r="E656" s="3"/>
      <c r="F656" s="3"/>
      <c r="G656" s="3"/>
      <c r="H656" s="3"/>
      <c r="I656" s="3"/>
      <c r="J656" s="3"/>
      <c r="K656" s="3"/>
      <c r="L656" s="3"/>
      <c r="M656" s="3"/>
      <c r="N656" s="3"/>
      <c r="O656" s="3"/>
      <c r="P656" s="3"/>
      <c r="Q656" s="3"/>
      <c r="R656" s="111"/>
      <c r="S656" s="111"/>
      <c r="T656" s="111"/>
    </row>
    <row r="657" spans="3:20" s="4" customFormat="1" x14ac:dyDescent="0.25">
      <c r="C657" s="3"/>
      <c r="D657" s="3"/>
      <c r="E657" s="3"/>
      <c r="F657" s="3"/>
      <c r="G657" s="3"/>
      <c r="H657" s="3"/>
      <c r="I657" s="3"/>
      <c r="J657" s="3"/>
      <c r="K657" s="3"/>
      <c r="L657" s="3"/>
      <c r="M657" s="3"/>
      <c r="N657" s="3"/>
      <c r="O657" s="3"/>
      <c r="P657" s="3"/>
      <c r="Q657" s="3"/>
      <c r="R657" s="111"/>
      <c r="S657" s="111"/>
      <c r="T657" s="111"/>
    </row>
    <row r="658" spans="3:20" s="4" customFormat="1" x14ac:dyDescent="0.25">
      <c r="C658" s="3"/>
      <c r="D658" s="3"/>
      <c r="E658" s="3"/>
      <c r="F658" s="3"/>
      <c r="G658" s="3"/>
      <c r="H658" s="3"/>
      <c r="I658" s="3"/>
      <c r="J658" s="3"/>
      <c r="K658" s="3"/>
      <c r="L658" s="3"/>
      <c r="M658" s="3"/>
      <c r="N658" s="3"/>
      <c r="O658" s="3"/>
      <c r="P658" s="3"/>
      <c r="Q658" s="3"/>
      <c r="R658" s="111"/>
      <c r="S658" s="111"/>
      <c r="T658" s="111"/>
    </row>
    <row r="659" spans="3:20" s="4" customFormat="1" x14ac:dyDescent="0.25">
      <c r="C659" s="3"/>
      <c r="D659" s="3"/>
      <c r="E659" s="3"/>
      <c r="F659" s="3"/>
      <c r="G659" s="3"/>
      <c r="H659" s="3"/>
      <c r="I659" s="3"/>
      <c r="J659" s="3"/>
      <c r="K659" s="3"/>
      <c r="L659" s="3"/>
      <c r="M659" s="3"/>
      <c r="N659" s="3"/>
      <c r="O659" s="3"/>
      <c r="P659" s="3"/>
      <c r="Q659" s="3"/>
      <c r="R659" s="111"/>
      <c r="S659" s="111"/>
      <c r="T659" s="111"/>
    </row>
    <row r="660" spans="3:20" s="4" customFormat="1" x14ac:dyDescent="0.25">
      <c r="C660" s="3"/>
      <c r="D660" s="3"/>
      <c r="E660" s="3"/>
      <c r="F660" s="3"/>
      <c r="G660" s="3"/>
      <c r="H660" s="3"/>
      <c r="I660" s="3"/>
      <c r="J660" s="3"/>
      <c r="K660" s="3"/>
      <c r="L660" s="3"/>
      <c r="M660" s="3"/>
      <c r="N660" s="3"/>
      <c r="O660" s="3"/>
      <c r="P660" s="3"/>
      <c r="Q660" s="3"/>
      <c r="R660" s="111"/>
      <c r="S660" s="111"/>
      <c r="T660" s="111"/>
    </row>
    <row r="661" spans="3:20" s="4" customFormat="1" x14ac:dyDescent="0.25">
      <c r="C661" s="3"/>
      <c r="D661" s="3"/>
      <c r="E661" s="3"/>
      <c r="F661" s="3"/>
      <c r="G661" s="3"/>
      <c r="H661" s="3"/>
      <c r="I661" s="3"/>
      <c r="J661" s="3"/>
      <c r="K661" s="3"/>
      <c r="L661" s="3"/>
      <c r="M661" s="3"/>
      <c r="N661" s="3"/>
      <c r="O661" s="3"/>
      <c r="P661" s="3"/>
      <c r="Q661" s="3"/>
      <c r="R661" s="111"/>
      <c r="S661" s="111"/>
      <c r="T661" s="111"/>
    </row>
    <row r="662" spans="3:20" s="4" customFormat="1" x14ac:dyDescent="0.25">
      <c r="C662" s="3"/>
      <c r="D662" s="3"/>
      <c r="E662" s="3"/>
      <c r="F662" s="3"/>
      <c r="G662" s="3"/>
      <c r="H662" s="3"/>
      <c r="I662" s="3"/>
      <c r="J662" s="3"/>
      <c r="K662" s="3"/>
      <c r="L662" s="3"/>
      <c r="M662" s="3"/>
      <c r="N662" s="3"/>
      <c r="O662" s="3"/>
      <c r="P662" s="3"/>
      <c r="Q662" s="3"/>
      <c r="R662" s="111"/>
      <c r="S662" s="111"/>
      <c r="T662" s="111"/>
    </row>
    <row r="663" spans="3:20" s="4" customFormat="1" x14ac:dyDescent="0.25">
      <c r="C663" s="3"/>
      <c r="D663" s="3"/>
      <c r="E663" s="3"/>
      <c r="F663" s="3"/>
      <c r="G663" s="3"/>
      <c r="H663" s="3"/>
      <c r="I663" s="3"/>
      <c r="J663" s="3"/>
      <c r="K663" s="3"/>
      <c r="L663" s="3"/>
      <c r="M663" s="3"/>
      <c r="N663" s="3"/>
      <c r="O663" s="3"/>
      <c r="P663" s="3"/>
      <c r="Q663" s="3"/>
      <c r="R663" s="111"/>
      <c r="S663" s="111"/>
      <c r="T663" s="111"/>
    </row>
    <row r="664" spans="3:20" s="4" customFormat="1" x14ac:dyDescent="0.25">
      <c r="C664" s="3"/>
      <c r="D664" s="3"/>
      <c r="E664" s="3"/>
      <c r="F664" s="3"/>
      <c r="G664" s="3"/>
      <c r="H664" s="3"/>
      <c r="I664" s="3"/>
      <c r="J664" s="3"/>
      <c r="K664" s="3"/>
      <c r="L664" s="3"/>
      <c r="M664" s="3"/>
      <c r="N664" s="3"/>
      <c r="O664" s="3"/>
      <c r="P664" s="3"/>
      <c r="Q664" s="3"/>
      <c r="R664" s="111"/>
      <c r="S664" s="111"/>
      <c r="T664" s="111"/>
    </row>
    <row r="665" spans="3:20" s="4" customFormat="1" x14ac:dyDescent="0.25">
      <c r="C665" s="3"/>
      <c r="D665" s="3"/>
      <c r="E665" s="3"/>
      <c r="F665" s="3"/>
      <c r="G665" s="3"/>
      <c r="H665" s="3"/>
      <c r="I665" s="3"/>
      <c r="J665" s="3"/>
      <c r="K665" s="3"/>
      <c r="L665" s="3"/>
      <c r="M665" s="3"/>
      <c r="N665" s="3"/>
      <c r="O665" s="3"/>
      <c r="P665" s="3"/>
      <c r="Q665" s="3"/>
      <c r="R665" s="111"/>
      <c r="S665" s="111"/>
      <c r="T665" s="111"/>
    </row>
    <row r="666" spans="3:20" s="4" customFormat="1" x14ac:dyDescent="0.25">
      <c r="C666" s="3"/>
      <c r="D666" s="3"/>
      <c r="E666" s="3"/>
      <c r="F666" s="3"/>
      <c r="G666" s="3"/>
      <c r="H666" s="3"/>
      <c r="I666" s="3"/>
      <c r="J666" s="3"/>
      <c r="K666" s="3"/>
      <c r="L666" s="3"/>
      <c r="M666" s="3"/>
      <c r="N666" s="3"/>
      <c r="O666" s="3"/>
      <c r="P666" s="3"/>
      <c r="Q666" s="3"/>
      <c r="R666" s="111"/>
      <c r="S666" s="111"/>
      <c r="T666" s="111"/>
    </row>
    <row r="667" spans="3:20" s="4" customFormat="1" x14ac:dyDescent="0.25">
      <c r="C667" s="3"/>
      <c r="D667" s="3"/>
      <c r="E667" s="3"/>
      <c r="F667" s="3"/>
      <c r="G667" s="3"/>
      <c r="H667" s="3"/>
      <c r="I667" s="3"/>
      <c r="J667" s="3"/>
      <c r="K667" s="3"/>
      <c r="L667" s="3"/>
      <c r="M667" s="3"/>
      <c r="N667" s="3"/>
      <c r="O667" s="3"/>
      <c r="P667" s="3"/>
      <c r="Q667" s="3"/>
      <c r="R667" s="111"/>
      <c r="S667" s="111"/>
      <c r="T667" s="111"/>
    </row>
    <row r="668" spans="3:20" s="4" customFormat="1" x14ac:dyDescent="0.25">
      <c r="C668" s="3"/>
      <c r="D668" s="3"/>
      <c r="E668" s="3"/>
      <c r="F668" s="3"/>
      <c r="G668" s="3"/>
      <c r="H668" s="3"/>
      <c r="I668" s="3"/>
      <c r="J668" s="3"/>
      <c r="K668" s="3"/>
      <c r="L668" s="3"/>
      <c r="M668" s="3"/>
      <c r="N668" s="3"/>
      <c r="O668" s="3"/>
      <c r="P668" s="3"/>
      <c r="Q668" s="3"/>
      <c r="R668" s="111"/>
      <c r="S668" s="111"/>
      <c r="T668" s="111"/>
    </row>
    <row r="669" spans="3:20" s="4" customFormat="1" x14ac:dyDescent="0.25">
      <c r="C669" s="3"/>
      <c r="D669" s="3"/>
      <c r="E669" s="3"/>
      <c r="F669" s="3"/>
      <c r="G669" s="3"/>
      <c r="H669" s="3"/>
      <c r="I669" s="3"/>
      <c r="J669" s="3"/>
      <c r="K669" s="3"/>
      <c r="L669" s="3"/>
      <c r="M669" s="3"/>
      <c r="N669" s="3"/>
      <c r="O669" s="3"/>
      <c r="P669" s="3"/>
      <c r="Q669" s="3"/>
      <c r="R669" s="111"/>
      <c r="S669" s="111"/>
      <c r="T669" s="111"/>
    </row>
    <row r="670" spans="3:20" s="4" customFormat="1" x14ac:dyDescent="0.25">
      <c r="C670" s="3"/>
      <c r="D670" s="3"/>
      <c r="E670" s="3"/>
      <c r="F670" s="3"/>
      <c r="G670" s="3"/>
      <c r="H670" s="3"/>
      <c r="I670" s="3"/>
      <c r="J670" s="3"/>
      <c r="K670" s="3"/>
      <c r="L670" s="3"/>
      <c r="M670" s="3"/>
      <c r="N670" s="3"/>
      <c r="O670" s="3"/>
      <c r="P670" s="3"/>
      <c r="Q670" s="3"/>
      <c r="R670" s="111"/>
      <c r="S670" s="111"/>
      <c r="T670" s="111"/>
    </row>
    <row r="671" spans="3:20" s="4" customFormat="1" x14ac:dyDescent="0.25">
      <c r="C671" s="3"/>
      <c r="D671" s="3"/>
      <c r="E671" s="3"/>
      <c r="F671" s="3"/>
      <c r="G671" s="3"/>
      <c r="H671" s="3"/>
      <c r="I671" s="3"/>
      <c r="J671" s="3"/>
      <c r="K671" s="3"/>
      <c r="L671" s="3"/>
      <c r="M671" s="3"/>
      <c r="N671" s="3"/>
      <c r="O671" s="3"/>
      <c r="P671" s="3"/>
      <c r="Q671" s="3"/>
      <c r="R671" s="111"/>
      <c r="S671" s="111"/>
      <c r="T671" s="111"/>
    </row>
    <row r="672" spans="3:20" s="4" customFormat="1" x14ac:dyDescent="0.25">
      <c r="C672" s="3"/>
      <c r="D672" s="3"/>
      <c r="E672" s="3"/>
      <c r="F672" s="3"/>
      <c r="G672" s="3"/>
      <c r="H672" s="3"/>
      <c r="I672" s="3"/>
      <c r="J672" s="3"/>
      <c r="K672" s="3"/>
      <c r="L672" s="3"/>
      <c r="M672" s="3"/>
      <c r="N672" s="3"/>
      <c r="O672" s="3"/>
      <c r="P672" s="3"/>
      <c r="Q672" s="3"/>
      <c r="R672" s="111"/>
      <c r="S672" s="111"/>
      <c r="T672" s="111"/>
    </row>
    <row r="673" spans="3:20" s="4" customFormat="1" x14ac:dyDescent="0.25">
      <c r="C673" s="3"/>
      <c r="D673" s="3"/>
      <c r="E673" s="3"/>
      <c r="F673" s="3"/>
      <c r="G673" s="3"/>
      <c r="H673" s="3"/>
      <c r="I673" s="3"/>
      <c r="J673" s="3"/>
      <c r="K673" s="3"/>
      <c r="L673" s="3"/>
      <c r="M673" s="3"/>
      <c r="N673" s="3"/>
      <c r="O673" s="3"/>
      <c r="P673" s="3"/>
      <c r="Q673" s="3"/>
      <c r="R673" s="111"/>
      <c r="S673" s="111"/>
      <c r="T673" s="111"/>
    </row>
    <row r="674" spans="3:20" s="4" customFormat="1" x14ac:dyDescent="0.25">
      <c r="C674" s="3"/>
      <c r="D674" s="3"/>
      <c r="E674" s="3"/>
      <c r="F674" s="3"/>
      <c r="G674" s="3"/>
      <c r="H674" s="3"/>
      <c r="I674" s="3"/>
      <c r="J674" s="3"/>
      <c r="K674" s="3"/>
      <c r="L674" s="3"/>
      <c r="M674" s="3"/>
      <c r="N674" s="3"/>
      <c r="O674" s="3"/>
      <c r="P674" s="3"/>
      <c r="Q674" s="3"/>
      <c r="R674" s="111"/>
      <c r="S674" s="111"/>
      <c r="T674" s="111"/>
    </row>
    <row r="675" spans="3:20" s="4" customFormat="1" x14ac:dyDescent="0.25">
      <c r="C675" s="3"/>
      <c r="D675" s="3"/>
      <c r="E675" s="3"/>
      <c r="F675" s="3"/>
      <c r="G675" s="3"/>
      <c r="H675" s="3"/>
      <c r="I675" s="3"/>
      <c r="J675" s="3"/>
      <c r="K675" s="3"/>
      <c r="L675" s="3"/>
      <c r="M675" s="3"/>
      <c r="N675" s="3"/>
      <c r="O675" s="3"/>
      <c r="P675" s="3"/>
      <c r="Q675" s="3"/>
      <c r="R675" s="111"/>
      <c r="S675" s="111"/>
      <c r="T675" s="111"/>
    </row>
    <row r="676" spans="3:20" s="4" customFormat="1" x14ac:dyDescent="0.25">
      <c r="C676" s="3"/>
      <c r="D676" s="3"/>
      <c r="E676" s="3"/>
      <c r="F676" s="3"/>
      <c r="G676" s="3"/>
      <c r="H676" s="3"/>
      <c r="I676" s="3"/>
      <c r="J676" s="3"/>
      <c r="K676" s="3"/>
      <c r="L676" s="3"/>
      <c r="M676" s="3"/>
      <c r="N676" s="3"/>
      <c r="O676" s="3"/>
      <c r="P676" s="3"/>
      <c r="Q676" s="3"/>
      <c r="R676" s="111"/>
      <c r="S676" s="111"/>
      <c r="T676" s="111"/>
    </row>
    <row r="677" spans="3:20" s="4" customFormat="1" x14ac:dyDescent="0.25">
      <c r="C677" s="3"/>
      <c r="D677" s="3"/>
      <c r="E677" s="3"/>
      <c r="F677" s="3"/>
      <c r="G677" s="3"/>
      <c r="H677" s="3"/>
      <c r="I677" s="3"/>
      <c r="J677" s="3"/>
      <c r="K677" s="3"/>
      <c r="L677" s="3"/>
      <c r="M677" s="3"/>
      <c r="N677" s="3"/>
      <c r="O677" s="3"/>
      <c r="P677" s="3"/>
      <c r="Q677" s="3"/>
      <c r="R677" s="111"/>
      <c r="S677" s="111"/>
      <c r="T677" s="111"/>
    </row>
    <row r="678" spans="3:20" s="4" customFormat="1" x14ac:dyDescent="0.25">
      <c r="C678" s="3"/>
      <c r="D678" s="3"/>
      <c r="E678" s="3"/>
      <c r="F678" s="3"/>
      <c r="G678" s="3"/>
      <c r="H678" s="3"/>
      <c r="I678" s="3"/>
      <c r="J678" s="3"/>
      <c r="K678" s="3"/>
      <c r="L678" s="3"/>
      <c r="M678" s="3"/>
      <c r="N678" s="3"/>
      <c r="O678" s="3"/>
      <c r="P678" s="3"/>
      <c r="Q678" s="3"/>
      <c r="R678" s="111"/>
      <c r="S678" s="111"/>
      <c r="T678" s="111"/>
    </row>
    <row r="679" spans="3:20" s="4" customFormat="1" x14ac:dyDescent="0.25">
      <c r="C679" s="3"/>
      <c r="D679" s="3"/>
      <c r="E679" s="3"/>
      <c r="F679" s="3"/>
      <c r="G679" s="3"/>
      <c r="H679" s="3"/>
      <c r="I679" s="3"/>
      <c r="J679" s="3"/>
      <c r="K679" s="3"/>
      <c r="L679" s="3"/>
      <c r="M679" s="3"/>
      <c r="N679" s="3"/>
      <c r="O679" s="3"/>
      <c r="P679" s="3"/>
      <c r="Q679" s="3"/>
      <c r="R679" s="111"/>
      <c r="S679" s="111"/>
      <c r="T679" s="111"/>
    </row>
    <row r="680" spans="3:20" s="4" customFormat="1" x14ac:dyDescent="0.25">
      <c r="C680" s="3"/>
      <c r="D680" s="3"/>
      <c r="E680" s="3"/>
      <c r="F680" s="3"/>
      <c r="G680" s="3"/>
      <c r="H680" s="3"/>
      <c r="I680" s="3"/>
      <c r="J680" s="3"/>
      <c r="K680" s="3"/>
      <c r="L680" s="3"/>
      <c r="M680" s="3"/>
      <c r="N680" s="3"/>
      <c r="O680" s="3"/>
      <c r="P680" s="3"/>
      <c r="Q680" s="3"/>
      <c r="R680" s="111"/>
      <c r="S680" s="111"/>
      <c r="T680" s="111"/>
    </row>
    <row r="681" spans="3:20" s="4" customFormat="1" x14ac:dyDescent="0.25">
      <c r="C681" s="3"/>
      <c r="D681" s="3"/>
      <c r="E681" s="3"/>
      <c r="F681" s="3"/>
      <c r="G681" s="3"/>
      <c r="H681" s="3"/>
      <c r="I681" s="3"/>
      <c r="J681" s="3"/>
      <c r="K681" s="3"/>
      <c r="L681" s="3"/>
      <c r="M681" s="3"/>
      <c r="N681" s="3"/>
      <c r="O681" s="3"/>
      <c r="P681" s="3"/>
      <c r="Q681" s="3"/>
      <c r="R681" s="111"/>
      <c r="S681" s="111"/>
      <c r="T681" s="111"/>
    </row>
    <row r="682" spans="3:20" s="4" customFormat="1" x14ac:dyDescent="0.25">
      <c r="C682" s="3"/>
      <c r="D682" s="3"/>
      <c r="E682" s="3"/>
      <c r="F682" s="3"/>
      <c r="G682" s="3"/>
      <c r="H682" s="3"/>
      <c r="I682" s="3"/>
      <c r="J682" s="3"/>
      <c r="K682" s="3"/>
      <c r="L682" s="3"/>
      <c r="M682" s="3"/>
      <c r="N682" s="3"/>
      <c r="O682" s="3"/>
      <c r="P682" s="3"/>
      <c r="Q682" s="3"/>
      <c r="R682" s="111"/>
      <c r="S682" s="111"/>
      <c r="T682" s="111"/>
    </row>
    <row r="683" spans="3:20" s="4" customFormat="1" x14ac:dyDescent="0.25">
      <c r="C683" s="3"/>
      <c r="D683" s="3"/>
      <c r="E683" s="3"/>
      <c r="F683" s="3"/>
      <c r="G683" s="3"/>
      <c r="H683" s="3"/>
      <c r="I683" s="3"/>
      <c r="J683" s="3"/>
      <c r="K683" s="3"/>
      <c r="L683" s="3"/>
      <c r="M683" s="3"/>
      <c r="N683" s="3"/>
      <c r="O683" s="3"/>
      <c r="P683" s="3"/>
      <c r="Q683" s="3"/>
      <c r="R683" s="111"/>
      <c r="S683" s="111"/>
      <c r="T683" s="111"/>
    </row>
    <row r="684" spans="3:20" s="4" customFormat="1" x14ac:dyDescent="0.25">
      <c r="C684" s="3"/>
      <c r="D684" s="3"/>
      <c r="E684" s="3"/>
      <c r="F684" s="3"/>
      <c r="G684" s="3"/>
      <c r="H684" s="3"/>
      <c r="I684" s="3"/>
      <c r="J684" s="3"/>
      <c r="K684" s="3"/>
      <c r="L684" s="3"/>
      <c r="M684" s="3"/>
      <c r="N684" s="3"/>
      <c r="O684" s="3"/>
      <c r="P684" s="3"/>
      <c r="Q684" s="3"/>
      <c r="R684" s="111"/>
      <c r="S684" s="111"/>
      <c r="T684" s="111"/>
    </row>
    <row r="685" spans="3:20" s="4" customFormat="1" x14ac:dyDescent="0.25">
      <c r="C685" s="3"/>
      <c r="D685" s="3"/>
      <c r="E685" s="3"/>
      <c r="F685" s="3"/>
      <c r="G685" s="3"/>
      <c r="H685" s="3"/>
      <c r="I685" s="3"/>
      <c r="J685" s="3"/>
      <c r="K685" s="3"/>
      <c r="L685" s="3"/>
      <c r="M685" s="3"/>
      <c r="N685" s="3"/>
      <c r="O685" s="3"/>
      <c r="P685" s="3"/>
      <c r="Q685" s="3"/>
      <c r="R685" s="111"/>
      <c r="S685" s="111"/>
      <c r="T685" s="111"/>
    </row>
    <row r="686" spans="3:20" s="4" customFormat="1" x14ac:dyDescent="0.25">
      <c r="C686" s="3"/>
      <c r="D686" s="3"/>
      <c r="E686" s="3"/>
      <c r="F686" s="3"/>
      <c r="G686" s="3"/>
      <c r="H686" s="3"/>
      <c r="I686" s="3"/>
      <c r="J686" s="3"/>
      <c r="K686" s="3"/>
      <c r="L686" s="3"/>
      <c r="M686" s="3"/>
      <c r="N686" s="3"/>
      <c r="O686" s="3"/>
      <c r="P686" s="3"/>
      <c r="Q686" s="3"/>
      <c r="R686" s="111"/>
      <c r="S686" s="111"/>
      <c r="T686" s="111"/>
    </row>
    <row r="687" spans="3:20" s="4" customFormat="1" x14ac:dyDescent="0.25">
      <c r="C687" s="3"/>
      <c r="D687" s="3"/>
      <c r="E687" s="3"/>
      <c r="F687" s="3"/>
      <c r="G687" s="3"/>
      <c r="H687" s="3"/>
      <c r="I687" s="3"/>
      <c r="J687" s="3"/>
      <c r="K687" s="3"/>
      <c r="L687" s="3"/>
      <c r="M687" s="3"/>
      <c r="N687" s="3"/>
      <c r="O687" s="3"/>
      <c r="P687" s="3"/>
      <c r="Q687" s="3"/>
      <c r="R687" s="111"/>
      <c r="S687" s="111"/>
      <c r="T687" s="111"/>
    </row>
    <row r="688" spans="3:20" s="4" customFormat="1" x14ac:dyDescent="0.25">
      <c r="C688" s="3"/>
      <c r="D688" s="3"/>
      <c r="E688" s="3"/>
      <c r="F688" s="3"/>
      <c r="G688" s="3"/>
      <c r="H688" s="3"/>
      <c r="I688" s="3"/>
      <c r="J688" s="3"/>
      <c r="K688" s="3"/>
      <c r="L688" s="3"/>
      <c r="M688" s="3"/>
      <c r="N688" s="3"/>
      <c r="O688" s="3"/>
      <c r="P688" s="3"/>
      <c r="Q688" s="3"/>
      <c r="R688" s="111"/>
      <c r="S688" s="111"/>
      <c r="T688" s="111"/>
    </row>
    <row r="689" spans="3:20" s="4" customFormat="1" x14ac:dyDescent="0.25">
      <c r="C689" s="3"/>
      <c r="D689" s="3"/>
      <c r="E689" s="3"/>
      <c r="F689" s="3"/>
      <c r="G689" s="3"/>
      <c r="H689" s="3"/>
      <c r="I689" s="3"/>
      <c r="J689" s="3"/>
      <c r="K689" s="3"/>
      <c r="L689" s="3"/>
      <c r="M689" s="3"/>
      <c r="N689" s="3"/>
      <c r="O689" s="3"/>
      <c r="P689" s="3"/>
      <c r="Q689" s="3"/>
      <c r="R689" s="111"/>
      <c r="S689" s="111"/>
      <c r="T689" s="111"/>
    </row>
    <row r="690" spans="3:20" s="4" customFormat="1" x14ac:dyDescent="0.25">
      <c r="C690" s="3"/>
      <c r="D690" s="3"/>
      <c r="E690" s="3"/>
      <c r="F690" s="3"/>
      <c r="G690" s="3"/>
      <c r="H690" s="3"/>
      <c r="I690" s="3"/>
      <c r="J690" s="3"/>
      <c r="K690" s="3"/>
      <c r="L690" s="3"/>
      <c r="M690" s="3"/>
      <c r="N690" s="3"/>
      <c r="O690" s="3"/>
      <c r="P690" s="3"/>
      <c r="Q690" s="3"/>
      <c r="R690" s="111"/>
      <c r="S690" s="111"/>
      <c r="T690" s="111"/>
    </row>
    <row r="691" spans="3:20" s="4" customFormat="1" x14ac:dyDescent="0.25">
      <c r="C691" s="3"/>
      <c r="D691" s="3"/>
      <c r="E691" s="3"/>
      <c r="F691" s="3"/>
      <c r="G691" s="3"/>
      <c r="H691" s="3"/>
      <c r="I691" s="3"/>
      <c r="J691" s="3"/>
      <c r="K691" s="3"/>
      <c r="L691" s="3"/>
      <c r="M691" s="3"/>
      <c r="N691" s="3"/>
      <c r="O691" s="3"/>
      <c r="P691" s="3"/>
      <c r="Q691" s="3"/>
      <c r="R691" s="111"/>
      <c r="S691" s="111"/>
      <c r="T691" s="111"/>
    </row>
    <row r="692" spans="3:20" s="4" customFormat="1" x14ac:dyDescent="0.25">
      <c r="C692" s="3"/>
      <c r="D692" s="3"/>
      <c r="E692" s="3"/>
      <c r="F692" s="3"/>
      <c r="G692" s="3"/>
      <c r="H692" s="3"/>
      <c r="I692" s="3"/>
      <c r="J692" s="3"/>
      <c r="K692" s="3"/>
      <c r="L692" s="3"/>
      <c r="M692" s="3"/>
      <c r="N692" s="3"/>
      <c r="O692" s="3"/>
      <c r="P692" s="3"/>
      <c r="Q692" s="3"/>
      <c r="R692" s="111"/>
      <c r="S692" s="111"/>
      <c r="T692" s="111"/>
    </row>
    <row r="693" spans="3:20" s="4" customFormat="1" x14ac:dyDescent="0.25">
      <c r="C693" s="3"/>
      <c r="D693" s="3"/>
      <c r="E693" s="3"/>
      <c r="F693" s="3"/>
      <c r="G693" s="3"/>
      <c r="H693" s="3"/>
      <c r="I693" s="3"/>
      <c r="J693" s="3"/>
      <c r="K693" s="3"/>
      <c r="L693" s="3"/>
      <c r="M693" s="3"/>
      <c r="N693" s="3"/>
      <c r="O693" s="3"/>
      <c r="P693" s="3"/>
      <c r="Q693" s="3"/>
      <c r="R693" s="111"/>
      <c r="S693" s="111"/>
      <c r="T693" s="111"/>
    </row>
    <row r="694" spans="3:20" s="4" customFormat="1" x14ac:dyDescent="0.25">
      <c r="C694" s="3"/>
      <c r="D694" s="3"/>
      <c r="E694" s="3"/>
      <c r="F694" s="3"/>
      <c r="G694" s="3"/>
      <c r="H694" s="3"/>
      <c r="I694" s="3"/>
      <c r="J694" s="3"/>
      <c r="K694" s="3"/>
      <c r="L694" s="3"/>
      <c r="M694" s="3"/>
      <c r="N694" s="3"/>
      <c r="O694" s="3"/>
      <c r="P694" s="3"/>
      <c r="Q694" s="3"/>
      <c r="R694" s="111"/>
      <c r="S694" s="111"/>
      <c r="T694" s="111"/>
    </row>
    <row r="695" spans="3:20" s="4" customFormat="1" x14ac:dyDescent="0.25">
      <c r="C695" s="3"/>
      <c r="D695" s="3"/>
      <c r="E695" s="3"/>
      <c r="F695" s="3"/>
      <c r="G695" s="3"/>
      <c r="H695" s="3"/>
      <c r="I695" s="3"/>
      <c r="J695" s="3"/>
      <c r="K695" s="3"/>
      <c r="L695" s="3"/>
      <c r="M695" s="3"/>
      <c r="N695" s="3"/>
      <c r="O695" s="3"/>
      <c r="P695" s="3"/>
      <c r="Q695" s="3"/>
      <c r="R695" s="111"/>
      <c r="S695" s="111"/>
      <c r="T695" s="111"/>
    </row>
    <row r="696" spans="3:20" s="4" customFormat="1" x14ac:dyDescent="0.25">
      <c r="C696" s="3"/>
      <c r="D696" s="3"/>
      <c r="E696" s="3"/>
      <c r="F696" s="3"/>
      <c r="G696" s="3"/>
      <c r="H696" s="3"/>
      <c r="I696" s="3"/>
      <c r="J696" s="3"/>
      <c r="K696" s="3"/>
      <c r="L696" s="3"/>
      <c r="M696" s="3"/>
      <c r="N696" s="3"/>
      <c r="O696" s="3"/>
      <c r="P696" s="3"/>
      <c r="Q696" s="3"/>
      <c r="R696" s="111"/>
      <c r="S696" s="111"/>
      <c r="T696" s="111"/>
    </row>
    <row r="697" spans="3:20" s="4" customFormat="1" x14ac:dyDescent="0.25">
      <c r="C697" s="3"/>
      <c r="D697" s="3"/>
      <c r="E697" s="3"/>
      <c r="F697" s="3"/>
      <c r="G697" s="3"/>
      <c r="H697" s="3"/>
      <c r="I697" s="3"/>
      <c r="J697" s="3"/>
      <c r="K697" s="3"/>
      <c r="L697" s="3"/>
      <c r="M697" s="3"/>
      <c r="N697" s="3"/>
      <c r="O697" s="3"/>
      <c r="P697" s="3"/>
      <c r="Q697" s="3"/>
      <c r="R697" s="111"/>
      <c r="S697" s="111"/>
      <c r="T697" s="111"/>
    </row>
    <row r="698" spans="3:20" s="4" customFormat="1" x14ac:dyDescent="0.25">
      <c r="C698" s="3"/>
      <c r="D698" s="3"/>
      <c r="E698" s="3"/>
      <c r="F698" s="3"/>
      <c r="G698" s="3"/>
      <c r="H698" s="3"/>
      <c r="I698" s="3"/>
      <c r="J698" s="3"/>
      <c r="K698" s="3"/>
      <c r="L698" s="3"/>
      <c r="M698" s="3"/>
      <c r="N698" s="3"/>
      <c r="O698" s="3"/>
      <c r="P698" s="3"/>
      <c r="Q698" s="3"/>
      <c r="R698" s="111"/>
      <c r="S698" s="111"/>
      <c r="T698" s="111"/>
    </row>
    <row r="699" spans="3:20" s="4" customFormat="1" x14ac:dyDescent="0.25">
      <c r="C699" s="3"/>
      <c r="D699" s="3"/>
      <c r="E699" s="3"/>
      <c r="F699" s="3"/>
      <c r="G699" s="3"/>
      <c r="H699" s="3"/>
      <c r="I699" s="3"/>
      <c r="J699" s="3"/>
      <c r="K699" s="3"/>
      <c r="L699" s="3"/>
      <c r="M699" s="3"/>
      <c r="N699" s="3"/>
      <c r="O699" s="3"/>
      <c r="P699" s="3"/>
      <c r="Q699" s="3"/>
      <c r="R699" s="111"/>
      <c r="S699" s="111"/>
      <c r="T699" s="111"/>
    </row>
    <row r="700" spans="3:20" s="4" customFormat="1" x14ac:dyDescent="0.25">
      <c r="C700" s="3"/>
      <c r="D700" s="3"/>
      <c r="E700" s="3"/>
      <c r="F700" s="3"/>
      <c r="G700" s="3"/>
      <c r="H700" s="3"/>
      <c r="I700" s="3"/>
      <c r="J700" s="3"/>
      <c r="K700" s="3"/>
      <c r="L700" s="3"/>
      <c r="M700" s="3"/>
      <c r="N700" s="3"/>
      <c r="O700" s="3"/>
      <c r="P700" s="3"/>
      <c r="Q700" s="3"/>
      <c r="R700" s="111"/>
      <c r="S700" s="111"/>
      <c r="T700" s="111"/>
    </row>
    <row r="701" spans="3:20" s="4" customFormat="1" x14ac:dyDescent="0.25">
      <c r="C701" s="3"/>
      <c r="D701" s="3"/>
      <c r="E701" s="3"/>
      <c r="F701" s="3"/>
      <c r="G701" s="3"/>
      <c r="H701" s="3"/>
      <c r="I701" s="3"/>
      <c r="J701" s="3"/>
      <c r="K701" s="3"/>
      <c r="L701" s="3"/>
      <c r="M701" s="3"/>
      <c r="N701" s="3"/>
      <c r="O701" s="3"/>
      <c r="P701" s="3"/>
      <c r="Q701" s="3"/>
      <c r="R701" s="111"/>
      <c r="S701" s="111"/>
      <c r="T701" s="111"/>
    </row>
    <row r="702" spans="3:20" s="4" customFormat="1" x14ac:dyDescent="0.25">
      <c r="C702" s="3"/>
      <c r="D702" s="3"/>
      <c r="E702" s="3"/>
      <c r="F702" s="3"/>
      <c r="G702" s="3"/>
      <c r="H702" s="3"/>
      <c r="I702" s="3"/>
      <c r="J702" s="3"/>
      <c r="K702" s="3"/>
      <c r="L702" s="3"/>
      <c r="M702" s="3"/>
      <c r="N702" s="3"/>
      <c r="O702" s="3"/>
      <c r="P702" s="3"/>
      <c r="Q702" s="3"/>
      <c r="R702" s="111"/>
      <c r="S702" s="111"/>
      <c r="T702" s="111"/>
    </row>
    <row r="703" spans="3:20" s="4" customFormat="1" x14ac:dyDescent="0.25">
      <c r="C703" s="3"/>
      <c r="D703" s="3"/>
      <c r="E703" s="3"/>
      <c r="F703" s="3"/>
      <c r="G703" s="3"/>
      <c r="H703" s="3"/>
      <c r="I703" s="3"/>
      <c r="J703" s="3"/>
      <c r="K703" s="3"/>
      <c r="L703" s="3"/>
      <c r="M703" s="3"/>
      <c r="N703" s="3"/>
      <c r="O703" s="3"/>
      <c r="P703" s="3"/>
      <c r="Q703" s="3"/>
      <c r="R703" s="111"/>
      <c r="S703" s="111"/>
      <c r="T703" s="111"/>
    </row>
    <row r="704" spans="3:20" s="4" customFormat="1" x14ac:dyDescent="0.25">
      <c r="C704" s="3"/>
      <c r="D704" s="3"/>
      <c r="E704" s="3"/>
      <c r="F704" s="3"/>
      <c r="G704" s="3"/>
      <c r="H704" s="3"/>
      <c r="I704" s="3"/>
      <c r="J704" s="3"/>
      <c r="K704" s="3"/>
      <c r="L704" s="3"/>
      <c r="M704" s="3"/>
      <c r="N704" s="3"/>
      <c r="O704" s="3"/>
      <c r="P704" s="3"/>
      <c r="Q704" s="3"/>
      <c r="R704" s="111"/>
      <c r="S704" s="111"/>
      <c r="T704" s="111"/>
    </row>
    <row r="705" spans="3:20" s="4" customFormat="1" x14ac:dyDescent="0.25">
      <c r="C705" s="3"/>
      <c r="D705" s="3"/>
      <c r="E705" s="3"/>
      <c r="F705" s="3"/>
      <c r="G705" s="3"/>
      <c r="H705" s="3"/>
      <c r="I705" s="3"/>
      <c r="J705" s="3"/>
      <c r="K705" s="3"/>
      <c r="L705" s="3"/>
      <c r="M705" s="3"/>
      <c r="N705" s="3"/>
      <c r="O705" s="3"/>
      <c r="P705" s="3"/>
      <c r="Q705" s="3"/>
      <c r="R705" s="111"/>
      <c r="S705" s="111"/>
      <c r="T705" s="111"/>
    </row>
    <row r="706" spans="3:20" s="4" customFormat="1" x14ac:dyDescent="0.25">
      <c r="C706" s="3"/>
      <c r="D706" s="3"/>
      <c r="E706" s="3"/>
      <c r="F706" s="3"/>
      <c r="G706" s="3"/>
      <c r="H706" s="3"/>
      <c r="I706" s="3"/>
      <c r="J706" s="3"/>
      <c r="K706" s="3"/>
      <c r="L706" s="3"/>
      <c r="M706" s="3"/>
      <c r="N706" s="3"/>
      <c r="O706" s="3"/>
      <c r="P706" s="3"/>
      <c r="Q706" s="3"/>
      <c r="R706" s="111"/>
      <c r="S706" s="111"/>
      <c r="T706" s="111"/>
    </row>
    <row r="707" spans="3:20" s="4" customFormat="1" x14ac:dyDescent="0.25">
      <c r="C707" s="3"/>
      <c r="D707" s="3"/>
      <c r="E707" s="3"/>
      <c r="F707" s="3"/>
      <c r="G707" s="3"/>
      <c r="H707" s="3"/>
      <c r="I707" s="3"/>
      <c r="J707" s="3"/>
      <c r="K707" s="3"/>
      <c r="L707" s="3"/>
      <c r="M707" s="3"/>
      <c r="N707" s="3"/>
      <c r="O707" s="3"/>
      <c r="P707" s="3"/>
      <c r="Q707" s="3"/>
      <c r="R707" s="111"/>
      <c r="S707" s="111"/>
      <c r="T707" s="111"/>
    </row>
    <row r="708" spans="3:20" s="4" customFormat="1" x14ac:dyDescent="0.25">
      <c r="C708" s="3"/>
      <c r="D708" s="3"/>
      <c r="E708" s="3"/>
      <c r="F708" s="3"/>
      <c r="G708" s="3"/>
      <c r="H708" s="3"/>
      <c r="I708" s="3"/>
      <c r="J708" s="3"/>
      <c r="K708" s="3"/>
      <c r="L708" s="3"/>
      <c r="M708" s="3"/>
      <c r="N708" s="3"/>
      <c r="O708" s="3"/>
      <c r="P708" s="3"/>
      <c r="Q708" s="3"/>
      <c r="R708" s="111"/>
      <c r="S708" s="111"/>
      <c r="T708" s="111"/>
    </row>
    <row r="709" spans="3:20" s="4" customFormat="1" x14ac:dyDescent="0.25">
      <c r="C709" s="3"/>
      <c r="D709" s="3"/>
      <c r="E709" s="3"/>
      <c r="F709" s="3"/>
      <c r="G709" s="3"/>
      <c r="H709" s="3"/>
      <c r="I709" s="3"/>
      <c r="J709" s="3"/>
      <c r="K709" s="3"/>
      <c r="L709" s="3"/>
      <c r="M709" s="3"/>
      <c r="N709" s="3"/>
      <c r="O709" s="3"/>
      <c r="P709" s="3"/>
      <c r="Q709" s="3"/>
      <c r="R709" s="111"/>
      <c r="S709" s="111"/>
      <c r="T709" s="111"/>
    </row>
    <row r="710" spans="3:20" s="4" customFormat="1" x14ac:dyDescent="0.25">
      <c r="C710" s="3"/>
      <c r="D710" s="3"/>
      <c r="E710" s="3"/>
      <c r="F710" s="3"/>
      <c r="G710" s="3"/>
      <c r="H710" s="3"/>
      <c r="I710" s="3"/>
      <c r="J710" s="3"/>
      <c r="K710" s="3"/>
      <c r="L710" s="3"/>
      <c r="M710" s="3"/>
      <c r="N710" s="3"/>
      <c r="O710" s="3"/>
      <c r="P710" s="3"/>
      <c r="Q710" s="3"/>
      <c r="R710" s="111"/>
      <c r="S710" s="111"/>
      <c r="T710" s="111"/>
    </row>
    <row r="711" spans="3:20" s="4" customFormat="1" x14ac:dyDescent="0.25">
      <c r="C711" s="3"/>
      <c r="D711" s="3"/>
      <c r="E711" s="3"/>
      <c r="F711" s="3"/>
      <c r="G711" s="3"/>
      <c r="H711" s="3"/>
      <c r="I711" s="3"/>
      <c r="J711" s="3"/>
      <c r="K711" s="3"/>
      <c r="L711" s="3"/>
      <c r="M711" s="3"/>
      <c r="N711" s="3"/>
      <c r="O711" s="3"/>
      <c r="P711" s="3"/>
      <c r="Q711" s="3"/>
      <c r="R711" s="111"/>
      <c r="S711" s="111"/>
      <c r="T711" s="111"/>
    </row>
    <row r="712" spans="3:20" s="4" customFormat="1" x14ac:dyDescent="0.25">
      <c r="C712" s="3"/>
      <c r="D712" s="3"/>
      <c r="E712" s="3"/>
      <c r="F712" s="3"/>
      <c r="G712" s="3"/>
      <c r="H712" s="3"/>
      <c r="I712" s="3"/>
      <c r="J712" s="3"/>
      <c r="K712" s="3"/>
      <c r="L712" s="3"/>
      <c r="M712" s="3"/>
      <c r="N712" s="3"/>
      <c r="O712" s="3"/>
      <c r="P712" s="3"/>
      <c r="Q712" s="3"/>
      <c r="R712" s="111"/>
      <c r="S712" s="111"/>
      <c r="T712" s="111"/>
    </row>
    <row r="713" spans="3:20" s="4" customFormat="1" x14ac:dyDescent="0.25">
      <c r="C713" s="3"/>
      <c r="D713" s="3"/>
      <c r="E713" s="3"/>
      <c r="F713" s="3"/>
      <c r="G713" s="3"/>
      <c r="H713" s="3"/>
      <c r="I713" s="3"/>
      <c r="J713" s="3"/>
      <c r="K713" s="3"/>
      <c r="L713" s="3"/>
      <c r="M713" s="3"/>
      <c r="N713" s="3"/>
      <c r="O713" s="3"/>
      <c r="P713" s="3"/>
      <c r="Q713" s="3"/>
      <c r="R713" s="111"/>
      <c r="S713" s="111"/>
      <c r="T713" s="111"/>
    </row>
    <row r="714" spans="3:20" s="4" customFormat="1" x14ac:dyDescent="0.25">
      <c r="C714" s="3"/>
      <c r="D714" s="3"/>
      <c r="E714" s="3"/>
      <c r="F714" s="3"/>
      <c r="G714" s="3"/>
      <c r="H714" s="3"/>
      <c r="I714" s="3"/>
      <c r="J714" s="3"/>
      <c r="K714" s="3"/>
      <c r="L714" s="3"/>
      <c r="M714" s="3"/>
      <c r="N714" s="3"/>
      <c r="O714" s="3"/>
      <c r="P714" s="3"/>
      <c r="Q714" s="3"/>
      <c r="R714" s="111"/>
      <c r="S714" s="111"/>
      <c r="T714" s="111"/>
    </row>
    <row r="715" spans="3:20" s="4" customFormat="1" x14ac:dyDescent="0.25">
      <c r="C715" s="3"/>
      <c r="D715" s="3"/>
      <c r="E715" s="3"/>
      <c r="F715" s="3"/>
      <c r="G715" s="3"/>
      <c r="H715" s="3"/>
      <c r="I715" s="3"/>
      <c r="J715" s="3"/>
      <c r="K715" s="3"/>
      <c r="L715" s="3"/>
      <c r="M715" s="3"/>
      <c r="N715" s="3"/>
      <c r="O715" s="3"/>
      <c r="P715" s="3"/>
      <c r="Q715" s="3"/>
      <c r="R715" s="111"/>
      <c r="S715" s="111"/>
      <c r="T715" s="111"/>
    </row>
    <row r="716" spans="3:20" s="4" customFormat="1" x14ac:dyDescent="0.25">
      <c r="C716" s="3"/>
      <c r="D716" s="3"/>
      <c r="E716" s="3"/>
      <c r="F716" s="3"/>
      <c r="G716" s="3"/>
      <c r="H716" s="3"/>
      <c r="I716" s="3"/>
      <c r="J716" s="3"/>
      <c r="K716" s="3"/>
      <c r="L716" s="3"/>
      <c r="M716" s="3"/>
      <c r="N716" s="3"/>
      <c r="O716" s="3"/>
      <c r="P716" s="3"/>
      <c r="Q716" s="3"/>
      <c r="R716" s="111"/>
      <c r="S716" s="111"/>
      <c r="T716" s="111"/>
    </row>
    <row r="717" spans="3:20" s="4" customFormat="1" x14ac:dyDescent="0.25">
      <c r="C717" s="3"/>
      <c r="D717" s="3"/>
      <c r="E717" s="3"/>
      <c r="F717" s="3"/>
      <c r="G717" s="3"/>
      <c r="H717" s="3"/>
      <c r="I717" s="3"/>
      <c r="J717" s="3"/>
      <c r="K717" s="3"/>
      <c r="L717" s="3"/>
      <c r="M717" s="3"/>
      <c r="N717" s="3"/>
      <c r="O717" s="3"/>
      <c r="P717" s="3"/>
      <c r="Q717" s="3"/>
      <c r="R717" s="111"/>
      <c r="S717" s="111"/>
      <c r="T717" s="111"/>
    </row>
    <row r="718" spans="3:20" s="4" customFormat="1" x14ac:dyDescent="0.25">
      <c r="C718" s="3"/>
      <c r="D718" s="3"/>
      <c r="E718" s="3"/>
      <c r="F718" s="3"/>
      <c r="G718" s="3"/>
      <c r="H718" s="3"/>
      <c r="I718" s="3"/>
      <c r="J718" s="3"/>
      <c r="K718" s="3"/>
      <c r="L718" s="3"/>
      <c r="M718" s="3"/>
      <c r="N718" s="3"/>
      <c r="O718" s="3"/>
      <c r="P718" s="3"/>
      <c r="Q718" s="3"/>
      <c r="R718" s="111"/>
      <c r="S718" s="111"/>
      <c r="T718" s="111"/>
    </row>
    <row r="719" spans="3:20" s="4" customFormat="1" x14ac:dyDescent="0.25">
      <c r="C719" s="3"/>
      <c r="D719" s="3"/>
      <c r="E719" s="3"/>
      <c r="F719" s="3"/>
      <c r="G719" s="3"/>
      <c r="H719" s="3"/>
      <c r="I719" s="3"/>
      <c r="J719" s="3"/>
      <c r="K719" s="3"/>
      <c r="L719" s="3"/>
      <c r="M719" s="3"/>
      <c r="N719" s="3"/>
      <c r="O719" s="3"/>
      <c r="P719" s="3"/>
      <c r="Q719" s="3"/>
      <c r="R719" s="111"/>
      <c r="S719" s="111"/>
      <c r="T719" s="111"/>
    </row>
    <row r="720" spans="3:20" s="4" customFormat="1" x14ac:dyDescent="0.25">
      <c r="C720" s="3"/>
      <c r="D720" s="3"/>
      <c r="E720" s="3"/>
      <c r="F720" s="3"/>
      <c r="G720" s="3"/>
      <c r="H720" s="3"/>
      <c r="I720" s="3"/>
      <c r="J720" s="3"/>
      <c r="K720" s="3"/>
      <c r="L720" s="3"/>
      <c r="M720" s="3"/>
      <c r="N720" s="3"/>
      <c r="O720" s="3"/>
      <c r="P720" s="3"/>
      <c r="Q720" s="3"/>
      <c r="R720" s="111"/>
      <c r="S720" s="111"/>
      <c r="T720" s="111"/>
    </row>
    <row r="721" spans="3:20" s="4" customFormat="1" x14ac:dyDescent="0.25">
      <c r="C721" s="3"/>
      <c r="D721" s="3"/>
      <c r="E721" s="3"/>
      <c r="F721" s="3"/>
      <c r="G721" s="3"/>
      <c r="H721" s="3"/>
      <c r="I721" s="3"/>
      <c r="J721" s="3"/>
      <c r="K721" s="3"/>
      <c r="L721" s="3"/>
      <c r="M721" s="3"/>
      <c r="N721" s="3"/>
      <c r="O721" s="3"/>
      <c r="P721" s="3"/>
      <c r="Q721" s="3"/>
      <c r="R721" s="111"/>
      <c r="S721" s="111"/>
      <c r="T721" s="111"/>
    </row>
    <row r="722" spans="3:20" s="4" customFormat="1" x14ac:dyDescent="0.25">
      <c r="C722" s="3"/>
      <c r="D722" s="3"/>
      <c r="E722" s="3"/>
      <c r="F722" s="3"/>
      <c r="G722" s="3"/>
      <c r="H722" s="3"/>
      <c r="I722" s="3"/>
      <c r="J722" s="3"/>
      <c r="K722" s="3"/>
      <c r="L722" s="3"/>
      <c r="M722" s="3"/>
      <c r="N722" s="3"/>
      <c r="O722" s="3"/>
      <c r="P722" s="3"/>
      <c r="Q722" s="3"/>
      <c r="R722" s="111"/>
      <c r="S722" s="111"/>
      <c r="T722" s="111"/>
    </row>
    <row r="723" spans="3:20" s="4" customFormat="1" x14ac:dyDescent="0.25">
      <c r="C723" s="3"/>
      <c r="D723" s="3"/>
      <c r="E723" s="3"/>
      <c r="F723" s="3"/>
      <c r="G723" s="3"/>
      <c r="H723" s="3"/>
      <c r="I723" s="3"/>
      <c r="J723" s="3"/>
      <c r="K723" s="3"/>
      <c r="L723" s="3"/>
      <c r="M723" s="3"/>
      <c r="N723" s="3"/>
      <c r="O723" s="3"/>
      <c r="P723" s="3"/>
      <c r="Q723" s="3"/>
      <c r="R723" s="111"/>
      <c r="S723" s="111"/>
      <c r="T723" s="111"/>
    </row>
    <row r="724" spans="3:20" s="4" customFormat="1" x14ac:dyDescent="0.25">
      <c r="C724" s="3"/>
      <c r="D724" s="3"/>
      <c r="E724" s="3"/>
      <c r="F724" s="3"/>
      <c r="G724" s="3"/>
      <c r="H724" s="3"/>
      <c r="I724" s="3"/>
      <c r="J724" s="3"/>
      <c r="K724" s="3"/>
      <c r="L724" s="3"/>
      <c r="M724" s="3"/>
      <c r="N724" s="3"/>
      <c r="O724" s="3"/>
      <c r="P724" s="3"/>
      <c r="Q724" s="3"/>
      <c r="R724" s="111"/>
      <c r="S724" s="111"/>
      <c r="T724" s="111"/>
    </row>
    <row r="725" spans="3:20" s="4" customFormat="1" x14ac:dyDescent="0.25">
      <c r="C725" s="3"/>
      <c r="D725" s="3"/>
      <c r="E725" s="3"/>
      <c r="F725" s="3"/>
      <c r="G725" s="3"/>
      <c r="H725" s="3"/>
      <c r="I725" s="3"/>
      <c r="J725" s="3"/>
      <c r="K725" s="3"/>
      <c r="L725" s="3"/>
      <c r="M725" s="3"/>
      <c r="N725" s="3"/>
      <c r="O725" s="3"/>
      <c r="P725" s="3"/>
      <c r="Q725" s="3"/>
      <c r="R725" s="111"/>
      <c r="S725" s="111"/>
      <c r="T725" s="111"/>
    </row>
    <row r="726" spans="3:20" s="4" customFormat="1" x14ac:dyDescent="0.25">
      <c r="C726" s="3"/>
      <c r="D726" s="3"/>
      <c r="E726" s="3"/>
      <c r="F726" s="3"/>
      <c r="G726" s="3"/>
      <c r="H726" s="3"/>
      <c r="I726" s="3"/>
      <c r="J726" s="3"/>
      <c r="K726" s="3"/>
      <c r="L726" s="3"/>
      <c r="M726" s="3"/>
      <c r="N726" s="3"/>
      <c r="O726" s="3"/>
      <c r="P726" s="3"/>
      <c r="Q726" s="3"/>
      <c r="R726" s="111"/>
      <c r="S726" s="111"/>
      <c r="T726" s="111"/>
    </row>
    <row r="727" spans="3:20" s="4" customFormat="1" x14ac:dyDescent="0.25">
      <c r="C727" s="3"/>
      <c r="D727" s="3"/>
      <c r="E727" s="3"/>
      <c r="F727" s="3"/>
      <c r="G727" s="3"/>
      <c r="H727" s="3"/>
      <c r="I727" s="3"/>
      <c r="J727" s="3"/>
      <c r="K727" s="3"/>
      <c r="L727" s="3"/>
      <c r="M727" s="3"/>
      <c r="N727" s="3"/>
      <c r="O727" s="3"/>
      <c r="P727" s="3"/>
      <c r="Q727" s="3"/>
      <c r="R727" s="111"/>
      <c r="S727" s="111"/>
      <c r="T727" s="111"/>
    </row>
    <row r="728" spans="3:20" s="4" customFormat="1" x14ac:dyDescent="0.25">
      <c r="C728" s="3"/>
      <c r="D728" s="3"/>
      <c r="E728" s="3"/>
      <c r="F728" s="3"/>
      <c r="G728" s="3"/>
      <c r="H728" s="3"/>
      <c r="I728" s="3"/>
      <c r="J728" s="3"/>
      <c r="K728" s="3"/>
      <c r="L728" s="3"/>
      <c r="M728" s="3"/>
      <c r="N728" s="3"/>
      <c r="O728" s="3"/>
      <c r="P728" s="3"/>
      <c r="Q728" s="3"/>
      <c r="R728" s="111"/>
      <c r="S728" s="111"/>
      <c r="T728" s="111"/>
    </row>
    <row r="729" spans="3:20" s="4" customFormat="1" x14ac:dyDescent="0.25">
      <c r="C729" s="3"/>
      <c r="D729" s="3"/>
      <c r="E729" s="3"/>
      <c r="F729" s="3"/>
      <c r="G729" s="3"/>
      <c r="H729" s="3"/>
      <c r="I729" s="3"/>
      <c r="J729" s="3"/>
      <c r="K729" s="3"/>
      <c r="L729" s="3"/>
      <c r="M729" s="3"/>
      <c r="N729" s="3"/>
      <c r="O729" s="3"/>
      <c r="P729" s="3"/>
      <c r="Q729" s="3"/>
      <c r="R729" s="111"/>
      <c r="S729" s="111"/>
      <c r="T729" s="111"/>
    </row>
    <row r="730" spans="3:20" s="4" customFormat="1" x14ac:dyDescent="0.25">
      <c r="C730" s="3"/>
      <c r="D730" s="3"/>
      <c r="E730" s="3"/>
      <c r="F730" s="3"/>
      <c r="G730" s="3"/>
      <c r="H730" s="3"/>
      <c r="I730" s="3"/>
      <c r="J730" s="3"/>
      <c r="K730" s="3"/>
      <c r="L730" s="3"/>
      <c r="M730" s="3"/>
      <c r="N730" s="3"/>
      <c r="O730" s="3"/>
      <c r="P730" s="3"/>
      <c r="Q730" s="3"/>
      <c r="R730" s="111"/>
      <c r="S730" s="111"/>
      <c r="T730" s="111"/>
    </row>
    <row r="731" spans="3:20" s="4" customFormat="1" x14ac:dyDescent="0.25">
      <c r="C731" s="3"/>
      <c r="D731" s="3"/>
      <c r="E731" s="3"/>
      <c r="F731" s="3"/>
      <c r="G731" s="3"/>
      <c r="H731" s="3"/>
      <c r="I731" s="3"/>
      <c r="J731" s="3"/>
      <c r="K731" s="3"/>
      <c r="L731" s="3"/>
      <c r="M731" s="3"/>
      <c r="N731" s="3"/>
      <c r="O731" s="3"/>
      <c r="P731" s="3"/>
      <c r="Q731" s="3"/>
      <c r="R731" s="111"/>
      <c r="S731" s="111"/>
      <c r="T731" s="111"/>
    </row>
    <row r="732" spans="3:20" s="4" customFormat="1" x14ac:dyDescent="0.25">
      <c r="C732" s="3"/>
      <c r="D732" s="3"/>
      <c r="E732" s="3"/>
      <c r="F732" s="3"/>
      <c r="G732" s="3"/>
      <c r="H732" s="3"/>
      <c r="I732" s="3"/>
      <c r="J732" s="3"/>
      <c r="K732" s="3"/>
      <c r="L732" s="3"/>
      <c r="M732" s="3"/>
      <c r="N732" s="3"/>
      <c r="O732" s="3"/>
      <c r="P732" s="3"/>
      <c r="Q732" s="3"/>
      <c r="R732" s="111"/>
      <c r="S732" s="111"/>
      <c r="T732" s="111"/>
    </row>
    <row r="733" spans="3:20" s="4" customFormat="1" x14ac:dyDescent="0.25">
      <c r="C733" s="3"/>
      <c r="D733" s="3"/>
      <c r="E733" s="3"/>
      <c r="F733" s="3"/>
      <c r="G733" s="3"/>
      <c r="H733" s="3"/>
      <c r="I733" s="3"/>
      <c r="J733" s="3"/>
      <c r="K733" s="3"/>
      <c r="L733" s="3"/>
      <c r="M733" s="3"/>
      <c r="N733" s="3"/>
      <c r="O733" s="3"/>
      <c r="P733" s="3"/>
      <c r="Q733" s="3"/>
      <c r="R733" s="111"/>
      <c r="S733" s="111"/>
      <c r="T733" s="111"/>
    </row>
    <row r="734" spans="3:20" s="4" customFormat="1" x14ac:dyDescent="0.25">
      <c r="C734" s="3"/>
      <c r="D734" s="3"/>
      <c r="E734" s="3"/>
      <c r="F734" s="3"/>
      <c r="G734" s="3"/>
      <c r="H734" s="3"/>
      <c r="I734" s="3"/>
      <c r="J734" s="3"/>
      <c r="K734" s="3"/>
      <c r="L734" s="3"/>
      <c r="M734" s="3"/>
      <c r="N734" s="3"/>
      <c r="O734" s="3"/>
      <c r="P734" s="3"/>
      <c r="Q734" s="3"/>
      <c r="R734" s="111"/>
      <c r="S734" s="111"/>
      <c r="T734" s="111"/>
    </row>
    <row r="735" spans="3:20" s="4" customFormat="1" x14ac:dyDescent="0.25">
      <c r="C735" s="3"/>
      <c r="D735" s="3"/>
      <c r="E735" s="3"/>
      <c r="F735" s="3"/>
      <c r="G735" s="3"/>
      <c r="H735" s="3"/>
      <c r="I735" s="3"/>
      <c r="J735" s="3"/>
      <c r="K735" s="3"/>
      <c r="L735" s="3"/>
      <c r="M735" s="3"/>
      <c r="N735" s="3"/>
      <c r="O735" s="3"/>
      <c r="P735" s="3"/>
      <c r="Q735" s="3"/>
      <c r="R735" s="111"/>
      <c r="S735" s="111"/>
      <c r="T735" s="111"/>
    </row>
    <row r="736" spans="3:20" s="4" customFormat="1" x14ac:dyDescent="0.25">
      <c r="C736" s="3"/>
      <c r="D736" s="3"/>
      <c r="E736" s="3"/>
      <c r="F736" s="3"/>
      <c r="G736" s="3"/>
      <c r="H736" s="3"/>
      <c r="I736" s="3"/>
      <c r="J736" s="3"/>
      <c r="K736" s="3"/>
      <c r="L736" s="3"/>
      <c r="M736" s="3"/>
      <c r="N736" s="3"/>
      <c r="O736" s="3"/>
      <c r="P736" s="3"/>
      <c r="Q736" s="3"/>
      <c r="R736" s="111"/>
      <c r="S736" s="111"/>
      <c r="T736" s="111"/>
    </row>
    <row r="737" spans="3:20" s="4" customFormat="1" x14ac:dyDescent="0.25">
      <c r="C737" s="3"/>
      <c r="D737" s="3"/>
      <c r="E737" s="3"/>
      <c r="F737" s="3"/>
      <c r="G737" s="3"/>
      <c r="H737" s="3"/>
      <c r="I737" s="3"/>
      <c r="J737" s="3"/>
      <c r="K737" s="3"/>
      <c r="L737" s="3"/>
      <c r="M737" s="3"/>
      <c r="N737" s="3"/>
      <c r="O737" s="3"/>
      <c r="P737" s="3"/>
      <c r="Q737" s="3"/>
      <c r="R737" s="111"/>
      <c r="S737" s="111"/>
      <c r="T737" s="111"/>
    </row>
    <row r="738" spans="3:20" s="4" customFormat="1" x14ac:dyDescent="0.25">
      <c r="C738" s="3"/>
      <c r="D738" s="3"/>
      <c r="E738" s="3"/>
      <c r="F738" s="3"/>
      <c r="G738" s="3"/>
      <c r="H738" s="3"/>
      <c r="I738" s="3"/>
      <c r="J738" s="3"/>
      <c r="K738" s="3"/>
      <c r="L738" s="3"/>
      <c r="M738" s="3"/>
      <c r="N738" s="3"/>
      <c r="O738" s="3"/>
      <c r="P738" s="3"/>
      <c r="Q738" s="3"/>
      <c r="R738" s="111"/>
      <c r="S738" s="111"/>
      <c r="T738" s="111"/>
    </row>
    <row r="739" spans="3:20" s="4" customFormat="1" x14ac:dyDescent="0.25">
      <c r="C739" s="3"/>
      <c r="D739" s="3"/>
      <c r="E739" s="3"/>
      <c r="F739" s="3"/>
      <c r="G739" s="3"/>
      <c r="H739" s="3"/>
      <c r="I739" s="3"/>
      <c r="J739" s="3"/>
      <c r="K739" s="3"/>
      <c r="L739" s="3"/>
      <c r="M739" s="3"/>
      <c r="N739" s="3"/>
      <c r="O739" s="3"/>
      <c r="P739" s="3"/>
      <c r="Q739" s="3"/>
      <c r="R739" s="111"/>
      <c r="S739" s="111"/>
      <c r="T739" s="111"/>
    </row>
    <row r="740" spans="3:20" s="4" customFormat="1" x14ac:dyDescent="0.25">
      <c r="C740" s="3"/>
      <c r="D740" s="3"/>
      <c r="E740" s="3"/>
      <c r="F740" s="3"/>
      <c r="G740" s="3"/>
      <c r="H740" s="3"/>
      <c r="I740" s="3"/>
      <c r="J740" s="3"/>
      <c r="K740" s="3"/>
      <c r="L740" s="3"/>
      <c r="M740" s="3"/>
      <c r="N740" s="3"/>
      <c r="O740" s="3"/>
      <c r="P740" s="3"/>
      <c r="Q740" s="3"/>
      <c r="R740" s="111"/>
      <c r="S740" s="111"/>
      <c r="T740" s="111"/>
    </row>
    <row r="741" spans="3:20" s="4" customFormat="1" x14ac:dyDescent="0.25">
      <c r="C741" s="3"/>
      <c r="D741" s="3"/>
      <c r="E741" s="3"/>
      <c r="F741" s="3"/>
      <c r="G741" s="3"/>
      <c r="H741" s="3"/>
      <c r="I741" s="3"/>
      <c r="J741" s="3"/>
      <c r="K741" s="3"/>
      <c r="L741" s="3"/>
      <c r="M741" s="3"/>
      <c r="N741" s="3"/>
      <c r="O741" s="3"/>
      <c r="P741" s="3"/>
      <c r="Q741" s="3"/>
      <c r="R741" s="111"/>
      <c r="S741" s="111"/>
      <c r="T741" s="111"/>
    </row>
    <row r="742" spans="3:20" s="4" customFormat="1" x14ac:dyDescent="0.25">
      <c r="C742" s="3"/>
      <c r="D742" s="3"/>
      <c r="E742" s="3"/>
      <c r="F742" s="3"/>
      <c r="G742" s="3"/>
      <c r="H742" s="3"/>
      <c r="I742" s="3"/>
      <c r="J742" s="3"/>
      <c r="K742" s="3"/>
      <c r="L742" s="3"/>
      <c r="M742" s="3"/>
      <c r="N742" s="3"/>
      <c r="O742" s="3"/>
      <c r="P742" s="3"/>
      <c r="Q742" s="3"/>
      <c r="R742" s="111"/>
      <c r="S742" s="111"/>
      <c r="T742" s="111"/>
    </row>
    <row r="743" spans="3:20" s="4" customFormat="1" x14ac:dyDescent="0.25">
      <c r="C743" s="3"/>
      <c r="D743" s="3"/>
      <c r="E743" s="3"/>
      <c r="F743" s="3"/>
      <c r="G743" s="3"/>
      <c r="H743" s="3"/>
      <c r="I743" s="3"/>
      <c r="J743" s="3"/>
      <c r="K743" s="3"/>
      <c r="L743" s="3"/>
      <c r="M743" s="3"/>
      <c r="N743" s="3"/>
      <c r="O743" s="3"/>
      <c r="P743" s="3"/>
      <c r="Q743" s="3"/>
      <c r="R743" s="111"/>
      <c r="S743" s="111"/>
      <c r="T743" s="111"/>
    </row>
    <row r="744" spans="3:20" s="4" customFormat="1" x14ac:dyDescent="0.25">
      <c r="C744" s="3"/>
      <c r="D744" s="3"/>
      <c r="E744" s="3"/>
      <c r="F744" s="3"/>
      <c r="G744" s="3"/>
      <c r="H744" s="3"/>
      <c r="I744" s="3"/>
      <c r="J744" s="3"/>
      <c r="K744" s="3"/>
      <c r="L744" s="3"/>
      <c r="M744" s="3"/>
      <c r="N744" s="3"/>
      <c r="O744" s="3"/>
      <c r="P744" s="3"/>
      <c r="Q744" s="3"/>
      <c r="R744" s="111"/>
      <c r="S744" s="111"/>
      <c r="T744" s="111"/>
    </row>
    <row r="745" spans="3:20" s="4" customFormat="1" x14ac:dyDescent="0.25">
      <c r="C745" s="3"/>
      <c r="D745" s="3"/>
      <c r="E745" s="3"/>
      <c r="F745" s="3"/>
      <c r="G745" s="3"/>
      <c r="H745" s="3"/>
      <c r="I745" s="3"/>
      <c r="J745" s="3"/>
      <c r="K745" s="3"/>
      <c r="L745" s="3"/>
      <c r="M745" s="3"/>
      <c r="N745" s="3"/>
      <c r="O745" s="3"/>
      <c r="P745" s="3"/>
      <c r="Q745" s="3"/>
      <c r="R745" s="111"/>
      <c r="S745" s="111"/>
      <c r="T745" s="111"/>
    </row>
    <row r="746" spans="3:20" s="4" customFormat="1" x14ac:dyDescent="0.25">
      <c r="C746" s="3"/>
      <c r="D746" s="3"/>
      <c r="E746" s="3"/>
      <c r="F746" s="3"/>
      <c r="G746" s="3"/>
      <c r="H746" s="3"/>
      <c r="I746" s="3"/>
      <c r="J746" s="3"/>
      <c r="K746" s="3"/>
      <c r="L746" s="3"/>
      <c r="M746" s="3"/>
      <c r="N746" s="3"/>
      <c r="O746" s="3"/>
      <c r="P746" s="3"/>
      <c r="Q746" s="3"/>
      <c r="R746" s="111"/>
      <c r="S746" s="111"/>
      <c r="T746" s="111"/>
    </row>
    <row r="747" spans="3:20" s="4" customFormat="1" x14ac:dyDescent="0.25">
      <c r="C747" s="3"/>
      <c r="D747" s="3"/>
      <c r="E747" s="3"/>
      <c r="F747" s="3"/>
      <c r="G747" s="3"/>
      <c r="H747" s="3"/>
      <c r="I747" s="3"/>
      <c r="J747" s="3"/>
      <c r="K747" s="3"/>
      <c r="L747" s="3"/>
      <c r="M747" s="3"/>
      <c r="N747" s="3"/>
      <c r="O747" s="3"/>
      <c r="P747" s="3"/>
      <c r="Q747" s="3"/>
      <c r="R747" s="111"/>
      <c r="S747" s="111"/>
      <c r="T747" s="111"/>
    </row>
    <row r="748" spans="3:20" s="4" customFormat="1" x14ac:dyDescent="0.25">
      <c r="C748" s="3"/>
      <c r="D748" s="3"/>
      <c r="E748" s="3"/>
      <c r="F748" s="3"/>
      <c r="G748" s="3"/>
      <c r="H748" s="3"/>
      <c r="I748" s="3"/>
      <c r="J748" s="3"/>
      <c r="K748" s="3"/>
      <c r="L748" s="3"/>
      <c r="M748" s="3"/>
      <c r="N748" s="3"/>
      <c r="O748" s="3"/>
      <c r="P748" s="3"/>
      <c r="Q748" s="3"/>
      <c r="R748" s="111"/>
      <c r="S748" s="111"/>
      <c r="T748" s="111"/>
    </row>
    <row r="749" spans="3:20" s="4" customFormat="1" x14ac:dyDescent="0.25">
      <c r="C749" s="3"/>
      <c r="D749" s="3"/>
      <c r="E749" s="3"/>
      <c r="F749" s="3"/>
      <c r="G749" s="3"/>
      <c r="H749" s="3"/>
      <c r="I749" s="3"/>
      <c r="J749" s="3"/>
      <c r="K749" s="3"/>
      <c r="L749" s="3"/>
      <c r="M749" s="3"/>
      <c r="N749" s="3"/>
      <c r="O749" s="3"/>
      <c r="P749" s="3"/>
      <c r="Q749" s="3"/>
      <c r="R749" s="111"/>
      <c r="S749" s="111"/>
      <c r="T749" s="111"/>
    </row>
    <row r="750" spans="3:20" s="4" customFormat="1" x14ac:dyDescent="0.25">
      <c r="C750" s="3"/>
      <c r="D750" s="3"/>
      <c r="E750" s="3"/>
      <c r="F750" s="3"/>
      <c r="G750" s="3"/>
      <c r="H750" s="3"/>
      <c r="I750" s="3"/>
      <c r="J750" s="3"/>
      <c r="K750" s="3"/>
      <c r="L750" s="3"/>
      <c r="M750" s="3"/>
      <c r="N750" s="3"/>
      <c r="O750" s="3"/>
      <c r="P750" s="3"/>
      <c r="Q750" s="3"/>
      <c r="R750" s="111"/>
      <c r="S750" s="111"/>
      <c r="T750" s="111"/>
    </row>
    <row r="751" spans="3:20" s="4" customFormat="1" x14ac:dyDescent="0.25">
      <c r="C751" s="3"/>
      <c r="D751" s="3"/>
      <c r="E751" s="3"/>
      <c r="F751" s="3"/>
      <c r="G751" s="3"/>
      <c r="H751" s="3"/>
      <c r="I751" s="3"/>
      <c r="J751" s="3"/>
      <c r="K751" s="3"/>
      <c r="L751" s="3"/>
      <c r="M751" s="3"/>
      <c r="N751" s="3"/>
      <c r="O751" s="3"/>
      <c r="P751" s="3"/>
      <c r="Q751" s="3"/>
      <c r="R751" s="111"/>
      <c r="S751" s="111"/>
      <c r="T751" s="111"/>
    </row>
    <row r="752" spans="3:20" s="4" customFormat="1" x14ac:dyDescent="0.25">
      <c r="C752" s="3"/>
      <c r="D752" s="3"/>
      <c r="E752" s="3"/>
      <c r="F752" s="3"/>
      <c r="G752" s="3"/>
      <c r="H752" s="3"/>
      <c r="I752" s="3"/>
      <c r="J752" s="3"/>
      <c r="K752" s="3"/>
      <c r="L752" s="3"/>
      <c r="M752" s="3"/>
      <c r="N752" s="3"/>
      <c r="O752" s="3"/>
      <c r="P752" s="3"/>
      <c r="Q752" s="3"/>
      <c r="R752" s="111"/>
      <c r="S752" s="111"/>
      <c r="T752" s="111"/>
    </row>
    <row r="753" spans="3:20" s="4" customFormat="1" x14ac:dyDescent="0.25">
      <c r="C753" s="3"/>
      <c r="D753" s="3"/>
      <c r="E753" s="3"/>
      <c r="F753" s="3"/>
      <c r="G753" s="3"/>
      <c r="H753" s="3"/>
      <c r="I753" s="3"/>
      <c r="J753" s="3"/>
      <c r="K753" s="3"/>
      <c r="L753" s="3"/>
      <c r="M753" s="3"/>
      <c r="N753" s="3"/>
      <c r="O753" s="3"/>
      <c r="P753" s="3"/>
      <c r="Q753" s="3"/>
      <c r="R753" s="111"/>
      <c r="S753" s="111"/>
      <c r="T753" s="111"/>
    </row>
    <row r="754" spans="3:20" s="4" customFormat="1" x14ac:dyDescent="0.25">
      <c r="C754" s="3"/>
      <c r="D754" s="3"/>
      <c r="E754" s="3"/>
      <c r="F754" s="3"/>
      <c r="G754" s="3"/>
      <c r="H754" s="3"/>
      <c r="I754" s="3"/>
      <c r="J754" s="3"/>
      <c r="K754" s="3"/>
      <c r="L754" s="3"/>
      <c r="M754" s="3"/>
      <c r="N754" s="3"/>
      <c r="O754" s="3"/>
      <c r="P754" s="3"/>
      <c r="Q754" s="3"/>
      <c r="R754" s="111"/>
      <c r="S754" s="111"/>
      <c r="T754" s="111"/>
    </row>
    <row r="755" spans="3:20" s="4" customFormat="1" x14ac:dyDescent="0.25">
      <c r="C755" s="3"/>
      <c r="D755" s="3"/>
      <c r="E755" s="3"/>
      <c r="F755" s="3"/>
      <c r="G755" s="3"/>
      <c r="H755" s="3"/>
      <c r="I755" s="3"/>
      <c r="J755" s="3"/>
      <c r="K755" s="3"/>
      <c r="L755" s="3"/>
      <c r="M755" s="3"/>
      <c r="N755" s="3"/>
      <c r="O755" s="3"/>
      <c r="P755" s="3"/>
      <c r="Q755" s="3"/>
      <c r="R755" s="111"/>
      <c r="S755" s="111"/>
      <c r="T755" s="111"/>
    </row>
    <row r="756" spans="3:20" s="4" customFormat="1" x14ac:dyDescent="0.25">
      <c r="C756" s="3"/>
      <c r="D756" s="3"/>
      <c r="E756" s="3"/>
      <c r="F756" s="3"/>
      <c r="G756" s="3"/>
      <c r="H756" s="3"/>
      <c r="I756" s="3"/>
      <c r="J756" s="3"/>
      <c r="K756" s="3"/>
      <c r="L756" s="3"/>
      <c r="M756" s="3"/>
      <c r="N756" s="3"/>
      <c r="O756" s="3"/>
      <c r="P756" s="3"/>
      <c r="Q756" s="3"/>
      <c r="R756" s="111"/>
      <c r="S756" s="111"/>
      <c r="T756" s="111"/>
    </row>
    <row r="757" spans="3:20" s="4" customFormat="1" x14ac:dyDescent="0.25">
      <c r="C757" s="3"/>
      <c r="D757" s="3"/>
      <c r="E757" s="3"/>
      <c r="F757" s="3"/>
      <c r="G757" s="3"/>
      <c r="H757" s="3"/>
      <c r="I757" s="3"/>
      <c r="J757" s="3"/>
      <c r="K757" s="3"/>
      <c r="L757" s="3"/>
      <c r="M757" s="3"/>
      <c r="N757" s="3"/>
      <c r="O757" s="3"/>
      <c r="P757" s="3"/>
      <c r="Q757" s="3"/>
      <c r="R757" s="111"/>
      <c r="S757" s="111"/>
      <c r="T757" s="111"/>
    </row>
    <row r="758" spans="3:20" s="4" customFormat="1" x14ac:dyDescent="0.25">
      <c r="C758" s="3"/>
      <c r="D758" s="3"/>
      <c r="E758" s="3"/>
      <c r="F758" s="3"/>
      <c r="G758" s="3"/>
      <c r="H758" s="3"/>
      <c r="I758" s="3"/>
      <c r="J758" s="3"/>
      <c r="K758" s="3"/>
      <c r="L758" s="3"/>
      <c r="M758" s="3"/>
      <c r="N758" s="3"/>
      <c r="O758" s="3"/>
      <c r="P758" s="3"/>
      <c r="Q758" s="3"/>
      <c r="R758" s="111"/>
      <c r="S758" s="111"/>
      <c r="T758" s="111"/>
    </row>
    <row r="759" spans="3:20" s="4" customFormat="1" x14ac:dyDescent="0.25">
      <c r="C759" s="3"/>
      <c r="D759" s="3"/>
      <c r="E759" s="3"/>
      <c r="F759" s="3"/>
      <c r="G759" s="3"/>
      <c r="H759" s="3"/>
      <c r="I759" s="3"/>
      <c r="J759" s="3"/>
      <c r="K759" s="3"/>
      <c r="L759" s="3"/>
      <c r="M759" s="3"/>
      <c r="N759" s="3"/>
      <c r="O759" s="3"/>
      <c r="P759" s="3"/>
      <c r="Q759" s="3"/>
      <c r="R759" s="111"/>
      <c r="S759" s="111"/>
      <c r="T759" s="111"/>
    </row>
    <row r="760" spans="3:20" s="4" customFormat="1" x14ac:dyDescent="0.25">
      <c r="C760" s="3"/>
      <c r="D760" s="3"/>
      <c r="E760" s="3"/>
      <c r="F760" s="3"/>
      <c r="G760" s="3"/>
      <c r="H760" s="3"/>
      <c r="I760" s="3"/>
      <c r="J760" s="3"/>
      <c r="K760" s="3"/>
      <c r="L760" s="3"/>
      <c r="M760" s="3"/>
      <c r="N760" s="3"/>
      <c r="O760" s="3"/>
      <c r="P760" s="3"/>
      <c r="Q760" s="3"/>
      <c r="R760" s="111"/>
      <c r="S760" s="111"/>
      <c r="T760" s="111"/>
    </row>
    <row r="761" spans="3:20" s="4" customFormat="1" x14ac:dyDescent="0.25">
      <c r="C761" s="3"/>
      <c r="D761" s="3"/>
      <c r="E761" s="3"/>
      <c r="F761" s="3"/>
      <c r="G761" s="3"/>
      <c r="H761" s="3"/>
      <c r="I761" s="3"/>
      <c r="J761" s="3"/>
      <c r="K761" s="3"/>
      <c r="L761" s="3"/>
      <c r="M761" s="3"/>
      <c r="N761" s="3"/>
      <c r="O761" s="3"/>
      <c r="P761" s="3"/>
      <c r="Q761" s="3"/>
      <c r="R761" s="111"/>
      <c r="S761" s="111"/>
      <c r="T761" s="111"/>
    </row>
    <row r="762" spans="3:20" s="4" customFormat="1" x14ac:dyDescent="0.25">
      <c r="C762" s="3"/>
      <c r="D762" s="3"/>
      <c r="E762" s="3"/>
      <c r="F762" s="3"/>
      <c r="G762" s="3"/>
      <c r="H762" s="3"/>
      <c r="I762" s="3"/>
      <c r="J762" s="3"/>
      <c r="K762" s="3"/>
      <c r="L762" s="3"/>
      <c r="M762" s="3"/>
      <c r="N762" s="3"/>
      <c r="O762" s="3"/>
      <c r="P762" s="3"/>
      <c r="Q762" s="3"/>
      <c r="R762" s="111"/>
      <c r="S762" s="111"/>
      <c r="T762" s="111"/>
    </row>
    <row r="763" spans="3:20" s="4" customFormat="1" x14ac:dyDescent="0.25">
      <c r="C763" s="3"/>
      <c r="D763" s="3"/>
      <c r="E763" s="3"/>
      <c r="F763" s="3"/>
      <c r="G763" s="3"/>
      <c r="H763" s="3"/>
      <c r="I763" s="3"/>
      <c r="J763" s="3"/>
      <c r="K763" s="3"/>
      <c r="L763" s="3"/>
      <c r="M763" s="3"/>
      <c r="N763" s="3"/>
      <c r="O763" s="3"/>
      <c r="P763" s="3"/>
      <c r="Q763" s="3"/>
      <c r="R763" s="111"/>
      <c r="S763" s="111"/>
      <c r="T763" s="111"/>
    </row>
    <row r="764" spans="3:20" s="4" customFormat="1" x14ac:dyDescent="0.25">
      <c r="C764" s="3"/>
      <c r="D764" s="3"/>
      <c r="E764" s="3"/>
      <c r="F764" s="3"/>
      <c r="G764" s="3"/>
      <c r="H764" s="3"/>
      <c r="I764" s="3"/>
      <c r="J764" s="3"/>
      <c r="K764" s="3"/>
      <c r="L764" s="3"/>
      <c r="M764" s="3"/>
      <c r="N764" s="3"/>
      <c r="O764" s="3"/>
      <c r="P764" s="3"/>
      <c r="Q764" s="3"/>
      <c r="R764" s="111"/>
      <c r="S764" s="111"/>
      <c r="T764" s="111"/>
    </row>
    <row r="765" spans="3:20" s="4" customFormat="1" x14ac:dyDescent="0.25">
      <c r="C765" s="3"/>
      <c r="D765" s="3"/>
      <c r="E765" s="3"/>
      <c r="F765" s="3"/>
      <c r="G765" s="3"/>
      <c r="H765" s="3"/>
      <c r="I765" s="3"/>
      <c r="J765" s="3"/>
      <c r="K765" s="3"/>
      <c r="L765" s="3"/>
      <c r="M765" s="3"/>
      <c r="N765" s="3"/>
      <c r="O765" s="3"/>
      <c r="P765" s="3"/>
      <c r="Q765" s="3"/>
      <c r="R765" s="111"/>
      <c r="S765" s="111"/>
      <c r="T765" s="111"/>
    </row>
    <row r="766" spans="3:20" s="4" customFormat="1" x14ac:dyDescent="0.25">
      <c r="C766" s="3"/>
      <c r="D766" s="3"/>
      <c r="E766" s="3"/>
      <c r="F766" s="3"/>
      <c r="G766" s="3"/>
      <c r="H766" s="3"/>
      <c r="I766" s="3"/>
      <c r="J766" s="3"/>
      <c r="K766" s="3"/>
      <c r="L766" s="3"/>
      <c r="M766" s="3"/>
      <c r="N766" s="3"/>
      <c r="O766" s="3"/>
      <c r="P766" s="3"/>
      <c r="Q766" s="3"/>
      <c r="R766" s="111"/>
      <c r="S766" s="111"/>
      <c r="T766" s="111"/>
    </row>
    <row r="767" spans="3:20" s="4" customFormat="1" x14ac:dyDescent="0.25">
      <c r="C767" s="3"/>
      <c r="D767" s="3"/>
      <c r="E767" s="3"/>
      <c r="F767" s="3"/>
      <c r="G767" s="3"/>
      <c r="H767" s="3"/>
      <c r="I767" s="3"/>
      <c r="J767" s="3"/>
      <c r="K767" s="3"/>
      <c r="L767" s="3"/>
      <c r="M767" s="3"/>
      <c r="N767" s="3"/>
      <c r="O767" s="3"/>
      <c r="P767" s="3"/>
      <c r="Q767" s="3"/>
      <c r="R767" s="111"/>
      <c r="S767" s="111"/>
      <c r="T767" s="111"/>
    </row>
    <row r="768" spans="3:20" s="4" customFormat="1" x14ac:dyDescent="0.25">
      <c r="C768" s="3"/>
      <c r="D768" s="3"/>
      <c r="E768" s="3"/>
      <c r="F768" s="3"/>
      <c r="G768" s="3"/>
      <c r="H768" s="3"/>
      <c r="I768" s="3"/>
      <c r="J768" s="3"/>
      <c r="K768" s="3"/>
      <c r="L768" s="3"/>
      <c r="M768" s="3"/>
      <c r="N768" s="3"/>
      <c r="O768" s="3"/>
      <c r="P768" s="3"/>
      <c r="Q768" s="3"/>
      <c r="R768" s="111"/>
      <c r="S768" s="111"/>
      <c r="T768" s="111"/>
    </row>
    <row r="769" spans="3:20" s="4" customFormat="1" x14ac:dyDescent="0.25">
      <c r="C769" s="3"/>
      <c r="D769" s="3"/>
      <c r="E769" s="3"/>
      <c r="F769" s="3"/>
      <c r="G769" s="3"/>
      <c r="H769" s="3"/>
      <c r="I769" s="3"/>
      <c r="J769" s="3"/>
      <c r="K769" s="3"/>
      <c r="L769" s="3"/>
      <c r="M769" s="3"/>
      <c r="N769" s="3"/>
      <c r="O769" s="3"/>
      <c r="P769" s="3"/>
      <c r="Q769" s="3"/>
      <c r="R769" s="111"/>
      <c r="S769" s="111"/>
      <c r="T769" s="111"/>
    </row>
    <row r="770" spans="3:20" s="4" customFormat="1" x14ac:dyDescent="0.25">
      <c r="C770" s="3"/>
      <c r="D770" s="3"/>
      <c r="E770" s="3"/>
      <c r="F770" s="3"/>
      <c r="G770" s="3"/>
      <c r="H770" s="3"/>
      <c r="I770" s="3"/>
      <c r="J770" s="3"/>
      <c r="K770" s="3"/>
      <c r="L770" s="3"/>
      <c r="M770" s="3"/>
      <c r="N770" s="3"/>
      <c r="O770" s="3"/>
      <c r="P770" s="3"/>
      <c r="Q770" s="3"/>
      <c r="R770" s="111"/>
      <c r="S770" s="111"/>
      <c r="T770" s="111"/>
    </row>
    <row r="771" spans="3:20" s="4" customFormat="1" x14ac:dyDescent="0.25">
      <c r="C771" s="3"/>
      <c r="D771" s="3"/>
      <c r="E771" s="3"/>
      <c r="F771" s="3"/>
      <c r="G771" s="3"/>
      <c r="H771" s="3"/>
      <c r="I771" s="3"/>
      <c r="J771" s="3"/>
      <c r="K771" s="3"/>
      <c r="L771" s="3"/>
      <c r="M771" s="3"/>
      <c r="N771" s="3"/>
      <c r="O771" s="3"/>
      <c r="P771" s="3"/>
      <c r="Q771" s="3"/>
      <c r="R771" s="111"/>
      <c r="S771" s="111"/>
      <c r="T771" s="111"/>
    </row>
    <row r="772" spans="3:20" s="4" customFormat="1" x14ac:dyDescent="0.25">
      <c r="C772" s="3"/>
      <c r="D772" s="3"/>
      <c r="E772" s="3"/>
      <c r="F772" s="3"/>
      <c r="G772" s="3"/>
      <c r="H772" s="3"/>
      <c r="I772" s="3"/>
      <c r="J772" s="3"/>
      <c r="K772" s="3"/>
      <c r="L772" s="3"/>
      <c r="M772" s="3"/>
      <c r="N772" s="3"/>
      <c r="O772" s="3"/>
      <c r="P772" s="3"/>
      <c r="Q772" s="3"/>
      <c r="R772" s="111"/>
      <c r="S772" s="111"/>
      <c r="T772" s="111"/>
    </row>
    <row r="773" spans="3:20" s="4" customFormat="1" x14ac:dyDescent="0.25">
      <c r="C773" s="3"/>
      <c r="D773" s="3"/>
      <c r="E773" s="3"/>
      <c r="F773" s="3"/>
      <c r="G773" s="3"/>
      <c r="H773" s="3"/>
      <c r="I773" s="3"/>
      <c r="J773" s="3"/>
      <c r="K773" s="3"/>
      <c r="L773" s="3"/>
      <c r="M773" s="3"/>
      <c r="N773" s="3"/>
      <c r="O773" s="3"/>
      <c r="P773" s="3"/>
      <c r="Q773" s="3"/>
      <c r="R773" s="111"/>
      <c r="S773" s="111"/>
      <c r="T773" s="111"/>
    </row>
    <row r="774" spans="3:20" s="4" customFormat="1" x14ac:dyDescent="0.25">
      <c r="C774" s="3"/>
      <c r="D774" s="3"/>
      <c r="E774" s="3"/>
      <c r="F774" s="3"/>
      <c r="G774" s="3"/>
      <c r="H774" s="3"/>
      <c r="I774" s="3"/>
      <c r="J774" s="3"/>
      <c r="K774" s="3"/>
      <c r="L774" s="3"/>
      <c r="M774" s="3"/>
      <c r="N774" s="3"/>
      <c r="O774" s="3"/>
      <c r="P774" s="3"/>
      <c r="Q774" s="3"/>
      <c r="R774" s="111"/>
      <c r="S774" s="111"/>
      <c r="T774" s="111"/>
    </row>
    <row r="775" spans="3:20" s="4" customFormat="1" x14ac:dyDescent="0.25">
      <c r="C775" s="3"/>
      <c r="D775" s="3"/>
      <c r="E775" s="3"/>
      <c r="F775" s="3"/>
      <c r="G775" s="3"/>
      <c r="H775" s="3"/>
      <c r="I775" s="3"/>
      <c r="J775" s="3"/>
      <c r="K775" s="3"/>
      <c r="L775" s="3"/>
      <c r="M775" s="3"/>
      <c r="N775" s="3"/>
      <c r="O775" s="3"/>
      <c r="P775" s="3"/>
      <c r="Q775" s="3"/>
      <c r="R775" s="111"/>
      <c r="S775" s="111"/>
      <c r="T775" s="111"/>
    </row>
    <row r="776" spans="3:20" s="4" customFormat="1" x14ac:dyDescent="0.25">
      <c r="C776" s="3"/>
      <c r="D776" s="3"/>
      <c r="E776" s="3"/>
      <c r="F776" s="3"/>
      <c r="G776" s="3"/>
      <c r="H776" s="3"/>
      <c r="I776" s="3"/>
      <c r="J776" s="3"/>
      <c r="K776" s="3"/>
      <c r="L776" s="3"/>
      <c r="M776" s="3"/>
      <c r="N776" s="3"/>
      <c r="O776" s="3"/>
      <c r="P776" s="3"/>
      <c r="Q776" s="3"/>
      <c r="R776" s="111"/>
      <c r="S776" s="111"/>
      <c r="T776" s="111"/>
    </row>
    <row r="777" spans="3:20" s="4" customFormat="1" x14ac:dyDescent="0.25">
      <c r="C777" s="3"/>
      <c r="D777" s="3"/>
      <c r="E777" s="3"/>
      <c r="F777" s="3"/>
      <c r="G777" s="3"/>
      <c r="H777" s="3"/>
      <c r="I777" s="3"/>
      <c r="J777" s="3"/>
      <c r="K777" s="3"/>
      <c r="L777" s="3"/>
      <c r="M777" s="3"/>
      <c r="N777" s="3"/>
      <c r="O777" s="3"/>
      <c r="P777" s="3"/>
      <c r="Q777" s="3"/>
      <c r="R777" s="111"/>
      <c r="S777" s="111"/>
      <c r="T777" s="111"/>
    </row>
    <row r="778" spans="3:20" s="4" customFormat="1" x14ac:dyDescent="0.25">
      <c r="C778" s="3"/>
      <c r="D778" s="3"/>
      <c r="E778" s="3"/>
      <c r="F778" s="3"/>
      <c r="G778" s="3"/>
      <c r="H778" s="3"/>
      <c r="I778" s="3"/>
      <c r="J778" s="3"/>
      <c r="K778" s="3"/>
      <c r="L778" s="3"/>
      <c r="M778" s="3"/>
      <c r="N778" s="3"/>
      <c r="O778" s="3"/>
      <c r="P778" s="3"/>
      <c r="Q778" s="3"/>
      <c r="R778" s="111"/>
      <c r="S778" s="111"/>
      <c r="T778" s="111"/>
    </row>
    <row r="779" spans="3:20" s="4" customFormat="1" x14ac:dyDescent="0.25">
      <c r="C779" s="3"/>
      <c r="D779" s="3"/>
      <c r="E779" s="3"/>
      <c r="F779" s="3"/>
      <c r="G779" s="3"/>
      <c r="H779" s="3"/>
      <c r="I779" s="3"/>
      <c r="J779" s="3"/>
      <c r="K779" s="3"/>
      <c r="L779" s="3"/>
      <c r="M779" s="3"/>
      <c r="N779" s="3"/>
      <c r="O779" s="3"/>
      <c r="P779" s="3"/>
      <c r="Q779" s="3"/>
      <c r="R779" s="111"/>
      <c r="S779" s="111"/>
      <c r="T779" s="111"/>
    </row>
    <row r="780" spans="3:20" s="4" customFormat="1" x14ac:dyDescent="0.25">
      <c r="C780" s="3"/>
      <c r="D780" s="3"/>
      <c r="E780" s="3"/>
      <c r="F780" s="3"/>
      <c r="G780" s="3"/>
      <c r="H780" s="3"/>
      <c r="I780" s="3"/>
      <c r="J780" s="3"/>
      <c r="K780" s="3"/>
      <c r="L780" s="3"/>
      <c r="M780" s="3"/>
      <c r="N780" s="3"/>
      <c r="O780" s="3"/>
      <c r="P780" s="3"/>
      <c r="Q780" s="3"/>
      <c r="R780" s="111"/>
      <c r="S780" s="111"/>
      <c r="T780" s="111"/>
    </row>
    <row r="781" spans="3:20" s="4" customFormat="1" x14ac:dyDescent="0.25">
      <c r="C781" s="3"/>
      <c r="D781" s="3"/>
      <c r="E781" s="3"/>
      <c r="F781" s="3"/>
      <c r="G781" s="3"/>
      <c r="H781" s="3"/>
      <c r="I781" s="3"/>
      <c r="J781" s="3"/>
      <c r="K781" s="3"/>
      <c r="L781" s="3"/>
      <c r="M781" s="3"/>
      <c r="N781" s="3"/>
      <c r="O781" s="3"/>
      <c r="P781" s="3"/>
      <c r="Q781" s="3"/>
      <c r="R781" s="111"/>
      <c r="S781" s="111"/>
      <c r="T781" s="111"/>
    </row>
    <row r="782" spans="3:20" s="4" customFormat="1" x14ac:dyDescent="0.25">
      <c r="C782" s="3"/>
      <c r="D782" s="3"/>
      <c r="E782" s="3"/>
      <c r="F782" s="3"/>
      <c r="G782" s="3"/>
      <c r="H782" s="3"/>
      <c r="I782" s="3"/>
      <c r="J782" s="3"/>
      <c r="K782" s="3"/>
      <c r="L782" s="3"/>
      <c r="M782" s="3"/>
      <c r="N782" s="3"/>
      <c r="O782" s="3"/>
      <c r="P782" s="3"/>
      <c r="Q782" s="3"/>
      <c r="R782" s="111"/>
      <c r="S782" s="111"/>
      <c r="T782" s="111"/>
    </row>
    <row r="783" spans="3:20" s="4" customFormat="1" x14ac:dyDescent="0.25">
      <c r="C783" s="3"/>
      <c r="D783" s="3"/>
      <c r="E783" s="3"/>
      <c r="F783" s="3"/>
      <c r="G783" s="3"/>
      <c r="H783" s="3"/>
      <c r="I783" s="3"/>
      <c r="J783" s="3"/>
      <c r="K783" s="3"/>
      <c r="L783" s="3"/>
      <c r="M783" s="3"/>
      <c r="N783" s="3"/>
      <c r="O783" s="3"/>
      <c r="P783" s="3"/>
      <c r="Q783" s="3"/>
      <c r="R783" s="111"/>
      <c r="S783" s="111"/>
      <c r="T783" s="111"/>
    </row>
    <row r="784" spans="3:20" s="4" customFormat="1" x14ac:dyDescent="0.25">
      <c r="C784" s="3"/>
      <c r="D784" s="3"/>
      <c r="E784" s="3"/>
      <c r="F784" s="3"/>
      <c r="G784" s="3"/>
      <c r="H784" s="3"/>
      <c r="I784" s="3"/>
      <c r="J784" s="3"/>
      <c r="K784" s="3"/>
      <c r="L784" s="3"/>
      <c r="M784" s="3"/>
      <c r="N784" s="3"/>
      <c r="O784" s="3"/>
      <c r="P784" s="3"/>
      <c r="Q784" s="3"/>
      <c r="R784" s="111"/>
      <c r="S784" s="111"/>
      <c r="T784" s="111"/>
    </row>
    <row r="785" spans="3:20" s="4" customFormat="1" x14ac:dyDescent="0.25">
      <c r="C785" s="3"/>
      <c r="D785" s="3"/>
      <c r="E785" s="3"/>
      <c r="F785" s="3"/>
      <c r="G785" s="3"/>
      <c r="H785" s="3"/>
      <c r="I785" s="3"/>
      <c r="J785" s="3"/>
      <c r="K785" s="3"/>
      <c r="L785" s="3"/>
      <c r="M785" s="3"/>
      <c r="N785" s="3"/>
      <c r="O785" s="3"/>
      <c r="P785" s="3"/>
      <c r="Q785" s="3"/>
      <c r="R785" s="111"/>
      <c r="S785" s="111"/>
      <c r="T785" s="111"/>
    </row>
    <row r="786" spans="3:20" s="4" customFormat="1" x14ac:dyDescent="0.25">
      <c r="C786" s="3"/>
      <c r="D786" s="3"/>
      <c r="E786" s="3"/>
      <c r="F786" s="3"/>
      <c r="G786" s="3"/>
      <c r="H786" s="3"/>
      <c r="I786" s="3"/>
      <c r="J786" s="3"/>
      <c r="K786" s="3"/>
      <c r="L786" s="3"/>
      <c r="M786" s="3"/>
      <c r="N786" s="3"/>
      <c r="O786" s="3"/>
      <c r="P786" s="3"/>
      <c r="Q786" s="3"/>
      <c r="R786" s="111"/>
      <c r="S786" s="111"/>
      <c r="T786" s="111"/>
    </row>
    <row r="787" spans="3:20" s="4" customFormat="1" x14ac:dyDescent="0.25">
      <c r="C787" s="3"/>
      <c r="D787" s="3"/>
      <c r="E787" s="3"/>
      <c r="F787" s="3"/>
      <c r="G787" s="3"/>
      <c r="H787" s="3"/>
      <c r="I787" s="3"/>
      <c r="J787" s="3"/>
      <c r="K787" s="3"/>
      <c r="L787" s="3"/>
      <c r="M787" s="3"/>
      <c r="N787" s="3"/>
      <c r="O787" s="3"/>
      <c r="P787" s="3"/>
      <c r="Q787" s="3"/>
      <c r="R787" s="111"/>
      <c r="S787" s="111"/>
      <c r="T787" s="111"/>
    </row>
    <row r="788" spans="3:20" s="4" customFormat="1" x14ac:dyDescent="0.25">
      <c r="C788" s="3"/>
      <c r="D788" s="3"/>
      <c r="E788" s="3"/>
      <c r="F788" s="3"/>
      <c r="G788" s="3"/>
      <c r="H788" s="3"/>
      <c r="I788" s="3"/>
      <c r="J788" s="3"/>
      <c r="K788" s="3"/>
      <c r="L788" s="3"/>
      <c r="M788" s="3"/>
      <c r="N788" s="3"/>
      <c r="O788" s="3"/>
      <c r="P788" s="3"/>
      <c r="Q788" s="3"/>
      <c r="R788" s="111"/>
      <c r="S788" s="111"/>
      <c r="T788" s="111"/>
    </row>
    <row r="789" spans="3:20" s="4" customFormat="1" x14ac:dyDescent="0.25">
      <c r="C789" s="3"/>
      <c r="D789" s="3"/>
      <c r="E789" s="3"/>
      <c r="F789" s="3"/>
      <c r="G789" s="3"/>
      <c r="H789" s="3"/>
      <c r="I789" s="3"/>
      <c r="J789" s="3"/>
      <c r="K789" s="3"/>
      <c r="L789" s="3"/>
      <c r="M789" s="3"/>
      <c r="N789" s="3"/>
      <c r="O789" s="3"/>
      <c r="P789" s="3"/>
      <c r="Q789" s="3"/>
      <c r="R789" s="111"/>
      <c r="S789" s="111"/>
      <c r="T789" s="111"/>
    </row>
    <row r="790" spans="3:20" s="4" customFormat="1" x14ac:dyDescent="0.25">
      <c r="C790" s="3"/>
      <c r="D790" s="3"/>
      <c r="E790" s="3"/>
      <c r="F790" s="3"/>
      <c r="G790" s="3"/>
      <c r="H790" s="3"/>
      <c r="I790" s="3"/>
      <c r="J790" s="3"/>
      <c r="K790" s="3"/>
      <c r="L790" s="3"/>
      <c r="M790" s="3"/>
      <c r="N790" s="3"/>
      <c r="O790" s="3"/>
      <c r="P790" s="3"/>
      <c r="Q790" s="3"/>
      <c r="R790" s="111"/>
      <c r="S790" s="111"/>
      <c r="T790" s="111"/>
    </row>
    <row r="791" spans="3:20" s="4" customFormat="1" x14ac:dyDescent="0.25">
      <c r="C791" s="3"/>
      <c r="D791" s="3"/>
      <c r="E791" s="3"/>
      <c r="F791" s="3"/>
      <c r="G791" s="3"/>
      <c r="H791" s="3"/>
      <c r="I791" s="3"/>
      <c r="J791" s="3"/>
      <c r="K791" s="3"/>
      <c r="L791" s="3"/>
      <c r="M791" s="3"/>
      <c r="N791" s="3"/>
      <c r="O791" s="3"/>
      <c r="P791" s="3"/>
      <c r="Q791" s="3"/>
      <c r="R791" s="111"/>
      <c r="S791" s="111"/>
      <c r="T791" s="111"/>
    </row>
    <row r="792" spans="3:20" s="4" customFormat="1" x14ac:dyDescent="0.25">
      <c r="C792" s="3"/>
      <c r="D792" s="3"/>
      <c r="E792" s="3"/>
      <c r="F792" s="3"/>
      <c r="G792" s="3"/>
      <c r="H792" s="3"/>
      <c r="I792" s="3"/>
      <c r="J792" s="3"/>
      <c r="K792" s="3"/>
      <c r="L792" s="3"/>
      <c r="M792" s="3"/>
      <c r="N792" s="3"/>
      <c r="O792" s="3"/>
      <c r="P792" s="3"/>
      <c r="Q792" s="3"/>
      <c r="R792" s="111"/>
      <c r="S792" s="111"/>
      <c r="T792" s="111"/>
    </row>
    <row r="793" spans="3:20" s="4" customFormat="1" x14ac:dyDescent="0.25">
      <c r="C793" s="3"/>
      <c r="D793" s="3"/>
      <c r="E793" s="3"/>
      <c r="F793" s="3"/>
      <c r="G793" s="3"/>
      <c r="H793" s="3"/>
      <c r="I793" s="3"/>
      <c r="J793" s="3"/>
      <c r="K793" s="3"/>
      <c r="L793" s="3"/>
      <c r="M793" s="3"/>
      <c r="N793" s="3"/>
      <c r="O793" s="3"/>
      <c r="P793" s="3"/>
      <c r="Q793" s="3"/>
      <c r="R793" s="111"/>
      <c r="S793" s="111"/>
      <c r="T793" s="111"/>
    </row>
    <row r="794" spans="3:20" s="4" customFormat="1" x14ac:dyDescent="0.25">
      <c r="C794" s="3"/>
      <c r="D794" s="3"/>
      <c r="E794" s="3"/>
      <c r="F794" s="3"/>
      <c r="G794" s="3"/>
      <c r="H794" s="3"/>
      <c r="I794" s="3"/>
      <c r="J794" s="3"/>
      <c r="K794" s="3"/>
      <c r="L794" s="3"/>
      <c r="M794" s="3"/>
      <c r="N794" s="3"/>
      <c r="O794" s="3"/>
      <c r="P794" s="3"/>
      <c r="Q794" s="3"/>
      <c r="R794" s="111"/>
      <c r="S794" s="111"/>
      <c r="T794" s="111"/>
    </row>
    <row r="795" spans="3:20" s="4" customFormat="1" x14ac:dyDescent="0.25">
      <c r="C795" s="3"/>
      <c r="D795" s="3"/>
      <c r="E795" s="3"/>
      <c r="F795" s="3"/>
      <c r="G795" s="3"/>
      <c r="H795" s="3"/>
      <c r="I795" s="3"/>
      <c r="J795" s="3"/>
      <c r="K795" s="3"/>
      <c r="L795" s="3"/>
      <c r="M795" s="3"/>
      <c r="N795" s="3"/>
      <c r="O795" s="3"/>
      <c r="P795" s="3"/>
      <c r="Q795" s="3"/>
      <c r="R795" s="111"/>
      <c r="S795" s="111"/>
      <c r="T795" s="111"/>
    </row>
    <row r="796" spans="3:20" s="4" customFormat="1" x14ac:dyDescent="0.25">
      <c r="C796" s="3"/>
      <c r="D796" s="3"/>
      <c r="E796" s="3"/>
      <c r="F796" s="3"/>
      <c r="G796" s="3"/>
      <c r="H796" s="3"/>
      <c r="I796" s="3"/>
      <c r="J796" s="3"/>
      <c r="K796" s="3"/>
      <c r="L796" s="3"/>
      <c r="M796" s="3"/>
      <c r="N796" s="3"/>
      <c r="O796" s="3"/>
      <c r="P796" s="3"/>
      <c r="Q796" s="3"/>
      <c r="R796" s="111"/>
      <c r="S796" s="111"/>
      <c r="T796" s="111"/>
    </row>
    <row r="797" spans="3:20" s="4" customFormat="1" x14ac:dyDescent="0.25">
      <c r="C797" s="3"/>
      <c r="D797" s="3"/>
      <c r="E797" s="3"/>
      <c r="F797" s="3"/>
      <c r="G797" s="3"/>
      <c r="H797" s="3"/>
      <c r="I797" s="3"/>
      <c r="J797" s="3"/>
      <c r="K797" s="3"/>
      <c r="L797" s="3"/>
      <c r="M797" s="3"/>
      <c r="N797" s="3"/>
      <c r="O797" s="3"/>
      <c r="P797" s="3"/>
      <c r="Q797" s="3"/>
      <c r="R797" s="111"/>
      <c r="S797" s="111"/>
      <c r="T797" s="111"/>
    </row>
    <row r="798" spans="3:20" s="4" customFormat="1" x14ac:dyDescent="0.25">
      <c r="C798" s="3"/>
      <c r="D798" s="3"/>
      <c r="E798" s="3"/>
      <c r="F798" s="3"/>
      <c r="G798" s="3"/>
      <c r="H798" s="3"/>
      <c r="I798" s="3"/>
      <c r="J798" s="3"/>
      <c r="K798" s="3"/>
      <c r="L798" s="3"/>
      <c r="M798" s="3"/>
      <c r="N798" s="3"/>
      <c r="O798" s="3"/>
      <c r="P798" s="3"/>
      <c r="Q798" s="3"/>
      <c r="R798" s="111"/>
      <c r="S798" s="111"/>
      <c r="T798" s="111"/>
    </row>
    <row r="799" spans="3:20" s="4" customFormat="1" x14ac:dyDescent="0.25">
      <c r="C799" s="3"/>
      <c r="D799" s="3"/>
      <c r="E799" s="3"/>
      <c r="F799" s="3"/>
      <c r="G799" s="3"/>
      <c r="H799" s="3"/>
      <c r="I799" s="3"/>
      <c r="J799" s="3"/>
      <c r="K799" s="3"/>
      <c r="L799" s="3"/>
      <c r="M799" s="3"/>
      <c r="N799" s="3"/>
      <c r="O799" s="3"/>
      <c r="P799" s="3"/>
      <c r="Q799" s="3"/>
      <c r="R799" s="111"/>
      <c r="S799" s="111"/>
      <c r="T799" s="111"/>
    </row>
    <row r="800" spans="3:20" s="4" customFormat="1" x14ac:dyDescent="0.25">
      <c r="C800" s="3"/>
      <c r="D800" s="3"/>
      <c r="E800" s="3"/>
      <c r="F800" s="3"/>
      <c r="G800" s="3"/>
      <c r="H800" s="3"/>
      <c r="I800" s="3"/>
      <c r="J800" s="3"/>
      <c r="K800" s="3"/>
      <c r="L800" s="3"/>
      <c r="M800" s="3"/>
      <c r="N800" s="3"/>
      <c r="O800" s="3"/>
      <c r="P800" s="3"/>
      <c r="Q800" s="3"/>
      <c r="R800" s="111"/>
      <c r="S800" s="111"/>
      <c r="T800" s="111"/>
    </row>
    <row r="801" spans="3:20" s="4" customFormat="1" x14ac:dyDescent="0.25">
      <c r="C801" s="3"/>
      <c r="D801" s="3"/>
      <c r="E801" s="3"/>
      <c r="F801" s="3"/>
      <c r="G801" s="3"/>
      <c r="H801" s="3"/>
      <c r="I801" s="3"/>
      <c r="J801" s="3"/>
      <c r="K801" s="3"/>
      <c r="L801" s="3"/>
      <c r="M801" s="3"/>
      <c r="N801" s="3"/>
      <c r="O801" s="3"/>
      <c r="P801" s="3"/>
      <c r="Q801" s="3"/>
      <c r="R801" s="111"/>
      <c r="S801" s="111"/>
      <c r="T801" s="111"/>
    </row>
    <row r="802" spans="3:20" s="4" customFormat="1" x14ac:dyDescent="0.25">
      <c r="C802" s="3"/>
      <c r="D802" s="3"/>
      <c r="E802" s="3"/>
      <c r="F802" s="3"/>
      <c r="G802" s="3"/>
      <c r="H802" s="3"/>
      <c r="I802" s="3"/>
      <c r="J802" s="3"/>
      <c r="K802" s="3"/>
      <c r="L802" s="3"/>
      <c r="M802" s="3"/>
      <c r="N802" s="3"/>
      <c r="O802" s="3"/>
      <c r="P802" s="3"/>
      <c r="Q802" s="3"/>
      <c r="R802" s="111"/>
      <c r="S802" s="111"/>
      <c r="T802" s="111"/>
    </row>
    <row r="803" spans="3:20" s="4" customFormat="1" x14ac:dyDescent="0.25">
      <c r="C803" s="3"/>
      <c r="D803" s="3"/>
      <c r="E803" s="3"/>
      <c r="F803" s="3"/>
      <c r="G803" s="3"/>
      <c r="H803" s="3"/>
      <c r="I803" s="3"/>
      <c r="J803" s="3"/>
      <c r="K803" s="3"/>
      <c r="L803" s="3"/>
      <c r="M803" s="3"/>
      <c r="N803" s="3"/>
      <c r="O803" s="3"/>
      <c r="P803" s="3"/>
      <c r="Q803" s="3"/>
      <c r="R803" s="111"/>
      <c r="S803" s="111"/>
      <c r="T803" s="111"/>
    </row>
    <row r="804" spans="3:20" s="4" customFormat="1" x14ac:dyDescent="0.25">
      <c r="C804" s="3"/>
      <c r="D804" s="3"/>
      <c r="E804" s="3"/>
      <c r="F804" s="3"/>
      <c r="G804" s="3"/>
      <c r="H804" s="3"/>
      <c r="I804" s="3"/>
      <c r="J804" s="3"/>
      <c r="K804" s="3"/>
      <c r="L804" s="3"/>
      <c r="M804" s="3"/>
      <c r="N804" s="3"/>
      <c r="O804" s="3"/>
      <c r="P804" s="3"/>
      <c r="Q804" s="3"/>
      <c r="R804" s="111"/>
      <c r="S804" s="111"/>
      <c r="T804" s="111"/>
    </row>
    <row r="805" spans="3:20" s="4" customFormat="1" x14ac:dyDescent="0.25">
      <c r="C805" s="3"/>
      <c r="D805" s="3"/>
      <c r="E805" s="3"/>
      <c r="F805" s="3"/>
      <c r="G805" s="3"/>
      <c r="H805" s="3"/>
      <c r="I805" s="3"/>
      <c r="J805" s="3"/>
      <c r="K805" s="3"/>
      <c r="L805" s="3"/>
      <c r="M805" s="3"/>
      <c r="N805" s="3"/>
      <c r="O805" s="3"/>
      <c r="P805" s="3"/>
      <c r="Q805" s="3"/>
      <c r="R805" s="111"/>
      <c r="S805" s="111"/>
      <c r="T805" s="111"/>
    </row>
    <row r="806" spans="3:20" s="4" customFormat="1" x14ac:dyDescent="0.25">
      <c r="C806" s="3"/>
      <c r="D806" s="3"/>
      <c r="E806" s="3"/>
      <c r="F806" s="3"/>
      <c r="G806" s="3"/>
      <c r="H806" s="3"/>
      <c r="I806" s="3"/>
      <c r="J806" s="3"/>
      <c r="K806" s="3"/>
      <c r="L806" s="3"/>
      <c r="M806" s="3"/>
      <c r="N806" s="3"/>
      <c r="O806" s="3"/>
      <c r="P806" s="3"/>
      <c r="Q806" s="3"/>
      <c r="R806" s="111"/>
      <c r="S806" s="111"/>
      <c r="T806" s="111"/>
    </row>
    <row r="807" spans="3:20" s="4" customFormat="1" x14ac:dyDescent="0.25">
      <c r="C807" s="3"/>
      <c r="D807" s="3"/>
      <c r="E807" s="3"/>
      <c r="F807" s="3"/>
      <c r="G807" s="3"/>
      <c r="H807" s="3"/>
      <c r="I807" s="3"/>
      <c r="J807" s="3"/>
      <c r="K807" s="3"/>
      <c r="L807" s="3"/>
      <c r="M807" s="3"/>
      <c r="N807" s="3"/>
      <c r="O807" s="3"/>
      <c r="P807" s="3"/>
      <c r="Q807" s="3"/>
      <c r="R807" s="111"/>
      <c r="S807" s="111"/>
      <c r="T807" s="111"/>
    </row>
    <row r="808" spans="3:20" s="4" customFormat="1" x14ac:dyDescent="0.25">
      <c r="C808" s="3"/>
      <c r="D808" s="3"/>
      <c r="E808" s="3"/>
      <c r="F808" s="3"/>
      <c r="G808" s="3"/>
      <c r="H808" s="3"/>
      <c r="I808" s="3"/>
      <c r="J808" s="3"/>
      <c r="K808" s="3"/>
      <c r="L808" s="3"/>
      <c r="M808" s="3"/>
      <c r="N808" s="3"/>
      <c r="O808" s="3"/>
      <c r="P808" s="3"/>
      <c r="Q808" s="3"/>
      <c r="R808" s="111"/>
      <c r="S808" s="111"/>
      <c r="T808" s="111"/>
    </row>
    <row r="809" spans="3:20" s="4" customFormat="1" x14ac:dyDescent="0.25">
      <c r="C809" s="3"/>
      <c r="D809" s="3"/>
      <c r="E809" s="3"/>
      <c r="F809" s="3"/>
      <c r="G809" s="3"/>
      <c r="H809" s="3"/>
      <c r="I809" s="3"/>
      <c r="J809" s="3"/>
      <c r="K809" s="3"/>
      <c r="L809" s="3"/>
      <c r="M809" s="3"/>
      <c r="N809" s="3"/>
      <c r="O809" s="3"/>
      <c r="P809" s="3"/>
      <c r="Q809" s="3"/>
      <c r="R809" s="111"/>
      <c r="S809" s="111"/>
      <c r="T809" s="111"/>
    </row>
    <row r="810" spans="3:20" s="4" customFormat="1" x14ac:dyDescent="0.25">
      <c r="C810" s="3"/>
      <c r="D810" s="3"/>
      <c r="E810" s="3"/>
      <c r="F810" s="3"/>
      <c r="G810" s="3"/>
      <c r="H810" s="3"/>
      <c r="I810" s="3"/>
      <c r="J810" s="3"/>
      <c r="K810" s="3"/>
      <c r="L810" s="3"/>
      <c r="M810" s="3"/>
      <c r="N810" s="3"/>
      <c r="O810" s="3"/>
      <c r="P810" s="3"/>
      <c r="Q810" s="3"/>
      <c r="R810" s="111"/>
      <c r="S810" s="111"/>
      <c r="T810" s="111"/>
    </row>
    <row r="811" spans="3:20" s="4" customFormat="1" x14ac:dyDescent="0.25">
      <c r="C811" s="3"/>
      <c r="D811" s="3"/>
      <c r="E811" s="3"/>
      <c r="F811" s="3"/>
      <c r="G811" s="3"/>
      <c r="H811" s="3"/>
      <c r="I811" s="3"/>
      <c r="J811" s="3"/>
      <c r="K811" s="3"/>
      <c r="L811" s="3"/>
      <c r="M811" s="3"/>
      <c r="N811" s="3"/>
      <c r="O811" s="3"/>
      <c r="P811" s="3"/>
      <c r="Q811" s="3"/>
      <c r="R811" s="111"/>
      <c r="S811" s="111"/>
      <c r="T811" s="111"/>
    </row>
    <row r="812" spans="3:20" s="4" customFormat="1" x14ac:dyDescent="0.25">
      <c r="C812" s="3"/>
      <c r="D812" s="3"/>
      <c r="E812" s="3"/>
      <c r="F812" s="3"/>
      <c r="G812" s="3"/>
      <c r="H812" s="3"/>
      <c r="I812" s="3"/>
      <c r="J812" s="3"/>
      <c r="K812" s="3"/>
      <c r="L812" s="3"/>
      <c r="M812" s="3"/>
      <c r="N812" s="3"/>
      <c r="O812" s="3"/>
      <c r="P812" s="3"/>
      <c r="Q812" s="3"/>
      <c r="R812" s="111"/>
      <c r="S812" s="111"/>
      <c r="T812" s="111"/>
    </row>
    <row r="813" spans="3:20" s="4" customFormat="1" x14ac:dyDescent="0.25">
      <c r="C813" s="3"/>
      <c r="D813" s="3"/>
      <c r="E813" s="3"/>
      <c r="F813" s="3"/>
      <c r="G813" s="3"/>
      <c r="H813" s="3"/>
      <c r="I813" s="3"/>
      <c r="J813" s="3"/>
      <c r="K813" s="3"/>
      <c r="L813" s="3"/>
      <c r="M813" s="3"/>
      <c r="N813" s="3"/>
      <c r="O813" s="3"/>
      <c r="P813" s="3"/>
      <c r="Q813" s="3"/>
      <c r="R813" s="111"/>
      <c r="S813" s="111"/>
      <c r="T813" s="111"/>
    </row>
    <row r="814" spans="3:20" s="4" customFormat="1" x14ac:dyDescent="0.25">
      <c r="C814" s="3"/>
      <c r="D814" s="3"/>
      <c r="E814" s="3"/>
      <c r="F814" s="3"/>
      <c r="G814" s="3"/>
      <c r="H814" s="3"/>
      <c r="I814" s="3"/>
      <c r="J814" s="3"/>
      <c r="K814" s="3"/>
      <c r="L814" s="3"/>
      <c r="M814" s="3"/>
      <c r="N814" s="3"/>
      <c r="O814" s="3"/>
      <c r="P814" s="3"/>
      <c r="Q814" s="3"/>
      <c r="R814" s="111"/>
      <c r="S814" s="111"/>
      <c r="T814" s="111"/>
    </row>
    <row r="815" spans="3:20" s="4" customFormat="1" x14ac:dyDescent="0.25">
      <c r="C815" s="3"/>
      <c r="D815" s="3"/>
      <c r="E815" s="3"/>
      <c r="F815" s="3"/>
      <c r="G815" s="3"/>
      <c r="H815" s="3"/>
      <c r="I815" s="3"/>
      <c r="J815" s="3"/>
      <c r="K815" s="3"/>
      <c r="L815" s="3"/>
      <c r="M815" s="3"/>
      <c r="N815" s="3"/>
      <c r="O815" s="3"/>
      <c r="P815" s="3"/>
      <c r="Q815" s="3"/>
      <c r="R815" s="111"/>
      <c r="S815" s="111"/>
      <c r="T815" s="111"/>
    </row>
    <row r="816" spans="3:20" s="4" customFormat="1" x14ac:dyDescent="0.25">
      <c r="C816" s="3"/>
      <c r="D816" s="3"/>
      <c r="E816" s="3"/>
      <c r="F816" s="3"/>
      <c r="G816" s="3"/>
      <c r="H816" s="3"/>
      <c r="I816" s="3"/>
      <c r="J816" s="3"/>
      <c r="K816" s="3"/>
      <c r="L816" s="3"/>
      <c r="M816" s="3"/>
      <c r="N816" s="3"/>
      <c r="O816" s="3"/>
      <c r="P816" s="3"/>
      <c r="Q816" s="3"/>
      <c r="R816" s="111"/>
      <c r="S816" s="111"/>
      <c r="T816" s="111"/>
    </row>
    <row r="817" spans="3:20" s="4" customFormat="1" x14ac:dyDescent="0.25">
      <c r="C817" s="3"/>
      <c r="D817" s="3"/>
      <c r="E817" s="3"/>
      <c r="F817" s="3"/>
      <c r="G817" s="3"/>
      <c r="H817" s="3"/>
      <c r="I817" s="3"/>
      <c r="J817" s="3"/>
      <c r="K817" s="3"/>
      <c r="L817" s="3"/>
      <c r="M817" s="3"/>
      <c r="N817" s="3"/>
      <c r="O817" s="3"/>
      <c r="P817" s="3"/>
      <c r="Q817" s="3"/>
      <c r="R817" s="111"/>
      <c r="S817" s="111"/>
      <c r="T817" s="111"/>
    </row>
    <row r="818" spans="3:20" s="4" customFormat="1" x14ac:dyDescent="0.25">
      <c r="C818" s="3"/>
      <c r="D818" s="3"/>
      <c r="E818" s="3"/>
      <c r="F818" s="3"/>
      <c r="G818" s="3"/>
      <c r="H818" s="3"/>
      <c r="I818" s="3"/>
      <c r="J818" s="3"/>
      <c r="K818" s="3"/>
      <c r="L818" s="3"/>
      <c r="M818" s="3"/>
      <c r="N818" s="3"/>
      <c r="O818" s="3"/>
      <c r="P818" s="3"/>
      <c r="Q818" s="3"/>
      <c r="R818" s="111"/>
      <c r="S818" s="111"/>
      <c r="T818" s="111"/>
    </row>
    <row r="819" spans="3:20" s="4" customFormat="1" x14ac:dyDescent="0.25">
      <c r="C819" s="3"/>
      <c r="D819" s="3"/>
      <c r="E819" s="3"/>
      <c r="F819" s="3"/>
      <c r="G819" s="3"/>
      <c r="H819" s="3"/>
      <c r="I819" s="3"/>
      <c r="J819" s="3"/>
      <c r="K819" s="3"/>
      <c r="L819" s="3"/>
      <c r="M819" s="3"/>
      <c r="N819" s="3"/>
      <c r="O819" s="3"/>
      <c r="P819" s="3"/>
      <c r="Q819" s="3"/>
      <c r="R819" s="111"/>
      <c r="S819" s="111"/>
      <c r="T819" s="111"/>
    </row>
    <row r="820" spans="3:20" s="4" customFormat="1" x14ac:dyDescent="0.25">
      <c r="C820" s="3"/>
      <c r="D820" s="3"/>
      <c r="E820" s="3"/>
      <c r="F820" s="3"/>
      <c r="G820" s="3"/>
      <c r="H820" s="3"/>
      <c r="I820" s="3"/>
      <c r="J820" s="3"/>
      <c r="K820" s="3"/>
      <c r="L820" s="3"/>
      <c r="M820" s="3"/>
      <c r="N820" s="3"/>
      <c r="O820" s="3"/>
      <c r="P820" s="3"/>
      <c r="Q820" s="3"/>
      <c r="R820" s="111"/>
      <c r="S820" s="111"/>
      <c r="T820" s="111"/>
    </row>
    <row r="821" spans="3:20" s="4" customFormat="1" x14ac:dyDescent="0.25">
      <c r="C821" s="3"/>
      <c r="D821" s="3"/>
      <c r="E821" s="3"/>
      <c r="F821" s="3"/>
      <c r="G821" s="3"/>
      <c r="H821" s="3"/>
      <c r="I821" s="3"/>
      <c r="J821" s="3"/>
      <c r="K821" s="3"/>
      <c r="L821" s="3"/>
      <c r="M821" s="3"/>
      <c r="N821" s="3"/>
      <c r="O821" s="3"/>
      <c r="P821" s="3"/>
      <c r="Q821" s="3"/>
      <c r="R821" s="111"/>
      <c r="S821" s="111"/>
      <c r="T821" s="111"/>
    </row>
    <row r="822" spans="3:20" s="4" customFormat="1" x14ac:dyDescent="0.25">
      <c r="C822" s="3"/>
      <c r="D822" s="3"/>
      <c r="E822" s="3"/>
      <c r="F822" s="3"/>
      <c r="G822" s="3"/>
      <c r="H822" s="3"/>
      <c r="I822" s="3"/>
      <c r="J822" s="3"/>
      <c r="K822" s="3"/>
      <c r="L822" s="3"/>
      <c r="M822" s="3"/>
      <c r="N822" s="3"/>
      <c r="O822" s="3"/>
      <c r="P822" s="3"/>
      <c r="Q822" s="3"/>
      <c r="R822" s="111"/>
      <c r="S822" s="111"/>
      <c r="T822" s="111"/>
    </row>
    <row r="823" spans="3:20" s="4" customFormat="1" x14ac:dyDescent="0.25">
      <c r="C823" s="3"/>
      <c r="D823" s="3"/>
      <c r="E823" s="3"/>
      <c r="F823" s="3"/>
      <c r="G823" s="3"/>
      <c r="H823" s="3"/>
      <c r="I823" s="3"/>
      <c r="J823" s="3"/>
      <c r="K823" s="3"/>
      <c r="L823" s="3"/>
      <c r="M823" s="3"/>
      <c r="N823" s="3"/>
      <c r="O823" s="3"/>
      <c r="P823" s="3"/>
      <c r="Q823" s="3"/>
      <c r="R823" s="111"/>
      <c r="S823" s="111"/>
      <c r="T823" s="111"/>
    </row>
    <row r="824" spans="3:20" s="4" customFormat="1" x14ac:dyDescent="0.25">
      <c r="C824" s="3"/>
      <c r="D824" s="3"/>
      <c r="E824" s="3"/>
      <c r="F824" s="3"/>
      <c r="G824" s="3"/>
      <c r="H824" s="3"/>
      <c r="I824" s="3"/>
      <c r="J824" s="3"/>
      <c r="K824" s="3"/>
      <c r="L824" s="3"/>
      <c r="M824" s="3"/>
      <c r="N824" s="3"/>
      <c r="O824" s="3"/>
      <c r="P824" s="3"/>
      <c r="Q824" s="3"/>
      <c r="R824" s="111"/>
      <c r="S824" s="111"/>
      <c r="T824" s="111"/>
    </row>
    <row r="825" spans="3:20" s="4" customFormat="1" x14ac:dyDescent="0.25">
      <c r="C825" s="3"/>
      <c r="D825" s="3"/>
      <c r="E825" s="3"/>
      <c r="F825" s="3"/>
      <c r="G825" s="3"/>
      <c r="H825" s="3"/>
      <c r="I825" s="3"/>
      <c r="J825" s="3"/>
      <c r="K825" s="3"/>
      <c r="L825" s="3"/>
      <c r="M825" s="3"/>
      <c r="N825" s="3"/>
      <c r="O825" s="3"/>
      <c r="P825" s="3"/>
      <c r="Q825" s="3"/>
      <c r="R825" s="111"/>
      <c r="S825" s="111"/>
      <c r="T825" s="111"/>
    </row>
    <row r="826" spans="3:20" s="4" customFormat="1" x14ac:dyDescent="0.25">
      <c r="C826" s="3"/>
      <c r="D826" s="3"/>
      <c r="E826" s="3"/>
      <c r="F826" s="3"/>
      <c r="G826" s="3"/>
      <c r="H826" s="3"/>
      <c r="I826" s="3"/>
      <c r="J826" s="3"/>
      <c r="K826" s="3"/>
      <c r="L826" s="3"/>
      <c r="M826" s="3"/>
      <c r="N826" s="3"/>
      <c r="O826" s="3"/>
      <c r="P826" s="3"/>
      <c r="Q826" s="3"/>
      <c r="R826" s="111"/>
      <c r="S826" s="111"/>
      <c r="T826" s="111"/>
    </row>
    <row r="827" spans="3:20" s="4" customFormat="1" x14ac:dyDescent="0.25">
      <c r="C827" s="3"/>
      <c r="D827" s="3"/>
      <c r="E827" s="3"/>
      <c r="F827" s="3"/>
      <c r="G827" s="3"/>
      <c r="H827" s="3"/>
      <c r="I827" s="3"/>
      <c r="J827" s="3"/>
      <c r="K827" s="3"/>
      <c r="L827" s="3"/>
      <c r="M827" s="3"/>
      <c r="N827" s="3"/>
      <c r="O827" s="3"/>
      <c r="P827" s="3"/>
      <c r="Q827" s="3"/>
      <c r="R827" s="111"/>
      <c r="S827" s="111"/>
      <c r="T827" s="111"/>
    </row>
    <row r="828" spans="3:20" s="4" customFormat="1" x14ac:dyDescent="0.25">
      <c r="C828" s="3"/>
      <c r="D828" s="3"/>
      <c r="E828" s="3"/>
      <c r="F828" s="3"/>
      <c r="G828" s="3"/>
      <c r="H828" s="3"/>
      <c r="I828" s="3"/>
      <c r="J828" s="3"/>
      <c r="K828" s="3"/>
      <c r="L828" s="3"/>
      <c r="M828" s="3"/>
      <c r="N828" s="3"/>
      <c r="O828" s="3"/>
      <c r="P828" s="3"/>
      <c r="Q828" s="3"/>
      <c r="R828" s="111"/>
      <c r="S828" s="111"/>
      <c r="T828" s="111"/>
    </row>
    <row r="829" spans="3:20" s="4" customFormat="1" x14ac:dyDescent="0.25">
      <c r="C829" s="3"/>
      <c r="D829" s="3"/>
      <c r="E829" s="3"/>
      <c r="F829" s="3"/>
      <c r="G829" s="3"/>
      <c r="H829" s="3"/>
      <c r="I829" s="3"/>
      <c r="J829" s="3"/>
      <c r="K829" s="3"/>
      <c r="L829" s="3"/>
      <c r="M829" s="3"/>
      <c r="N829" s="3"/>
      <c r="O829" s="3"/>
      <c r="P829" s="3"/>
      <c r="Q829" s="3"/>
      <c r="R829" s="111"/>
      <c r="S829" s="111"/>
      <c r="T829" s="111"/>
    </row>
    <row r="830" spans="3:20" s="4" customFormat="1" x14ac:dyDescent="0.25">
      <c r="C830" s="3"/>
      <c r="D830" s="3"/>
      <c r="E830" s="3"/>
      <c r="F830" s="3"/>
      <c r="G830" s="3"/>
      <c r="H830" s="3"/>
      <c r="I830" s="3"/>
      <c r="J830" s="3"/>
      <c r="K830" s="3"/>
      <c r="L830" s="3"/>
      <c r="M830" s="3"/>
      <c r="N830" s="3"/>
      <c r="O830" s="3"/>
      <c r="P830" s="3"/>
      <c r="Q830" s="3"/>
      <c r="R830" s="111"/>
      <c r="S830" s="111"/>
      <c r="T830" s="111"/>
    </row>
    <row r="831" spans="3:20" s="4" customFormat="1" x14ac:dyDescent="0.25">
      <c r="C831" s="3"/>
      <c r="D831" s="3"/>
      <c r="E831" s="3"/>
      <c r="F831" s="3"/>
      <c r="G831" s="3"/>
      <c r="H831" s="3"/>
      <c r="I831" s="3"/>
      <c r="J831" s="3"/>
      <c r="K831" s="3"/>
      <c r="L831" s="3"/>
      <c r="M831" s="3"/>
      <c r="N831" s="3"/>
      <c r="O831" s="3"/>
      <c r="P831" s="3"/>
      <c r="Q831" s="3"/>
      <c r="R831" s="111"/>
      <c r="S831" s="111"/>
      <c r="T831" s="111"/>
    </row>
    <row r="832" spans="3:20" s="4" customFormat="1" x14ac:dyDescent="0.25">
      <c r="C832" s="3"/>
      <c r="D832" s="3"/>
      <c r="E832" s="3"/>
      <c r="F832" s="3"/>
      <c r="G832" s="3"/>
      <c r="H832" s="3"/>
      <c r="I832" s="3"/>
      <c r="J832" s="3"/>
      <c r="K832" s="3"/>
      <c r="L832" s="3"/>
      <c r="M832" s="3"/>
      <c r="N832" s="3"/>
      <c r="O832" s="3"/>
      <c r="P832" s="3"/>
      <c r="Q832" s="3"/>
      <c r="R832" s="111"/>
      <c r="S832" s="111"/>
      <c r="T832" s="111"/>
    </row>
    <row r="833" spans="3:20" s="4" customFormat="1" x14ac:dyDescent="0.25">
      <c r="C833" s="3"/>
      <c r="D833" s="3"/>
      <c r="E833" s="3"/>
      <c r="F833" s="3"/>
      <c r="G833" s="3"/>
      <c r="H833" s="3"/>
      <c r="I833" s="3"/>
      <c r="J833" s="3"/>
      <c r="K833" s="3"/>
      <c r="L833" s="3"/>
      <c r="M833" s="3"/>
      <c r="N833" s="3"/>
      <c r="O833" s="3"/>
      <c r="P833" s="3"/>
      <c r="Q833" s="3"/>
      <c r="R833" s="111"/>
      <c r="S833" s="111"/>
      <c r="T833" s="111"/>
    </row>
    <row r="834" spans="3:20" s="4" customFormat="1" x14ac:dyDescent="0.25">
      <c r="C834" s="3"/>
      <c r="D834" s="3"/>
      <c r="E834" s="3"/>
      <c r="F834" s="3"/>
      <c r="G834" s="3"/>
      <c r="H834" s="3"/>
      <c r="I834" s="3"/>
      <c r="J834" s="3"/>
      <c r="K834" s="3"/>
      <c r="L834" s="3"/>
      <c r="M834" s="3"/>
      <c r="N834" s="3"/>
      <c r="O834" s="3"/>
      <c r="P834" s="3"/>
      <c r="Q834" s="3"/>
      <c r="R834" s="111"/>
      <c r="S834" s="111"/>
      <c r="T834" s="111"/>
    </row>
    <row r="835" spans="3:20" s="4" customFormat="1" x14ac:dyDescent="0.25">
      <c r="C835" s="3"/>
      <c r="D835" s="3"/>
      <c r="E835" s="3"/>
      <c r="F835" s="3"/>
      <c r="G835" s="3"/>
      <c r="H835" s="3"/>
      <c r="I835" s="3"/>
      <c r="J835" s="3"/>
      <c r="K835" s="3"/>
      <c r="L835" s="3"/>
      <c r="M835" s="3"/>
      <c r="N835" s="3"/>
      <c r="O835" s="3"/>
      <c r="P835" s="3"/>
      <c r="Q835" s="3"/>
      <c r="R835" s="111"/>
      <c r="S835" s="111"/>
      <c r="T835" s="111"/>
    </row>
    <row r="836" spans="3:20" s="4" customFormat="1" x14ac:dyDescent="0.25">
      <c r="C836" s="3"/>
      <c r="D836" s="3"/>
      <c r="E836" s="3"/>
      <c r="F836" s="3"/>
      <c r="G836" s="3"/>
      <c r="H836" s="3"/>
      <c r="I836" s="3"/>
      <c r="J836" s="3"/>
      <c r="K836" s="3"/>
      <c r="L836" s="3"/>
      <c r="M836" s="3"/>
      <c r="N836" s="3"/>
      <c r="O836" s="3"/>
      <c r="P836" s="3"/>
      <c r="Q836" s="3"/>
      <c r="R836" s="111"/>
      <c r="S836" s="111"/>
      <c r="T836" s="111"/>
    </row>
    <row r="837" spans="3:20" s="4" customFormat="1" x14ac:dyDescent="0.25">
      <c r="C837" s="3"/>
      <c r="D837" s="3"/>
      <c r="E837" s="3"/>
      <c r="F837" s="3"/>
      <c r="G837" s="3"/>
      <c r="H837" s="3"/>
      <c r="I837" s="3"/>
      <c r="J837" s="3"/>
      <c r="K837" s="3"/>
      <c r="L837" s="3"/>
      <c r="M837" s="3"/>
      <c r="N837" s="3"/>
      <c r="O837" s="3"/>
      <c r="P837" s="3"/>
      <c r="Q837" s="3"/>
      <c r="R837" s="111"/>
      <c r="S837" s="111"/>
      <c r="T837" s="111"/>
    </row>
    <row r="838" spans="3:20" s="4" customFormat="1" x14ac:dyDescent="0.25">
      <c r="C838" s="3"/>
      <c r="D838" s="3"/>
      <c r="E838" s="3"/>
      <c r="F838" s="3"/>
      <c r="G838" s="3"/>
      <c r="H838" s="3"/>
      <c r="I838" s="3"/>
      <c r="J838" s="3"/>
      <c r="K838" s="3"/>
      <c r="L838" s="3"/>
      <c r="M838" s="3"/>
      <c r="N838" s="3"/>
      <c r="O838" s="3"/>
      <c r="P838" s="3"/>
      <c r="Q838" s="3"/>
      <c r="R838" s="111"/>
      <c r="S838" s="111"/>
      <c r="T838" s="111"/>
    </row>
    <row r="839" spans="3:20" s="4" customFormat="1" x14ac:dyDescent="0.25">
      <c r="C839" s="3"/>
      <c r="D839" s="3"/>
      <c r="E839" s="3"/>
      <c r="F839" s="3"/>
      <c r="G839" s="3"/>
      <c r="H839" s="3"/>
      <c r="I839" s="3"/>
      <c r="J839" s="3"/>
      <c r="K839" s="3"/>
      <c r="L839" s="3"/>
      <c r="M839" s="3"/>
      <c r="N839" s="3"/>
      <c r="O839" s="3"/>
      <c r="P839" s="3"/>
      <c r="Q839" s="3"/>
      <c r="R839" s="111"/>
      <c r="S839" s="111"/>
      <c r="T839" s="111"/>
    </row>
    <row r="840" spans="3:20" s="4" customFormat="1" x14ac:dyDescent="0.25">
      <c r="C840" s="3"/>
      <c r="D840" s="3"/>
      <c r="E840" s="3"/>
      <c r="F840" s="3"/>
      <c r="G840" s="3"/>
      <c r="H840" s="3"/>
      <c r="I840" s="3"/>
      <c r="J840" s="3"/>
      <c r="K840" s="3"/>
      <c r="L840" s="3"/>
      <c r="M840" s="3"/>
      <c r="N840" s="3"/>
      <c r="O840" s="3"/>
      <c r="P840" s="3"/>
      <c r="Q840" s="3"/>
      <c r="R840" s="111"/>
      <c r="S840" s="111"/>
      <c r="T840" s="111"/>
    </row>
    <row r="841" spans="3:20" s="4" customFormat="1" x14ac:dyDescent="0.25">
      <c r="C841" s="3"/>
      <c r="D841" s="3"/>
      <c r="E841" s="3"/>
      <c r="F841" s="3"/>
      <c r="G841" s="3"/>
      <c r="H841" s="3"/>
      <c r="I841" s="3"/>
      <c r="J841" s="3"/>
      <c r="K841" s="3"/>
      <c r="L841" s="3"/>
      <c r="M841" s="3"/>
      <c r="N841" s="3"/>
      <c r="O841" s="3"/>
      <c r="P841" s="3"/>
      <c r="Q841" s="3"/>
      <c r="R841" s="111"/>
      <c r="S841" s="111"/>
      <c r="T841" s="111"/>
    </row>
    <row r="842" spans="3:20" s="4" customFormat="1" x14ac:dyDescent="0.25">
      <c r="C842" s="3"/>
      <c r="D842" s="3"/>
      <c r="E842" s="3"/>
      <c r="F842" s="3"/>
      <c r="G842" s="3"/>
      <c r="H842" s="3"/>
      <c r="I842" s="3"/>
      <c r="J842" s="3"/>
      <c r="K842" s="3"/>
      <c r="L842" s="3"/>
      <c r="M842" s="3"/>
      <c r="N842" s="3"/>
      <c r="O842" s="3"/>
      <c r="P842" s="3"/>
      <c r="Q842" s="3"/>
      <c r="R842" s="111"/>
      <c r="S842" s="111"/>
      <c r="T842" s="111"/>
    </row>
    <row r="843" spans="3:20" s="4" customFormat="1" x14ac:dyDescent="0.25">
      <c r="C843" s="3"/>
      <c r="D843" s="3"/>
      <c r="E843" s="3"/>
      <c r="F843" s="3"/>
      <c r="G843" s="3"/>
      <c r="H843" s="3"/>
      <c r="I843" s="3"/>
      <c r="J843" s="3"/>
      <c r="K843" s="3"/>
      <c r="L843" s="3"/>
      <c r="M843" s="3"/>
      <c r="N843" s="3"/>
      <c r="O843" s="3"/>
      <c r="P843" s="3"/>
      <c r="Q843" s="3"/>
      <c r="R843" s="111"/>
      <c r="S843" s="111"/>
      <c r="T843" s="111"/>
    </row>
    <row r="844" spans="3:20" s="4" customFormat="1" x14ac:dyDescent="0.25">
      <c r="C844" s="3"/>
      <c r="D844" s="3"/>
      <c r="E844" s="3"/>
      <c r="F844" s="3"/>
      <c r="G844" s="3"/>
      <c r="H844" s="3"/>
      <c r="I844" s="3"/>
      <c r="J844" s="3"/>
      <c r="K844" s="3"/>
      <c r="L844" s="3"/>
      <c r="M844" s="3"/>
      <c r="N844" s="3"/>
      <c r="O844" s="3"/>
      <c r="P844" s="3"/>
      <c r="Q844" s="3"/>
      <c r="R844" s="111"/>
      <c r="S844" s="111"/>
      <c r="T844" s="111"/>
    </row>
    <row r="845" spans="3:20" s="4" customFormat="1" x14ac:dyDescent="0.25">
      <c r="C845" s="3"/>
      <c r="D845" s="3"/>
      <c r="E845" s="3"/>
      <c r="F845" s="3"/>
      <c r="G845" s="3"/>
      <c r="H845" s="3"/>
      <c r="I845" s="3"/>
      <c r="J845" s="3"/>
      <c r="K845" s="3"/>
      <c r="L845" s="3"/>
      <c r="M845" s="3"/>
      <c r="N845" s="3"/>
      <c r="O845" s="3"/>
      <c r="P845" s="3"/>
      <c r="Q845" s="3"/>
      <c r="R845" s="111"/>
      <c r="S845" s="111"/>
      <c r="T845" s="111"/>
    </row>
    <row r="846" spans="3:20" s="4" customFormat="1" x14ac:dyDescent="0.25">
      <c r="C846" s="3"/>
      <c r="D846" s="3"/>
      <c r="E846" s="3"/>
      <c r="F846" s="3"/>
      <c r="G846" s="3"/>
      <c r="H846" s="3"/>
      <c r="I846" s="3"/>
      <c r="J846" s="3"/>
      <c r="K846" s="3"/>
      <c r="L846" s="3"/>
      <c r="M846" s="3"/>
      <c r="N846" s="3"/>
      <c r="O846" s="3"/>
      <c r="P846" s="3"/>
      <c r="Q846" s="3"/>
      <c r="R846" s="111"/>
      <c r="S846" s="111"/>
      <c r="T846" s="111"/>
    </row>
    <row r="847" spans="3:20" s="4" customFormat="1" x14ac:dyDescent="0.25">
      <c r="C847" s="3"/>
      <c r="D847" s="3"/>
      <c r="E847" s="3"/>
      <c r="F847" s="3"/>
      <c r="G847" s="3"/>
      <c r="H847" s="3"/>
      <c r="I847" s="3"/>
      <c r="J847" s="3"/>
      <c r="K847" s="3"/>
      <c r="L847" s="3"/>
      <c r="M847" s="3"/>
      <c r="N847" s="3"/>
      <c r="O847" s="3"/>
      <c r="P847" s="3"/>
      <c r="Q847" s="3"/>
      <c r="R847" s="111"/>
      <c r="S847" s="111"/>
      <c r="T847" s="111"/>
    </row>
    <row r="848" spans="3:20" s="4" customFormat="1" x14ac:dyDescent="0.25">
      <c r="C848" s="3"/>
      <c r="D848" s="3"/>
      <c r="E848" s="3"/>
      <c r="F848" s="3"/>
      <c r="G848" s="3"/>
      <c r="H848" s="3"/>
      <c r="I848" s="3"/>
      <c r="J848" s="3"/>
      <c r="K848" s="3"/>
      <c r="L848" s="3"/>
      <c r="M848" s="3"/>
      <c r="N848" s="3"/>
      <c r="O848" s="3"/>
      <c r="P848" s="3"/>
      <c r="Q848" s="3"/>
      <c r="R848" s="111"/>
      <c r="S848" s="111"/>
      <c r="T848" s="111"/>
    </row>
    <row r="849" spans="3:20" s="4" customFormat="1" x14ac:dyDescent="0.25">
      <c r="C849" s="3"/>
      <c r="D849" s="3"/>
      <c r="E849" s="3"/>
      <c r="F849" s="3"/>
      <c r="G849" s="3"/>
      <c r="H849" s="3"/>
      <c r="I849" s="3"/>
      <c r="J849" s="3"/>
      <c r="K849" s="3"/>
      <c r="L849" s="3"/>
      <c r="M849" s="3"/>
      <c r="N849" s="3"/>
      <c r="O849" s="3"/>
      <c r="P849" s="3"/>
      <c r="Q849" s="3"/>
      <c r="R849" s="111"/>
      <c r="S849" s="111"/>
      <c r="T849" s="111"/>
    </row>
    <row r="850" spans="3:20" s="4" customFormat="1" x14ac:dyDescent="0.25">
      <c r="C850" s="3"/>
      <c r="D850" s="3"/>
      <c r="E850" s="3"/>
      <c r="F850" s="3"/>
      <c r="G850" s="3"/>
      <c r="H850" s="3"/>
      <c r="I850" s="3"/>
      <c r="J850" s="3"/>
      <c r="K850" s="3"/>
      <c r="L850" s="3"/>
      <c r="M850" s="3"/>
      <c r="N850" s="3"/>
      <c r="O850" s="3"/>
      <c r="P850" s="3"/>
      <c r="Q850" s="3"/>
      <c r="R850" s="111"/>
      <c r="S850" s="111"/>
      <c r="T850" s="111"/>
    </row>
    <row r="851" spans="3:20" s="4" customFormat="1" x14ac:dyDescent="0.25">
      <c r="C851" s="3"/>
      <c r="D851" s="3"/>
      <c r="E851" s="3"/>
      <c r="F851" s="3"/>
      <c r="G851" s="3"/>
      <c r="H851" s="3"/>
      <c r="I851" s="3"/>
      <c r="J851" s="3"/>
      <c r="K851" s="3"/>
      <c r="L851" s="3"/>
      <c r="M851" s="3"/>
      <c r="N851" s="3"/>
      <c r="O851" s="3"/>
      <c r="P851" s="3"/>
      <c r="Q851" s="3"/>
      <c r="R851" s="111"/>
      <c r="S851" s="111"/>
      <c r="T851" s="111"/>
    </row>
    <row r="852" spans="3:20" s="4" customFormat="1" x14ac:dyDescent="0.25">
      <c r="C852" s="3"/>
      <c r="D852" s="3"/>
      <c r="E852" s="3"/>
      <c r="F852" s="3"/>
      <c r="G852" s="3"/>
      <c r="H852" s="3"/>
      <c r="I852" s="3"/>
      <c r="J852" s="3"/>
      <c r="K852" s="3"/>
      <c r="L852" s="3"/>
      <c r="M852" s="3"/>
      <c r="N852" s="3"/>
      <c r="O852" s="3"/>
      <c r="P852" s="3"/>
      <c r="Q852" s="3"/>
      <c r="R852" s="111"/>
      <c r="S852" s="111"/>
      <c r="T852" s="111"/>
    </row>
    <row r="853" spans="3:20" s="4" customFormat="1" x14ac:dyDescent="0.25">
      <c r="C853" s="3"/>
      <c r="D853" s="3"/>
      <c r="E853" s="3"/>
      <c r="F853" s="3"/>
      <c r="G853" s="3"/>
      <c r="H853" s="3"/>
      <c r="I853" s="3"/>
      <c r="J853" s="3"/>
      <c r="K853" s="3"/>
      <c r="L853" s="3"/>
      <c r="M853" s="3"/>
      <c r="N853" s="3"/>
      <c r="O853" s="3"/>
      <c r="P853" s="3"/>
      <c r="Q853" s="3"/>
      <c r="R853" s="111"/>
      <c r="S853" s="111"/>
      <c r="T853" s="111"/>
    </row>
    <row r="854" spans="3:20" s="4" customFormat="1" x14ac:dyDescent="0.25">
      <c r="C854" s="3"/>
      <c r="D854" s="3"/>
      <c r="E854" s="3"/>
      <c r="F854" s="3"/>
      <c r="G854" s="3"/>
      <c r="H854" s="3"/>
      <c r="I854" s="3"/>
      <c r="J854" s="3"/>
      <c r="K854" s="3"/>
      <c r="L854" s="3"/>
      <c r="M854" s="3"/>
      <c r="N854" s="3"/>
      <c r="O854" s="3"/>
      <c r="P854" s="3"/>
      <c r="Q854" s="3"/>
      <c r="R854" s="111"/>
      <c r="S854" s="111"/>
      <c r="T854" s="111"/>
    </row>
    <row r="855" spans="3:20" s="4" customFormat="1" x14ac:dyDescent="0.25">
      <c r="C855" s="3"/>
      <c r="D855" s="3"/>
      <c r="E855" s="3"/>
      <c r="F855" s="3"/>
      <c r="G855" s="3"/>
      <c r="H855" s="3"/>
      <c r="I855" s="3"/>
      <c r="J855" s="3"/>
      <c r="K855" s="3"/>
      <c r="L855" s="3"/>
      <c r="M855" s="3"/>
      <c r="N855" s="3"/>
      <c r="O855" s="3"/>
      <c r="P855" s="3"/>
      <c r="Q855" s="3"/>
      <c r="R855" s="111"/>
      <c r="S855" s="111"/>
      <c r="T855" s="111"/>
    </row>
    <row r="856" spans="3:20" s="4" customFormat="1" x14ac:dyDescent="0.25">
      <c r="C856" s="3"/>
      <c r="D856" s="3"/>
      <c r="E856" s="3"/>
      <c r="F856" s="3"/>
      <c r="G856" s="3"/>
      <c r="H856" s="3"/>
      <c r="I856" s="3"/>
      <c r="J856" s="3"/>
      <c r="K856" s="3"/>
      <c r="L856" s="3"/>
      <c r="M856" s="3"/>
      <c r="N856" s="3"/>
      <c r="O856" s="3"/>
      <c r="P856" s="3"/>
      <c r="Q856" s="3"/>
      <c r="R856" s="111"/>
      <c r="S856" s="111"/>
      <c r="T856" s="111"/>
    </row>
    <row r="857" spans="3:20" s="4" customFormat="1" x14ac:dyDescent="0.25">
      <c r="C857" s="3"/>
      <c r="D857" s="3"/>
      <c r="E857" s="3"/>
      <c r="F857" s="3"/>
      <c r="G857" s="3"/>
      <c r="H857" s="3"/>
      <c r="I857" s="3"/>
      <c r="J857" s="3"/>
      <c r="K857" s="3"/>
      <c r="L857" s="3"/>
      <c r="M857" s="3"/>
      <c r="N857" s="3"/>
      <c r="O857" s="3"/>
      <c r="P857" s="3"/>
      <c r="Q857" s="3"/>
      <c r="R857" s="111"/>
      <c r="S857" s="111"/>
      <c r="T857" s="111"/>
    </row>
    <row r="858" spans="3:20" s="4" customFormat="1" x14ac:dyDescent="0.25">
      <c r="C858" s="3"/>
      <c r="D858" s="3"/>
      <c r="E858" s="3"/>
      <c r="F858" s="3"/>
      <c r="G858" s="3"/>
      <c r="H858" s="3"/>
      <c r="I858" s="3"/>
      <c r="J858" s="3"/>
      <c r="K858" s="3"/>
      <c r="L858" s="3"/>
      <c r="M858" s="3"/>
      <c r="N858" s="3"/>
      <c r="O858" s="3"/>
      <c r="P858" s="3"/>
      <c r="Q858" s="3"/>
      <c r="R858" s="111"/>
      <c r="S858" s="111"/>
      <c r="T858" s="111"/>
    </row>
    <row r="859" spans="3:20" s="4" customFormat="1" x14ac:dyDescent="0.25">
      <c r="C859" s="3"/>
      <c r="D859" s="3"/>
      <c r="E859" s="3"/>
      <c r="F859" s="3"/>
      <c r="G859" s="3"/>
      <c r="H859" s="3"/>
      <c r="I859" s="3"/>
      <c r="J859" s="3"/>
      <c r="K859" s="3"/>
      <c r="L859" s="3"/>
      <c r="M859" s="3"/>
      <c r="N859" s="3"/>
      <c r="O859" s="3"/>
      <c r="P859" s="3"/>
      <c r="Q859" s="3"/>
      <c r="R859" s="111"/>
      <c r="S859" s="111"/>
      <c r="T859" s="111"/>
    </row>
    <row r="860" spans="3:20" s="4" customFormat="1" x14ac:dyDescent="0.25">
      <c r="C860" s="3"/>
      <c r="D860" s="3"/>
      <c r="E860" s="3"/>
      <c r="F860" s="3"/>
      <c r="G860" s="3"/>
      <c r="H860" s="3"/>
      <c r="I860" s="3"/>
      <c r="J860" s="3"/>
      <c r="K860" s="3"/>
      <c r="L860" s="3"/>
      <c r="M860" s="3"/>
      <c r="N860" s="3"/>
      <c r="O860" s="3"/>
      <c r="P860" s="3"/>
      <c r="Q860" s="3"/>
      <c r="R860" s="111"/>
      <c r="S860" s="111"/>
      <c r="T860" s="111"/>
    </row>
    <row r="861" spans="3:20" s="4" customFormat="1" x14ac:dyDescent="0.25">
      <c r="C861" s="3"/>
      <c r="D861" s="3"/>
      <c r="E861" s="3"/>
      <c r="F861" s="3"/>
      <c r="G861" s="3"/>
      <c r="H861" s="3"/>
      <c r="I861" s="3"/>
      <c r="J861" s="3"/>
      <c r="K861" s="3"/>
      <c r="L861" s="3"/>
      <c r="M861" s="3"/>
      <c r="N861" s="3"/>
      <c r="O861" s="3"/>
      <c r="P861" s="3"/>
      <c r="Q861" s="3"/>
      <c r="R861" s="111"/>
      <c r="S861" s="111"/>
      <c r="T861" s="111"/>
    </row>
    <row r="862" spans="3:20" s="4" customFormat="1" x14ac:dyDescent="0.25">
      <c r="C862" s="3"/>
      <c r="D862" s="3"/>
      <c r="E862" s="3"/>
      <c r="F862" s="3"/>
      <c r="G862" s="3"/>
      <c r="H862" s="3"/>
      <c r="I862" s="3"/>
      <c r="J862" s="3"/>
      <c r="K862" s="3"/>
      <c r="L862" s="3"/>
      <c r="M862" s="3"/>
      <c r="N862" s="3"/>
      <c r="O862" s="3"/>
      <c r="P862" s="3"/>
      <c r="Q862" s="3"/>
      <c r="R862" s="111"/>
      <c r="S862" s="111"/>
      <c r="T862" s="111"/>
    </row>
    <row r="863" spans="3:20" s="4" customFormat="1" x14ac:dyDescent="0.25">
      <c r="C863" s="3"/>
      <c r="D863" s="3"/>
      <c r="E863" s="3"/>
      <c r="F863" s="3"/>
      <c r="G863" s="3"/>
      <c r="H863" s="3"/>
      <c r="I863" s="3"/>
      <c r="J863" s="3"/>
      <c r="K863" s="3"/>
      <c r="L863" s="3"/>
      <c r="M863" s="3"/>
      <c r="N863" s="3"/>
      <c r="O863" s="3"/>
      <c r="P863" s="3"/>
      <c r="Q863" s="3"/>
      <c r="R863" s="111"/>
      <c r="S863" s="111"/>
      <c r="T863" s="111"/>
    </row>
    <row r="864" spans="3:20" s="4" customFormat="1" x14ac:dyDescent="0.25">
      <c r="C864" s="3"/>
      <c r="D864" s="3"/>
      <c r="E864" s="3"/>
      <c r="F864" s="3"/>
      <c r="G864" s="3"/>
      <c r="H864" s="3"/>
      <c r="I864" s="3"/>
      <c r="J864" s="3"/>
      <c r="K864" s="3"/>
      <c r="L864" s="3"/>
      <c r="M864" s="3"/>
      <c r="N864" s="3"/>
      <c r="O864" s="3"/>
      <c r="P864" s="3"/>
      <c r="Q864" s="3"/>
      <c r="R864" s="111"/>
      <c r="S864" s="111"/>
      <c r="T864" s="111"/>
    </row>
    <row r="865" spans="3:20" s="4" customFormat="1" x14ac:dyDescent="0.25">
      <c r="C865" s="3"/>
      <c r="D865" s="3"/>
      <c r="E865" s="3"/>
      <c r="F865" s="3"/>
      <c r="G865" s="3"/>
      <c r="H865" s="3"/>
      <c r="I865" s="3"/>
      <c r="J865" s="3"/>
      <c r="K865" s="3"/>
      <c r="L865" s="3"/>
      <c r="M865" s="3"/>
      <c r="N865" s="3"/>
      <c r="O865" s="3"/>
      <c r="P865" s="3"/>
      <c r="Q865" s="3"/>
      <c r="R865" s="111"/>
      <c r="S865" s="111"/>
      <c r="T865" s="111"/>
    </row>
    <row r="866" spans="3:20" s="4" customFormat="1" x14ac:dyDescent="0.25">
      <c r="C866" s="3"/>
      <c r="D866" s="3"/>
      <c r="E866" s="3"/>
      <c r="F866" s="3"/>
      <c r="G866" s="3"/>
      <c r="H866" s="3"/>
      <c r="I866" s="3"/>
      <c r="J866" s="3"/>
      <c r="K866" s="3"/>
      <c r="L866" s="3"/>
      <c r="M866" s="3"/>
      <c r="N866" s="3"/>
      <c r="O866" s="3"/>
      <c r="P866" s="3"/>
      <c r="Q866" s="3"/>
      <c r="R866" s="111"/>
      <c r="S866" s="111"/>
      <c r="T866" s="111"/>
    </row>
    <row r="867" spans="3:20" s="4" customFormat="1" x14ac:dyDescent="0.25">
      <c r="C867" s="3"/>
      <c r="D867" s="3"/>
      <c r="E867" s="3"/>
      <c r="F867" s="3"/>
      <c r="G867" s="3"/>
      <c r="H867" s="3"/>
      <c r="I867" s="3"/>
      <c r="J867" s="3"/>
      <c r="K867" s="3"/>
      <c r="L867" s="3"/>
      <c r="M867" s="3"/>
      <c r="N867" s="3"/>
      <c r="O867" s="3"/>
      <c r="P867" s="3"/>
      <c r="Q867" s="3"/>
      <c r="R867" s="111"/>
      <c r="S867" s="111"/>
      <c r="T867" s="111"/>
    </row>
    <row r="868" spans="3:20" s="4" customFormat="1" x14ac:dyDescent="0.25">
      <c r="C868" s="3"/>
      <c r="D868" s="3"/>
      <c r="E868" s="3"/>
      <c r="F868" s="3"/>
      <c r="G868" s="3"/>
      <c r="H868" s="3"/>
      <c r="I868" s="3"/>
      <c r="J868" s="3"/>
      <c r="K868" s="3"/>
      <c r="L868" s="3"/>
      <c r="M868" s="3"/>
      <c r="N868" s="3"/>
      <c r="O868" s="3"/>
      <c r="P868" s="3"/>
      <c r="Q868" s="3"/>
      <c r="R868" s="111"/>
      <c r="S868" s="111"/>
      <c r="T868" s="111"/>
    </row>
    <row r="869" spans="3:20" s="4" customFormat="1" x14ac:dyDescent="0.25">
      <c r="C869" s="3"/>
      <c r="D869" s="3"/>
      <c r="E869" s="3"/>
      <c r="F869" s="3"/>
      <c r="G869" s="3"/>
      <c r="H869" s="3"/>
      <c r="I869" s="3"/>
      <c r="J869" s="3"/>
      <c r="K869" s="3"/>
      <c r="L869" s="3"/>
      <c r="M869" s="3"/>
      <c r="N869" s="3"/>
      <c r="O869" s="3"/>
      <c r="P869" s="3"/>
      <c r="Q869" s="3"/>
      <c r="R869" s="111"/>
      <c r="S869" s="111"/>
      <c r="T869" s="111"/>
    </row>
    <row r="870" spans="3:20" s="4" customFormat="1" x14ac:dyDescent="0.25">
      <c r="C870" s="3"/>
      <c r="D870" s="3"/>
      <c r="E870" s="3"/>
      <c r="F870" s="3"/>
      <c r="G870" s="3"/>
      <c r="H870" s="3"/>
      <c r="I870" s="3"/>
      <c r="J870" s="3"/>
      <c r="K870" s="3"/>
      <c r="L870" s="3"/>
      <c r="M870" s="3"/>
      <c r="N870" s="3"/>
      <c r="O870" s="3"/>
      <c r="P870" s="3"/>
      <c r="Q870" s="3"/>
      <c r="R870" s="111"/>
      <c r="S870" s="111"/>
      <c r="T870" s="111"/>
    </row>
    <row r="871" spans="3:20" s="4" customFormat="1" x14ac:dyDescent="0.25">
      <c r="C871" s="3"/>
      <c r="D871" s="3"/>
      <c r="E871" s="3"/>
      <c r="F871" s="3"/>
      <c r="G871" s="3"/>
      <c r="H871" s="3"/>
      <c r="I871" s="3"/>
      <c r="J871" s="3"/>
      <c r="K871" s="3"/>
      <c r="L871" s="3"/>
      <c r="M871" s="3"/>
      <c r="N871" s="3"/>
      <c r="O871" s="3"/>
      <c r="P871" s="3"/>
      <c r="Q871" s="3"/>
      <c r="R871" s="111"/>
      <c r="S871" s="111"/>
      <c r="T871" s="111"/>
    </row>
    <row r="872" spans="3:20" s="4" customFormat="1" x14ac:dyDescent="0.25">
      <c r="C872" s="3"/>
      <c r="D872" s="3"/>
      <c r="E872" s="3"/>
      <c r="F872" s="3"/>
      <c r="G872" s="3"/>
      <c r="H872" s="3"/>
      <c r="I872" s="3"/>
      <c r="J872" s="3"/>
      <c r="K872" s="3"/>
      <c r="L872" s="3"/>
      <c r="M872" s="3"/>
      <c r="N872" s="3"/>
      <c r="O872" s="3"/>
      <c r="P872" s="3"/>
      <c r="Q872" s="3"/>
      <c r="R872" s="111"/>
      <c r="S872" s="111"/>
      <c r="T872" s="111"/>
    </row>
    <row r="873" spans="3:20" s="4" customFormat="1" x14ac:dyDescent="0.25">
      <c r="C873" s="3"/>
      <c r="D873" s="3"/>
      <c r="E873" s="3"/>
      <c r="F873" s="3"/>
      <c r="G873" s="3"/>
      <c r="H873" s="3"/>
      <c r="I873" s="3"/>
      <c r="J873" s="3"/>
      <c r="K873" s="3"/>
      <c r="L873" s="3"/>
      <c r="M873" s="3"/>
      <c r="N873" s="3"/>
      <c r="O873" s="3"/>
      <c r="P873" s="3"/>
      <c r="Q873" s="3"/>
      <c r="R873" s="111"/>
      <c r="S873" s="111"/>
      <c r="T873" s="111"/>
    </row>
    <row r="874" spans="3:20" s="4" customFormat="1" x14ac:dyDescent="0.25">
      <c r="C874" s="3"/>
      <c r="D874" s="3"/>
      <c r="E874" s="3"/>
      <c r="F874" s="3"/>
      <c r="G874" s="3"/>
      <c r="H874" s="3"/>
      <c r="I874" s="3"/>
      <c r="J874" s="3"/>
      <c r="K874" s="3"/>
      <c r="L874" s="3"/>
      <c r="M874" s="3"/>
      <c r="N874" s="3"/>
      <c r="O874" s="3"/>
      <c r="P874" s="3"/>
      <c r="Q874" s="3"/>
      <c r="R874" s="111"/>
      <c r="S874" s="111"/>
      <c r="T874" s="111"/>
    </row>
    <row r="875" spans="3:20" s="4" customFormat="1" x14ac:dyDescent="0.25">
      <c r="C875" s="3"/>
      <c r="D875" s="3"/>
      <c r="E875" s="3"/>
      <c r="F875" s="3"/>
      <c r="G875" s="3"/>
      <c r="H875" s="3"/>
      <c r="I875" s="3"/>
      <c r="J875" s="3"/>
      <c r="K875" s="3"/>
      <c r="L875" s="3"/>
      <c r="M875" s="3"/>
      <c r="N875" s="3"/>
      <c r="O875" s="3"/>
      <c r="P875" s="3"/>
      <c r="Q875" s="3"/>
      <c r="R875" s="111"/>
      <c r="S875" s="111"/>
      <c r="T875" s="111"/>
    </row>
    <row r="876" spans="3:20" s="4" customFormat="1" x14ac:dyDescent="0.25">
      <c r="C876" s="3"/>
      <c r="D876" s="3"/>
      <c r="E876" s="3"/>
      <c r="F876" s="3"/>
      <c r="G876" s="3"/>
      <c r="H876" s="3"/>
      <c r="I876" s="3"/>
      <c r="J876" s="3"/>
      <c r="K876" s="3"/>
      <c r="L876" s="3"/>
      <c r="M876" s="3"/>
      <c r="N876" s="3"/>
      <c r="O876" s="3"/>
      <c r="P876" s="3"/>
      <c r="Q876" s="3"/>
      <c r="R876" s="111"/>
      <c r="S876" s="111"/>
      <c r="T876" s="111"/>
    </row>
    <row r="877" spans="3:20" s="4" customFormat="1" x14ac:dyDescent="0.25">
      <c r="C877" s="3"/>
      <c r="D877" s="3"/>
      <c r="E877" s="3"/>
      <c r="F877" s="3"/>
      <c r="G877" s="3"/>
      <c r="H877" s="3"/>
      <c r="I877" s="3"/>
      <c r="J877" s="3"/>
      <c r="K877" s="3"/>
      <c r="L877" s="3"/>
      <c r="M877" s="3"/>
      <c r="N877" s="3"/>
      <c r="O877" s="3"/>
      <c r="P877" s="3"/>
      <c r="Q877" s="3"/>
      <c r="R877" s="111"/>
      <c r="S877" s="111"/>
      <c r="T877" s="111"/>
    </row>
    <row r="878" spans="3:20" s="4" customFormat="1" x14ac:dyDescent="0.25">
      <c r="C878" s="3"/>
      <c r="D878" s="3"/>
      <c r="E878" s="3"/>
      <c r="F878" s="3"/>
      <c r="G878" s="3"/>
      <c r="H878" s="3"/>
      <c r="I878" s="3"/>
      <c r="J878" s="3"/>
      <c r="K878" s="3"/>
      <c r="L878" s="3"/>
      <c r="M878" s="3"/>
      <c r="N878" s="3"/>
      <c r="O878" s="3"/>
      <c r="P878" s="3"/>
      <c r="Q878" s="3"/>
      <c r="R878" s="111"/>
      <c r="S878" s="111"/>
      <c r="T878" s="111"/>
    </row>
    <row r="879" spans="3:20" s="4" customFormat="1" x14ac:dyDescent="0.25">
      <c r="C879" s="3"/>
      <c r="D879" s="3"/>
      <c r="E879" s="3"/>
      <c r="F879" s="3"/>
      <c r="G879" s="3"/>
      <c r="H879" s="3"/>
      <c r="I879" s="3"/>
      <c r="J879" s="3"/>
      <c r="K879" s="3"/>
      <c r="L879" s="3"/>
      <c r="M879" s="3"/>
      <c r="N879" s="3"/>
      <c r="O879" s="3"/>
      <c r="P879" s="3"/>
      <c r="Q879" s="3"/>
      <c r="R879" s="111"/>
      <c r="S879" s="111"/>
      <c r="T879" s="111"/>
    </row>
    <row r="880" spans="3:20" s="4" customFormat="1" x14ac:dyDescent="0.25">
      <c r="C880" s="3"/>
      <c r="D880" s="3"/>
      <c r="E880" s="3"/>
      <c r="F880" s="3"/>
      <c r="G880" s="3"/>
      <c r="H880" s="3"/>
      <c r="I880" s="3"/>
      <c r="J880" s="3"/>
      <c r="K880" s="3"/>
      <c r="L880" s="3"/>
      <c r="M880" s="3"/>
      <c r="N880" s="3"/>
      <c r="O880" s="3"/>
      <c r="P880" s="3"/>
      <c r="Q880" s="3"/>
      <c r="R880" s="111"/>
      <c r="S880" s="111"/>
      <c r="T880" s="111"/>
    </row>
    <row r="881" spans="3:20" s="4" customFormat="1" x14ac:dyDescent="0.25">
      <c r="C881" s="3"/>
      <c r="D881" s="3"/>
      <c r="E881" s="3"/>
      <c r="F881" s="3"/>
      <c r="G881" s="3"/>
      <c r="H881" s="3"/>
      <c r="I881" s="3"/>
      <c r="J881" s="3"/>
      <c r="K881" s="3"/>
      <c r="L881" s="3"/>
      <c r="M881" s="3"/>
      <c r="N881" s="3"/>
      <c r="O881" s="3"/>
      <c r="P881" s="3"/>
      <c r="Q881" s="3"/>
      <c r="R881" s="111"/>
      <c r="S881" s="111"/>
      <c r="T881" s="111"/>
    </row>
    <row r="882" spans="3:20" s="4" customFormat="1" x14ac:dyDescent="0.25">
      <c r="C882" s="3"/>
      <c r="D882" s="3"/>
      <c r="E882" s="3"/>
      <c r="F882" s="3"/>
      <c r="G882" s="3"/>
      <c r="H882" s="3"/>
      <c r="I882" s="3"/>
      <c r="J882" s="3"/>
      <c r="K882" s="3"/>
      <c r="L882" s="3"/>
      <c r="M882" s="3"/>
      <c r="N882" s="3"/>
      <c r="O882" s="3"/>
      <c r="P882" s="3"/>
      <c r="Q882" s="3"/>
      <c r="R882" s="111"/>
      <c r="S882" s="111"/>
      <c r="T882" s="111"/>
    </row>
    <row r="883" spans="3:20" s="4" customFormat="1" x14ac:dyDescent="0.25">
      <c r="C883" s="3"/>
      <c r="D883" s="3"/>
      <c r="E883" s="3"/>
      <c r="F883" s="3"/>
      <c r="G883" s="3"/>
      <c r="H883" s="3"/>
      <c r="I883" s="3"/>
      <c r="J883" s="3"/>
      <c r="K883" s="3"/>
      <c r="L883" s="3"/>
      <c r="M883" s="3"/>
      <c r="N883" s="3"/>
      <c r="O883" s="3"/>
      <c r="P883" s="3"/>
      <c r="Q883" s="3"/>
      <c r="R883" s="111"/>
      <c r="S883" s="111"/>
      <c r="T883" s="111"/>
    </row>
    <row r="884" spans="3:20" s="4" customFormat="1" x14ac:dyDescent="0.25">
      <c r="C884" s="3"/>
      <c r="D884" s="3"/>
      <c r="E884" s="3"/>
      <c r="F884" s="3"/>
      <c r="G884" s="3"/>
      <c r="H884" s="3"/>
      <c r="I884" s="3"/>
      <c r="J884" s="3"/>
      <c r="K884" s="3"/>
      <c r="L884" s="3"/>
      <c r="M884" s="3"/>
      <c r="N884" s="3"/>
      <c r="O884" s="3"/>
      <c r="P884" s="3"/>
      <c r="Q884" s="3"/>
      <c r="R884" s="111"/>
      <c r="S884" s="111"/>
      <c r="T884" s="111"/>
    </row>
    <row r="885" spans="3:20" s="4" customFormat="1" x14ac:dyDescent="0.25">
      <c r="C885" s="3"/>
      <c r="D885" s="3"/>
      <c r="E885" s="3"/>
      <c r="F885" s="3"/>
      <c r="G885" s="3"/>
      <c r="H885" s="3"/>
      <c r="I885" s="3"/>
      <c r="J885" s="3"/>
      <c r="K885" s="3"/>
      <c r="L885" s="3"/>
      <c r="M885" s="3"/>
      <c r="N885" s="3"/>
      <c r="O885" s="3"/>
      <c r="P885" s="3"/>
      <c r="Q885" s="3"/>
      <c r="R885" s="111"/>
      <c r="S885" s="111"/>
      <c r="T885" s="111"/>
    </row>
    <row r="886" spans="3:20" s="4" customFormat="1" x14ac:dyDescent="0.25">
      <c r="C886" s="3"/>
      <c r="D886" s="3"/>
      <c r="E886" s="3"/>
      <c r="F886" s="3"/>
      <c r="G886" s="3"/>
      <c r="H886" s="3"/>
      <c r="I886" s="3"/>
      <c r="J886" s="3"/>
      <c r="K886" s="3"/>
      <c r="L886" s="3"/>
      <c r="M886" s="3"/>
      <c r="N886" s="3"/>
      <c r="O886" s="3"/>
      <c r="P886" s="3"/>
      <c r="Q886" s="3"/>
      <c r="R886" s="111"/>
      <c r="S886" s="111"/>
      <c r="T886" s="111"/>
    </row>
    <row r="887" spans="3:20" s="4" customFormat="1" x14ac:dyDescent="0.25">
      <c r="C887" s="3"/>
      <c r="D887" s="3"/>
      <c r="E887" s="3"/>
      <c r="F887" s="3"/>
      <c r="G887" s="3"/>
      <c r="H887" s="3"/>
      <c r="I887" s="3"/>
      <c r="J887" s="3"/>
      <c r="K887" s="3"/>
      <c r="L887" s="3"/>
      <c r="M887" s="3"/>
      <c r="N887" s="3"/>
      <c r="O887" s="3"/>
      <c r="P887" s="3"/>
      <c r="Q887" s="3"/>
      <c r="R887" s="111"/>
      <c r="S887" s="111"/>
      <c r="T887" s="111"/>
    </row>
    <row r="888" spans="3:20" s="4" customFormat="1" x14ac:dyDescent="0.25">
      <c r="C888" s="3"/>
      <c r="D888" s="3"/>
      <c r="E888" s="3"/>
      <c r="F888" s="3"/>
      <c r="G888" s="3"/>
      <c r="H888" s="3"/>
      <c r="I888" s="3"/>
      <c r="J888" s="3"/>
      <c r="K888" s="3"/>
      <c r="L888" s="3"/>
      <c r="M888" s="3"/>
      <c r="N888" s="3"/>
      <c r="O888" s="3"/>
      <c r="P888" s="3"/>
      <c r="Q888" s="3"/>
      <c r="R888" s="111"/>
      <c r="S888" s="111"/>
      <c r="T888" s="111"/>
    </row>
    <row r="889" spans="3:20" s="4" customFormat="1" x14ac:dyDescent="0.25">
      <c r="C889" s="3"/>
      <c r="D889" s="3"/>
      <c r="E889" s="3"/>
      <c r="F889" s="3"/>
      <c r="G889" s="3"/>
      <c r="H889" s="3"/>
      <c r="I889" s="3"/>
      <c r="J889" s="3"/>
      <c r="K889" s="3"/>
      <c r="L889" s="3"/>
      <c r="M889" s="3"/>
      <c r="N889" s="3"/>
      <c r="O889" s="3"/>
      <c r="P889" s="3"/>
      <c r="Q889" s="3"/>
      <c r="R889" s="111"/>
      <c r="S889" s="111"/>
      <c r="T889" s="111"/>
    </row>
    <row r="890" spans="3:20" s="4" customFormat="1" x14ac:dyDescent="0.25">
      <c r="C890" s="3"/>
      <c r="D890" s="3"/>
      <c r="E890" s="3"/>
      <c r="F890" s="3"/>
      <c r="G890" s="3"/>
      <c r="H890" s="3"/>
      <c r="I890" s="3"/>
      <c r="J890" s="3"/>
      <c r="K890" s="3"/>
      <c r="L890" s="3"/>
      <c r="M890" s="3"/>
      <c r="N890" s="3"/>
      <c r="O890" s="3"/>
      <c r="P890" s="3"/>
      <c r="Q890" s="3"/>
      <c r="R890" s="111"/>
      <c r="S890" s="111"/>
      <c r="T890" s="111"/>
    </row>
    <row r="891" spans="3:20" s="4" customFormat="1" x14ac:dyDescent="0.25">
      <c r="C891" s="3"/>
      <c r="D891" s="3"/>
      <c r="E891" s="3"/>
      <c r="F891" s="3"/>
      <c r="G891" s="3"/>
      <c r="H891" s="3"/>
      <c r="I891" s="3"/>
      <c r="J891" s="3"/>
      <c r="K891" s="3"/>
      <c r="L891" s="3"/>
      <c r="M891" s="3"/>
      <c r="N891" s="3"/>
      <c r="O891" s="3"/>
      <c r="P891" s="3"/>
      <c r="Q891" s="3"/>
      <c r="R891" s="111"/>
      <c r="S891" s="111"/>
      <c r="T891" s="111"/>
    </row>
    <row r="892" spans="3:20" s="4" customFormat="1" x14ac:dyDescent="0.25">
      <c r="C892" s="3"/>
      <c r="D892" s="3"/>
      <c r="E892" s="3"/>
      <c r="F892" s="3"/>
      <c r="G892" s="3"/>
      <c r="H892" s="3"/>
      <c r="I892" s="3"/>
      <c r="J892" s="3"/>
      <c r="K892" s="3"/>
      <c r="L892" s="3"/>
      <c r="M892" s="3"/>
      <c r="N892" s="3"/>
      <c r="O892" s="3"/>
      <c r="P892" s="3"/>
      <c r="Q892" s="3"/>
      <c r="R892" s="111"/>
      <c r="S892" s="111"/>
      <c r="T892" s="111"/>
    </row>
    <row r="893" spans="3:20" s="4" customFormat="1" x14ac:dyDescent="0.25">
      <c r="C893" s="3"/>
      <c r="D893" s="3"/>
      <c r="E893" s="3"/>
      <c r="F893" s="3"/>
      <c r="G893" s="3"/>
      <c r="H893" s="3"/>
      <c r="I893" s="3"/>
      <c r="J893" s="3"/>
      <c r="K893" s="3"/>
      <c r="L893" s="3"/>
      <c r="M893" s="3"/>
      <c r="N893" s="3"/>
      <c r="O893" s="3"/>
      <c r="P893" s="3"/>
      <c r="Q893" s="3"/>
      <c r="R893" s="111"/>
      <c r="S893" s="111"/>
      <c r="T893" s="111"/>
    </row>
    <row r="894" spans="3:20" s="4" customFormat="1" x14ac:dyDescent="0.25">
      <c r="C894" s="3"/>
      <c r="D894" s="3"/>
      <c r="E894" s="3"/>
      <c r="F894" s="3"/>
      <c r="G894" s="3"/>
      <c r="H894" s="3"/>
      <c r="I894" s="3"/>
      <c r="J894" s="3"/>
      <c r="K894" s="3"/>
      <c r="L894" s="3"/>
      <c r="M894" s="3"/>
      <c r="N894" s="3"/>
      <c r="O894" s="3"/>
      <c r="P894" s="3"/>
      <c r="Q894" s="3"/>
      <c r="R894" s="111"/>
      <c r="S894" s="111"/>
      <c r="T894" s="111"/>
    </row>
    <row r="895" spans="3:20" s="4" customFormat="1" x14ac:dyDescent="0.25">
      <c r="C895" s="3"/>
      <c r="D895" s="3"/>
      <c r="E895" s="3"/>
      <c r="F895" s="3"/>
      <c r="G895" s="3"/>
      <c r="H895" s="3"/>
      <c r="I895" s="3"/>
      <c r="J895" s="3"/>
      <c r="K895" s="3"/>
      <c r="L895" s="3"/>
      <c r="M895" s="3"/>
      <c r="N895" s="3"/>
      <c r="O895" s="3"/>
      <c r="P895" s="3"/>
      <c r="Q895" s="3"/>
      <c r="R895" s="111"/>
      <c r="S895" s="111"/>
      <c r="T895" s="111"/>
    </row>
    <row r="896" spans="3:20" s="4" customFormat="1" x14ac:dyDescent="0.25">
      <c r="C896" s="3"/>
      <c r="D896" s="3"/>
      <c r="E896" s="3"/>
      <c r="F896" s="3"/>
      <c r="G896" s="3"/>
      <c r="H896" s="3"/>
      <c r="I896" s="3"/>
      <c r="J896" s="3"/>
      <c r="K896" s="3"/>
      <c r="L896" s="3"/>
      <c r="M896" s="3"/>
      <c r="N896" s="3"/>
      <c r="O896" s="3"/>
      <c r="P896" s="3"/>
      <c r="Q896" s="3"/>
      <c r="R896" s="111"/>
      <c r="S896" s="111"/>
      <c r="T896" s="111"/>
    </row>
    <row r="897" spans="3:20" s="4" customFormat="1" x14ac:dyDescent="0.25">
      <c r="C897" s="3"/>
      <c r="D897" s="3"/>
      <c r="E897" s="3"/>
      <c r="F897" s="3"/>
      <c r="G897" s="3"/>
      <c r="H897" s="3"/>
      <c r="I897" s="3"/>
      <c r="J897" s="3"/>
      <c r="K897" s="3"/>
      <c r="L897" s="3"/>
      <c r="M897" s="3"/>
      <c r="N897" s="3"/>
      <c r="O897" s="3"/>
      <c r="P897" s="3"/>
      <c r="Q897" s="3"/>
      <c r="R897" s="111"/>
      <c r="S897" s="111"/>
      <c r="T897" s="111"/>
    </row>
    <row r="898" spans="3:20" s="4" customFormat="1" x14ac:dyDescent="0.25">
      <c r="C898" s="3"/>
      <c r="D898" s="3"/>
      <c r="E898" s="3"/>
      <c r="F898" s="3"/>
      <c r="G898" s="3"/>
      <c r="H898" s="3"/>
      <c r="I898" s="3"/>
      <c r="J898" s="3"/>
      <c r="K898" s="3"/>
      <c r="L898" s="3"/>
      <c r="M898" s="3"/>
      <c r="N898" s="3"/>
      <c r="O898" s="3"/>
      <c r="P898" s="3"/>
      <c r="Q898" s="3"/>
      <c r="R898" s="111"/>
      <c r="S898" s="111"/>
      <c r="T898" s="111"/>
    </row>
    <row r="899" spans="3:20" s="4" customFormat="1" x14ac:dyDescent="0.25">
      <c r="C899" s="3"/>
      <c r="D899" s="3"/>
      <c r="E899" s="3"/>
      <c r="F899" s="3"/>
      <c r="G899" s="3"/>
      <c r="H899" s="3"/>
      <c r="I899" s="3"/>
      <c r="J899" s="3"/>
      <c r="K899" s="3"/>
      <c r="L899" s="3"/>
      <c r="M899" s="3"/>
      <c r="N899" s="3"/>
      <c r="O899" s="3"/>
      <c r="P899" s="3"/>
      <c r="Q899" s="3"/>
      <c r="R899" s="111"/>
      <c r="S899" s="111"/>
      <c r="T899" s="111"/>
    </row>
    <row r="900" spans="3:20" s="4" customFormat="1" x14ac:dyDescent="0.25">
      <c r="C900" s="3"/>
      <c r="D900" s="3"/>
      <c r="E900" s="3"/>
      <c r="F900" s="3"/>
      <c r="G900" s="3"/>
      <c r="H900" s="3"/>
      <c r="I900" s="3"/>
      <c r="J900" s="3"/>
      <c r="K900" s="3"/>
      <c r="L900" s="3"/>
      <c r="M900" s="3"/>
      <c r="N900" s="3"/>
      <c r="O900" s="3"/>
      <c r="P900" s="3"/>
      <c r="Q900" s="3"/>
      <c r="R900" s="111"/>
      <c r="S900" s="111"/>
      <c r="T900" s="111"/>
    </row>
    <row r="901" spans="3:20" s="4" customFormat="1" x14ac:dyDescent="0.25">
      <c r="C901" s="3"/>
      <c r="D901" s="3"/>
      <c r="E901" s="3"/>
      <c r="F901" s="3"/>
      <c r="G901" s="3"/>
      <c r="H901" s="3"/>
      <c r="I901" s="3"/>
      <c r="J901" s="3"/>
      <c r="K901" s="3"/>
      <c r="L901" s="3"/>
      <c r="M901" s="3"/>
      <c r="N901" s="3"/>
      <c r="O901" s="3"/>
      <c r="P901" s="3"/>
      <c r="Q901" s="3"/>
      <c r="R901" s="111"/>
      <c r="S901" s="111"/>
      <c r="T901" s="111"/>
    </row>
    <row r="902" spans="3:20" s="4" customFormat="1" x14ac:dyDescent="0.25">
      <c r="C902" s="3"/>
      <c r="D902" s="3"/>
      <c r="E902" s="3"/>
      <c r="F902" s="3"/>
      <c r="G902" s="3"/>
      <c r="H902" s="3"/>
      <c r="I902" s="3"/>
      <c r="J902" s="3"/>
      <c r="K902" s="3"/>
      <c r="L902" s="3"/>
      <c r="M902" s="3"/>
      <c r="N902" s="3"/>
      <c r="O902" s="3"/>
      <c r="P902" s="3"/>
      <c r="Q902" s="3"/>
      <c r="R902" s="111"/>
      <c r="S902" s="111"/>
      <c r="T902" s="111"/>
    </row>
    <row r="903" spans="3:20" s="4" customFormat="1" x14ac:dyDescent="0.25">
      <c r="C903" s="3"/>
      <c r="D903" s="3"/>
      <c r="E903" s="3"/>
      <c r="F903" s="3"/>
      <c r="G903" s="3"/>
      <c r="H903" s="3"/>
      <c r="I903" s="3"/>
      <c r="J903" s="3"/>
      <c r="K903" s="3"/>
      <c r="L903" s="3"/>
      <c r="M903" s="3"/>
      <c r="N903" s="3"/>
      <c r="O903" s="3"/>
      <c r="P903" s="3"/>
      <c r="Q903" s="3"/>
      <c r="R903" s="111"/>
      <c r="S903" s="111"/>
      <c r="T903" s="111"/>
    </row>
    <row r="904" spans="3:20" s="4" customFormat="1" x14ac:dyDescent="0.25">
      <c r="C904" s="3"/>
      <c r="D904" s="3"/>
      <c r="E904" s="3"/>
      <c r="F904" s="3"/>
      <c r="G904" s="3"/>
      <c r="H904" s="3"/>
      <c r="I904" s="3"/>
      <c r="J904" s="3"/>
      <c r="K904" s="3"/>
      <c r="L904" s="3"/>
      <c r="M904" s="3"/>
      <c r="N904" s="3"/>
      <c r="O904" s="3"/>
      <c r="P904" s="3"/>
      <c r="Q904" s="3"/>
      <c r="R904" s="111"/>
      <c r="S904" s="111"/>
      <c r="T904" s="111"/>
    </row>
    <row r="905" spans="3:20" s="4" customFormat="1" x14ac:dyDescent="0.25">
      <c r="C905" s="3"/>
      <c r="D905" s="3"/>
      <c r="E905" s="3"/>
      <c r="F905" s="3"/>
      <c r="G905" s="3"/>
      <c r="H905" s="3"/>
      <c r="I905" s="3"/>
      <c r="J905" s="3"/>
      <c r="K905" s="3"/>
      <c r="L905" s="3"/>
      <c r="M905" s="3"/>
      <c r="N905" s="3"/>
      <c r="O905" s="3"/>
      <c r="P905" s="3"/>
      <c r="Q905" s="3"/>
      <c r="R905" s="111"/>
      <c r="S905" s="111"/>
      <c r="T905" s="111"/>
    </row>
    <row r="906" spans="3:20" s="4" customFormat="1" x14ac:dyDescent="0.25">
      <c r="C906" s="3"/>
      <c r="D906" s="3"/>
      <c r="E906" s="3"/>
      <c r="F906" s="3"/>
      <c r="G906" s="3"/>
      <c r="H906" s="3"/>
      <c r="I906" s="3"/>
      <c r="J906" s="3"/>
      <c r="K906" s="3"/>
      <c r="L906" s="3"/>
      <c r="M906" s="3"/>
      <c r="N906" s="3"/>
      <c r="O906" s="3"/>
      <c r="P906" s="3"/>
      <c r="Q906" s="3"/>
      <c r="R906" s="111"/>
      <c r="S906" s="111"/>
      <c r="T906" s="111"/>
    </row>
    <row r="907" spans="3:20" s="4" customFormat="1" x14ac:dyDescent="0.25">
      <c r="C907" s="3"/>
      <c r="D907" s="3"/>
      <c r="E907" s="3"/>
      <c r="F907" s="3"/>
      <c r="G907" s="3"/>
      <c r="H907" s="3"/>
      <c r="I907" s="3"/>
      <c r="J907" s="3"/>
      <c r="K907" s="3"/>
      <c r="L907" s="3"/>
      <c r="M907" s="3"/>
      <c r="N907" s="3"/>
      <c r="O907" s="3"/>
      <c r="P907" s="3"/>
      <c r="Q907" s="3"/>
      <c r="R907" s="111"/>
      <c r="S907" s="111"/>
      <c r="T907" s="111"/>
    </row>
    <row r="908" spans="3:20" s="4" customFormat="1" x14ac:dyDescent="0.25">
      <c r="C908" s="3"/>
      <c r="D908" s="3"/>
      <c r="E908" s="3"/>
      <c r="F908" s="3"/>
      <c r="G908" s="3"/>
      <c r="H908" s="3"/>
      <c r="I908" s="3"/>
      <c r="J908" s="3"/>
      <c r="K908" s="3"/>
      <c r="L908" s="3"/>
      <c r="M908" s="3"/>
      <c r="N908" s="3"/>
      <c r="O908" s="3"/>
      <c r="P908" s="3"/>
      <c r="Q908" s="3"/>
      <c r="R908" s="111"/>
      <c r="S908" s="111"/>
      <c r="T908" s="111"/>
    </row>
    <row r="909" spans="3:20" s="4" customFormat="1" x14ac:dyDescent="0.25">
      <c r="C909" s="3"/>
      <c r="D909" s="3"/>
      <c r="E909" s="3"/>
      <c r="F909" s="3"/>
      <c r="G909" s="3"/>
      <c r="H909" s="3"/>
      <c r="I909" s="3"/>
      <c r="J909" s="3"/>
      <c r="K909" s="3"/>
      <c r="L909" s="3"/>
      <c r="M909" s="3"/>
      <c r="N909" s="3"/>
      <c r="O909" s="3"/>
      <c r="P909" s="3"/>
      <c r="Q909" s="3"/>
      <c r="R909" s="111"/>
      <c r="S909" s="111"/>
      <c r="T909" s="111"/>
    </row>
    <row r="910" spans="3:20" s="4" customFormat="1" x14ac:dyDescent="0.25">
      <c r="C910" s="3"/>
      <c r="D910" s="3"/>
      <c r="E910" s="3"/>
      <c r="F910" s="3"/>
      <c r="G910" s="3"/>
      <c r="H910" s="3"/>
      <c r="I910" s="3"/>
      <c r="J910" s="3"/>
      <c r="K910" s="3"/>
      <c r="L910" s="3"/>
      <c r="M910" s="3"/>
      <c r="N910" s="3"/>
      <c r="O910" s="3"/>
      <c r="P910" s="3"/>
      <c r="Q910" s="3"/>
      <c r="R910" s="111"/>
      <c r="S910" s="111"/>
      <c r="T910" s="111"/>
    </row>
    <row r="911" spans="3:20" s="4" customFormat="1" x14ac:dyDescent="0.25">
      <c r="C911" s="3"/>
      <c r="D911" s="3"/>
      <c r="E911" s="3"/>
      <c r="F911" s="3"/>
      <c r="G911" s="3"/>
      <c r="H911" s="3"/>
      <c r="I911" s="3"/>
      <c r="J911" s="3"/>
      <c r="K911" s="3"/>
      <c r="L911" s="3"/>
      <c r="M911" s="3"/>
      <c r="N911" s="3"/>
      <c r="O911" s="3"/>
      <c r="P911" s="3"/>
      <c r="Q911" s="3"/>
      <c r="R911" s="111"/>
      <c r="S911" s="111"/>
      <c r="T911" s="111"/>
    </row>
    <row r="912" spans="3:20" s="4" customFormat="1" x14ac:dyDescent="0.25">
      <c r="C912" s="3"/>
      <c r="D912" s="3"/>
      <c r="E912" s="3"/>
      <c r="F912" s="3"/>
      <c r="G912" s="3"/>
      <c r="H912" s="3"/>
      <c r="I912" s="3"/>
      <c r="J912" s="3"/>
      <c r="K912" s="3"/>
      <c r="L912" s="3"/>
      <c r="M912" s="3"/>
      <c r="N912" s="3"/>
      <c r="O912" s="3"/>
      <c r="P912" s="3"/>
      <c r="Q912" s="3"/>
      <c r="R912" s="111"/>
      <c r="S912" s="111"/>
      <c r="T912" s="111"/>
    </row>
    <row r="913" spans="3:20" s="4" customFormat="1" x14ac:dyDescent="0.25">
      <c r="C913" s="3"/>
      <c r="D913" s="3"/>
      <c r="E913" s="3"/>
      <c r="F913" s="3"/>
      <c r="G913" s="3"/>
      <c r="H913" s="3"/>
      <c r="I913" s="3"/>
      <c r="J913" s="3"/>
      <c r="K913" s="3"/>
      <c r="L913" s="3"/>
      <c r="M913" s="3"/>
      <c r="N913" s="3"/>
      <c r="O913" s="3"/>
      <c r="P913" s="3"/>
      <c r="Q913" s="3"/>
      <c r="R913" s="111"/>
      <c r="S913" s="111"/>
      <c r="T913" s="111"/>
    </row>
    <row r="914" spans="3:20" s="4" customFormat="1" x14ac:dyDescent="0.25">
      <c r="C914" s="3"/>
      <c r="D914" s="3"/>
      <c r="E914" s="3"/>
      <c r="F914" s="3"/>
      <c r="G914" s="3"/>
      <c r="H914" s="3"/>
      <c r="I914" s="3"/>
      <c r="J914" s="3"/>
      <c r="K914" s="3"/>
      <c r="L914" s="3"/>
      <c r="M914" s="3"/>
      <c r="N914" s="3"/>
      <c r="O914" s="3"/>
      <c r="P914" s="3"/>
      <c r="Q914" s="3"/>
      <c r="R914" s="111"/>
      <c r="S914" s="111"/>
      <c r="T914" s="111"/>
    </row>
    <row r="915" spans="3:20" s="4" customFormat="1" x14ac:dyDescent="0.25">
      <c r="C915" s="3"/>
      <c r="D915" s="3"/>
      <c r="E915" s="3"/>
      <c r="F915" s="3"/>
      <c r="G915" s="3"/>
      <c r="H915" s="3"/>
      <c r="I915" s="3"/>
      <c r="J915" s="3"/>
      <c r="K915" s="3"/>
      <c r="L915" s="3"/>
      <c r="M915" s="3"/>
      <c r="N915" s="3"/>
      <c r="O915" s="3"/>
      <c r="P915" s="3"/>
      <c r="Q915" s="3"/>
      <c r="R915" s="111"/>
      <c r="S915" s="111"/>
      <c r="T915" s="111"/>
    </row>
    <row r="916" spans="3:20" s="4" customFormat="1" x14ac:dyDescent="0.25">
      <c r="C916" s="3"/>
      <c r="D916" s="3"/>
      <c r="E916" s="3"/>
      <c r="F916" s="3"/>
      <c r="G916" s="3"/>
      <c r="H916" s="3"/>
      <c r="I916" s="3"/>
      <c r="J916" s="3"/>
      <c r="K916" s="3"/>
      <c r="L916" s="3"/>
      <c r="M916" s="3"/>
      <c r="N916" s="3"/>
      <c r="O916" s="3"/>
      <c r="P916" s="3"/>
      <c r="Q916" s="3"/>
      <c r="R916" s="111"/>
      <c r="S916" s="111"/>
      <c r="T916" s="111"/>
    </row>
    <row r="917" spans="3:20" s="4" customFormat="1" x14ac:dyDescent="0.25">
      <c r="C917" s="3"/>
      <c r="D917" s="3"/>
      <c r="E917" s="3"/>
      <c r="F917" s="3"/>
      <c r="G917" s="3"/>
      <c r="H917" s="3"/>
      <c r="I917" s="3"/>
      <c r="J917" s="3"/>
      <c r="K917" s="3"/>
      <c r="L917" s="3"/>
      <c r="M917" s="3"/>
      <c r="N917" s="3"/>
      <c r="O917" s="3"/>
      <c r="P917" s="3"/>
      <c r="Q917" s="3"/>
      <c r="R917" s="111"/>
      <c r="S917" s="111"/>
      <c r="T917" s="111"/>
    </row>
    <row r="918" spans="3:20" s="4" customFormat="1" x14ac:dyDescent="0.25">
      <c r="C918" s="3"/>
      <c r="D918" s="3"/>
      <c r="E918" s="3"/>
      <c r="F918" s="3"/>
      <c r="G918" s="3"/>
      <c r="H918" s="3"/>
      <c r="I918" s="3"/>
      <c r="J918" s="3"/>
      <c r="K918" s="3"/>
      <c r="L918" s="3"/>
      <c r="M918" s="3"/>
      <c r="N918" s="3"/>
      <c r="O918" s="3"/>
      <c r="P918" s="3"/>
      <c r="Q918" s="3"/>
      <c r="R918" s="111"/>
      <c r="S918" s="111"/>
      <c r="T918" s="111"/>
    </row>
    <row r="919" spans="3:20" s="4" customFormat="1" x14ac:dyDescent="0.25">
      <c r="C919" s="3"/>
      <c r="D919" s="3"/>
      <c r="E919" s="3"/>
      <c r="F919" s="3"/>
      <c r="G919" s="3"/>
      <c r="H919" s="3"/>
      <c r="I919" s="3"/>
      <c r="J919" s="3"/>
      <c r="K919" s="3"/>
      <c r="L919" s="3"/>
      <c r="M919" s="3"/>
      <c r="N919" s="3"/>
      <c r="O919" s="3"/>
      <c r="P919" s="3"/>
      <c r="Q919" s="3"/>
      <c r="R919" s="111"/>
      <c r="S919" s="111"/>
      <c r="T919" s="111"/>
    </row>
    <row r="920" spans="3:20" s="4" customFormat="1" x14ac:dyDescent="0.25">
      <c r="C920" s="3"/>
      <c r="D920" s="3"/>
      <c r="E920" s="3"/>
      <c r="F920" s="3"/>
      <c r="G920" s="3"/>
      <c r="H920" s="3"/>
      <c r="I920" s="3"/>
      <c r="J920" s="3"/>
      <c r="K920" s="3"/>
      <c r="L920" s="3"/>
      <c r="M920" s="3"/>
      <c r="N920" s="3"/>
      <c r="O920" s="3"/>
      <c r="P920" s="3"/>
      <c r="Q920" s="3"/>
      <c r="R920" s="111"/>
      <c r="S920" s="111"/>
      <c r="T920" s="111"/>
    </row>
    <row r="921" spans="3:20" s="4" customFormat="1" x14ac:dyDescent="0.25">
      <c r="C921" s="3"/>
      <c r="D921" s="3"/>
      <c r="E921" s="3"/>
      <c r="F921" s="3"/>
      <c r="G921" s="3"/>
      <c r="H921" s="3"/>
      <c r="I921" s="3"/>
      <c r="J921" s="3"/>
      <c r="K921" s="3"/>
      <c r="L921" s="3"/>
      <c r="M921" s="3"/>
      <c r="N921" s="3"/>
      <c r="O921" s="3"/>
      <c r="P921" s="3"/>
      <c r="Q921" s="3"/>
      <c r="R921" s="111"/>
      <c r="S921" s="111"/>
      <c r="T921" s="111"/>
    </row>
    <row r="922" spans="3:20" s="4" customFormat="1" x14ac:dyDescent="0.25">
      <c r="C922" s="3"/>
      <c r="D922" s="3"/>
      <c r="E922" s="3"/>
      <c r="F922" s="3"/>
      <c r="G922" s="3"/>
      <c r="H922" s="3"/>
      <c r="I922" s="3"/>
      <c r="J922" s="3"/>
      <c r="K922" s="3"/>
      <c r="L922" s="3"/>
      <c r="M922" s="3"/>
      <c r="N922" s="3"/>
      <c r="O922" s="3"/>
      <c r="P922" s="3"/>
      <c r="Q922" s="3"/>
      <c r="R922" s="111"/>
      <c r="S922" s="111"/>
      <c r="T922" s="111"/>
    </row>
    <row r="923" spans="3:20" s="4" customFormat="1" x14ac:dyDescent="0.25">
      <c r="C923" s="3"/>
      <c r="D923" s="3"/>
      <c r="E923" s="3"/>
      <c r="F923" s="3"/>
      <c r="G923" s="3"/>
      <c r="H923" s="3"/>
      <c r="I923" s="3"/>
      <c r="J923" s="3"/>
      <c r="K923" s="3"/>
      <c r="L923" s="3"/>
      <c r="M923" s="3"/>
      <c r="N923" s="3"/>
      <c r="O923" s="3"/>
      <c r="P923" s="3"/>
      <c r="Q923" s="3"/>
      <c r="R923" s="111"/>
      <c r="S923" s="111"/>
      <c r="T923" s="111"/>
    </row>
    <row r="924" spans="3:20" s="4" customFormat="1" x14ac:dyDescent="0.25">
      <c r="C924" s="3"/>
      <c r="D924" s="3"/>
      <c r="E924" s="3"/>
      <c r="F924" s="3"/>
      <c r="G924" s="3"/>
      <c r="H924" s="3"/>
      <c r="I924" s="3"/>
      <c r="J924" s="3"/>
      <c r="K924" s="3"/>
      <c r="L924" s="3"/>
      <c r="M924" s="3"/>
      <c r="N924" s="3"/>
      <c r="O924" s="3"/>
      <c r="P924" s="3"/>
      <c r="Q924" s="3"/>
      <c r="R924" s="111"/>
      <c r="S924" s="111"/>
      <c r="T924" s="111"/>
    </row>
    <row r="925" spans="3:20" s="4" customFormat="1" x14ac:dyDescent="0.25">
      <c r="C925" s="3"/>
      <c r="D925" s="3"/>
      <c r="E925" s="3"/>
      <c r="F925" s="3"/>
      <c r="G925" s="3"/>
      <c r="H925" s="3"/>
      <c r="I925" s="3"/>
      <c r="J925" s="3"/>
      <c r="K925" s="3"/>
      <c r="L925" s="3"/>
      <c r="M925" s="3"/>
      <c r="N925" s="3"/>
      <c r="O925" s="3"/>
      <c r="P925" s="3"/>
      <c r="Q925" s="3"/>
      <c r="R925" s="111"/>
      <c r="S925" s="111"/>
      <c r="T925" s="111"/>
    </row>
    <row r="926" spans="3:20" s="4" customFormat="1" x14ac:dyDescent="0.25">
      <c r="C926" s="3"/>
      <c r="D926" s="3"/>
      <c r="E926" s="3"/>
      <c r="F926" s="3"/>
      <c r="G926" s="3"/>
      <c r="H926" s="3"/>
      <c r="I926" s="3"/>
      <c r="J926" s="3"/>
      <c r="K926" s="3"/>
      <c r="L926" s="3"/>
      <c r="M926" s="3"/>
      <c r="N926" s="3"/>
      <c r="O926" s="3"/>
      <c r="P926" s="3"/>
      <c r="Q926" s="3"/>
      <c r="R926" s="111"/>
      <c r="S926" s="111"/>
      <c r="T926" s="111"/>
    </row>
    <row r="927" spans="3:20" s="4" customFormat="1" x14ac:dyDescent="0.25">
      <c r="C927" s="3"/>
      <c r="D927" s="3"/>
      <c r="E927" s="3"/>
      <c r="F927" s="3"/>
      <c r="G927" s="3"/>
      <c r="H927" s="3"/>
      <c r="I927" s="3"/>
      <c r="J927" s="3"/>
      <c r="K927" s="3"/>
      <c r="L927" s="3"/>
      <c r="M927" s="3"/>
      <c r="N927" s="3"/>
      <c r="O927" s="3"/>
      <c r="P927" s="3"/>
      <c r="Q927" s="3"/>
      <c r="R927" s="111"/>
      <c r="S927" s="111"/>
      <c r="T927" s="111"/>
    </row>
    <row r="928" spans="3:20" s="4" customFormat="1" x14ac:dyDescent="0.25">
      <c r="C928" s="3"/>
      <c r="D928" s="3"/>
      <c r="E928" s="3"/>
      <c r="F928" s="3"/>
      <c r="G928" s="3"/>
      <c r="H928" s="3"/>
      <c r="I928" s="3"/>
      <c r="J928" s="3"/>
      <c r="K928" s="3"/>
      <c r="L928" s="3"/>
      <c r="M928" s="3"/>
      <c r="N928" s="3"/>
      <c r="O928" s="3"/>
      <c r="P928" s="3"/>
      <c r="Q928" s="3"/>
      <c r="R928" s="111"/>
      <c r="S928" s="111"/>
      <c r="T928" s="111"/>
    </row>
    <row r="929" spans="3:20" s="4" customFormat="1" x14ac:dyDescent="0.25">
      <c r="C929" s="3"/>
      <c r="D929" s="3"/>
      <c r="E929" s="3"/>
      <c r="F929" s="3"/>
      <c r="G929" s="3"/>
      <c r="H929" s="3"/>
      <c r="I929" s="3"/>
      <c r="J929" s="3"/>
      <c r="K929" s="3"/>
      <c r="L929" s="3"/>
      <c r="M929" s="3"/>
      <c r="N929" s="3"/>
      <c r="O929" s="3"/>
      <c r="P929" s="3"/>
      <c r="Q929" s="3"/>
      <c r="R929" s="111"/>
      <c r="S929" s="111"/>
      <c r="T929" s="111"/>
    </row>
    <row r="930" spans="3:20" s="4" customFormat="1" x14ac:dyDescent="0.25">
      <c r="C930" s="3"/>
      <c r="D930" s="3"/>
      <c r="E930" s="3"/>
      <c r="F930" s="3"/>
      <c r="G930" s="3"/>
      <c r="H930" s="3"/>
      <c r="I930" s="3"/>
      <c r="J930" s="3"/>
      <c r="K930" s="3"/>
      <c r="L930" s="3"/>
      <c r="M930" s="3"/>
      <c r="N930" s="3"/>
      <c r="O930" s="3"/>
      <c r="P930" s="3"/>
      <c r="Q930" s="3"/>
      <c r="R930" s="111"/>
      <c r="S930" s="111"/>
      <c r="T930" s="111"/>
    </row>
    <row r="931" spans="3:20" s="4" customFormat="1" x14ac:dyDescent="0.25">
      <c r="C931" s="3"/>
      <c r="D931" s="3"/>
      <c r="E931" s="3"/>
      <c r="F931" s="3"/>
      <c r="G931" s="3"/>
      <c r="H931" s="3"/>
      <c r="I931" s="3"/>
      <c r="J931" s="3"/>
      <c r="K931" s="3"/>
      <c r="L931" s="3"/>
      <c r="M931" s="3"/>
      <c r="N931" s="3"/>
      <c r="O931" s="3"/>
      <c r="P931" s="3"/>
      <c r="Q931" s="3"/>
      <c r="R931" s="111"/>
      <c r="S931" s="111"/>
      <c r="T931" s="111"/>
    </row>
    <row r="932" spans="3:20" s="4" customFormat="1" x14ac:dyDescent="0.25">
      <c r="C932" s="3"/>
      <c r="D932" s="3"/>
      <c r="E932" s="3"/>
      <c r="F932" s="3"/>
      <c r="G932" s="3"/>
      <c r="H932" s="3"/>
      <c r="I932" s="3"/>
      <c r="J932" s="3"/>
      <c r="K932" s="3"/>
      <c r="L932" s="3"/>
      <c r="M932" s="3"/>
      <c r="N932" s="3"/>
      <c r="O932" s="3"/>
      <c r="P932" s="3"/>
      <c r="Q932" s="3"/>
      <c r="R932" s="111"/>
      <c r="S932" s="111"/>
      <c r="T932" s="111"/>
    </row>
    <row r="933" spans="3:20" s="4" customFormat="1" x14ac:dyDescent="0.25">
      <c r="C933" s="3"/>
      <c r="D933" s="3"/>
      <c r="E933" s="3"/>
      <c r="F933" s="3"/>
      <c r="G933" s="3"/>
      <c r="H933" s="3"/>
      <c r="I933" s="3"/>
      <c r="J933" s="3"/>
      <c r="K933" s="3"/>
      <c r="L933" s="3"/>
      <c r="M933" s="3"/>
      <c r="N933" s="3"/>
      <c r="O933" s="3"/>
      <c r="P933" s="3"/>
      <c r="Q933" s="3"/>
      <c r="R933" s="111"/>
      <c r="S933" s="111"/>
      <c r="T933" s="111"/>
    </row>
    <row r="934" spans="3:20" s="4" customFormat="1" x14ac:dyDescent="0.25">
      <c r="C934" s="3"/>
      <c r="D934" s="3"/>
      <c r="E934" s="3"/>
      <c r="F934" s="3"/>
      <c r="G934" s="3"/>
      <c r="H934" s="3"/>
      <c r="I934" s="3"/>
      <c r="J934" s="3"/>
      <c r="K934" s="3"/>
      <c r="L934" s="3"/>
      <c r="M934" s="3"/>
      <c r="N934" s="3"/>
      <c r="O934" s="3"/>
      <c r="P934" s="3"/>
      <c r="Q934" s="3"/>
      <c r="R934" s="111"/>
      <c r="S934" s="111"/>
      <c r="T934" s="111"/>
    </row>
    <row r="935" spans="3:20" s="4" customFormat="1" x14ac:dyDescent="0.25">
      <c r="C935" s="3"/>
      <c r="D935" s="3"/>
      <c r="E935" s="3"/>
      <c r="F935" s="3"/>
      <c r="G935" s="3"/>
      <c r="H935" s="3"/>
      <c r="I935" s="3"/>
      <c r="J935" s="3"/>
      <c r="K935" s="3"/>
      <c r="L935" s="3"/>
      <c r="M935" s="3"/>
      <c r="N935" s="3"/>
      <c r="O935" s="3"/>
      <c r="P935" s="3"/>
      <c r="Q935" s="3"/>
      <c r="R935" s="111"/>
      <c r="S935" s="111"/>
      <c r="T935" s="111"/>
    </row>
    <row r="936" spans="3:20" s="4" customFormat="1" x14ac:dyDescent="0.25">
      <c r="C936" s="3"/>
      <c r="D936" s="3"/>
      <c r="E936" s="3"/>
      <c r="F936" s="3"/>
      <c r="G936" s="3"/>
      <c r="H936" s="3"/>
      <c r="I936" s="3"/>
      <c r="J936" s="3"/>
      <c r="K936" s="3"/>
      <c r="L936" s="3"/>
      <c r="M936" s="3"/>
      <c r="N936" s="3"/>
      <c r="O936" s="3"/>
      <c r="P936" s="3"/>
      <c r="Q936" s="3"/>
      <c r="R936" s="111"/>
      <c r="S936" s="111"/>
      <c r="T936" s="111"/>
    </row>
    <row r="937" spans="3:20" s="4" customFormat="1" x14ac:dyDescent="0.25">
      <c r="C937" s="3"/>
      <c r="D937" s="3"/>
      <c r="E937" s="3"/>
      <c r="F937" s="3"/>
      <c r="G937" s="3"/>
      <c r="H937" s="3"/>
      <c r="I937" s="3"/>
      <c r="J937" s="3"/>
      <c r="K937" s="3"/>
      <c r="L937" s="3"/>
      <c r="M937" s="3"/>
      <c r="N937" s="3"/>
      <c r="O937" s="3"/>
      <c r="P937" s="3"/>
      <c r="Q937" s="3"/>
      <c r="R937" s="111"/>
      <c r="S937" s="111"/>
      <c r="T937" s="111"/>
    </row>
    <row r="938" spans="3:20" s="4" customFormat="1" x14ac:dyDescent="0.25">
      <c r="C938" s="3"/>
      <c r="D938" s="3"/>
      <c r="E938" s="3"/>
      <c r="F938" s="3"/>
      <c r="G938" s="3"/>
      <c r="H938" s="3"/>
      <c r="I938" s="3"/>
      <c r="J938" s="3"/>
      <c r="K938" s="3"/>
      <c r="L938" s="3"/>
      <c r="M938" s="3"/>
      <c r="N938" s="3"/>
      <c r="O938" s="3"/>
      <c r="P938" s="3"/>
      <c r="Q938" s="3"/>
      <c r="R938" s="111"/>
      <c r="S938" s="111"/>
      <c r="T938" s="111"/>
    </row>
    <row r="939" spans="3:20" s="4" customFormat="1" x14ac:dyDescent="0.25">
      <c r="C939" s="3"/>
      <c r="D939" s="3"/>
      <c r="E939" s="3"/>
      <c r="F939" s="3"/>
      <c r="G939" s="3"/>
      <c r="H939" s="3"/>
      <c r="I939" s="3"/>
      <c r="J939" s="3"/>
      <c r="K939" s="3"/>
      <c r="L939" s="3"/>
      <c r="M939" s="3"/>
      <c r="N939" s="3"/>
      <c r="O939" s="3"/>
      <c r="P939" s="3"/>
      <c r="Q939" s="3"/>
      <c r="R939" s="111"/>
      <c r="S939" s="111"/>
      <c r="T939" s="111"/>
    </row>
    <row r="940" spans="3:20" s="4" customFormat="1" x14ac:dyDescent="0.25">
      <c r="C940" s="3"/>
      <c r="D940" s="3"/>
      <c r="E940" s="3"/>
      <c r="F940" s="3"/>
      <c r="G940" s="3"/>
      <c r="H940" s="3"/>
      <c r="I940" s="3"/>
      <c r="J940" s="3"/>
      <c r="K940" s="3"/>
      <c r="L940" s="3"/>
      <c r="M940" s="3"/>
      <c r="N940" s="3"/>
      <c r="O940" s="3"/>
      <c r="P940" s="3"/>
      <c r="Q940" s="3"/>
      <c r="R940" s="111"/>
      <c r="S940" s="111"/>
      <c r="T940" s="111"/>
    </row>
    <row r="941" spans="3:20" s="4" customFormat="1" x14ac:dyDescent="0.25">
      <c r="C941" s="3"/>
      <c r="D941" s="3"/>
      <c r="E941" s="3"/>
      <c r="F941" s="3"/>
      <c r="G941" s="3"/>
      <c r="H941" s="3"/>
      <c r="I941" s="3"/>
      <c r="J941" s="3"/>
      <c r="K941" s="3"/>
      <c r="L941" s="3"/>
      <c r="M941" s="3"/>
      <c r="N941" s="3"/>
      <c r="O941" s="3"/>
      <c r="P941" s="3"/>
      <c r="Q941" s="3"/>
      <c r="R941" s="111"/>
      <c r="S941" s="111"/>
      <c r="T941" s="111"/>
    </row>
    <row r="942" spans="3:20" s="4" customFormat="1" x14ac:dyDescent="0.25">
      <c r="C942" s="3"/>
      <c r="D942" s="3"/>
      <c r="E942" s="3"/>
      <c r="F942" s="3"/>
      <c r="G942" s="3"/>
      <c r="H942" s="3"/>
      <c r="I942" s="3"/>
      <c r="J942" s="3"/>
      <c r="K942" s="3"/>
      <c r="L942" s="3"/>
      <c r="M942" s="3"/>
      <c r="N942" s="3"/>
      <c r="O942" s="3"/>
      <c r="P942" s="3"/>
      <c r="Q942" s="3"/>
      <c r="R942" s="111"/>
      <c r="S942" s="111"/>
      <c r="T942" s="111"/>
    </row>
    <row r="943" spans="3:20" s="4" customFormat="1" x14ac:dyDescent="0.25">
      <c r="C943" s="3"/>
      <c r="D943" s="3"/>
      <c r="E943" s="3"/>
      <c r="F943" s="3"/>
      <c r="G943" s="3"/>
      <c r="H943" s="3"/>
      <c r="I943" s="3"/>
      <c r="J943" s="3"/>
      <c r="K943" s="3"/>
      <c r="L943" s="3"/>
      <c r="M943" s="3"/>
      <c r="N943" s="3"/>
      <c r="O943" s="3"/>
      <c r="P943" s="3"/>
      <c r="Q943" s="3"/>
      <c r="R943" s="111"/>
      <c r="S943" s="111"/>
      <c r="T943" s="111"/>
    </row>
    <row r="944" spans="3:20" s="4" customFormat="1" x14ac:dyDescent="0.25">
      <c r="C944" s="3"/>
      <c r="D944" s="3"/>
      <c r="E944" s="3"/>
      <c r="F944" s="3"/>
      <c r="G944" s="3"/>
      <c r="H944" s="3"/>
      <c r="I944" s="3"/>
      <c r="J944" s="3"/>
      <c r="K944" s="3"/>
      <c r="L944" s="3"/>
      <c r="M944" s="3"/>
      <c r="N944" s="3"/>
      <c r="O944" s="3"/>
      <c r="P944" s="3"/>
      <c r="Q944" s="3"/>
      <c r="R944" s="111"/>
      <c r="S944" s="111"/>
      <c r="T944" s="111"/>
    </row>
    <row r="945" spans="3:20" s="4" customFormat="1" x14ac:dyDescent="0.25">
      <c r="C945" s="3"/>
      <c r="D945" s="3"/>
      <c r="E945" s="3"/>
      <c r="F945" s="3"/>
      <c r="G945" s="3"/>
      <c r="H945" s="3"/>
      <c r="I945" s="3"/>
      <c r="J945" s="3"/>
      <c r="K945" s="3"/>
      <c r="L945" s="3"/>
      <c r="M945" s="3"/>
      <c r="N945" s="3"/>
      <c r="O945" s="3"/>
      <c r="P945" s="3"/>
      <c r="Q945" s="3"/>
      <c r="R945" s="111"/>
      <c r="S945" s="111"/>
      <c r="T945" s="111"/>
    </row>
    <row r="946" spans="3:20" s="4" customFormat="1" x14ac:dyDescent="0.25">
      <c r="C946" s="3"/>
      <c r="D946" s="3"/>
      <c r="E946" s="3"/>
      <c r="F946" s="3"/>
      <c r="G946" s="3"/>
      <c r="H946" s="3"/>
      <c r="I946" s="3"/>
      <c r="J946" s="3"/>
      <c r="K946" s="3"/>
      <c r="L946" s="3"/>
      <c r="M946" s="3"/>
      <c r="N946" s="3"/>
      <c r="O946" s="3"/>
      <c r="P946" s="3"/>
      <c r="Q946" s="3"/>
      <c r="R946" s="111"/>
      <c r="S946" s="111"/>
      <c r="T946" s="111"/>
    </row>
    <row r="947" spans="3:20" s="4" customFormat="1" x14ac:dyDescent="0.25">
      <c r="C947" s="3"/>
      <c r="D947" s="3"/>
      <c r="E947" s="3"/>
      <c r="F947" s="3"/>
      <c r="G947" s="3"/>
      <c r="H947" s="3"/>
      <c r="I947" s="3"/>
      <c r="J947" s="3"/>
      <c r="K947" s="3"/>
      <c r="L947" s="3"/>
      <c r="M947" s="3"/>
      <c r="N947" s="3"/>
      <c r="O947" s="3"/>
      <c r="P947" s="3"/>
      <c r="Q947" s="3"/>
      <c r="R947" s="111"/>
      <c r="S947" s="111"/>
      <c r="T947" s="111"/>
    </row>
    <row r="948" spans="3:20" s="4" customFormat="1" x14ac:dyDescent="0.25">
      <c r="C948" s="3"/>
      <c r="D948" s="3"/>
      <c r="E948" s="3"/>
      <c r="F948" s="3"/>
      <c r="G948" s="3"/>
      <c r="H948" s="3"/>
      <c r="I948" s="3"/>
      <c r="J948" s="3"/>
      <c r="K948" s="3"/>
      <c r="L948" s="3"/>
      <c r="M948" s="3"/>
      <c r="N948" s="3"/>
      <c r="O948" s="3"/>
      <c r="P948" s="3"/>
      <c r="Q948" s="3"/>
      <c r="R948" s="111"/>
      <c r="S948" s="111"/>
      <c r="T948" s="111"/>
    </row>
    <row r="949" spans="3:20" s="4" customFormat="1" x14ac:dyDescent="0.25">
      <c r="C949" s="3"/>
      <c r="D949" s="3"/>
      <c r="E949" s="3"/>
      <c r="F949" s="3"/>
      <c r="G949" s="3"/>
      <c r="H949" s="3"/>
      <c r="I949" s="3"/>
      <c r="J949" s="3"/>
      <c r="K949" s="3"/>
      <c r="L949" s="3"/>
      <c r="M949" s="3"/>
      <c r="N949" s="3"/>
      <c r="O949" s="3"/>
      <c r="P949" s="3"/>
      <c r="Q949" s="3"/>
      <c r="R949" s="111"/>
      <c r="S949" s="111"/>
      <c r="T949" s="111"/>
    </row>
    <row r="950" spans="3:20" s="4" customFormat="1" x14ac:dyDescent="0.25">
      <c r="C950" s="3"/>
      <c r="D950" s="3"/>
      <c r="E950" s="3"/>
      <c r="F950" s="3"/>
      <c r="G950" s="3"/>
      <c r="H950" s="3"/>
      <c r="I950" s="3"/>
      <c r="J950" s="3"/>
      <c r="K950" s="3"/>
      <c r="L950" s="3"/>
      <c r="M950" s="3"/>
      <c r="N950" s="3"/>
      <c r="O950" s="3"/>
      <c r="P950" s="3"/>
      <c r="Q950" s="3"/>
      <c r="R950" s="111"/>
      <c r="S950" s="111"/>
      <c r="T950" s="111"/>
    </row>
    <row r="951" spans="3:20" s="4" customFormat="1" x14ac:dyDescent="0.25">
      <c r="C951" s="3"/>
      <c r="D951" s="3"/>
      <c r="E951" s="3"/>
      <c r="F951" s="3"/>
      <c r="G951" s="3"/>
      <c r="H951" s="3"/>
      <c r="I951" s="3"/>
      <c r="J951" s="3"/>
      <c r="K951" s="3"/>
      <c r="L951" s="3"/>
      <c r="M951" s="3"/>
      <c r="N951" s="3"/>
      <c r="O951" s="3"/>
      <c r="P951" s="3"/>
      <c r="Q951" s="3"/>
      <c r="R951" s="111"/>
      <c r="S951" s="111"/>
      <c r="T951" s="111"/>
    </row>
    <row r="952" spans="3:20" s="4" customFormat="1" x14ac:dyDescent="0.25">
      <c r="C952" s="3"/>
      <c r="D952" s="3"/>
      <c r="E952" s="3"/>
      <c r="F952" s="3"/>
      <c r="G952" s="3"/>
      <c r="H952" s="3"/>
      <c r="I952" s="3"/>
      <c r="J952" s="3"/>
      <c r="K952" s="3"/>
      <c r="L952" s="3"/>
      <c r="M952" s="3"/>
      <c r="N952" s="3"/>
      <c r="O952" s="3"/>
      <c r="P952" s="3"/>
      <c r="Q952" s="3"/>
      <c r="R952" s="111"/>
      <c r="S952" s="111"/>
      <c r="T952" s="111"/>
    </row>
    <row r="953" spans="3:20" s="4" customFormat="1" x14ac:dyDescent="0.25">
      <c r="C953" s="3"/>
      <c r="D953" s="3"/>
      <c r="E953" s="3"/>
      <c r="F953" s="3"/>
      <c r="G953" s="3"/>
      <c r="H953" s="3"/>
      <c r="I953" s="3"/>
      <c r="J953" s="3"/>
      <c r="K953" s="3"/>
      <c r="L953" s="3"/>
      <c r="M953" s="3"/>
      <c r="N953" s="3"/>
      <c r="O953" s="3"/>
      <c r="P953" s="3"/>
      <c r="Q953" s="3"/>
      <c r="R953" s="111"/>
      <c r="S953" s="111"/>
      <c r="T953" s="111"/>
    </row>
    <row r="954" spans="3:20" s="4" customFormat="1" x14ac:dyDescent="0.25">
      <c r="C954" s="3"/>
      <c r="D954" s="3"/>
      <c r="E954" s="3"/>
      <c r="F954" s="3"/>
      <c r="G954" s="3"/>
      <c r="H954" s="3"/>
      <c r="I954" s="3"/>
      <c r="J954" s="3"/>
      <c r="K954" s="3"/>
      <c r="L954" s="3"/>
      <c r="M954" s="3"/>
      <c r="N954" s="3"/>
      <c r="O954" s="3"/>
      <c r="P954" s="3"/>
      <c r="Q954" s="3"/>
      <c r="R954" s="111"/>
      <c r="S954" s="111"/>
      <c r="T954" s="111"/>
    </row>
    <row r="955" spans="3:20" s="4" customFormat="1" x14ac:dyDescent="0.25">
      <c r="C955" s="3"/>
      <c r="D955" s="3"/>
      <c r="E955" s="3"/>
      <c r="F955" s="3"/>
      <c r="G955" s="3"/>
      <c r="H955" s="3"/>
      <c r="I955" s="3"/>
      <c r="J955" s="3"/>
      <c r="K955" s="3"/>
      <c r="L955" s="3"/>
      <c r="M955" s="3"/>
      <c r="N955" s="3"/>
      <c r="O955" s="3"/>
      <c r="P955" s="3"/>
      <c r="Q955" s="3"/>
      <c r="R955" s="111"/>
      <c r="S955" s="111"/>
      <c r="T955" s="111"/>
    </row>
    <row r="956" spans="3:20" s="4" customFormat="1" x14ac:dyDescent="0.25">
      <c r="C956" s="3"/>
      <c r="D956" s="3"/>
      <c r="E956" s="3"/>
      <c r="F956" s="3"/>
      <c r="G956" s="3"/>
      <c r="H956" s="3"/>
      <c r="I956" s="3"/>
      <c r="J956" s="3"/>
      <c r="K956" s="3"/>
      <c r="L956" s="3"/>
      <c r="M956" s="3"/>
      <c r="N956" s="3"/>
      <c r="O956" s="3"/>
      <c r="P956" s="3"/>
      <c r="Q956" s="3"/>
      <c r="R956" s="111"/>
      <c r="S956" s="111"/>
      <c r="T956" s="111"/>
    </row>
    <row r="957" spans="3:20" s="4" customFormat="1" x14ac:dyDescent="0.25">
      <c r="C957" s="3"/>
      <c r="D957" s="3"/>
      <c r="E957" s="3"/>
      <c r="F957" s="3"/>
      <c r="G957" s="3"/>
      <c r="H957" s="3"/>
      <c r="I957" s="3"/>
      <c r="J957" s="3"/>
      <c r="K957" s="3"/>
      <c r="L957" s="3"/>
      <c r="M957" s="3"/>
      <c r="N957" s="3"/>
      <c r="O957" s="3"/>
      <c r="P957" s="3"/>
      <c r="Q957" s="3"/>
      <c r="R957" s="111"/>
      <c r="S957" s="111"/>
      <c r="T957" s="111"/>
    </row>
    <row r="958" spans="3:20" s="4" customFormat="1" x14ac:dyDescent="0.25">
      <c r="C958" s="3"/>
      <c r="D958" s="3"/>
      <c r="E958" s="3"/>
      <c r="F958" s="3"/>
      <c r="G958" s="3"/>
      <c r="H958" s="3"/>
      <c r="I958" s="3"/>
      <c r="J958" s="3"/>
      <c r="K958" s="3"/>
      <c r="L958" s="3"/>
      <c r="M958" s="3"/>
      <c r="N958" s="3"/>
      <c r="O958" s="3"/>
      <c r="P958" s="3"/>
      <c r="Q958" s="3"/>
      <c r="R958" s="111"/>
      <c r="S958" s="111"/>
      <c r="T958" s="111"/>
    </row>
    <row r="959" spans="3:20" s="4" customFormat="1" x14ac:dyDescent="0.25">
      <c r="C959" s="3"/>
      <c r="D959" s="3"/>
      <c r="E959" s="3"/>
      <c r="F959" s="3"/>
      <c r="G959" s="3"/>
      <c r="H959" s="3"/>
      <c r="I959" s="3"/>
      <c r="J959" s="3"/>
      <c r="K959" s="3"/>
      <c r="L959" s="3"/>
      <c r="M959" s="3"/>
      <c r="N959" s="3"/>
      <c r="O959" s="3"/>
      <c r="P959" s="3"/>
      <c r="Q959" s="3"/>
      <c r="R959" s="111"/>
      <c r="S959" s="111"/>
      <c r="T959" s="111"/>
    </row>
    <row r="960" spans="3:20" s="4" customFormat="1" x14ac:dyDescent="0.25">
      <c r="C960" s="3"/>
      <c r="D960" s="3"/>
      <c r="E960" s="3"/>
      <c r="F960" s="3"/>
      <c r="G960" s="3"/>
      <c r="H960" s="3"/>
      <c r="I960" s="3"/>
      <c r="J960" s="3"/>
      <c r="K960" s="3"/>
      <c r="L960" s="3"/>
      <c r="M960" s="3"/>
      <c r="N960" s="3"/>
      <c r="O960" s="3"/>
      <c r="P960" s="3"/>
      <c r="Q960" s="3"/>
      <c r="R960" s="111"/>
      <c r="S960" s="111"/>
      <c r="T960" s="111"/>
    </row>
    <row r="961" spans="3:20" s="4" customFormat="1" x14ac:dyDescent="0.25">
      <c r="C961" s="3"/>
      <c r="D961" s="3"/>
      <c r="E961" s="3"/>
      <c r="F961" s="3"/>
      <c r="G961" s="3"/>
      <c r="H961" s="3"/>
      <c r="I961" s="3"/>
      <c r="J961" s="3"/>
      <c r="K961" s="3"/>
      <c r="L961" s="3"/>
      <c r="M961" s="3"/>
      <c r="N961" s="3"/>
      <c r="O961" s="3"/>
      <c r="P961" s="3"/>
      <c r="Q961" s="3"/>
      <c r="R961" s="111"/>
      <c r="S961" s="111"/>
      <c r="T961" s="111"/>
    </row>
    <row r="962" spans="3:20" s="4" customFormat="1" x14ac:dyDescent="0.25">
      <c r="C962" s="3"/>
      <c r="D962" s="3"/>
      <c r="E962" s="3"/>
      <c r="F962" s="3"/>
      <c r="G962" s="3"/>
      <c r="H962" s="3"/>
      <c r="I962" s="3"/>
      <c r="J962" s="3"/>
      <c r="K962" s="3"/>
      <c r="L962" s="3"/>
      <c r="M962" s="3"/>
      <c r="N962" s="3"/>
      <c r="O962" s="3"/>
      <c r="P962" s="3"/>
      <c r="Q962" s="3"/>
      <c r="R962" s="111"/>
      <c r="S962" s="111"/>
      <c r="T962" s="111"/>
    </row>
    <row r="963" spans="3:20" s="4" customFormat="1" x14ac:dyDescent="0.25">
      <c r="C963" s="3"/>
      <c r="D963" s="3"/>
      <c r="E963" s="3"/>
      <c r="F963" s="3"/>
      <c r="G963" s="3"/>
      <c r="H963" s="3"/>
      <c r="I963" s="3"/>
      <c r="J963" s="3"/>
      <c r="K963" s="3"/>
      <c r="L963" s="3"/>
      <c r="M963" s="3"/>
      <c r="N963" s="3"/>
      <c r="O963" s="3"/>
      <c r="P963" s="3"/>
      <c r="Q963" s="3"/>
      <c r="R963" s="111"/>
      <c r="S963" s="111"/>
      <c r="T963" s="111"/>
    </row>
    <row r="964" spans="3:20" s="4" customFormat="1" x14ac:dyDescent="0.25">
      <c r="C964" s="3"/>
      <c r="D964" s="3"/>
      <c r="E964" s="3"/>
      <c r="F964" s="3"/>
      <c r="G964" s="3"/>
      <c r="H964" s="3"/>
      <c r="I964" s="3"/>
      <c r="J964" s="3"/>
      <c r="K964" s="3"/>
      <c r="L964" s="3"/>
      <c r="M964" s="3"/>
      <c r="N964" s="3"/>
      <c r="O964" s="3"/>
      <c r="P964" s="3"/>
      <c r="Q964" s="3"/>
      <c r="R964" s="111"/>
      <c r="S964" s="111"/>
      <c r="T964" s="111"/>
    </row>
    <row r="965" spans="3:20" s="4" customFormat="1" x14ac:dyDescent="0.25">
      <c r="C965" s="3"/>
      <c r="D965" s="3"/>
      <c r="E965" s="3"/>
      <c r="F965" s="3"/>
      <c r="G965" s="3"/>
      <c r="H965" s="3"/>
      <c r="I965" s="3"/>
      <c r="J965" s="3"/>
      <c r="K965" s="3"/>
      <c r="L965" s="3"/>
      <c r="M965" s="3"/>
      <c r="N965" s="3"/>
      <c r="O965" s="3"/>
      <c r="P965" s="3"/>
      <c r="Q965" s="3"/>
      <c r="R965" s="111"/>
      <c r="S965" s="111"/>
      <c r="T965" s="111"/>
    </row>
    <row r="966" spans="3:20" s="4" customFormat="1" x14ac:dyDescent="0.25">
      <c r="C966" s="3"/>
      <c r="D966" s="3"/>
      <c r="E966" s="3"/>
      <c r="F966" s="3"/>
      <c r="G966" s="3"/>
      <c r="H966" s="3"/>
      <c r="I966" s="3"/>
      <c r="J966" s="3"/>
      <c r="K966" s="3"/>
      <c r="L966" s="3"/>
      <c r="M966" s="3"/>
      <c r="N966" s="3"/>
      <c r="O966" s="3"/>
      <c r="P966" s="3"/>
      <c r="Q966" s="3"/>
      <c r="R966" s="111"/>
      <c r="S966" s="111"/>
      <c r="T966" s="111"/>
    </row>
    <row r="967" spans="3:20" s="4" customFormat="1" x14ac:dyDescent="0.25">
      <c r="C967" s="3"/>
      <c r="D967" s="3"/>
      <c r="E967" s="3"/>
      <c r="F967" s="3"/>
      <c r="G967" s="3"/>
      <c r="H967" s="3"/>
      <c r="I967" s="3"/>
      <c r="J967" s="3"/>
      <c r="K967" s="3"/>
      <c r="L967" s="3"/>
      <c r="M967" s="3"/>
      <c r="N967" s="3"/>
      <c r="O967" s="3"/>
      <c r="P967" s="3"/>
      <c r="Q967" s="3"/>
      <c r="R967" s="111"/>
      <c r="S967" s="111"/>
      <c r="T967" s="111"/>
    </row>
    <row r="968" spans="3:20" s="4" customFormat="1" x14ac:dyDescent="0.25">
      <c r="C968" s="3"/>
      <c r="D968" s="3"/>
      <c r="E968" s="3"/>
      <c r="F968" s="3"/>
      <c r="G968" s="3"/>
      <c r="H968" s="3"/>
      <c r="I968" s="3"/>
      <c r="J968" s="3"/>
      <c r="K968" s="3"/>
      <c r="L968" s="3"/>
      <c r="M968" s="3"/>
      <c r="N968" s="3"/>
      <c r="O968" s="3"/>
      <c r="P968" s="3"/>
      <c r="Q968" s="3"/>
      <c r="R968" s="111"/>
      <c r="S968" s="111"/>
      <c r="T968" s="111"/>
    </row>
    <row r="969" spans="3:20" s="4" customFormat="1" x14ac:dyDescent="0.25">
      <c r="C969" s="3"/>
      <c r="D969" s="3"/>
      <c r="E969" s="3"/>
      <c r="F969" s="3"/>
      <c r="G969" s="3"/>
      <c r="H969" s="3"/>
      <c r="I969" s="3"/>
      <c r="J969" s="3"/>
      <c r="K969" s="3"/>
      <c r="L969" s="3"/>
      <c r="M969" s="3"/>
      <c r="N969" s="3"/>
      <c r="O969" s="3"/>
      <c r="P969" s="3"/>
      <c r="Q969" s="3"/>
      <c r="R969" s="111"/>
      <c r="S969" s="111"/>
      <c r="T969" s="111"/>
    </row>
    <row r="970" spans="3:20" s="4" customFormat="1" x14ac:dyDescent="0.25">
      <c r="C970" s="3"/>
      <c r="D970" s="3"/>
      <c r="E970" s="3"/>
      <c r="F970" s="3"/>
      <c r="G970" s="3"/>
      <c r="H970" s="3"/>
      <c r="I970" s="3"/>
      <c r="J970" s="3"/>
      <c r="K970" s="3"/>
      <c r="L970" s="3"/>
      <c r="M970" s="3"/>
      <c r="N970" s="3"/>
      <c r="O970" s="3"/>
      <c r="P970" s="3"/>
      <c r="Q970" s="3"/>
      <c r="R970" s="111"/>
      <c r="S970" s="111"/>
      <c r="T970" s="111"/>
    </row>
    <row r="971" spans="3:20" s="4" customFormat="1" x14ac:dyDescent="0.25">
      <c r="C971" s="3"/>
      <c r="D971" s="3"/>
      <c r="E971" s="3"/>
      <c r="F971" s="3"/>
      <c r="G971" s="3"/>
      <c r="H971" s="3"/>
      <c r="I971" s="3"/>
      <c r="J971" s="3"/>
      <c r="K971" s="3"/>
      <c r="L971" s="3"/>
      <c r="M971" s="3"/>
      <c r="N971" s="3"/>
      <c r="O971" s="3"/>
      <c r="P971" s="3"/>
      <c r="Q971" s="3"/>
      <c r="R971" s="111"/>
      <c r="S971" s="111"/>
      <c r="T971" s="111"/>
    </row>
    <row r="972" spans="3:20" s="4" customFormat="1" x14ac:dyDescent="0.25">
      <c r="C972" s="3"/>
      <c r="D972" s="3"/>
      <c r="E972" s="3"/>
      <c r="F972" s="3"/>
      <c r="G972" s="3"/>
      <c r="H972" s="3"/>
      <c r="I972" s="3"/>
      <c r="J972" s="3"/>
      <c r="K972" s="3"/>
      <c r="L972" s="3"/>
      <c r="M972" s="3"/>
      <c r="N972" s="3"/>
      <c r="O972" s="3"/>
      <c r="P972" s="3"/>
      <c r="Q972" s="3"/>
      <c r="R972" s="111"/>
      <c r="S972" s="111"/>
      <c r="T972" s="111"/>
    </row>
    <row r="973" spans="3:20" s="4" customFormat="1" x14ac:dyDescent="0.25">
      <c r="C973" s="3"/>
      <c r="D973" s="3"/>
      <c r="E973" s="3"/>
      <c r="F973" s="3"/>
      <c r="G973" s="3"/>
      <c r="H973" s="3"/>
      <c r="I973" s="3"/>
      <c r="J973" s="3"/>
      <c r="K973" s="3"/>
      <c r="L973" s="3"/>
      <c r="M973" s="3"/>
      <c r="N973" s="3"/>
      <c r="O973" s="3"/>
      <c r="P973" s="3"/>
      <c r="Q973" s="3"/>
      <c r="R973" s="111"/>
      <c r="S973" s="111"/>
      <c r="T973" s="111"/>
    </row>
    <row r="974" spans="3:20" s="4" customFormat="1" x14ac:dyDescent="0.25">
      <c r="C974" s="3"/>
      <c r="D974" s="3"/>
      <c r="E974" s="3"/>
      <c r="F974" s="3"/>
      <c r="G974" s="3"/>
      <c r="H974" s="3"/>
      <c r="I974" s="3"/>
      <c r="J974" s="3"/>
      <c r="K974" s="3"/>
      <c r="L974" s="3"/>
      <c r="M974" s="3"/>
      <c r="N974" s="3"/>
      <c r="O974" s="3"/>
      <c r="P974" s="3"/>
      <c r="Q974" s="3"/>
      <c r="R974" s="111"/>
      <c r="S974" s="111"/>
      <c r="T974" s="111"/>
    </row>
    <row r="975" spans="3:20" s="4" customFormat="1" x14ac:dyDescent="0.25">
      <c r="C975" s="3"/>
      <c r="D975" s="3"/>
      <c r="E975" s="3"/>
      <c r="F975" s="3"/>
      <c r="G975" s="3"/>
      <c r="H975" s="3"/>
      <c r="I975" s="3"/>
      <c r="J975" s="3"/>
      <c r="K975" s="3"/>
      <c r="L975" s="3"/>
      <c r="M975" s="3"/>
      <c r="N975" s="3"/>
      <c r="O975" s="3"/>
      <c r="P975" s="3"/>
      <c r="Q975" s="3"/>
      <c r="R975" s="111"/>
      <c r="S975" s="111"/>
      <c r="T975" s="111"/>
    </row>
    <row r="976" spans="3:20" s="4" customFormat="1" x14ac:dyDescent="0.25">
      <c r="C976" s="3"/>
      <c r="D976" s="3"/>
      <c r="E976" s="3"/>
      <c r="F976" s="3"/>
      <c r="G976" s="3"/>
      <c r="H976" s="3"/>
      <c r="I976" s="3"/>
      <c r="J976" s="3"/>
      <c r="K976" s="3"/>
      <c r="L976" s="3"/>
      <c r="M976" s="3"/>
      <c r="N976" s="3"/>
      <c r="O976" s="3"/>
      <c r="P976" s="3"/>
      <c r="Q976" s="3"/>
      <c r="R976" s="111"/>
      <c r="S976" s="111"/>
      <c r="T976" s="111"/>
    </row>
    <row r="977" spans="3:20" s="4" customFormat="1" x14ac:dyDescent="0.25">
      <c r="C977" s="3"/>
      <c r="D977" s="3"/>
      <c r="E977" s="3"/>
      <c r="F977" s="3"/>
      <c r="G977" s="3"/>
      <c r="H977" s="3"/>
      <c r="I977" s="3"/>
      <c r="J977" s="3"/>
      <c r="K977" s="3"/>
      <c r="L977" s="3"/>
      <c r="M977" s="3"/>
      <c r="N977" s="3"/>
      <c r="O977" s="3"/>
      <c r="P977" s="3"/>
      <c r="Q977" s="3"/>
      <c r="R977" s="111"/>
      <c r="S977" s="111"/>
      <c r="T977" s="111"/>
    </row>
    <row r="978" spans="3:20" s="4" customFormat="1" x14ac:dyDescent="0.25">
      <c r="C978" s="3"/>
      <c r="D978" s="3"/>
      <c r="E978" s="3"/>
      <c r="F978" s="3"/>
      <c r="G978" s="3"/>
      <c r="H978" s="3"/>
      <c r="I978" s="3"/>
      <c r="J978" s="3"/>
      <c r="K978" s="3"/>
      <c r="L978" s="3"/>
      <c r="M978" s="3"/>
      <c r="N978" s="3"/>
      <c r="O978" s="3"/>
      <c r="P978" s="3"/>
      <c r="Q978" s="3"/>
      <c r="R978" s="111"/>
      <c r="S978" s="111"/>
      <c r="T978" s="111"/>
    </row>
    <row r="979" spans="3:20" s="4" customFormat="1" x14ac:dyDescent="0.25">
      <c r="C979" s="3"/>
      <c r="D979" s="3"/>
      <c r="E979" s="3"/>
      <c r="F979" s="3"/>
      <c r="G979" s="3"/>
      <c r="H979" s="3"/>
      <c r="I979" s="3"/>
      <c r="J979" s="3"/>
      <c r="K979" s="3"/>
      <c r="L979" s="3"/>
      <c r="M979" s="3"/>
      <c r="N979" s="3"/>
      <c r="O979" s="3"/>
      <c r="P979" s="3"/>
      <c r="Q979" s="3"/>
      <c r="R979" s="111"/>
      <c r="S979" s="111"/>
      <c r="T979" s="111"/>
    </row>
    <row r="980" spans="3:20" s="4" customFormat="1" x14ac:dyDescent="0.25">
      <c r="C980" s="3"/>
      <c r="D980" s="3"/>
      <c r="E980" s="3"/>
      <c r="F980" s="3"/>
      <c r="G980" s="3"/>
      <c r="H980" s="3"/>
      <c r="I980" s="3"/>
      <c r="J980" s="3"/>
      <c r="K980" s="3"/>
      <c r="L980" s="3"/>
      <c r="M980" s="3"/>
      <c r="N980" s="3"/>
      <c r="O980" s="3"/>
      <c r="P980" s="3"/>
      <c r="Q980" s="3"/>
      <c r="R980" s="111"/>
      <c r="S980" s="111"/>
      <c r="T980" s="111"/>
    </row>
    <row r="981" spans="3:20" s="4" customFormat="1" x14ac:dyDescent="0.25">
      <c r="C981" s="3"/>
      <c r="D981" s="3"/>
      <c r="E981" s="3"/>
      <c r="F981" s="3"/>
      <c r="G981" s="3"/>
      <c r="H981" s="3"/>
      <c r="I981" s="3"/>
      <c r="J981" s="3"/>
      <c r="K981" s="3"/>
      <c r="L981" s="3"/>
      <c r="M981" s="3"/>
      <c r="N981" s="3"/>
      <c r="O981" s="3"/>
      <c r="P981" s="3"/>
      <c r="Q981" s="3"/>
      <c r="R981" s="111"/>
      <c r="S981" s="111"/>
      <c r="T981" s="111"/>
    </row>
    <row r="982" spans="3:20" s="4" customFormat="1" x14ac:dyDescent="0.25">
      <c r="C982" s="3"/>
      <c r="D982" s="3"/>
      <c r="E982" s="3"/>
      <c r="F982" s="3"/>
      <c r="G982" s="3"/>
      <c r="H982" s="3"/>
      <c r="I982" s="3"/>
      <c r="J982" s="3"/>
      <c r="K982" s="3"/>
      <c r="L982" s="3"/>
      <c r="M982" s="3"/>
      <c r="N982" s="3"/>
      <c r="O982" s="3"/>
      <c r="P982" s="3"/>
      <c r="Q982" s="3"/>
      <c r="R982" s="111"/>
      <c r="S982" s="111"/>
      <c r="T982" s="111"/>
    </row>
    <row r="983" spans="3:20" s="4" customFormat="1" x14ac:dyDescent="0.25">
      <c r="C983" s="3"/>
      <c r="D983" s="3"/>
      <c r="E983" s="3"/>
      <c r="F983" s="3"/>
      <c r="G983" s="3"/>
      <c r="H983" s="3"/>
      <c r="I983" s="3"/>
      <c r="J983" s="3"/>
      <c r="K983" s="3"/>
      <c r="L983" s="3"/>
      <c r="M983" s="3"/>
      <c r="N983" s="3"/>
      <c r="O983" s="3"/>
      <c r="P983" s="3"/>
      <c r="Q983" s="3"/>
      <c r="R983" s="111"/>
      <c r="S983" s="111"/>
      <c r="T983" s="111"/>
    </row>
    <row r="984" spans="3:20" s="4" customFormat="1" x14ac:dyDescent="0.25">
      <c r="C984" s="3"/>
      <c r="D984" s="3"/>
      <c r="E984" s="3"/>
      <c r="F984" s="3"/>
      <c r="G984" s="3"/>
      <c r="H984" s="3"/>
      <c r="I984" s="3"/>
      <c r="J984" s="3"/>
      <c r="K984" s="3"/>
      <c r="L984" s="3"/>
      <c r="M984" s="3"/>
      <c r="N984" s="3"/>
      <c r="O984" s="3"/>
      <c r="P984" s="3"/>
      <c r="Q984" s="3"/>
      <c r="R984" s="111"/>
      <c r="S984" s="111"/>
      <c r="T984" s="111"/>
    </row>
    <row r="985" spans="3:20" s="4" customFormat="1" x14ac:dyDescent="0.25">
      <c r="C985" s="3"/>
      <c r="D985" s="3"/>
      <c r="E985" s="3"/>
      <c r="F985" s="3"/>
      <c r="G985" s="3"/>
      <c r="H985" s="3"/>
      <c r="I985" s="3"/>
      <c r="J985" s="3"/>
      <c r="K985" s="3"/>
      <c r="L985" s="3"/>
      <c r="M985" s="3"/>
      <c r="N985" s="3"/>
      <c r="O985" s="3"/>
      <c r="P985" s="3"/>
      <c r="Q985" s="3"/>
      <c r="R985" s="111"/>
      <c r="S985" s="111"/>
      <c r="T985" s="111"/>
    </row>
    <row r="986" spans="3:20" s="4" customFormat="1" x14ac:dyDescent="0.25">
      <c r="C986" s="3"/>
      <c r="D986" s="3"/>
      <c r="E986" s="3"/>
      <c r="F986" s="3"/>
      <c r="G986" s="3"/>
      <c r="H986" s="3"/>
      <c r="I986" s="3"/>
      <c r="J986" s="3"/>
      <c r="K986" s="3"/>
      <c r="L986" s="3"/>
      <c r="M986" s="3"/>
      <c r="N986" s="3"/>
      <c r="O986" s="3"/>
      <c r="P986" s="3"/>
      <c r="Q986" s="3"/>
      <c r="R986" s="111"/>
      <c r="S986" s="111"/>
      <c r="T986" s="111"/>
    </row>
    <row r="987" spans="3:20" s="4" customFormat="1" x14ac:dyDescent="0.25">
      <c r="C987" s="3"/>
      <c r="D987" s="3"/>
      <c r="E987" s="3"/>
      <c r="F987" s="3"/>
      <c r="G987" s="3"/>
      <c r="H987" s="3"/>
      <c r="I987" s="3"/>
      <c r="J987" s="3"/>
      <c r="K987" s="3"/>
      <c r="L987" s="3"/>
      <c r="M987" s="3"/>
      <c r="N987" s="3"/>
      <c r="O987" s="3"/>
      <c r="P987" s="3"/>
      <c r="Q987" s="3"/>
      <c r="R987" s="111"/>
      <c r="S987" s="111"/>
      <c r="T987" s="111"/>
    </row>
    <row r="988" spans="3:20" s="4" customFormat="1" x14ac:dyDescent="0.25">
      <c r="C988" s="3"/>
      <c r="D988" s="3"/>
      <c r="E988" s="3"/>
      <c r="F988" s="3"/>
      <c r="G988" s="3"/>
      <c r="H988" s="3"/>
      <c r="I988" s="3"/>
      <c r="J988" s="3"/>
      <c r="K988" s="3"/>
      <c r="L988" s="3"/>
      <c r="M988" s="3"/>
      <c r="N988" s="3"/>
      <c r="O988" s="3"/>
      <c r="P988" s="3"/>
      <c r="Q988" s="3"/>
      <c r="R988" s="111"/>
      <c r="S988" s="111"/>
      <c r="T988" s="111"/>
    </row>
    <row r="989" spans="3:20" s="4" customFormat="1" x14ac:dyDescent="0.25">
      <c r="C989" s="3"/>
      <c r="D989" s="3"/>
      <c r="E989" s="3"/>
      <c r="F989" s="3"/>
      <c r="G989" s="3"/>
      <c r="H989" s="3"/>
      <c r="I989" s="3"/>
      <c r="J989" s="3"/>
      <c r="K989" s="3"/>
      <c r="L989" s="3"/>
      <c r="M989" s="3"/>
      <c r="N989" s="3"/>
      <c r="O989" s="3"/>
      <c r="P989" s="3"/>
      <c r="Q989" s="3"/>
      <c r="R989" s="111"/>
      <c r="S989" s="111"/>
      <c r="T989" s="111"/>
    </row>
    <row r="990" spans="3:20" s="4" customFormat="1" x14ac:dyDescent="0.25">
      <c r="C990" s="3"/>
      <c r="D990" s="3"/>
      <c r="E990" s="3"/>
      <c r="F990" s="3"/>
      <c r="G990" s="3"/>
      <c r="H990" s="3"/>
      <c r="I990" s="3"/>
      <c r="J990" s="3"/>
      <c r="K990" s="3"/>
      <c r="L990" s="3"/>
      <c r="M990" s="3"/>
      <c r="N990" s="3"/>
      <c r="O990" s="3"/>
      <c r="P990" s="3"/>
      <c r="Q990" s="3"/>
      <c r="R990" s="111"/>
      <c r="S990" s="111"/>
      <c r="T990" s="111"/>
    </row>
    <row r="991" spans="3:20" s="4" customFormat="1" x14ac:dyDescent="0.25">
      <c r="C991" s="3"/>
      <c r="D991" s="3"/>
      <c r="E991" s="3"/>
      <c r="F991" s="3"/>
      <c r="G991" s="3"/>
      <c r="H991" s="3"/>
      <c r="I991" s="3"/>
      <c r="J991" s="3"/>
      <c r="K991" s="3"/>
      <c r="L991" s="3"/>
      <c r="M991" s="3"/>
      <c r="N991" s="3"/>
      <c r="O991" s="3"/>
      <c r="P991" s="3"/>
      <c r="Q991" s="3"/>
      <c r="R991" s="111"/>
      <c r="S991" s="111"/>
      <c r="T991" s="111"/>
    </row>
    <row r="992" spans="3:20" s="4" customFormat="1" x14ac:dyDescent="0.25">
      <c r="C992" s="3"/>
      <c r="D992" s="3"/>
      <c r="E992" s="3"/>
      <c r="F992" s="3"/>
      <c r="G992" s="3"/>
      <c r="H992" s="3"/>
      <c r="I992" s="3"/>
      <c r="J992" s="3"/>
      <c r="K992" s="3"/>
      <c r="L992" s="3"/>
      <c r="M992" s="3"/>
      <c r="N992" s="3"/>
      <c r="O992" s="3"/>
      <c r="P992" s="3"/>
      <c r="Q992" s="3"/>
      <c r="R992" s="111"/>
      <c r="S992" s="111"/>
      <c r="T992" s="111"/>
    </row>
    <row r="993" spans="3:20" s="4" customFormat="1" x14ac:dyDescent="0.25">
      <c r="C993" s="3"/>
      <c r="D993" s="3"/>
      <c r="E993" s="3"/>
      <c r="F993" s="3"/>
      <c r="G993" s="3"/>
      <c r="H993" s="3"/>
      <c r="I993" s="3"/>
      <c r="J993" s="3"/>
      <c r="K993" s="3"/>
      <c r="L993" s="3"/>
      <c r="M993" s="3"/>
      <c r="N993" s="3"/>
      <c r="O993" s="3"/>
      <c r="P993" s="3"/>
      <c r="Q993" s="3"/>
      <c r="R993" s="111"/>
      <c r="S993" s="111"/>
      <c r="T993" s="111"/>
    </row>
    <row r="994" spans="3:20" s="4" customFormat="1" x14ac:dyDescent="0.25">
      <c r="C994" s="3"/>
      <c r="D994" s="3"/>
      <c r="E994" s="3"/>
      <c r="F994" s="3"/>
      <c r="G994" s="3"/>
      <c r="H994" s="3"/>
      <c r="I994" s="3"/>
      <c r="J994" s="3"/>
      <c r="K994" s="3"/>
      <c r="L994" s="3"/>
      <c r="M994" s="3"/>
      <c r="N994" s="3"/>
      <c r="O994" s="3"/>
      <c r="P994" s="3"/>
      <c r="Q994" s="3"/>
      <c r="R994" s="111"/>
      <c r="S994" s="111"/>
      <c r="T994" s="111"/>
    </row>
    <row r="995" spans="3:20" s="4" customFormat="1" x14ac:dyDescent="0.25">
      <c r="C995" s="3"/>
      <c r="D995" s="3"/>
      <c r="E995" s="3"/>
      <c r="F995" s="3"/>
      <c r="G995" s="3"/>
      <c r="H995" s="3"/>
      <c r="I995" s="3"/>
      <c r="J995" s="3"/>
      <c r="K995" s="3"/>
      <c r="L995" s="3"/>
      <c r="M995" s="3"/>
      <c r="N995" s="3"/>
      <c r="O995" s="3"/>
      <c r="P995" s="3"/>
      <c r="Q995" s="3"/>
      <c r="R995" s="111"/>
      <c r="S995" s="111"/>
      <c r="T995" s="111"/>
    </row>
    <row r="996" spans="3:20" s="4" customFormat="1" x14ac:dyDescent="0.25">
      <c r="C996" s="3"/>
      <c r="D996" s="3"/>
      <c r="E996" s="3"/>
      <c r="F996" s="3"/>
      <c r="G996" s="3"/>
      <c r="H996" s="3"/>
      <c r="I996" s="3"/>
      <c r="J996" s="3"/>
      <c r="K996" s="3"/>
      <c r="L996" s="3"/>
      <c r="M996" s="3"/>
      <c r="N996" s="3"/>
      <c r="O996" s="3"/>
      <c r="P996" s="3"/>
      <c r="Q996" s="3"/>
      <c r="R996" s="111"/>
      <c r="S996" s="111"/>
      <c r="T996" s="111"/>
    </row>
    <row r="997" spans="3:20" s="4" customFormat="1" x14ac:dyDescent="0.25">
      <c r="C997" s="3"/>
      <c r="D997" s="3"/>
      <c r="E997" s="3"/>
      <c r="F997" s="3"/>
      <c r="G997" s="3"/>
      <c r="H997" s="3"/>
      <c r="I997" s="3"/>
      <c r="J997" s="3"/>
      <c r="K997" s="3"/>
      <c r="L997" s="3"/>
      <c r="M997" s="3"/>
      <c r="N997" s="3"/>
      <c r="O997" s="3"/>
      <c r="P997" s="3"/>
      <c r="Q997" s="3"/>
      <c r="R997" s="111"/>
      <c r="S997" s="111"/>
      <c r="T997" s="111"/>
    </row>
    <row r="998" spans="3:20" s="4" customFormat="1" x14ac:dyDescent="0.25">
      <c r="C998" s="3"/>
      <c r="D998" s="3"/>
      <c r="E998" s="3"/>
      <c r="F998" s="3"/>
      <c r="G998" s="3"/>
      <c r="H998" s="3"/>
      <c r="I998" s="3"/>
      <c r="J998" s="3"/>
      <c r="K998" s="3"/>
      <c r="L998" s="3"/>
      <c r="M998" s="3"/>
      <c r="N998" s="3"/>
      <c r="O998" s="3"/>
      <c r="P998" s="3"/>
      <c r="Q998" s="3"/>
      <c r="R998" s="111"/>
      <c r="S998" s="111"/>
      <c r="T998" s="111"/>
    </row>
    <row r="999" spans="3:20" s="4" customFormat="1" x14ac:dyDescent="0.25">
      <c r="C999" s="3"/>
      <c r="D999" s="3"/>
      <c r="E999" s="3"/>
      <c r="F999" s="3"/>
      <c r="G999" s="3"/>
      <c r="H999" s="3"/>
      <c r="I999" s="3"/>
      <c r="J999" s="3"/>
      <c r="K999" s="3"/>
      <c r="L999" s="3"/>
      <c r="M999" s="3"/>
      <c r="N999" s="3"/>
      <c r="O999" s="3"/>
      <c r="P999" s="3"/>
      <c r="Q999" s="3"/>
      <c r="R999" s="111"/>
      <c r="S999" s="111"/>
      <c r="T999" s="111"/>
    </row>
    <row r="1000" spans="3:20" s="4" customFormat="1" x14ac:dyDescent="0.25">
      <c r="C1000" s="3"/>
      <c r="D1000" s="3"/>
      <c r="E1000" s="3"/>
      <c r="F1000" s="3"/>
      <c r="G1000" s="3"/>
      <c r="H1000" s="3"/>
      <c r="I1000" s="3"/>
      <c r="J1000" s="3"/>
      <c r="K1000" s="3"/>
      <c r="L1000" s="3"/>
      <c r="M1000" s="3"/>
      <c r="N1000" s="3"/>
      <c r="O1000" s="3"/>
      <c r="P1000" s="3"/>
      <c r="Q1000" s="3"/>
      <c r="R1000" s="111"/>
      <c r="S1000" s="111"/>
      <c r="T1000" s="111"/>
    </row>
    <row r="1001" spans="3:20" s="4" customFormat="1" x14ac:dyDescent="0.25">
      <c r="C1001" s="3"/>
      <c r="D1001" s="3"/>
      <c r="E1001" s="3"/>
      <c r="F1001" s="3"/>
      <c r="G1001" s="3"/>
      <c r="H1001" s="3"/>
      <c r="I1001" s="3"/>
      <c r="J1001" s="3"/>
      <c r="K1001" s="3"/>
      <c r="L1001" s="3"/>
      <c r="M1001" s="3"/>
      <c r="N1001" s="3"/>
      <c r="O1001" s="3"/>
      <c r="P1001" s="3"/>
      <c r="Q1001" s="3"/>
      <c r="R1001" s="111"/>
      <c r="S1001" s="111"/>
      <c r="T1001" s="111"/>
    </row>
    <row r="1002" spans="3:20" s="4" customFormat="1" x14ac:dyDescent="0.25">
      <c r="C1002" s="3"/>
      <c r="D1002" s="3"/>
      <c r="E1002" s="3"/>
      <c r="F1002" s="3"/>
      <c r="G1002" s="3"/>
      <c r="H1002" s="3"/>
      <c r="I1002" s="3"/>
      <c r="J1002" s="3"/>
      <c r="K1002" s="3"/>
      <c r="L1002" s="3"/>
      <c r="M1002" s="3"/>
      <c r="N1002" s="3"/>
      <c r="O1002" s="3"/>
      <c r="P1002" s="3"/>
      <c r="Q1002" s="3"/>
      <c r="R1002" s="111"/>
      <c r="S1002" s="111"/>
      <c r="T1002" s="111"/>
    </row>
    <row r="1003" spans="3:20" s="4" customFormat="1" x14ac:dyDescent="0.25">
      <c r="C1003" s="3"/>
      <c r="D1003" s="3"/>
      <c r="E1003" s="3"/>
      <c r="F1003" s="3"/>
      <c r="G1003" s="3"/>
      <c r="H1003" s="3"/>
      <c r="I1003" s="3"/>
      <c r="J1003" s="3"/>
      <c r="K1003" s="3"/>
      <c r="L1003" s="3"/>
      <c r="M1003" s="3"/>
      <c r="N1003" s="3"/>
      <c r="O1003" s="3"/>
      <c r="P1003" s="3"/>
      <c r="Q1003" s="3"/>
      <c r="R1003" s="111"/>
      <c r="S1003" s="111"/>
      <c r="T1003" s="111"/>
    </row>
    <row r="1004" spans="3:20" s="4" customFormat="1" x14ac:dyDescent="0.25">
      <c r="C1004" s="3"/>
      <c r="D1004" s="3"/>
      <c r="E1004" s="3"/>
      <c r="F1004" s="3"/>
      <c r="G1004" s="3"/>
      <c r="H1004" s="3"/>
      <c r="I1004" s="3"/>
      <c r="J1004" s="3"/>
      <c r="K1004" s="3"/>
      <c r="L1004" s="3"/>
      <c r="M1004" s="3"/>
      <c r="N1004" s="3"/>
      <c r="O1004" s="3"/>
      <c r="P1004" s="3"/>
      <c r="Q1004" s="3"/>
      <c r="R1004" s="111"/>
      <c r="S1004" s="111"/>
      <c r="T1004" s="111"/>
    </row>
    <row r="1005" spans="3:20" s="4" customFormat="1" x14ac:dyDescent="0.25">
      <c r="C1005" s="3"/>
      <c r="D1005" s="3"/>
      <c r="E1005" s="3"/>
      <c r="F1005" s="3"/>
      <c r="G1005" s="3"/>
      <c r="H1005" s="3"/>
      <c r="I1005" s="3"/>
      <c r="J1005" s="3"/>
      <c r="K1005" s="3"/>
      <c r="L1005" s="3"/>
      <c r="M1005" s="3"/>
      <c r="N1005" s="3"/>
      <c r="O1005" s="3"/>
      <c r="P1005" s="3"/>
      <c r="Q1005" s="3"/>
      <c r="R1005" s="111"/>
      <c r="S1005" s="111"/>
      <c r="T1005" s="111"/>
    </row>
    <row r="1006" spans="3:20" s="4" customFormat="1" x14ac:dyDescent="0.25">
      <c r="C1006" s="3"/>
      <c r="D1006" s="3"/>
      <c r="E1006" s="3"/>
      <c r="F1006" s="3"/>
      <c r="G1006" s="3"/>
      <c r="H1006" s="3"/>
      <c r="I1006" s="3"/>
      <c r="J1006" s="3"/>
      <c r="K1006" s="3"/>
      <c r="L1006" s="3"/>
      <c r="M1006" s="3"/>
      <c r="N1006" s="3"/>
      <c r="O1006" s="3"/>
      <c r="P1006" s="3"/>
      <c r="Q1006" s="3"/>
      <c r="R1006" s="111"/>
      <c r="S1006" s="111"/>
      <c r="T1006" s="111"/>
    </row>
    <row r="1007" spans="3:20" s="4" customFormat="1" x14ac:dyDescent="0.25">
      <c r="C1007" s="3"/>
      <c r="D1007" s="3"/>
      <c r="E1007" s="3"/>
      <c r="F1007" s="3"/>
      <c r="G1007" s="3"/>
      <c r="H1007" s="3"/>
      <c r="I1007" s="3"/>
      <c r="J1007" s="3"/>
      <c r="K1007" s="3"/>
      <c r="L1007" s="3"/>
      <c r="M1007" s="3"/>
      <c r="N1007" s="3"/>
      <c r="O1007" s="3"/>
      <c r="P1007" s="3"/>
      <c r="Q1007" s="3"/>
      <c r="R1007" s="111"/>
      <c r="S1007" s="111"/>
      <c r="T1007" s="111"/>
    </row>
    <row r="1008" spans="3:20" s="4" customFormat="1" x14ac:dyDescent="0.25">
      <c r="C1008" s="3"/>
      <c r="D1008" s="3"/>
      <c r="E1008" s="3"/>
      <c r="F1008" s="3"/>
      <c r="G1008" s="3"/>
      <c r="H1008" s="3"/>
      <c r="I1008" s="3"/>
      <c r="J1008" s="3"/>
      <c r="K1008" s="3"/>
      <c r="L1008" s="3"/>
      <c r="M1008" s="3"/>
      <c r="N1008" s="3"/>
      <c r="O1008" s="3"/>
      <c r="P1008" s="3"/>
      <c r="Q1008" s="3"/>
      <c r="R1008" s="111"/>
      <c r="S1008" s="111"/>
      <c r="T1008" s="111"/>
    </row>
    <row r="1009" spans="3:20" s="4" customFormat="1" x14ac:dyDescent="0.25">
      <c r="C1009" s="3"/>
      <c r="D1009" s="3"/>
      <c r="E1009" s="3"/>
      <c r="F1009" s="3"/>
      <c r="G1009" s="3"/>
      <c r="H1009" s="3"/>
      <c r="I1009" s="3"/>
      <c r="J1009" s="3"/>
      <c r="K1009" s="3"/>
      <c r="L1009" s="3"/>
      <c r="M1009" s="3"/>
      <c r="N1009" s="3"/>
      <c r="O1009" s="3"/>
      <c r="P1009" s="3"/>
      <c r="Q1009" s="3"/>
      <c r="R1009" s="111"/>
      <c r="S1009" s="111"/>
      <c r="T1009" s="111"/>
    </row>
    <row r="1010" spans="3:20" s="4" customFormat="1" x14ac:dyDescent="0.25">
      <c r="C1010" s="3"/>
      <c r="D1010" s="3"/>
      <c r="E1010" s="3"/>
      <c r="F1010" s="3"/>
      <c r="G1010" s="3"/>
      <c r="H1010" s="3"/>
      <c r="I1010" s="3"/>
      <c r="J1010" s="3"/>
      <c r="K1010" s="3"/>
      <c r="L1010" s="3"/>
      <c r="M1010" s="3"/>
      <c r="N1010" s="3"/>
      <c r="O1010" s="3"/>
      <c r="P1010" s="3"/>
      <c r="Q1010" s="3"/>
      <c r="R1010" s="111"/>
      <c r="S1010" s="111"/>
      <c r="T1010" s="111"/>
    </row>
    <row r="1011" spans="3:20" s="4" customFormat="1" x14ac:dyDescent="0.25">
      <c r="C1011" s="3"/>
      <c r="D1011" s="3"/>
      <c r="E1011" s="3"/>
      <c r="F1011" s="3"/>
      <c r="G1011" s="3"/>
      <c r="H1011" s="3"/>
      <c r="I1011" s="3"/>
      <c r="J1011" s="3"/>
      <c r="K1011" s="3"/>
      <c r="L1011" s="3"/>
      <c r="M1011" s="3"/>
      <c r="N1011" s="3"/>
      <c r="O1011" s="3"/>
      <c r="P1011" s="3"/>
      <c r="Q1011" s="3"/>
      <c r="R1011" s="111"/>
      <c r="S1011" s="111"/>
      <c r="T1011" s="111"/>
    </row>
    <row r="1012" spans="3:20" s="4" customFormat="1" x14ac:dyDescent="0.25">
      <c r="C1012" s="3"/>
      <c r="D1012" s="3"/>
      <c r="E1012" s="3"/>
      <c r="F1012" s="3"/>
      <c r="G1012" s="3"/>
      <c r="H1012" s="3"/>
      <c r="I1012" s="3"/>
      <c r="J1012" s="3"/>
      <c r="K1012" s="3"/>
      <c r="L1012" s="3"/>
      <c r="M1012" s="3"/>
      <c r="N1012" s="3"/>
      <c r="O1012" s="3"/>
      <c r="P1012" s="3"/>
      <c r="Q1012" s="3"/>
      <c r="R1012" s="111"/>
      <c r="S1012" s="111"/>
      <c r="T1012" s="111"/>
    </row>
    <row r="1013" spans="3:20" s="4" customFormat="1" x14ac:dyDescent="0.25">
      <c r="C1013" s="3"/>
      <c r="D1013" s="3"/>
      <c r="E1013" s="3"/>
      <c r="F1013" s="3"/>
      <c r="G1013" s="3"/>
      <c r="H1013" s="3"/>
      <c r="I1013" s="3"/>
      <c r="J1013" s="3"/>
      <c r="K1013" s="3"/>
      <c r="L1013" s="3"/>
      <c r="M1013" s="3"/>
      <c r="N1013" s="3"/>
      <c r="O1013" s="3"/>
      <c r="P1013" s="3"/>
      <c r="Q1013" s="3"/>
      <c r="R1013" s="111"/>
      <c r="S1013" s="111"/>
      <c r="T1013" s="111"/>
    </row>
    <row r="1014" spans="3:20" s="4" customFormat="1" x14ac:dyDescent="0.25">
      <c r="C1014" s="3"/>
      <c r="D1014" s="3"/>
      <c r="E1014" s="3"/>
      <c r="F1014" s="3"/>
      <c r="G1014" s="3"/>
      <c r="H1014" s="3"/>
      <c r="I1014" s="3"/>
      <c r="J1014" s="3"/>
      <c r="K1014" s="3"/>
      <c r="L1014" s="3"/>
      <c r="M1014" s="3"/>
      <c r="N1014" s="3"/>
      <c r="O1014" s="3"/>
      <c r="P1014" s="3"/>
      <c r="Q1014" s="3"/>
      <c r="R1014" s="111"/>
      <c r="S1014" s="111"/>
      <c r="T1014" s="111"/>
    </row>
    <row r="1015" spans="3:20" s="4" customFormat="1" x14ac:dyDescent="0.25">
      <c r="C1015" s="3"/>
      <c r="D1015" s="3"/>
      <c r="E1015" s="3"/>
      <c r="F1015" s="3"/>
      <c r="G1015" s="3"/>
      <c r="H1015" s="3"/>
      <c r="I1015" s="3"/>
      <c r="J1015" s="3"/>
      <c r="K1015" s="3"/>
      <c r="L1015" s="3"/>
      <c r="M1015" s="3"/>
      <c r="N1015" s="3"/>
      <c r="O1015" s="3"/>
      <c r="P1015" s="3"/>
      <c r="Q1015" s="3"/>
      <c r="R1015" s="111"/>
      <c r="S1015" s="111"/>
      <c r="T1015" s="111"/>
    </row>
    <row r="1016" spans="3:20" s="4" customFormat="1" x14ac:dyDescent="0.25">
      <c r="C1016" s="3"/>
      <c r="D1016" s="3"/>
      <c r="E1016" s="3"/>
      <c r="F1016" s="3"/>
      <c r="G1016" s="3"/>
      <c r="H1016" s="3"/>
      <c r="I1016" s="3"/>
      <c r="J1016" s="3"/>
      <c r="K1016" s="3"/>
      <c r="L1016" s="3"/>
      <c r="M1016" s="3"/>
      <c r="N1016" s="3"/>
      <c r="O1016" s="3"/>
      <c r="P1016" s="3"/>
      <c r="Q1016" s="3"/>
      <c r="R1016" s="111"/>
      <c r="S1016" s="111"/>
      <c r="T1016" s="111"/>
    </row>
    <row r="1017" spans="3:20" s="4" customFormat="1" x14ac:dyDescent="0.25">
      <c r="C1017" s="3"/>
      <c r="D1017" s="3"/>
      <c r="E1017" s="3"/>
      <c r="F1017" s="3"/>
      <c r="G1017" s="3"/>
      <c r="H1017" s="3"/>
      <c r="I1017" s="3"/>
      <c r="J1017" s="3"/>
      <c r="K1017" s="3"/>
      <c r="L1017" s="3"/>
      <c r="M1017" s="3"/>
      <c r="N1017" s="3"/>
      <c r="O1017" s="3"/>
      <c r="P1017" s="3"/>
      <c r="Q1017" s="3"/>
      <c r="R1017" s="111"/>
      <c r="S1017" s="111"/>
      <c r="T1017" s="111"/>
    </row>
    <row r="1018" spans="3:20" s="4" customFormat="1" x14ac:dyDescent="0.25">
      <c r="C1018" s="3"/>
      <c r="D1018" s="3"/>
      <c r="E1018" s="3"/>
      <c r="F1018" s="3"/>
      <c r="G1018" s="3"/>
      <c r="H1018" s="3"/>
      <c r="I1018" s="3"/>
      <c r="J1018" s="3"/>
      <c r="K1018" s="3"/>
      <c r="L1018" s="3"/>
      <c r="M1018" s="3"/>
      <c r="N1018" s="3"/>
      <c r="O1018" s="3"/>
      <c r="P1018" s="3"/>
      <c r="Q1018" s="3"/>
      <c r="R1018" s="111"/>
      <c r="S1018" s="111"/>
      <c r="T1018" s="111"/>
    </row>
    <row r="1019" spans="3:20" s="4" customFormat="1" x14ac:dyDescent="0.25">
      <c r="C1019" s="3"/>
      <c r="D1019" s="3"/>
      <c r="E1019" s="3"/>
      <c r="F1019" s="3"/>
      <c r="G1019" s="3"/>
      <c r="H1019" s="3"/>
      <c r="I1019" s="3"/>
      <c r="J1019" s="3"/>
      <c r="K1019" s="3"/>
      <c r="L1019" s="3"/>
      <c r="M1019" s="3"/>
      <c r="N1019" s="3"/>
      <c r="O1019" s="3"/>
      <c r="P1019" s="3"/>
      <c r="Q1019" s="3"/>
      <c r="R1019" s="111"/>
      <c r="S1019" s="111"/>
      <c r="T1019" s="111"/>
    </row>
    <row r="1020" spans="3:20" s="4" customFormat="1" x14ac:dyDescent="0.25">
      <c r="C1020" s="3"/>
      <c r="D1020" s="3"/>
      <c r="E1020" s="3"/>
      <c r="F1020" s="3"/>
      <c r="G1020" s="3"/>
      <c r="H1020" s="3"/>
      <c r="I1020" s="3"/>
      <c r="J1020" s="3"/>
      <c r="K1020" s="3"/>
      <c r="L1020" s="3"/>
      <c r="M1020" s="3"/>
      <c r="N1020" s="3"/>
      <c r="O1020" s="3"/>
      <c r="P1020" s="3"/>
      <c r="Q1020" s="3"/>
      <c r="R1020" s="111"/>
      <c r="S1020" s="111"/>
      <c r="T1020" s="111"/>
    </row>
    <row r="1021" spans="3:20" s="4" customFormat="1" x14ac:dyDescent="0.25">
      <c r="C1021" s="3"/>
      <c r="D1021" s="3"/>
      <c r="E1021" s="3"/>
      <c r="F1021" s="3"/>
      <c r="G1021" s="3"/>
      <c r="H1021" s="3"/>
      <c r="I1021" s="3"/>
      <c r="J1021" s="3"/>
      <c r="K1021" s="3"/>
      <c r="L1021" s="3"/>
      <c r="M1021" s="3"/>
      <c r="N1021" s="3"/>
      <c r="O1021" s="3"/>
      <c r="P1021" s="3"/>
      <c r="Q1021" s="3"/>
      <c r="R1021" s="111"/>
      <c r="S1021" s="111"/>
      <c r="T1021" s="111"/>
    </row>
    <row r="1022" spans="3:20" s="4" customFormat="1" x14ac:dyDescent="0.25">
      <c r="C1022" s="3"/>
      <c r="D1022" s="3"/>
      <c r="E1022" s="3"/>
      <c r="F1022" s="3"/>
      <c r="G1022" s="3"/>
      <c r="H1022" s="3"/>
      <c r="I1022" s="3"/>
      <c r="J1022" s="3"/>
      <c r="K1022" s="3"/>
      <c r="L1022" s="3"/>
      <c r="M1022" s="3"/>
      <c r="N1022" s="3"/>
      <c r="O1022" s="3"/>
      <c r="P1022" s="3"/>
      <c r="Q1022" s="3"/>
      <c r="R1022" s="111"/>
      <c r="S1022" s="111"/>
      <c r="T1022" s="111"/>
    </row>
    <row r="1023" spans="3:20" s="4" customFormat="1" x14ac:dyDescent="0.25">
      <c r="C1023" s="3"/>
      <c r="D1023" s="3"/>
      <c r="E1023" s="3"/>
      <c r="F1023" s="3"/>
      <c r="G1023" s="3"/>
      <c r="H1023" s="3"/>
      <c r="I1023" s="3"/>
      <c r="J1023" s="3"/>
      <c r="K1023" s="3"/>
      <c r="L1023" s="3"/>
      <c r="M1023" s="3"/>
      <c r="N1023" s="3"/>
      <c r="O1023" s="3"/>
      <c r="P1023" s="3"/>
      <c r="Q1023" s="3"/>
      <c r="R1023" s="111"/>
      <c r="S1023" s="111"/>
      <c r="T1023" s="111"/>
    </row>
    <row r="1024" spans="3:20" s="4" customFormat="1" x14ac:dyDescent="0.25">
      <c r="C1024" s="3"/>
      <c r="D1024" s="3"/>
      <c r="E1024" s="3"/>
      <c r="F1024" s="3"/>
      <c r="G1024" s="3"/>
      <c r="H1024" s="3"/>
      <c r="I1024" s="3"/>
      <c r="J1024" s="3"/>
      <c r="K1024" s="3"/>
      <c r="L1024" s="3"/>
      <c r="M1024" s="3"/>
      <c r="N1024" s="3"/>
      <c r="O1024" s="3"/>
      <c r="P1024" s="3"/>
      <c r="Q1024" s="3"/>
      <c r="R1024" s="111"/>
      <c r="S1024" s="111"/>
      <c r="T1024" s="111"/>
    </row>
    <row r="1025" spans="3:20" s="4" customFormat="1" x14ac:dyDescent="0.25">
      <c r="C1025" s="3"/>
      <c r="D1025" s="3"/>
      <c r="E1025" s="3"/>
      <c r="F1025" s="3"/>
      <c r="G1025" s="3"/>
      <c r="H1025" s="3"/>
      <c r="I1025" s="3"/>
      <c r="J1025" s="3"/>
      <c r="K1025" s="3"/>
      <c r="L1025" s="3"/>
      <c r="M1025" s="3"/>
      <c r="N1025" s="3"/>
      <c r="O1025" s="3"/>
      <c r="P1025" s="3"/>
      <c r="Q1025" s="3"/>
      <c r="R1025" s="111"/>
      <c r="S1025" s="111"/>
      <c r="T1025" s="111"/>
    </row>
    <row r="1026" spans="3:20" s="4" customFormat="1" x14ac:dyDescent="0.25">
      <c r="C1026" s="3"/>
      <c r="D1026" s="3"/>
      <c r="E1026" s="3"/>
      <c r="F1026" s="3"/>
      <c r="G1026" s="3"/>
      <c r="H1026" s="3"/>
      <c r="I1026" s="3"/>
      <c r="J1026" s="3"/>
      <c r="K1026" s="3"/>
      <c r="L1026" s="3"/>
      <c r="M1026" s="3"/>
      <c r="N1026" s="3"/>
      <c r="O1026" s="3"/>
      <c r="P1026" s="3"/>
      <c r="Q1026" s="3"/>
      <c r="R1026" s="111"/>
      <c r="S1026" s="111"/>
      <c r="T1026" s="111"/>
    </row>
    <row r="1027" spans="3:20" s="4" customFormat="1" x14ac:dyDescent="0.25">
      <c r="C1027" s="3"/>
      <c r="D1027" s="3"/>
      <c r="E1027" s="3"/>
      <c r="F1027" s="3"/>
      <c r="G1027" s="3"/>
      <c r="H1027" s="3"/>
      <c r="I1027" s="3"/>
      <c r="J1027" s="3"/>
      <c r="K1027" s="3"/>
      <c r="L1027" s="3"/>
      <c r="M1027" s="3"/>
      <c r="N1027" s="3"/>
      <c r="O1027" s="3"/>
      <c r="P1027" s="3"/>
      <c r="Q1027" s="3"/>
      <c r="R1027" s="111"/>
      <c r="S1027" s="111"/>
      <c r="T1027" s="111"/>
    </row>
    <row r="1028" spans="3:20" s="4" customFormat="1" x14ac:dyDescent="0.25">
      <c r="C1028" s="3"/>
      <c r="D1028" s="3"/>
      <c r="E1028" s="3"/>
      <c r="F1028" s="3"/>
      <c r="G1028" s="3"/>
      <c r="H1028" s="3"/>
      <c r="I1028" s="3"/>
      <c r="J1028" s="3"/>
      <c r="K1028" s="3"/>
      <c r="L1028" s="3"/>
      <c r="M1028" s="3"/>
      <c r="N1028" s="3"/>
      <c r="O1028" s="3"/>
      <c r="P1028" s="3"/>
      <c r="Q1028" s="3"/>
      <c r="R1028" s="111"/>
      <c r="S1028" s="111"/>
      <c r="T1028" s="111"/>
    </row>
    <row r="1029" spans="3:20" s="4" customFormat="1" x14ac:dyDescent="0.25">
      <c r="C1029" s="3"/>
      <c r="D1029" s="3"/>
      <c r="E1029" s="3"/>
      <c r="F1029" s="3"/>
      <c r="G1029" s="3"/>
      <c r="H1029" s="3"/>
      <c r="I1029" s="3"/>
      <c r="J1029" s="3"/>
      <c r="K1029" s="3"/>
      <c r="L1029" s="3"/>
      <c r="M1029" s="3"/>
      <c r="N1029" s="3"/>
      <c r="O1029" s="3"/>
      <c r="P1029" s="3"/>
      <c r="Q1029" s="3"/>
      <c r="R1029" s="111"/>
      <c r="S1029" s="111"/>
      <c r="T1029" s="111"/>
    </row>
    <row r="1030" spans="3:20" s="4" customFormat="1" x14ac:dyDescent="0.25">
      <c r="C1030" s="3"/>
      <c r="D1030" s="3"/>
      <c r="E1030" s="3"/>
      <c r="F1030" s="3"/>
      <c r="G1030" s="3"/>
      <c r="H1030" s="3"/>
      <c r="I1030" s="3"/>
      <c r="J1030" s="3"/>
      <c r="K1030" s="3"/>
      <c r="L1030" s="3"/>
      <c r="M1030" s="3"/>
      <c r="N1030" s="3"/>
      <c r="O1030" s="3"/>
      <c r="P1030" s="3"/>
      <c r="Q1030" s="3"/>
      <c r="R1030" s="111"/>
      <c r="S1030" s="111"/>
      <c r="T1030" s="111"/>
    </row>
    <row r="1031" spans="3:20" s="4" customFormat="1" x14ac:dyDescent="0.25">
      <c r="C1031" s="3"/>
      <c r="D1031" s="3"/>
      <c r="E1031" s="3"/>
      <c r="F1031" s="3"/>
      <c r="G1031" s="3"/>
      <c r="H1031" s="3"/>
      <c r="I1031" s="3"/>
      <c r="J1031" s="3"/>
      <c r="K1031" s="3"/>
      <c r="L1031" s="3"/>
      <c r="M1031" s="3"/>
      <c r="N1031" s="3"/>
      <c r="O1031" s="3"/>
      <c r="P1031" s="3"/>
      <c r="Q1031" s="3"/>
      <c r="R1031" s="111"/>
      <c r="S1031" s="111"/>
      <c r="T1031" s="111"/>
    </row>
    <row r="1032" spans="3:20" s="4" customFormat="1" x14ac:dyDescent="0.25">
      <c r="C1032" s="3"/>
      <c r="D1032" s="3"/>
      <c r="E1032" s="3"/>
      <c r="F1032" s="3"/>
      <c r="G1032" s="3"/>
      <c r="H1032" s="3"/>
      <c r="I1032" s="3"/>
      <c r="J1032" s="3"/>
      <c r="K1032" s="3"/>
      <c r="L1032" s="3"/>
      <c r="M1032" s="3"/>
      <c r="N1032" s="3"/>
      <c r="O1032" s="3"/>
      <c r="P1032" s="3"/>
      <c r="Q1032" s="3"/>
      <c r="R1032" s="111"/>
      <c r="S1032" s="111"/>
      <c r="T1032" s="111"/>
    </row>
    <row r="1033" spans="3:20" s="4" customFormat="1" x14ac:dyDescent="0.25">
      <c r="C1033" s="3"/>
      <c r="D1033" s="3"/>
      <c r="E1033" s="3"/>
      <c r="F1033" s="3"/>
      <c r="G1033" s="3"/>
      <c r="H1033" s="3"/>
      <c r="I1033" s="3"/>
      <c r="J1033" s="3"/>
      <c r="K1033" s="3"/>
      <c r="L1033" s="3"/>
      <c r="M1033" s="3"/>
      <c r="N1033" s="3"/>
      <c r="O1033" s="3"/>
      <c r="P1033" s="3"/>
      <c r="Q1033" s="3"/>
      <c r="R1033" s="111"/>
      <c r="S1033" s="111"/>
      <c r="T1033" s="111"/>
    </row>
    <row r="1034" spans="3:20" s="4" customFormat="1" x14ac:dyDescent="0.25">
      <c r="C1034" s="3"/>
      <c r="D1034" s="3"/>
      <c r="E1034" s="3"/>
      <c r="F1034" s="3"/>
      <c r="G1034" s="3"/>
      <c r="H1034" s="3"/>
      <c r="I1034" s="3"/>
      <c r="J1034" s="3"/>
      <c r="K1034" s="3"/>
      <c r="L1034" s="3"/>
      <c r="M1034" s="3"/>
      <c r="N1034" s="3"/>
      <c r="O1034" s="3"/>
      <c r="P1034" s="3"/>
      <c r="Q1034" s="3"/>
      <c r="R1034" s="111"/>
      <c r="S1034" s="111"/>
      <c r="T1034" s="111"/>
    </row>
    <row r="1035" spans="3:20" s="4" customFormat="1" x14ac:dyDescent="0.25">
      <c r="C1035" s="3"/>
      <c r="D1035" s="3"/>
      <c r="E1035" s="3"/>
      <c r="F1035" s="3"/>
      <c r="G1035" s="3"/>
      <c r="H1035" s="3"/>
      <c r="I1035" s="3"/>
      <c r="J1035" s="3"/>
      <c r="K1035" s="3"/>
      <c r="L1035" s="3"/>
      <c r="M1035" s="3"/>
      <c r="N1035" s="3"/>
      <c r="O1035" s="3"/>
      <c r="P1035" s="3"/>
      <c r="Q1035" s="3"/>
      <c r="R1035" s="111"/>
      <c r="S1035" s="111"/>
      <c r="T1035" s="111"/>
    </row>
    <row r="1036" spans="3:20" s="4" customFormat="1" x14ac:dyDescent="0.25">
      <c r="C1036" s="3"/>
      <c r="D1036" s="3"/>
      <c r="E1036" s="3"/>
      <c r="F1036" s="3"/>
      <c r="G1036" s="3"/>
      <c r="H1036" s="3"/>
      <c r="I1036" s="3"/>
      <c r="J1036" s="3"/>
      <c r="K1036" s="3"/>
      <c r="L1036" s="3"/>
      <c r="M1036" s="3"/>
      <c r="N1036" s="3"/>
      <c r="O1036" s="3"/>
      <c r="P1036" s="3"/>
      <c r="Q1036" s="3"/>
      <c r="R1036" s="111"/>
      <c r="S1036" s="111"/>
      <c r="T1036" s="111"/>
    </row>
    <row r="1037" spans="3:20" s="4" customFormat="1" x14ac:dyDescent="0.25">
      <c r="C1037" s="3"/>
      <c r="D1037" s="3"/>
      <c r="E1037" s="3"/>
      <c r="F1037" s="3"/>
      <c r="G1037" s="3"/>
      <c r="H1037" s="3"/>
      <c r="I1037" s="3"/>
      <c r="J1037" s="3"/>
      <c r="K1037" s="3"/>
      <c r="L1037" s="3"/>
      <c r="M1037" s="3"/>
      <c r="N1037" s="3"/>
      <c r="O1037" s="3"/>
      <c r="P1037" s="3"/>
      <c r="Q1037" s="3"/>
      <c r="R1037" s="111"/>
      <c r="S1037" s="111"/>
      <c r="T1037" s="111"/>
    </row>
    <row r="1038" spans="3:20" s="4" customFormat="1" x14ac:dyDescent="0.25">
      <c r="C1038" s="3"/>
      <c r="D1038" s="3"/>
      <c r="E1038" s="3"/>
      <c r="F1038" s="3"/>
      <c r="G1038" s="3"/>
      <c r="H1038" s="3"/>
      <c r="I1038" s="3"/>
      <c r="J1038" s="3"/>
      <c r="K1038" s="3"/>
      <c r="L1038" s="3"/>
      <c r="M1038" s="3"/>
      <c r="N1038" s="3"/>
      <c r="O1038" s="3"/>
      <c r="P1038" s="3"/>
      <c r="Q1038" s="3"/>
      <c r="R1038" s="111"/>
      <c r="S1038" s="111"/>
      <c r="T1038" s="111"/>
    </row>
    <row r="1039" spans="3:20" s="4" customFormat="1" x14ac:dyDescent="0.25">
      <c r="C1039" s="3"/>
      <c r="D1039" s="3"/>
      <c r="E1039" s="3"/>
      <c r="F1039" s="3"/>
      <c r="G1039" s="3"/>
      <c r="H1039" s="3"/>
      <c r="I1039" s="3"/>
      <c r="J1039" s="3"/>
      <c r="K1039" s="3"/>
      <c r="L1039" s="3"/>
      <c r="M1039" s="3"/>
      <c r="N1039" s="3"/>
      <c r="O1039" s="3"/>
      <c r="P1039" s="3"/>
      <c r="Q1039" s="3"/>
      <c r="R1039" s="111"/>
      <c r="S1039" s="111"/>
      <c r="T1039" s="111"/>
    </row>
    <row r="1040" spans="3:20" s="4" customFormat="1" x14ac:dyDescent="0.25">
      <c r="C1040" s="3"/>
      <c r="D1040" s="3"/>
      <c r="E1040" s="3"/>
      <c r="F1040" s="3"/>
      <c r="G1040" s="3"/>
      <c r="H1040" s="3"/>
      <c r="I1040" s="3"/>
      <c r="J1040" s="3"/>
      <c r="K1040" s="3"/>
      <c r="L1040" s="3"/>
      <c r="M1040" s="3"/>
      <c r="N1040" s="3"/>
      <c r="O1040" s="3"/>
      <c r="P1040" s="3"/>
      <c r="Q1040" s="3"/>
      <c r="R1040" s="111"/>
      <c r="S1040" s="111"/>
      <c r="T1040" s="111"/>
    </row>
    <row r="1041" spans="3:20" s="4" customFormat="1" x14ac:dyDescent="0.25">
      <c r="C1041" s="3"/>
      <c r="D1041" s="3"/>
      <c r="E1041" s="3"/>
      <c r="F1041" s="3"/>
      <c r="G1041" s="3"/>
      <c r="H1041" s="3"/>
      <c r="I1041" s="3"/>
      <c r="J1041" s="3"/>
      <c r="K1041" s="3"/>
      <c r="L1041" s="3"/>
      <c r="M1041" s="3"/>
      <c r="N1041" s="3"/>
      <c r="O1041" s="3"/>
      <c r="P1041" s="3"/>
      <c r="Q1041" s="3"/>
      <c r="R1041" s="111"/>
      <c r="S1041" s="111"/>
      <c r="T1041" s="111"/>
    </row>
    <row r="1042" spans="3:20" s="4" customFormat="1" x14ac:dyDescent="0.25">
      <c r="C1042" s="3"/>
      <c r="D1042" s="3"/>
      <c r="E1042" s="3"/>
      <c r="F1042" s="3"/>
      <c r="G1042" s="3"/>
      <c r="H1042" s="3"/>
      <c r="I1042" s="3"/>
      <c r="J1042" s="3"/>
      <c r="K1042" s="3"/>
      <c r="L1042" s="3"/>
      <c r="M1042" s="3"/>
      <c r="N1042" s="3"/>
      <c r="O1042" s="3"/>
      <c r="P1042" s="3"/>
      <c r="Q1042" s="3"/>
      <c r="R1042" s="111"/>
      <c r="S1042" s="111"/>
      <c r="T1042" s="111"/>
    </row>
    <row r="1043" spans="3:20" s="4" customFormat="1" x14ac:dyDescent="0.25">
      <c r="C1043" s="3"/>
      <c r="D1043" s="3"/>
      <c r="E1043" s="3"/>
      <c r="F1043" s="3"/>
      <c r="G1043" s="3"/>
      <c r="H1043" s="3"/>
      <c r="I1043" s="3"/>
      <c r="J1043" s="3"/>
      <c r="K1043" s="3"/>
      <c r="L1043" s="3"/>
      <c r="M1043" s="3"/>
      <c r="N1043" s="3"/>
      <c r="O1043" s="3"/>
      <c r="P1043" s="3"/>
      <c r="Q1043" s="3"/>
      <c r="R1043" s="111"/>
      <c r="S1043" s="111"/>
      <c r="T1043" s="111"/>
    </row>
    <row r="1044" spans="3:20" s="4" customFormat="1" x14ac:dyDescent="0.25">
      <c r="C1044" s="3"/>
      <c r="D1044" s="3"/>
      <c r="E1044" s="3"/>
      <c r="F1044" s="3"/>
      <c r="G1044" s="3"/>
      <c r="H1044" s="3"/>
      <c r="I1044" s="3"/>
      <c r="J1044" s="3"/>
      <c r="K1044" s="3"/>
      <c r="L1044" s="3"/>
      <c r="M1044" s="3"/>
      <c r="N1044" s="3"/>
      <c r="O1044" s="3"/>
      <c r="P1044" s="3"/>
      <c r="Q1044" s="3"/>
      <c r="R1044" s="111"/>
      <c r="S1044" s="111"/>
      <c r="T1044" s="111"/>
    </row>
    <row r="1045" spans="3:20" s="4" customFormat="1" x14ac:dyDescent="0.25">
      <c r="C1045" s="3"/>
      <c r="D1045" s="3"/>
      <c r="E1045" s="3"/>
      <c r="F1045" s="3"/>
      <c r="G1045" s="3"/>
      <c r="H1045" s="3"/>
      <c r="I1045" s="3"/>
      <c r="J1045" s="3"/>
      <c r="K1045" s="3"/>
      <c r="L1045" s="3"/>
      <c r="M1045" s="3"/>
      <c r="N1045" s="3"/>
      <c r="O1045" s="3"/>
      <c r="P1045" s="3"/>
      <c r="Q1045" s="3"/>
      <c r="R1045" s="111"/>
      <c r="S1045" s="111"/>
      <c r="T1045" s="111"/>
    </row>
    <row r="1046" spans="3:20" s="4" customFormat="1" x14ac:dyDescent="0.25">
      <c r="C1046" s="3"/>
      <c r="D1046" s="3"/>
      <c r="E1046" s="3"/>
      <c r="F1046" s="3"/>
      <c r="G1046" s="3"/>
      <c r="H1046" s="3"/>
      <c r="I1046" s="3"/>
      <c r="J1046" s="3"/>
      <c r="K1046" s="3"/>
      <c r="L1046" s="3"/>
      <c r="M1046" s="3"/>
      <c r="N1046" s="3"/>
      <c r="O1046" s="3"/>
      <c r="P1046" s="3"/>
      <c r="Q1046" s="3"/>
      <c r="R1046" s="111"/>
      <c r="S1046" s="111"/>
      <c r="T1046" s="111"/>
    </row>
    <row r="1047" spans="3:20" s="4" customFormat="1" x14ac:dyDescent="0.25">
      <c r="C1047" s="3"/>
      <c r="D1047" s="3"/>
      <c r="E1047" s="3"/>
      <c r="F1047" s="3"/>
      <c r="G1047" s="3"/>
      <c r="H1047" s="3"/>
      <c r="I1047" s="3"/>
      <c r="J1047" s="3"/>
      <c r="K1047" s="3"/>
      <c r="L1047" s="3"/>
      <c r="M1047" s="3"/>
      <c r="N1047" s="3"/>
      <c r="O1047" s="3"/>
      <c r="P1047" s="3"/>
      <c r="Q1047" s="3"/>
      <c r="R1047" s="111"/>
      <c r="S1047" s="111"/>
      <c r="T1047" s="111"/>
    </row>
    <row r="1048" spans="3:20" s="4" customFormat="1" x14ac:dyDescent="0.25">
      <c r="C1048" s="3"/>
      <c r="D1048" s="3"/>
      <c r="E1048" s="3"/>
      <c r="F1048" s="3"/>
      <c r="G1048" s="3"/>
      <c r="H1048" s="3"/>
      <c r="I1048" s="3"/>
      <c r="J1048" s="3"/>
      <c r="K1048" s="3"/>
      <c r="L1048" s="3"/>
      <c r="M1048" s="3"/>
      <c r="N1048" s="3"/>
      <c r="O1048" s="3"/>
      <c r="P1048" s="3"/>
      <c r="Q1048" s="3"/>
      <c r="R1048" s="111"/>
      <c r="S1048" s="111"/>
      <c r="T1048" s="111"/>
    </row>
    <row r="1049" spans="3:20" s="4" customFormat="1" x14ac:dyDescent="0.25">
      <c r="C1049" s="3"/>
      <c r="D1049" s="3"/>
      <c r="E1049" s="3"/>
      <c r="F1049" s="3"/>
      <c r="G1049" s="3"/>
      <c r="H1049" s="3"/>
      <c r="I1049" s="3"/>
      <c r="J1049" s="3"/>
      <c r="K1049" s="3"/>
      <c r="L1049" s="3"/>
      <c r="M1049" s="3"/>
      <c r="N1049" s="3"/>
      <c r="O1049" s="3"/>
      <c r="P1049" s="3"/>
      <c r="Q1049" s="3"/>
      <c r="R1049" s="111"/>
      <c r="S1049" s="111"/>
      <c r="T1049" s="111"/>
    </row>
    <row r="1050" spans="3:20" s="4" customFormat="1" x14ac:dyDescent="0.25">
      <c r="C1050" s="3"/>
      <c r="D1050" s="3"/>
      <c r="E1050" s="3"/>
      <c r="F1050" s="3"/>
      <c r="G1050" s="3"/>
      <c r="H1050" s="3"/>
      <c r="I1050" s="3"/>
      <c r="J1050" s="3"/>
      <c r="K1050" s="3"/>
      <c r="L1050" s="3"/>
      <c r="M1050" s="3"/>
      <c r="N1050" s="3"/>
      <c r="O1050" s="3"/>
      <c r="P1050" s="3"/>
      <c r="Q1050" s="3"/>
      <c r="R1050" s="111"/>
      <c r="S1050" s="111"/>
      <c r="T1050" s="111"/>
    </row>
    <row r="1051" spans="3:20" s="4" customFormat="1" x14ac:dyDescent="0.25">
      <c r="C1051" s="3"/>
      <c r="D1051" s="3"/>
      <c r="E1051" s="3"/>
      <c r="F1051" s="3"/>
      <c r="G1051" s="3"/>
      <c r="H1051" s="3"/>
      <c r="I1051" s="3"/>
      <c r="J1051" s="3"/>
      <c r="K1051" s="3"/>
      <c r="L1051" s="3"/>
      <c r="M1051" s="3"/>
      <c r="N1051" s="3"/>
      <c r="O1051" s="3"/>
      <c r="P1051" s="3"/>
      <c r="Q1051" s="3"/>
      <c r="R1051" s="111"/>
      <c r="S1051" s="111"/>
      <c r="T1051" s="111"/>
    </row>
    <row r="1052" spans="3:20" s="4" customFormat="1" x14ac:dyDescent="0.25">
      <c r="C1052" s="3"/>
      <c r="D1052" s="3"/>
      <c r="E1052" s="3"/>
      <c r="F1052" s="3"/>
      <c r="G1052" s="3"/>
      <c r="H1052" s="3"/>
      <c r="I1052" s="3"/>
      <c r="J1052" s="3"/>
      <c r="K1052" s="3"/>
      <c r="L1052" s="3"/>
      <c r="M1052" s="3"/>
      <c r="N1052" s="3"/>
      <c r="O1052" s="3"/>
      <c r="P1052" s="3"/>
      <c r="Q1052" s="3"/>
      <c r="R1052" s="111"/>
      <c r="S1052" s="111"/>
      <c r="T1052" s="111"/>
    </row>
    <row r="1053" spans="3:20" s="4" customFormat="1" x14ac:dyDescent="0.25">
      <c r="C1053" s="3"/>
      <c r="D1053" s="3"/>
      <c r="E1053" s="3"/>
      <c r="F1053" s="3"/>
      <c r="G1053" s="3"/>
      <c r="H1053" s="3"/>
      <c r="I1053" s="3"/>
      <c r="J1053" s="3"/>
      <c r="K1053" s="3"/>
      <c r="L1053" s="3"/>
      <c r="M1053" s="3"/>
      <c r="N1053" s="3"/>
      <c r="O1053" s="3"/>
      <c r="P1053" s="3"/>
      <c r="Q1053" s="3"/>
      <c r="R1053" s="111"/>
      <c r="S1053" s="111"/>
      <c r="T1053" s="111"/>
    </row>
    <row r="1054" spans="3:20" s="4" customFormat="1" x14ac:dyDescent="0.25">
      <c r="C1054" s="3"/>
      <c r="D1054" s="3"/>
      <c r="E1054" s="3"/>
      <c r="F1054" s="3"/>
      <c r="G1054" s="3"/>
      <c r="H1054" s="3"/>
      <c r="I1054" s="3"/>
      <c r="J1054" s="3"/>
      <c r="K1054" s="3"/>
      <c r="L1054" s="3"/>
      <c r="M1054" s="3"/>
      <c r="N1054" s="3"/>
      <c r="O1054" s="3"/>
      <c r="P1054" s="3"/>
      <c r="Q1054" s="3"/>
      <c r="R1054" s="111"/>
      <c r="S1054" s="111"/>
      <c r="T1054" s="111"/>
    </row>
    <row r="1055" spans="3:20" s="4" customFormat="1" x14ac:dyDescent="0.25">
      <c r="C1055" s="3"/>
      <c r="D1055" s="3"/>
      <c r="E1055" s="3"/>
      <c r="F1055" s="3"/>
      <c r="G1055" s="3"/>
      <c r="H1055" s="3"/>
      <c r="I1055" s="3"/>
      <c r="J1055" s="3"/>
      <c r="K1055" s="3"/>
      <c r="L1055" s="3"/>
      <c r="M1055" s="3"/>
      <c r="N1055" s="3"/>
      <c r="O1055" s="3"/>
      <c r="P1055" s="3"/>
      <c r="Q1055" s="3"/>
      <c r="R1055" s="111"/>
      <c r="S1055" s="111"/>
      <c r="T1055" s="111"/>
    </row>
    <row r="1056" spans="3:20" s="4" customFormat="1" x14ac:dyDescent="0.25">
      <c r="C1056" s="3"/>
      <c r="D1056" s="3"/>
      <c r="E1056" s="3"/>
      <c r="F1056" s="3"/>
      <c r="G1056" s="3"/>
      <c r="H1056" s="3"/>
      <c r="I1056" s="3"/>
      <c r="J1056" s="3"/>
      <c r="K1056" s="3"/>
      <c r="L1056" s="3"/>
      <c r="M1056" s="3"/>
      <c r="N1056" s="3"/>
      <c r="O1056" s="3"/>
      <c r="P1056" s="3"/>
      <c r="Q1056" s="3"/>
      <c r="R1056" s="111"/>
      <c r="S1056" s="111"/>
      <c r="T1056" s="111"/>
    </row>
    <row r="1057" spans="3:20" s="4" customFormat="1" x14ac:dyDescent="0.25">
      <c r="C1057" s="3"/>
      <c r="D1057" s="3"/>
      <c r="E1057" s="3"/>
      <c r="F1057" s="3"/>
      <c r="G1057" s="3"/>
      <c r="H1057" s="3"/>
      <c r="I1057" s="3"/>
      <c r="J1057" s="3"/>
      <c r="K1057" s="3"/>
      <c r="L1057" s="3"/>
      <c r="M1057" s="3"/>
      <c r="N1057" s="3"/>
      <c r="O1057" s="3"/>
      <c r="P1057" s="3"/>
      <c r="Q1057" s="3"/>
      <c r="R1057" s="111"/>
      <c r="S1057" s="111"/>
      <c r="T1057" s="111"/>
    </row>
    <row r="1058" spans="3:20" s="4" customFormat="1" x14ac:dyDescent="0.25">
      <c r="C1058" s="3"/>
      <c r="D1058" s="3"/>
      <c r="E1058" s="3"/>
      <c r="F1058" s="3"/>
      <c r="G1058" s="3"/>
      <c r="H1058" s="3"/>
      <c r="I1058" s="3"/>
      <c r="J1058" s="3"/>
      <c r="K1058" s="3"/>
      <c r="L1058" s="3"/>
      <c r="M1058" s="3"/>
      <c r="N1058" s="3"/>
      <c r="O1058" s="3"/>
      <c r="P1058" s="3"/>
      <c r="Q1058" s="3"/>
      <c r="R1058" s="111"/>
      <c r="S1058" s="111"/>
      <c r="T1058" s="111"/>
    </row>
    <row r="1059" spans="3:20" s="4" customFormat="1" x14ac:dyDescent="0.25">
      <c r="C1059" s="3"/>
      <c r="D1059" s="3"/>
      <c r="E1059" s="3"/>
      <c r="F1059" s="3"/>
      <c r="G1059" s="3"/>
      <c r="H1059" s="3"/>
      <c r="I1059" s="3"/>
      <c r="J1059" s="3"/>
      <c r="K1059" s="3"/>
      <c r="L1059" s="3"/>
      <c r="M1059" s="3"/>
      <c r="N1059" s="3"/>
      <c r="O1059" s="3"/>
      <c r="P1059" s="3"/>
      <c r="Q1059" s="3"/>
      <c r="R1059" s="111"/>
      <c r="S1059" s="111"/>
      <c r="T1059" s="111"/>
    </row>
    <row r="1060" spans="3:20" s="4" customFormat="1" x14ac:dyDescent="0.25">
      <c r="C1060" s="3"/>
      <c r="D1060" s="3"/>
      <c r="E1060" s="3"/>
      <c r="F1060" s="3"/>
      <c r="G1060" s="3"/>
      <c r="H1060" s="3"/>
      <c r="I1060" s="3"/>
      <c r="J1060" s="3"/>
      <c r="K1060" s="3"/>
      <c r="L1060" s="3"/>
      <c r="M1060" s="3"/>
      <c r="N1060" s="3"/>
      <c r="O1060" s="3"/>
      <c r="P1060" s="3"/>
      <c r="Q1060" s="3"/>
      <c r="R1060" s="111"/>
      <c r="S1060" s="111"/>
      <c r="T1060" s="111"/>
    </row>
    <row r="1061" spans="3:20" s="4" customFormat="1" x14ac:dyDescent="0.25">
      <c r="C1061" s="3"/>
      <c r="D1061" s="3"/>
      <c r="E1061" s="3"/>
      <c r="F1061" s="3"/>
      <c r="G1061" s="3"/>
      <c r="H1061" s="3"/>
      <c r="I1061" s="3"/>
      <c r="J1061" s="3"/>
      <c r="K1061" s="3"/>
      <c r="L1061" s="3"/>
      <c r="M1061" s="3"/>
      <c r="N1061" s="3"/>
      <c r="O1061" s="3"/>
      <c r="P1061" s="3"/>
      <c r="Q1061" s="3"/>
      <c r="R1061" s="111"/>
      <c r="S1061" s="111"/>
      <c r="T1061" s="111"/>
    </row>
    <row r="1062" spans="3:20" s="4" customFormat="1" x14ac:dyDescent="0.25">
      <c r="C1062" s="3"/>
      <c r="D1062" s="3"/>
      <c r="E1062" s="3"/>
      <c r="F1062" s="3"/>
      <c r="G1062" s="3"/>
      <c r="H1062" s="3"/>
      <c r="I1062" s="3"/>
      <c r="J1062" s="3"/>
      <c r="K1062" s="3"/>
      <c r="L1062" s="3"/>
      <c r="M1062" s="3"/>
      <c r="N1062" s="3"/>
      <c r="O1062" s="3"/>
      <c r="P1062" s="3"/>
      <c r="Q1062" s="3"/>
      <c r="R1062" s="111"/>
      <c r="S1062" s="111"/>
      <c r="T1062" s="111"/>
    </row>
    <row r="1063" spans="3:20" s="4" customFormat="1" x14ac:dyDescent="0.25">
      <c r="C1063" s="3"/>
      <c r="D1063" s="3"/>
      <c r="E1063" s="3"/>
      <c r="F1063" s="3"/>
      <c r="G1063" s="3"/>
      <c r="H1063" s="3"/>
      <c r="I1063" s="3"/>
      <c r="J1063" s="3"/>
      <c r="K1063" s="3"/>
      <c r="L1063" s="3"/>
      <c r="M1063" s="3"/>
      <c r="N1063" s="3"/>
      <c r="O1063" s="3"/>
      <c r="P1063" s="3"/>
      <c r="Q1063" s="3"/>
      <c r="R1063" s="111"/>
      <c r="S1063" s="111"/>
      <c r="T1063" s="111"/>
    </row>
    <row r="1064" spans="3:20" s="4" customFormat="1" x14ac:dyDescent="0.25">
      <c r="C1064" s="3"/>
      <c r="D1064" s="3"/>
      <c r="E1064" s="3"/>
      <c r="F1064" s="3"/>
      <c r="G1064" s="3"/>
      <c r="H1064" s="3"/>
      <c r="I1064" s="3"/>
      <c r="J1064" s="3"/>
      <c r="K1064" s="3"/>
      <c r="L1064" s="3"/>
      <c r="M1064" s="3"/>
      <c r="N1064" s="3"/>
      <c r="O1064" s="3"/>
      <c r="P1064" s="3"/>
      <c r="Q1064" s="3"/>
      <c r="R1064" s="111"/>
      <c r="S1064" s="111"/>
      <c r="T1064" s="111"/>
    </row>
    <row r="1065" spans="3:20" s="4" customFormat="1" x14ac:dyDescent="0.25">
      <c r="C1065" s="3"/>
      <c r="D1065" s="3"/>
      <c r="E1065" s="3"/>
      <c r="F1065" s="3"/>
      <c r="G1065" s="3"/>
      <c r="H1065" s="3"/>
      <c r="I1065" s="3"/>
      <c r="J1065" s="3"/>
      <c r="K1065" s="3"/>
      <c r="L1065" s="3"/>
      <c r="M1065" s="3"/>
      <c r="N1065" s="3"/>
      <c r="O1065" s="3"/>
      <c r="P1065" s="3"/>
      <c r="Q1065" s="3"/>
      <c r="R1065" s="111"/>
      <c r="S1065" s="111"/>
      <c r="T1065" s="111"/>
    </row>
    <row r="1066" spans="3:20" s="4" customFormat="1" x14ac:dyDescent="0.25">
      <c r="C1066" s="3"/>
      <c r="D1066" s="3"/>
      <c r="E1066" s="3"/>
      <c r="F1066" s="3"/>
      <c r="G1066" s="3"/>
      <c r="H1066" s="3"/>
      <c r="I1066" s="3"/>
      <c r="J1066" s="3"/>
      <c r="K1066" s="3"/>
      <c r="L1066" s="3"/>
      <c r="M1066" s="3"/>
      <c r="N1066" s="3"/>
      <c r="O1066" s="3"/>
      <c r="P1066" s="3"/>
      <c r="Q1066" s="3"/>
      <c r="R1066" s="111"/>
      <c r="S1066" s="111"/>
      <c r="T1066" s="111"/>
    </row>
    <row r="1067" spans="3:20" s="4" customFormat="1" x14ac:dyDescent="0.25">
      <c r="C1067" s="3"/>
      <c r="D1067" s="3"/>
      <c r="E1067" s="3"/>
      <c r="F1067" s="3"/>
      <c r="G1067" s="3"/>
      <c r="H1067" s="3"/>
      <c r="I1067" s="3"/>
      <c r="J1067" s="3"/>
      <c r="K1067" s="3"/>
      <c r="L1067" s="3"/>
      <c r="M1067" s="3"/>
      <c r="N1067" s="3"/>
      <c r="O1067" s="3"/>
      <c r="P1067" s="3"/>
      <c r="Q1067" s="3"/>
      <c r="R1067" s="111"/>
      <c r="S1067" s="111"/>
      <c r="T1067" s="111"/>
    </row>
    <row r="1068" spans="3:20" s="4" customFormat="1" x14ac:dyDescent="0.25">
      <c r="C1068" s="3"/>
      <c r="D1068" s="3"/>
      <c r="E1068" s="3"/>
      <c r="F1068" s="3"/>
      <c r="G1068" s="3"/>
      <c r="H1068" s="3"/>
      <c r="I1068" s="3"/>
      <c r="J1068" s="3"/>
      <c r="K1068" s="3"/>
      <c r="L1068" s="3"/>
      <c r="M1068" s="3"/>
      <c r="N1068" s="3"/>
      <c r="O1068" s="3"/>
      <c r="P1068" s="3"/>
      <c r="Q1068" s="3"/>
      <c r="R1068" s="111"/>
      <c r="S1068" s="111"/>
      <c r="T1068" s="111"/>
    </row>
    <row r="1069" spans="3:20" s="4" customFormat="1" x14ac:dyDescent="0.25">
      <c r="C1069" s="3"/>
      <c r="D1069" s="3"/>
      <c r="E1069" s="3"/>
      <c r="F1069" s="3"/>
      <c r="G1069" s="3"/>
      <c r="H1069" s="3"/>
      <c r="I1069" s="3"/>
      <c r="J1069" s="3"/>
      <c r="K1069" s="3"/>
      <c r="L1069" s="3"/>
      <c r="M1069" s="3"/>
      <c r="N1069" s="3"/>
      <c r="O1069" s="3"/>
      <c r="P1069" s="3"/>
      <c r="Q1069" s="3"/>
      <c r="R1069" s="111"/>
      <c r="S1069" s="111"/>
      <c r="T1069" s="111"/>
    </row>
    <row r="1070" spans="3:20" s="4" customFormat="1" x14ac:dyDescent="0.25">
      <c r="C1070" s="3"/>
      <c r="D1070" s="3"/>
      <c r="E1070" s="3"/>
      <c r="F1070" s="3"/>
      <c r="G1070" s="3"/>
      <c r="H1070" s="3"/>
      <c r="I1070" s="3"/>
      <c r="J1070" s="3"/>
      <c r="K1070" s="3"/>
      <c r="L1070" s="3"/>
      <c r="M1070" s="3"/>
      <c r="N1070" s="3"/>
      <c r="O1070" s="3"/>
      <c r="P1070" s="3"/>
      <c r="Q1070" s="3"/>
      <c r="R1070" s="111"/>
      <c r="S1070" s="111"/>
      <c r="T1070" s="111"/>
    </row>
    <row r="1071" spans="3:20" s="4" customFormat="1" x14ac:dyDescent="0.25">
      <c r="C1071" s="3"/>
      <c r="D1071" s="3"/>
      <c r="E1071" s="3"/>
      <c r="F1071" s="3"/>
      <c r="G1071" s="3"/>
      <c r="H1071" s="3"/>
      <c r="I1071" s="3"/>
      <c r="J1071" s="3"/>
      <c r="K1071" s="3"/>
      <c r="L1071" s="3"/>
      <c r="M1071" s="3"/>
      <c r="N1071" s="3"/>
      <c r="O1071" s="3"/>
      <c r="P1071" s="3"/>
      <c r="Q1071" s="3"/>
      <c r="R1071" s="111"/>
      <c r="S1071" s="111"/>
      <c r="T1071" s="111"/>
    </row>
    <row r="1072" spans="3:20" s="4" customFormat="1" x14ac:dyDescent="0.25">
      <c r="C1072" s="3"/>
      <c r="D1072" s="3"/>
      <c r="E1072" s="3"/>
      <c r="F1072" s="3"/>
      <c r="G1072" s="3"/>
      <c r="H1072" s="3"/>
      <c r="I1072" s="3"/>
      <c r="J1072" s="3"/>
      <c r="K1072" s="3"/>
      <c r="L1072" s="3"/>
      <c r="M1072" s="3"/>
      <c r="N1072" s="3"/>
      <c r="O1072" s="3"/>
      <c r="P1072" s="3"/>
      <c r="Q1072" s="3"/>
      <c r="R1072" s="111"/>
      <c r="S1072" s="111"/>
      <c r="T1072" s="111"/>
    </row>
    <row r="1073" spans="3:20" s="4" customFormat="1" x14ac:dyDescent="0.25">
      <c r="C1073" s="3"/>
      <c r="D1073" s="3"/>
      <c r="E1073" s="3"/>
      <c r="F1073" s="3"/>
      <c r="G1073" s="3"/>
      <c r="H1073" s="3"/>
      <c r="I1073" s="3"/>
      <c r="J1073" s="3"/>
      <c r="K1073" s="3"/>
      <c r="L1073" s="3"/>
      <c r="M1073" s="3"/>
      <c r="N1073" s="3"/>
      <c r="O1073" s="3"/>
      <c r="P1073" s="3"/>
      <c r="Q1073" s="3"/>
      <c r="R1073" s="111"/>
      <c r="S1073" s="111"/>
      <c r="T1073" s="111"/>
    </row>
    <row r="1074" spans="3:20" s="4" customFormat="1" x14ac:dyDescent="0.25">
      <c r="C1074" s="3"/>
      <c r="D1074" s="3"/>
      <c r="E1074" s="3"/>
      <c r="F1074" s="3"/>
      <c r="G1074" s="3"/>
      <c r="H1074" s="3"/>
      <c r="I1074" s="3"/>
      <c r="J1074" s="3"/>
      <c r="K1074" s="3"/>
      <c r="L1074" s="3"/>
      <c r="M1074" s="3"/>
      <c r="N1074" s="3"/>
      <c r="O1074" s="3"/>
      <c r="P1074" s="3"/>
      <c r="Q1074" s="3"/>
      <c r="R1074" s="111"/>
      <c r="S1074" s="111"/>
      <c r="T1074" s="111"/>
    </row>
    <row r="1075" spans="3:20" s="4" customFormat="1" x14ac:dyDescent="0.25">
      <c r="C1075" s="3"/>
      <c r="D1075" s="3"/>
      <c r="E1075" s="3"/>
      <c r="F1075" s="3"/>
      <c r="G1075" s="3"/>
      <c r="H1075" s="3"/>
      <c r="I1075" s="3"/>
      <c r="J1075" s="3"/>
      <c r="K1075" s="3"/>
      <c r="L1075" s="3"/>
      <c r="M1075" s="3"/>
      <c r="N1075" s="3"/>
      <c r="O1075" s="3"/>
      <c r="P1075" s="3"/>
      <c r="Q1075" s="3"/>
      <c r="R1075" s="111"/>
      <c r="S1075" s="111"/>
      <c r="T1075" s="111"/>
    </row>
    <row r="1076" spans="3:20" s="4" customFormat="1" x14ac:dyDescent="0.25">
      <c r="C1076" s="3"/>
      <c r="D1076" s="3"/>
      <c r="E1076" s="3"/>
      <c r="F1076" s="3"/>
      <c r="G1076" s="3"/>
      <c r="H1076" s="3"/>
      <c r="I1076" s="3"/>
      <c r="J1076" s="3"/>
      <c r="K1076" s="3"/>
      <c r="L1076" s="3"/>
      <c r="M1076" s="3"/>
      <c r="N1076" s="3"/>
      <c r="O1076" s="3"/>
      <c r="P1076" s="3"/>
      <c r="Q1076" s="3"/>
      <c r="R1076" s="111"/>
      <c r="S1076" s="111"/>
      <c r="T1076" s="111"/>
    </row>
    <row r="1077" spans="3:20" s="4" customFormat="1" x14ac:dyDescent="0.25">
      <c r="C1077" s="3"/>
      <c r="D1077" s="3"/>
      <c r="E1077" s="3"/>
      <c r="F1077" s="3"/>
      <c r="G1077" s="3"/>
      <c r="H1077" s="3"/>
      <c r="I1077" s="3"/>
      <c r="J1077" s="3"/>
      <c r="K1077" s="3"/>
      <c r="L1077" s="3"/>
      <c r="M1077" s="3"/>
      <c r="N1077" s="3"/>
      <c r="O1077" s="3"/>
      <c r="P1077" s="3"/>
      <c r="Q1077" s="3"/>
      <c r="R1077" s="111"/>
      <c r="S1077" s="111"/>
      <c r="T1077" s="111"/>
    </row>
    <row r="1078" spans="3:20" s="4" customFormat="1" x14ac:dyDescent="0.25">
      <c r="C1078" s="3"/>
      <c r="D1078" s="3"/>
      <c r="E1078" s="3"/>
      <c r="F1078" s="3"/>
      <c r="G1078" s="3"/>
      <c r="H1078" s="3"/>
      <c r="I1078" s="3"/>
      <c r="J1078" s="3"/>
      <c r="K1078" s="3"/>
      <c r="L1078" s="3"/>
      <c r="M1078" s="3"/>
      <c r="N1078" s="3"/>
      <c r="O1078" s="3"/>
      <c r="P1078" s="3"/>
      <c r="Q1078" s="3"/>
      <c r="R1078" s="111"/>
      <c r="S1078" s="111"/>
      <c r="T1078" s="111"/>
    </row>
    <row r="1079" spans="3:20" s="4" customFormat="1" x14ac:dyDescent="0.25">
      <c r="C1079" s="3"/>
      <c r="D1079" s="3"/>
      <c r="E1079" s="3"/>
      <c r="F1079" s="3"/>
      <c r="G1079" s="3"/>
      <c r="H1079" s="3"/>
      <c r="I1079" s="3"/>
      <c r="J1079" s="3"/>
      <c r="K1079" s="3"/>
      <c r="L1079" s="3"/>
      <c r="M1079" s="3"/>
      <c r="N1079" s="3"/>
      <c r="O1079" s="3"/>
      <c r="P1079" s="3"/>
      <c r="Q1079" s="3"/>
      <c r="R1079" s="111"/>
      <c r="S1079" s="111"/>
      <c r="T1079" s="111"/>
    </row>
    <row r="1080" spans="3:20" s="4" customFormat="1" x14ac:dyDescent="0.25">
      <c r="C1080" s="3"/>
      <c r="D1080" s="3"/>
      <c r="E1080" s="3"/>
      <c r="F1080" s="3"/>
      <c r="G1080" s="3"/>
      <c r="H1080" s="3"/>
      <c r="I1080" s="3"/>
      <c r="J1080" s="3"/>
      <c r="K1080" s="3"/>
      <c r="L1080" s="3"/>
      <c r="M1080" s="3"/>
      <c r="N1080" s="3"/>
      <c r="O1080" s="3"/>
      <c r="P1080" s="3"/>
      <c r="Q1080" s="3"/>
      <c r="R1080" s="111"/>
      <c r="S1080" s="111"/>
      <c r="T1080" s="111"/>
    </row>
    <row r="1081" spans="3:20" s="4" customFormat="1" x14ac:dyDescent="0.25">
      <c r="C1081" s="3"/>
      <c r="D1081" s="3"/>
      <c r="E1081" s="3"/>
      <c r="F1081" s="3"/>
      <c r="G1081" s="3"/>
      <c r="H1081" s="3"/>
      <c r="I1081" s="3"/>
      <c r="J1081" s="3"/>
      <c r="K1081" s="3"/>
      <c r="L1081" s="3"/>
      <c r="M1081" s="3"/>
      <c r="N1081" s="3"/>
      <c r="O1081" s="3"/>
      <c r="P1081" s="3"/>
      <c r="Q1081" s="3"/>
      <c r="R1081" s="111"/>
      <c r="S1081" s="111"/>
      <c r="T1081" s="111"/>
    </row>
    <row r="1082" spans="3:20" s="4" customFormat="1" x14ac:dyDescent="0.25">
      <c r="C1082" s="3"/>
      <c r="D1082" s="3"/>
      <c r="E1082" s="3"/>
      <c r="F1082" s="3"/>
      <c r="G1082" s="3"/>
      <c r="H1082" s="3"/>
      <c r="I1082" s="3"/>
      <c r="J1082" s="3"/>
      <c r="K1082" s="3"/>
      <c r="L1082" s="3"/>
      <c r="M1082" s="3"/>
      <c r="N1082" s="3"/>
      <c r="O1082" s="3"/>
      <c r="P1082" s="3"/>
      <c r="Q1082" s="3"/>
      <c r="R1082" s="111"/>
      <c r="S1082" s="111"/>
      <c r="T1082" s="111"/>
    </row>
    <row r="1083" spans="3:20" s="4" customFormat="1" x14ac:dyDescent="0.25">
      <c r="C1083" s="3"/>
      <c r="D1083" s="3"/>
      <c r="E1083" s="3"/>
      <c r="F1083" s="3"/>
      <c r="G1083" s="3"/>
      <c r="H1083" s="3"/>
      <c r="I1083" s="3"/>
      <c r="J1083" s="3"/>
      <c r="K1083" s="3"/>
      <c r="L1083" s="3"/>
      <c r="M1083" s="3"/>
      <c r="N1083" s="3"/>
      <c r="O1083" s="3"/>
      <c r="P1083" s="3"/>
      <c r="Q1083" s="3"/>
      <c r="R1083" s="111"/>
      <c r="S1083" s="111"/>
      <c r="T1083" s="111"/>
    </row>
    <row r="1084" spans="3:20" s="4" customFormat="1" x14ac:dyDescent="0.25">
      <c r="C1084" s="3"/>
      <c r="D1084" s="3"/>
      <c r="E1084" s="3"/>
      <c r="F1084" s="3"/>
      <c r="G1084" s="3"/>
      <c r="H1084" s="3"/>
      <c r="I1084" s="3"/>
      <c r="J1084" s="3"/>
      <c r="K1084" s="3"/>
      <c r="L1084" s="3"/>
      <c r="M1084" s="3"/>
      <c r="N1084" s="3"/>
      <c r="O1084" s="3"/>
      <c r="P1084" s="3"/>
      <c r="Q1084" s="3"/>
      <c r="R1084" s="111"/>
      <c r="S1084" s="111"/>
      <c r="T1084" s="111"/>
    </row>
    <row r="1085" spans="3:20" s="4" customFormat="1" x14ac:dyDescent="0.25">
      <c r="C1085" s="3"/>
      <c r="D1085" s="3"/>
      <c r="E1085" s="3"/>
      <c r="F1085" s="3"/>
      <c r="G1085" s="3"/>
      <c r="H1085" s="3"/>
      <c r="I1085" s="3"/>
      <c r="J1085" s="3"/>
      <c r="K1085" s="3"/>
      <c r="L1085" s="3"/>
      <c r="M1085" s="3"/>
      <c r="N1085" s="3"/>
      <c r="O1085" s="3"/>
      <c r="P1085" s="3"/>
      <c r="Q1085" s="3"/>
      <c r="R1085" s="111"/>
      <c r="S1085" s="111"/>
      <c r="T1085" s="111"/>
    </row>
    <row r="1086" spans="3:20" s="4" customFormat="1" x14ac:dyDescent="0.25">
      <c r="C1086" s="3"/>
      <c r="D1086" s="3"/>
      <c r="E1086" s="3"/>
      <c r="F1086" s="3"/>
      <c r="G1086" s="3"/>
      <c r="H1086" s="3"/>
      <c r="I1086" s="3"/>
      <c r="J1086" s="3"/>
      <c r="K1086" s="3"/>
      <c r="L1086" s="3"/>
      <c r="M1086" s="3"/>
      <c r="N1086" s="3"/>
      <c r="O1086" s="3"/>
      <c r="P1086" s="3"/>
      <c r="Q1086" s="3"/>
      <c r="R1086" s="111"/>
      <c r="S1086" s="111"/>
      <c r="T1086" s="111"/>
    </row>
    <row r="1087" spans="3:20" s="4" customFormat="1" x14ac:dyDescent="0.25">
      <c r="C1087" s="3"/>
      <c r="D1087" s="3"/>
      <c r="E1087" s="3"/>
      <c r="F1087" s="3"/>
      <c r="G1087" s="3"/>
      <c r="H1087" s="3"/>
      <c r="I1087" s="3"/>
      <c r="J1087" s="3"/>
      <c r="K1087" s="3"/>
      <c r="L1087" s="3"/>
      <c r="M1087" s="3"/>
      <c r="N1087" s="3"/>
      <c r="O1087" s="3"/>
      <c r="P1087" s="3"/>
      <c r="Q1087" s="3"/>
      <c r="R1087" s="111"/>
      <c r="S1087" s="111"/>
      <c r="T1087" s="111"/>
    </row>
    <row r="1088" spans="3:20" s="4" customFormat="1" x14ac:dyDescent="0.25">
      <c r="C1088" s="3"/>
      <c r="D1088" s="3"/>
      <c r="E1088" s="3"/>
      <c r="F1088" s="3"/>
      <c r="G1088" s="3"/>
      <c r="H1088" s="3"/>
      <c r="I1088" s="3"/>
      <c r="J1088" s="3"/>
      <c r="K1088" s="3"/>
      <c r="L1088" s="3"/>
      <c r="M1088" s="3"/>
      <c r="N1088" s="3"/>
      <c r="O1088" s="3"/>
      <c r="P1088" s="3"/>
      <c r="Q1088" s="3"/>
      <c r="R1088" s="111"/>
      <c r="S1088" s="111"/>
      <c r="T1088" s="111"/>
    </row>
    <row r="1089" spans="3:20" s="4" customFormat="1" x14ac:dyDescent="0.25">
      <c r="C1089" s="3"/>
      <c r="D1089" s="3"/>
      <c r="E1089" s="3"/>
      <c r="F1089" s="3"/>
      <c r="G1089" s="3"/>
      <c r="H1089" s="3"/>
      <c r="I1089" s="3"/>
      <c r="J1089" s="3"/>
      <c r="K1089" s="3"/>
      <c r="L1089" s="3"/>
      <c r="M1089" s="3"/>
      <c r="N1089" s="3"/>
      <c r="O1089" s="3"/>
      <c r="P1089" s="3"/>
      <c r="Q1089" s="3"/>
      <c r="R1089" s="111"/>
      <c r="S1089" s="111"/>
      <c r="T1089" s="111"/>
    </row>
    <row r="1090" spans="3:20" s="4" customFormat="1" x14ac:dyDescent="0.25">
      <c r="C1090" s="3"/>
      <c r="D1090" s="3"/>
      <c r="E1090" s="3"/>
      <c r="F1090" s="3"/>
      <c r="G1090" s="3"/>
      <c r="H1090" s="3"/>
      <c r="I1090" s="3"/>
      <c r="J1090" s="3"/>
      <c r="K1090" s="3"/>
      <c r="L1090" s="3"/>
      <c r="M1090" s="3"/>
      <c r="N1090" s="3"/>
      <c r="O1090" s="3"/>
      <c r="P1090" s="3"/>
      <c r="Q1090" s="3"/>
      <c r="R1090" s="111"/>
      <c r="S1090" s="111"/>
      <c r="T1090" s="111"/>
    </row>
    <row r="1091" spans="3:20" s="4" customFormat="1" x14ac:dyDescent="0.25">
      <c r="C1091" s="3"/>
      <c r="D1091" s="3"/>
      <c r="E1091" s="3"/>
      <c r="F1091" s="3"/>
      <c r="G1091" s="3"/>
      <c r="H1091" s="3"/>
      <c r="I1091" s="3"/>
      <c r="J1091" s="3"/>
      <c r="K1091" s="3"/>
      <c r="L1091" s="3"/>
      <c r="M1091" s="3"/>
      <c r="N1091" s="3"/>
      <c r="O1091" s="3"/>
      <c r="P1091" s="3"/>
      <c r="Q1091" s="3"/>
      <c r="R1091" s="111"/>
      <c r="S1091" s="111"/>
      <c r="T1091" s="111"/>
    </row>
    <row r="1092" spans="3:20" s="4" customFormat="1" x14ac:dyDescent="0.25">
      <c r="C1092" s="3"/>
      <c r="D1092" s="3"/>
      <c r="E1092" s="3"/>
      <c r="F1092" s="3"/>
      <c r="G1092" s="3"/>
      <c r="H1092" s="3"/>
      <c r="I1092" s="3"/>
      <c r="J1092" s="3"/>
      <c r="K1092" s="3"/>
      <c r="L1092" s="3"/>
      <c r="M1092" s="3"/>
      <c r="N1092" s="3"/>
      <c r="O1092" s="3"/>
      <c r="P1092" s="3"/>
      <c r="Q1092" s="3"/>
      <c r="R1092" s="111"/>
      <c r="S1092" s="111"/>
      <c r="T1092" s="111"/>
    </row>
    <row r="1093" spans="3:20" s="4" customFormat="1" x14ac:dyDescent="0.25">
      <c r="C1093" s="3"/>
      <c r="D1093" s="3"/>
      <c r="E1093" s="3"/>
      <c r="F1093" s="3"/>
      <c r="G1093" s="3"/>
      <c r="H1093" s="3"/>
      <c r="I1093" s="3"/>
      <c r="J1093" s="3"/>
      <c r="K1093" s="3"/>
      <c r="L1093" s="3"/>
      <c r="M1093" s="3"/>
      <c r="N1093" s="3"/>
      <c r="O1093" s="3"/>
      <c r="P1093" s="3"/>
      <c r="Q1093" s="3"/>
      <c r="R1093" s="111"/>
      <c r="S1093" s="111"/>
      <c r="T1093" s="111"/>
    </row>
    <row r="1094" spans="3:20" s="4" customFormat="1" x14ac:dyDescent="0.25">
      <c r="C1094" s="3"/>
      <c r="D1094" s="3"/>
      <c r="E1094" s="3"/>
      <c r="F1094" s="3"/>
      <c r="G1094" s="3"/>
      <c r="H1094" s="3"/>
      <c r="I1094" s="3"/>
      <c r="J1094" s="3"/>
      <c r="K1094" s="3"/>
      <c r="L1094" s="3"/>
      <c r="M1094" s="3"/>
      <c r="N1094" s="3"/>
      <c r="O1094" s="3"/>
      <c r="P1094" s="3"/>
      <c r="Q1094" s="3"/>
      <c r="R1094" s="111"/>
      <c r="S1094" s="111"/>
      <c r="T1094" s="111"/>
    </row>
    <row r="1095" spans="3:20" s="4" customFormat="1" x14ac:dyDescent="0.25">
      <c r="C1095" s="3"/>
      <c r="D1095" s="3"/>
      <c r="E1095" s="3"/>
      <c r="F1095" s="3"/>
      <c r="G1095" s="3"/>
      <c r="H1095" s="3"/>
      <c r="I1095" s="3"/>
      <c r="J1095" s="3"/>
      <c r="K1095" s="3"/>
      <c r="L1095" s="3"/>
      <c r="M1095" s="3"/>
      <c r="N1095" s="3"/>
      <c r="O1095" s="3"/>
      <c r="P1095" s="3"/>
      <c r="Q1095" s="3"/>
      <c r="R1095" s="111"/>
      <c r="S1095" s="111"/>
      <c r="T1095" s="111"/>
    </row>
    <row r="1096" spans="3:20" s="4" customFormat="1" x14ac:dyDescent="0.25">
      <c r="C1096" s="3"/>
      <c r="D1096" s="3"/>
      <c r="E1096" s="3"/>
      <c r="F1096" s="3"/>
      <c r="G1096" s="3"/>
      <c r="H1096" s="3"/>
      <c r="I1096" s="3"/>
      <c r="J1096" s="3"/>
      <c r="K1096" s="3"/>
      <c r="L1096" s="3"/>
      <c r="M1096" s="3"/>
      <c r="N1096" s="3"/>
      <c r="O1096" s="3"/>
      <c r="P1096" s="3"/>
      <c r="Q1096" s="3"/>
      <c r="R1096" s="111"/>
      <c r="S1096" s="111"/>
      <c r="T1096" s="111"/>
    </row>
    <row r="1097" spans="3:20" s="4" customFormat="1" x14ac:dyDescent="0.25">
      <c r="C1097" s="3"/>
      <c r="D1097" s="3"/>
      <c r="E1097" s="3"/>
      <c r="F1097" s="3"/>
      <c r="G1097" s="3"/>
      <c r="H1097" s="3"/>
      <c r="I1097" s="3"/>
      <c r="J1097" s="3"/>
      <c r="K1097" s="3"/>
      <c r="L1097" s="3"/>
      <c r="M1097" s="3"/>
      <c r="N1097" s="3"/>
      <c r="O1097" s="3"/>
      <c r="P1097" s="3"/>
      <c r="Q1097" s="3"/>
      <c r="R1097" s="111"/>
      <c r="S1097" s="111"/>
      <c r="T1097" s="111"/>
    </row>
    <row r="1098" spans="3:20" s="4" customFormat="1" x14ac:dyDescent="0.25">
      <c r="C1098" s="3"/>
      <c r="D1098" s="3"/>
      <c r="E1098" s="3"/>
      <c r="F1098" s="3"/>
      <c r="G1098" s="3"/>
      <c r="H1098" s="3"/>
      <c r="I1098" s="3"/>
      <c r="J1098" s="3"/>
      <c r="K1098" s="3"/>
      <c r="L1098" s="3"/>
      <c r="M1098" s="3"/>
      <c r="N1098" s="3"/>
      <c r="O1098" s="3"/>
      <c r="P1098" s="3"/>
      <c r="Q1098" s="3"/>
      <c r="R1098" s="111"/>
      <c r="S1098" s="111"/>
      <c r="T1098" s="111"/>
    </row>
    <row r="1099" spans="3:20" s="4" customFormat="1" x14ac:dyDescent="0.25">
      <c r="C1099" s="3"/>
      <c r="D1099" s="3"/>
      <c r="E1099" s="3"/>
      <c r="F1099" s="3"/>
      <c r="G1099" s="3"/>
      <c r="H1099" s="3"/>
      <c r="I1099" s="3"/>
      <c r="J1099" s="3"/>
      <c r="K1099" s="3"/>
      <c r="L1099" s="3"/>
      <c r="M1099" s="3"/>
      <c r="N1099" s="3"/>
      <c r="O1099" s="3"/>
      <c r="P1099" s="3"/>
      <c r="Q1099" s="3"/>
      <c r="R1099" s="111"/>
      <c r="S1099" s="111"/>
      <c r="T1099" s="111"/>
    </row>
    <row r="1100" spans="3:20" s="4" customFormat="1" x14ac:dyDescent="0.25">
      <c r="C1100" s="3"/>
      <c r="D1100" s="3"/>
      <c r="E1100" s="3"/>
      <c r="F1100" s="3"/>
      <c r="G1100" s="3"/>
      <c r="H1100" s="3"/>
      <c r="I1100" s="3"/>
      <c r="J1100" s="3"/>
      <c r="K1100" s="3"/>
      <c r="L1100" s="3"/>
      <c r="M1100" s="3"/>
      <c r="N1100" s="3"/>
      <c r="O1100" s="3"/>
      <c r="P1100" s="3"/>
      <c r="Q1100" s="3"/>
      <c r="R1100" s="111"/>
      <c r="S1100" s="111"/>
      <c r="T1100" s="111"/>
    </row>
    <row r="1101" spans="3:20" s="4" customFormat="1" x14ac:dyDescent="0.25">
      <c r="C1101" s="3"/>
      <c r="D1101" s="3"/>
      <c r="E1101" s="3"/>
      <c r="F1101" s="3"/>
      <c r="G1101" s="3"/>
      <c r="H1101" s="3"/>
      <c r="I1101" s="3"/>
      <c r="J1101" s="3"/>
      <c r="K1101" s="3"/>
      <c r="L1101" s="3"/>
      <c r="M1101" s="3"/>
      <c r="N1101" s="3"/>
      <c r="O1101" s="3"/>
      <c r="P1101" s="3"/>
      <c r="Q1101" s="3"/>
      <c r="R1101" s="111"/>
      <c r="S1101" s="111"/>
      <c r="T1101" s="111"/>
    </row>
    <row r="1102" spans="3:20" s="4" customFormat="1" x14ac:dyDescent="0.25">
      <c r="C1102" s="3"/>
      <c r="D1102" s="3"/>
      <c r="E1102" s="3"/>
      <c r="F1102" s="3"/>
      <c r="G1102" s="3"/>
      <c r="H1102" s="3"/>
      <c r="I1102" s="3"/>
      <c r="J1102" s="3"/>
      <c r="K1102" s="3"/>
      <c r="L1102" s="3"/>
      <c r="M1102" s="3"/>
      <c r="N1102" s="3"/>
      <c r="O1102" s="3"/>
      <c r="P1102" s="3"/>
      <c r="Q1102" s="3"/>
      <c r="R1102" s="111"/>
      <c r="S1102" s="111"/>
      <c r="T1102" s="111"/>
    </row>
    <row r="1103" spans="3:20" s="4" customFormat="1" x14ac:dyDescent="0.25">
      <c r="C1103" s="3"/>
      <c r="D1103" s="3"/>
      <c r="E1103" s="3"/>
      <c r="F1103" s="3"/>
      <c r="G1103" s="3"/>
      <c r="H1103" s="3"/>
      <c r="I1103" s="3"/>
      <c r="J1103" s="3"/>
      <c r="K1103" s="3"/>
      <c r="L1103" s="3"/>
      <c r="M1103" s="3"/>
      <c r="N1103" s="3"/>
      <c r="O1103" s="3"/>
      <c r="P1103" s="3"/>
      <c r="Q1103" s="3"/>
      <c r="R1103" s="111"/>
      <c r="S1103" s="111"/>
      <c r="T1103" s="111"/>
    </row>
    <row r="1104" spans="3:20" s="4" customFormat="1" x14ac:dyDescent="0.25">
      <c r="C1104" s="3"/>
      <c r="D1104" s="3"/>
      <c r="E1104" s="3"/>
      <c r="F1104" s="3"/>
      <c r="G1104" s="3"/>
      <c r="H1104" s="3"/>
      <c r="I1104" s="3"/>
      <c r="J1104" s="3"/>
      <c r="K1104" s="3"/>
      <c r="L1104" s="3"/>
      <c r="M1104" s="3"/>
      <c r="N1104" s="3"/>
      <c r="O1104" s="3"/>
      <c r="P1104" s="3"/>
      <c r="Q1104" s="3"/>
      <c r="R1104" s="111"/>
      <c r="S1104" s="111"/>
      <c r="T1104" s="111"/>
    </row>
    <row r="1105" spans="3:20" s="4" customFormat="1" x14ac:dyDescent="0.25">
      <c r="C1105" s="3"/>
      <c r="D1105" s="3"/>
      <c r="E1105" s="3"/>
      <c r="F1105" s="3"/>
      <c r="G1105" s="3"/>
      <c r="H1105" s="3"/>
      <c r="I1105" s="3"/>
      <c r="J1105" s="3"/>
      <c r="K1105" s="3"/>
      <c r="L1105" s="3"/>
      <c r="M1105" s="3"/>
      <c r="N1105" s="3"/>
      <c r="O1105" s="3"/>
      <c r="P1105" s="3"/>
      <c r="Q1105" s="3"/>
      <c r="R1105" s="111"/>
      <c r="S1105" s="111"/>
      <c r="T1105" s="111"/>
    </row>
    <row r="1106" spans="3:20" s="4" customFormat="1" x14ac:dyDescent="0.25">
      <c r="C1106" s="3"/>
      <c r="D1106" s="3"/>
      <c r="E1106" s="3"/>
      <c r="F1106" s="3"/>
      <c r="G1106" s="3"/>
      <c r="H1106" s="3"/>
      <c r="I1106" s="3"/>
      <c r="J1106" s="3"/>
      <c r="K1106" s="3"/>
      <c r="L1106" s="3"/>
      <c r="M1106" s="3"/>
      <c r="N1106" s="3"/>
      <c r="O1106" s="3"/>
      <c r="P1106" s="3"/>
      <c r="Q1106" s="3"/>
      <c r="R1106" s="111"/>
      <c r="S1106" s="111"/>
      <c r="T1106" s="111"/>
    </row>
    <row r="1107" spans="3:20" s="4" customFormat="1" x14ac:dyDescent="0.25">
      <c r="C1107" s="3"/>
      <c r="D1107" s="3"/>
      <c r="E1107" s="3"/>
      <c r="F1107" s="3"/>
      <c r="G1107" s="3"/>
      <c r="H1107" s="3"/>
      <c r="I1107" s="3"/>
      <c r="J1107" s="3"/>
      <c r="K1107" s="3"/>
      <c r="L1107" s="3"/>
      <c r="M1107" s="3"/>
      <c r="N1107" s="3"/>
      <c r="O1107" s="3"/>
      <c r="P1107" s="3"/>
      <c r="Q1107" s="3"/>
      <c r="R1107" s="111"/>
      <c r="S1107" s="111"/>
      <c r="T1107" s="111"/>
    </row>
    <row r="1108" spans="3:20" s="4" customFormat="1" x14ac:dyDescent="0.25">
      <c r="C1108" s="3"/>
      <c r="D1108" s="3"/>
      <c r="E1108" s="3"/>
      <c r="F1108" s="3"/>
      <c r="G1108" s="3"/>
      <c r="H1108" s="3"/>
      <c r="I1108" s="3"/>
      <c r="J1108" s="3"/>
      <c r="K1108" s="3"/>
      <c r="L1108" s="3"/>
      <c r="M1108" s="3"/>
      <c r="N1108" s="3"/>
      <c r="O1108" s="3"/>
      <c r="P1108" s="3"/>
      <c r="Q1108" s="3"/>
      <c r="R1108" s="111"/>
      <c r="S1108" s="111"/>
      <c r="T1108" s="111"/>
    </row>
    <row r="1109" spans="3:20" s="4" customFormat="1" x14ac:dyDescent="0.25">
      <c r="C1109" s="3"/>
      <c r="D1109" s="3"/>
      <c r="E1109" s="3"/>
      <c r="F1109" s="3"/>
      <c r="G1109" s="3"/>
      <c r="H1109" s="3"/>
      <c r="I1109" s="3"/>
      <c r="J1109" s="3"/>
      <c r="K1109" s="3"/>
      <c r="L1109" s="3"/>
      <c r="M1109" s="3"/>
      <c r="N1109" s="3"/>
      <c r="O1109" s="3"/>
      <c r="P1109" s="3"/>
      <c r="Q1109" s="3"/>
      <c r="R1109" s="111"/>
      <c r="S1109" s="111"/>
      <c r="T1109" s="111"/>
    </row>
    <row r="1110" spans="3:20" s="4" customFormat="1" x14ac:dyDescent="0.25">
      <c r="C1110" s="3"/>
      <c r="D1110" s="3"/>
      <c r="E1110" s="3"/>
      <c r="F1110" s="3"/>
      <c r="G1110" s="3"/>
      <c r="H1110" s="3"/>
      <c r="I1110" s="3"/>
      <c r="J1110" s="3"/>
      <c r="K1110" s="3"/>
      <c r="L1110" s="3"/>
      <c r="M1110" s="3"/>
      <c r="N1110" s="3"/>
      <c r="O1110" s="3"/>
      <c r="P1110" s="3"/>
      <c r="Q1110" s="3"/>
      <c r="R1110" s="111"/>
      <c r="S1110" s="111"/>
      <c r="T1110" s="111"/>
    </row>
    <row r="1111" spans="3:20" s="4" customFormat="1" x14ac:dyDescent="0.25">
      <c r="C1111" s="3"/>
      <c r="D1111" s="3"/>
      <c r="E1111" s="3"/>
      <c r="F1111" s="3"/>
      <c r="G1111" s="3"/>
      <c r="H1111" s="3"/>
      <c r="I1111" s="3"/>
      <c r="J1111" s="3"/>
      <c r="K1111" s="3"/>
      <c r="L1111" s="3"/>
      <c r="M1111" s="3"/>
      <c r="N1111" s="3"/>
      <c r="O1111" s="3"/>
      <c r="P1111" s="3"/>
      <c r="Q1111" s="3"/>
      <c r="R1111" s="111"/>
      <c r="S1111" s="111"/>
      <c r="T1111" s="111"/>
    </row>
    <row r="1112" spans="3:20" s="4" customFormat="1" x14ac:dyDescent="0.25">
      <c r="C1112" s="3"/>
      <c r="D1112" s="3"/>
      <c r="E1112" s="3"/>
      <c r="F1112" s="3"/>
      <c r="G1112" s="3"/>
      <c r="H1112" s="3"/>
      <c r="I1112" s="3"/>
      <c r="J1112" s="3"/>
      <c r="K1112" s="3"/>
      <c r="L1112" s="3"/>
      <c r="M1112" s="3"/>
      <c r="N1112" s="3"/>
      <c r="O1112" s="3"/>
      <c r="P1112" s="3"/>
      <c r="Q1112" s="3"/>
      <c r="R1112" s="111"/>
      <c r="S1112" s="111"/>
      <c r="T1112" s="111"/>
    </row>
    <row r="1113" spans="3:20" s="4" customFormat="1" x14ac:dyDescent="0.25">
      <c r="C1113" s="3"/>
      <c r="D1113" s="3"/>
      <c r="E1113" s="3"/>
      <c r="F1113" s="3"/>
      <c r="G1113" s="3"/>
      <c r="H1113" s="3"/>
      <c r="I1113" s="3"/>
      <c r="J1113" s="3"/>
      <c r="K1113" s="3"/>
      <c r="L1113" s="3"/>
      <c r="M1113" s="3"/>
      <c r="N1113" s="3"/>
      <c r="O1113" s="3"/>
      <c r="P1113" s="3"/>
      <c r="Q1113" s="3"/>
      <c r="R1113" s="111"/>
      <c r="S1113" s="111"/>
      <c r="T1113" s="111"/>
    </row>
    <row r="1114" spans="3:20" s="4" customFormat="1" x14ac:dyDescent="0.25">
      <c r="C1114" s="3"/>
      <c r="D1114" s="3"/>
      <c r="E1114" s="3"/>
      <c r="F1114" s="3"/>
      <c r="G1114" s="3"/>
      <c r="H1114" s="3"/>
      <c r="I1114" s="3"/>
      <c r="J1114" s="3"/>
      <c r="K1114" s="3"/>
      <c r="L1114" s="3"/>
      <c r="M1114" s="3"/>
      <c r="N1114" s="3"/>
      <c r="O1114" s="3"/>
      <c r="P1114" s="3"/>
      <c r="Q1114" s="3"/>
      <c r="R1114" s="111"/>
      <c r="S1114" s="111"/>
      <c r="T1114" s="111"/>
    </row>
    <row r="1115" spans="3:20" s="4" customFormat="1" x14ac:dyDescent="0.25">
      <c r="C1115" s="3"/>
      <c r="D1115" s="3"/>
      <c r="E1115" s="3"/>
      <c r="F1115" s="3"/>
      <c r="G1115" s="3"/>
      <c r="H1115" s="3"/>
      <c r="I1115" s="3"/>
      <c r="J1115" s="3"/>
      <c r="K1115" s="3"/>
      <c r="L1115" s="3"/>
      <c r="M1115" s="3"/>
      <c r="N1115" s="3"/>
      <c r="O1115" s="3"/>
      <c r="P1115" s="3"/>
      <c r="Q1115" s="3"/>
      <c r="R1115" s="111"/>
      <c r="S1115" s="111"/>
      <c r="T1115" s="111"/>
    </row>
    <row r="1116" spans="3:20" s="4" customFormat="1" x14ac:dyDescent="0.25">
      <c r="C1116" s="3"/>
      <c r="D1116" s="3"/>
      <c r="E1116" s="3"/>
      <c r="F1116" s="3"/>
      <c r="G1116" s="3"/>
      <c r="H1116" s="3"/>
      <c r="I1116" s="3"/>
      <c r="J1116" s="3"/>
      <c r="K1116" s="3"/>
      <c r="L1116" s="3"/>
      <c r="M1116" s="3"/>
      <c r="N1116" s="3"/>
      <c r="O1116" s="3"/>
      <c r="P1116" s="3"/>
      <c r="Q1116" s="3"/>
      <c r="R1116" s="111"/>
      <c r="S1116" s="111"/>
      <c r="T1116" s="111"/>
    </row>
    <row r="1117" spans="3:20" s="4" customFormat="1" x14ac:dyDescent="0.25">
      <c r="C1117" s="3"/>
      <c r="D1117" s="3"/>
      <c r="E1117" s="3"/>
      <c r="F1117" s="3"/>
      <c r="G1117" s="3"/>
      <c r="H1117" s="3"/>
      <c r="I1117" s="3"/>
      <c r="J1117" s="3"/>
      <c r="K1117" s="3"/>
      <c r="L1117" s="3"/>
      <c r="M1117" s="3"/>
      <c r="N1117" s="3"/>
      <c r="O1117" s="3"/>
      <c r="P1117" s="3"/>
      <c r="Q1117" s="3"/>
      <c r="R1117" s="111"/>
      <c r="S1117" s="111"/>
      <c r="T1117" s="111"/>
    </row>
    <row r="1118" spans="3:20" s="4" customFormat="1" x14ac:dyDescent="0.25">
      <c r="C1118" s="3"/>
      <c r="D1118" s="3"/>
      <c r="E1118" s="3"/>
      <c r="F1118" s="3"/>
      <c r="G1118" s="3"/>
      <c r="H1118" s="3"/>
      <c r="I1118" s="3"/>
      <c r="J1118" s="3"/>
      <c r="K1118" s="3"/>
      <c r="L1118" s="3"/>
      <c r="M1118" s="3"/>
      <c r="N1118" s="3"/>
      <c r="O1118" s="3"/>
      <c r="P1118" s="3"/>
      <c r="Q1118" s="3"/>
      <c r="R1118" s="111"/>
      <c r="S1118" s="111"/>
      <c r="T1118" s="111"/>
    </row>
    <row r="1119" spans="3:20" s="4" customFormat="1" x14ac:dyDescent="0.25">
      <c r="C1119" s="3"/>
      <c r="D1119" s="3"/>
      <c r="E1119" s="3"/>
      <c r="F1119" s="3"/>
      <c r="G1119" s="3"/>
      <c r="H1119" s="3"/>
      <c r="I1119" s="3"/>
      <c r="J1119" s="3"/>
      <c r="K1119" s="3"/>
      <c r="L1119" s="3"/>
      <c r="M1119" s="3"/>
      <c r="N1119" s="3"/>
      <c r="O1119" s="3"/>
      <c r="P1119" s="3"/>
      <c r="Q1119" s="3"/>
      <c r="R1119" s="111"/>
      <c r="S1119" s="111"/>
      <c r="T1119" s="111"/>
    </row>
    <row r="1120" spans="3:20" s="4" customFormat="1" x14ac:dyDescent="0.25">
      <c r="C1120" s="3"/>
      <c r="D1120" s="3"/>
      <c r="E1120" s="3"/>
      <c r="F1120" s="3"/>
      <c r="G1120" s="3"/>
      <c r="H1120" s="3"/>
      <c r="I1120" s="3"/>
      <c r="J1120" s="3"/>
      <c r="K1120" s="3"/>
      <c r="L1120" s="3"/>
      <c r="M1120" s="3"/>
      <c r="N1120" s="3"/>
      <c r="O1120" s="3"/>
      <c r="P1120" s="3"/>
      <c r="Q1120" s="3"/>
      <c r="R1120" s="111"/>
      <c r="S1120" s="111"/>
      <c r="T1120" s="111"/>
    </row>
    <row r="1121" spans="3:20" s="4" customFormat="1" x14ac:dyDescent="0.25">
      <c r="C1121" s="3"/>
      <c r="D1121" s="3"/>
      <c r="E1121" s="3"/>
      <c r="F1121" s="3"/>
      <c r="G1121" s="3"/>
      <c r="H1121" s="3"/>
      <c r="I1121" s="3"/>
      <c r="J1121" s="3"/>
      <c r="K1121" s="3"/>
      <c r="L1121" s="3"/>
      <c r="M1121" s="3"/>
      <c r="N1121" s="3"/>
      <c r="O1121" s="3"/>
      <c r="P1121" s="3"/>
      <c r="Q1121" s="3"/>
      <c r="R1121" s="111"/>
      <c r="S1121" s="111"/>
      <c r="T1121" s="111"/>
    </row>
    <row r="1122" spans="3:20" s="4" customFormat="1" x14ac:dyDescent="0.25">
      <c r="C1122" s="3"/>
      <c r="D1122" s="3"/>
      <c r="E1122" s="3"/>
      <c r="F1122" s="3"/>
      <c r="G1122" s="3"/>
      <c r="H1122" s="3"/>
      <c r="I1122" s="3"/>
      <c r="J1122" s="3"/>
      <c r="K1122" s="3"/>
      <c r="L1122" s="3"/>
      <c r="M1122" s="3"/>
      <c r="N1122" s="3"/>
      <c r="O1122" s="3"/>
      <c r="P1122" s="3"/>
      <c r="Q1122" s="3"/>
      <c r="R1122" s="111"/>
      <c r="S1122" s="111"/>
      <c r="T1122" s="111"/>
    </row>
    <row r="1123" spans="3:20" s="4" customFormat="1" x14ac:dyDescent="0.25">
      <c r="C1123" s="3"/>
      <c r="D1123" s="3"/>
      <c r="E1123" s="3"/>
      <c r="F1123" s="3"/>
      <c r="G1123" s="3"/>
      <c r="H1123" s="3"/>
      <c r="I1123" s="3"/>
      <c r="J1123" s="3"/>
      <c r="K1123" s="3"/>
      <c r="L1123" s="3"/>
      <c r="M1123" s="3"/>
      <c r="N1123" s="3"/>
      <c r="O1123" s="3"/>
      <c r="P1123" s="3"/>
      <c r="Q1123" s="3"/>
      <c r="R1123" s="111"/>
      <c r="S1123" s="111"/>
      <c r="T1123" s="111"/>
    </row>
    <row r="1124" spans="3:20" s="4" customFormat="1" x14ac:dyDescent="0.25">
      <c r="C1124" s="3"/>
      <c r="D1124" s="3"/>
      <c r="E1124" s="3"/>
      <c r="F1124" s="3"/>
      <c r="G1124" s="3"/>
      <c r="H1124" s="3"/>
      <c r="I1124" s="3"/>
      <c r="J1124" s="3"/>
      <c r="K1124" s="3"/>
      <c r="L1124" s="3"/>
      <c r="M1124" s="3"/>
      <c r="N1124" s="3"/>
      <c r="O1124" s="3"/>
      <c r="P1124" s="3"/>
      <c r="Q1124" s="3"/>
      <c r="R1124" s="111"/>
      <c r="S1124" s="111"/>
      <c r="T1124" s="111"/>
    </row>
    <row r="1125" spans="3:20" s="4" customFormat="1" x14ac:dyDescent="0.25">
      <c r="C1125" s="3"/>
      <c r="D1125" s="3"/>
      <c r="E1125" s="3"/>
      <c r="F1125" s="3"/>
      <c r="G1125" s="3"/>
      <c r="H1125" s="3"/>
      <c r="I1125" s="3"/>
      <c r="J1125" s="3"/>
      <c r="K1125" s="3"/>
      <c r="L1125" s="3"/>
      <c r="M1125" s="3"/>
      <c r="N1125" s="3"/>
      <c r="O1125" s="3"/>
      <c r="P1125" s="3"/>
      <c r="Q1125" s="3"/>
      <c r="R1125" s="111"/>
      <c r="S1125" s="111"/>
      <c r="T1125" s="111"/>
    </row>
    <row r="1126" spans="3:20" s="4" customFormat="1" x14ac:dyDescent="0.25">
      <c r="C1126" s="3"/>
      <c r="D1126" s="3"/>
      <c r="E1126" s="3"/>
      <c r="F1126" s="3"/>
      <c r="G1126" s="3"/>
      <c r="H1126" s="3"/>
      <c r="I1126" s="3"/>
      <c r="J1126" s="3"/>
      <c r="K1126" s="3"/>
      <c r="L1126" s="3"/>
      <c r="M1126" s="3"/>
      <c r="N1126" s="3"/>
      <c r="O1126" s="3"/>
      <c r="P1126" s="3"/>
      <c r="Q1126" s="3"/>
      <c r="R1126" s="111"/>
      <c r="S1126" s="111"/>
      <c r="T1126" s="111"/>
    </row>
    <row r="1127" spans="3:20" s="4" customFormat="1" x14ac:dyDescent="0.25">
      <c r="C1127" s="3"/>
      <c r="D1127" s="3"/>
      <c r="E1127" s="3"/>
      <c r="F1127" s="3"/>
      <c r="G1127" s="3"/>
      <c r="H1127" s="3"/>
      <c r="I1127" s="3"/>
      <c r="J1127" s="3"/>
      <c r="K1127" s="3"/>
      <c r="L1127" s="3"/>
      <c r="M1127" s="3"/>
      <c r="N1127" s="3"/>
      <c r="O1127" s="3"/>
      <c r="P1127" s="3"/>
      <c r="Q1127" s="3"/>
      <c r="R1127" s="111"/>
      <c r="S1127" s="111"/>
      <c r="T1127" s="111"/>
    </row>
    <row r="1128" spans="3:20" s="4" customFormat="1" x14ac:dyDescent="0.25">
      <c r="C1128" s="3"/>
      <c r="D1128" s="3"/>
      <c r="E1128" s="3"/>
      <c r="F1128" s="3"/>
      <c r="G1128" s="3"/>
      <c r="H1128" s="3"/>
      <c r="I1128" s="3"/>
      <c r="J1128" s="3"/>
      <c r="K1128" s="3"/>
      <c r="L1128" s="3"/>
      <c r="M1128" s="3"/>
      <c r="N1128" s="3"/>
      <c r="O1128" s="3"/>
      <c r="P1128" s="3"/>
      <c r="Q1128" s="3"/>
      <c r="R1128" s="111"/>
      <c r="S1128" s="111"/>
      <c r="T1128" s="111"/>
    </row>
    <row r="1129" spans="3:20" s="4" customFormat="1" x14ac:dyDescent="0.25">
      <c r="C1129" s="3"/>
      <c r="D1129" s="3"/>
      <c r="E1129" s="3"/>
      <c r="F1129" s="3"/>
      <c r="G1129" s="3"/>
      <c r="H1129" s="3"/>
      <c r="I1129" s="3"/>
      <c r="J1129" s="3"/>
      <c r="K1129" s="3"/>
      <c r="L1129" s="3"/>
      <c r="M1129" s="3"/>
      <c r="N1129" s="3"/>
      <c r="O1129" s="3"/>
      <c r="P1129" s="3"/>
      <c r="Q1129" s="3"/>
      <c r="R1129" s="111"/>
      <c r="S1129" s="111"/>
      <c r="T1129" s="111"/>
    </row>
    <row r="1130" spans="3:20" s="4" customFormat="1" x14ac:dyDescent="0.25">
      <c r="C1130" s="3"/>
      <c r="D1130" s="3"/>
      <c r="E1130" s="3"/>
      <c r="F1130" s="3"/>
      <c r="G1130" s="3"/>
      <c r="H1130" s="3"/>
      <c r="I1130" s="3"/>
      <c r="J1130" s="3"/>
      <c r="K1130" s="3"/>
      <c r="L1130" s="3"/>
      <c r="M1130" s="3"/>
      <c r="N1130" s="3"/>
      <c r="O1130" s="3"/>
      <c r="P1130" s="3"/>
      <c r="Q1130" s="3"/>
      <c r="R1130" s="111"/>
      <c r="S1130" s="111"/>
      <c r="T1130" s="111"/>
    </row>
    <row r="1131" spans="3:20" s="4" customFormat="1" x14ac:dyDescent="0.25">
      <c r="C1131" s="3"/>
      <c r="D1131" s="3"/>
      <c r="E1131" s="3"/>
      <c r="F1131" s="3"/>
      <c r="G1131" s="3"/>
      <c r="H1131" s="3"/>
      <c r="I1131" s="3"/>
      <c r="J1131" s="3"/>
      <c r="K1131" s="3"/>
      <c r="L1131" s="3"/>
      <c r="M1131" s="3"/>
      <c r="N1131" s="3"/>
      <c r="O1131" s="3"/>
      <c r="P1131" s="3"/>
      <c r="Q1131" s="3"/>
      <c r="R1131" s="111"/>
      <c r="S1131" s="111"/>
      <c r="T1131" s="111"/>
    </row>
    <row r="1132" spans="3:20" s="4" customFormat="1" x14ac:dyDescent="0.25">
      <c r="C1132" s="3"/>
      <c r="D1132" s="3"/>
      <c r="E1132" s="3"/>
      <c r="F1132" s="3"/>
      <c r="G1132" s="3"/>
      <c r="H1132" s="3"/>
      <c r="I1132" s="3"/>
      <c r="J1132" s="3"/>
      <c r="K1132" s="3"/>
      <c r="L1132" s="3"/>
      <c r="M1132" s="3"/>
      <c r="N1132" s="3"/>
      <c r="O1132" s="3"/>
      <c r="P1132" s="3"/>
      <c r="Q1132" s="3"/>
      <c r="R1132" s="111"/>
      <c r="S1132" s="111"/>
      <c r="T1132" s="111"/>
    </row>
    <row r="1133" spans="3:20" s="4" customFormat="1" x14ac:dyDescent="0.25">
      <c r="C1133" s="3"/>
      <c r="D1133" s="3"/>
      <c r="E1133" s="3"/>
      <c r="F1133" s="3"/>
      <c r="G1133" s="3"/>
      <c r="H1133" s="3"/>
      <c r="I1133" s="3"/>
      <c r="J1133" s="3"/>
      <c r="K1133" s="3"/>
      <c r="L1133" s="3"/>
      <c r="M1133" s="3"/>
      <c r="N1133" s="3"/>
      <c r="O1133" s="3"/>
      <c r="P1133" s="3"/>
      <c r="Q1133" s="3"/>
      <c r="R1133" s="111"/>
      <c r="S1133" s="111"/>
      <c r="T1133" s="111"/>
    </row>
    <row r="1134" spans="3:20" s="4" customFormat="1" x14ac:dyDescent="0.25">
      <c r="C1134" s="3"/>
      <c r="D1134" s="3"/>
      <c r="E1134" s="3"/>
      <c r="F1134" s="3"/>
      <c r="G1134" s="3"/>
      <c r="H1134" s="3"/>
      <c r="I1134" s="3"/>
      <c r="J1134" s="3"/>
      <c r="K1134" s="3"/>
      <c r="L1134" s="3"/>
      <c r="M1134" s="3"/>
      <c r="N1134" s="3"/>
      <c r="O1134" s="3"/>
      <c r="P1134" s="3"/>
      <c r="Q1134" s="3"/>
      <c r="R1134" s="111"/>
      <c r="S1134" s="111"/>
      <c r="T1134" s="111"/>
    </row>
    <row r="1135" spans="3:20" s="4" customFormat="1" x14ac:dyDescent="0.25">
      <c r="C1135" s="3"/>
      <c r="D1135" s="3"/>
      <c r="E1135" s="3"/>
      <c r="F1135" s="3"/>
      <c r="G1135" s="3"/>
      <c r="H1135" s="3"/>
      <c r="I1135" s="3"/>
      <c r="J1135" s="3"/>
      <c r="K1135" s="3"/>
      <c r="L1135" s="3"/>
      <c r="M1135" s="3"/>
      <c r="N1135" s="3"/>
      <c r="O1135" s="3"/>
      <c r="P1135" s="3"/>
      <c r="Q1135" s="3"/>
      <c r="R1135" s="111"/>
      <c r="S1135" s="111"/>
      <c r="T1135" s="111"/>
    </row>
    <row r="1136" spans="3:20" s="4" customFormat="1" x14ac:dyDescent="0.25">
      <c r="C1136" s="3"/>
      <c r="D1136" s="3"/>
      <c r="E1136" s="3"/>
      <c r="F1136" s="3"/>
      <c r="G1136" s="3"/>
      <c r="H1136" s="3"/>
      <c r="I1136" s="3"/>
      <c r="J1136" s="3"/>
      <c r="K1136" s="3"/>
      <c r="L1136" s="3"/>
      <c r="M1136" s="3"/>
      <c r="N1136" s="3"/>
      <c r="O1136" s="3"/>
      <c r="P1136" s="3"/>
      <c r="Q1136" s="3"/>
      <c r="R1136" s="111"/>
      <c r="S1136" s="111"/>
      <c r="T1136" s="111"/>
    </row>
    <row r="1137" spans="3:20" s="4" customFormat="1" x14ac:dyDescent="0.25">
      <c r="C1137" s="3"/>
      <c r="D1137" s="3"/>
      <c r="E1137" s="3"/>
      <c r="F1137" s="3"/>
      <c r="G1137" s="3"/>
      <c r="H1137" s="3"/>
      <c r="I1137" s="3"/>
      <c r="J1137" s="3"/>
      <c r="K1137" s="3"/>
      <c r="L1137" s="3"/>
      <c r="M1137" s="3"/>
      <c r="N1137" s="3"/>
      <c r="O1137" s="3"/>
      <c r="P1137" s="3"/>
      <c r="Q1137" s="3"/>
      <c r="R1137" s="111"/>
      <c r="S1137" s="111"/>
      <c r="T1137" s="111"/>
    </row>
    <row r="1138" spans="3:20" s="4" customFormat="1" x14ac:dyDescent="0.25">
      <c r="C1138" s="3"/>
      <c r="D1138" s="3"/>
      <c r="E1138" s="3"/>
      <c r="F1138" s="3"/>
      <c r="G1138" s="3"/>
      <c r="H1138" s="3"/>
      <c r="I1138" s="3"/>
      <c r="J1138" s="3"/>
      <c r="K1138" s="3"/>
      <c r="L1138" s="3"/>
      <c r="M1138" s="3"/>
      <c r="N1138" s="3"/>
      <c r="O1138" s="3"/>
      <c r="P1138" s="3"/>
      <c r="Q1138" s="3"/>
      <c r="R1138" s="111"/>
      <c r="S1138" s="111"/>
      <c r="T1138" s="111"/>
    </row>
    <row r="1139" spans="3:20" s="4" customFormat="1" x14ac:dyDescent="0.25">
      <c r="C1139" s="3"/>
      <c r="D1139" s="3"/>
      <c r="E1139" s="3"/>
      <c r="F1139" s="3"/>
      <c r="G1139" s="3"/>
      <c r="H1139" s="3"/>
      <c r="I1139" s="3"/>
      <c r="J1139" s="3"/>
      <c r="K1139" s="3"/>
      <c r="L1139" s="3"/>
      <c r="M1139" s="3"/>
      <c r="N1139" s="3"/>
      <c r="O1139" s="3"/>
      <c r="P1139" s="3"/>
      <c r="Q1139" s="3"/>
      <c r="R1139" s="111"/>
      <c r="S1139" s="111"/>
      <c r="T1139" s="111"/>
    </row>
    <row r="1140" spans="3:20" s="4" customFormat="1" x14ac:dyDescent="0.25">
      <c r="C1140" s="3"/>
      <c r="D1140" s="3"/>
      <c r="E1140" s="3"/>
      <c r="F1140" s="3"/>
      <c r="G1140" s="3"/>
      <c r="H1140" s="3"/>
      <c r="I1140" s="3"/>
      <c r="J1140" s="3"/>
      <c r="K1140" s="3"/>
      <c r="L1140" s="3"/>
      <c r="M1140" s="3"/>
      <c r="N1140" s="3"/>
      <c r="O1140" s="3"/>
      <c r="P1140" s="3"/>
      <c r="Q1140" s="3"/>
      <c r="R1140" s="111"/>
      <c r="S1140" s="111"/>
      <c r="T1140" s="111"/>
    </row>
    <row r="1141" spans="3:20" s="4" customFormat="1" x14ac:dyDescent="0.25">
      <c r="C1141" s="3"/>
      <c r="D1141" s="3"/>
      <c r="E1141" s="3"/>
      <c r="F1141" s="3"/>
      <c r="G1141" s="3"/>
      <c r="H1141" s="3"/>
      <c r="I1141" s="3"/>
      <c r="J1141" s="3"/>
      <c r="K1141" s="3"/>
      <c r="L1141" s="3"/>
      <c r="M1141" s="3"/>
      <c r="N1141" s="3"/>
      <c r="O1141" s="3"/>
      <c r="P1141" s="3"/>
      <c r="Q1141" s="3"/>
      <c r="R1141" s="111"/>
      <c r="S1141" s="111"/>
      <c r="T1141" s="111"/>
    </row>
    <row r="1142" spans="3:20" s="4" customFormat="1" x14ac:dyDescent="0.25">
      <c r="C1142" s="3"/>
      <c r="D1142" s="3"/>
      <c r="E1142" s="3"/>
      <c r="F1142" s="3"/>
      <c r="G1142" s="3"/>
      <c r="H1142" s="3"/>
      <c r="I1142" s="3"/>
      <c r="J1142" s="3"/>
      <c r="K1142" s="3"/>
      <c r="L1142" s="3"/>
      <c r="M1142" s="3"/>
      <c r="N1142" s="3"/>
      <c r="O1142" s="3"/>
      <c r="P1142" s="3"/>
      <c r="Q1142" s="3"/>
      <c r="R1142" s="111"/>
      <c r="S1142" s="111"/>
      <c r="T1142" s="111"/>
    </row>
    <row r="1143" spans="3:20" s="4" customFormat="1" x14ac:dyDescent="0.25">
      <c r="C1143" s="3"/>
      <c r="D1143" s="3"/>
      <c r="E1143" s="3"/>
      <c r="F1143" s="3"/>
      <c r="G1143" s="3"/>
      <c r="H1143" s="3"/>
      <c r="I1143" s="3"/>
      <c r="J1143" s="3"/>
      <c r="K1143" s="3"/>
      <c r="L1143" s="3"/>
      <c r="M1143" s="3"/>
      <c r="N1143" s="3"/>
      <c r="O1143" s="3"/>
      <c r="P1143" s="3"/>
      <c r="Q1143" s="3"/>
      <c r="R1143" s="111"/>
      <c r="S1143" s="111"/>
      <c r="T1143" s="111"/>
    </row>
    <row r="1144" spans="3:20" s="4" customFormat="1" x14ac:dyDescent="0.25">
      <c r="C1144" s="3"/>
      <c r="D1144" s="3"/>
      <c r="E1144" s="3"/>
      <c r="F1144" s="3"/>
      <c r="G1144" s="3"/>
      <c r="H1144" s="3"/>
      <c r="I1144" s="3"/>
      <c r="J1144" s="3"/>
      <c r="K1144" s="3"/>
      <c r="L1144" s="3"/>
      <c r="M1144" s="3"/>
      <c r="N1144" s="3"/>
      <c r="O1144" s="3"/>
      <c r="P1144" s="3"/>
      <c r="Q1144" s="3"/>
      <c r="R1144" s="111"/>
      <c r="S1144" s="111"/>
      <c r="T1144" s="111"/>
    </row>
    <row r="1145" spans="3:20" s="4" customFormat="1" x14ac:dyDescent="0.25">
      <c r="C1145" s="3"/>
      <c r="D1145" s="3"/>
      <c r="E1145" s="3"/>
      <c r="F1145" s="3"/>
      <c r="G1145" s="3"/>
      <c r="H1145" s="3"/>
      <c r="I1145" s="3"/>
      <c r="J1145" s="3"/>
      <c r="K1145" s="3"/>
      <c r="L1145" s="3"/>
      <c r="M1145" s="3"/>
      <c r="N1145" s="3"/>
      <c r="O1145" s="3"/>
      <c r="P1145" s="3"/>
      <c r="Q1145" s="3"/>
      <c r="R1145" s="111"/>
      <c r="S1145" s="111"/>
      <c r="T1145" s="111"/>
    </row>
    <row r="1146" spans="3:20" s="4" customFormat="1" x14ac:dyDescent="0.25">
      <c r="C1146" s="3"/>
      <c r="D1146" s="3"/>
      <c r="E1146" s="3"/>
      <c r="F1146" s="3"/>
      <c r="G1146" s="3"/>
      <c r="H1146" s="3"/>
      <c r="I1146" s="3"/>
      <c r="J1146" s="3"/>
      <c r="K1146" s="3"/>
      <c r="L1146" s="3"/>
      <c r="M1146" s="3"/>
      <c r="N1146" s="3"/>
      <c r="O1146" s="3"/>
      <c r="P1146" s="3"/>
      <c r="Q1146" s="3"/>
      <c r="R1146" s="111"/>
      <c r="S1146" s="111"/>
      <c r="T1146" s="111"/>
    </row>
    <row r="1147" spans="3:20" s="4" customFormat="1" x14ac:dyDescent="0.25">
      <c r="C1147" s="3"/>
      <c r="D1147" s="3"/>
      <c r="E1147" s="3"/>
      <c r="F1147" s="3"/>
      <c r="G1147" s="3"/>
      <c r="H1147" s="3"/>
      <c r="I1147" s="3"/>
      <c r="J1147" s="3"/>
      <c r="K1147" s="3"/>
      <c r="L1147" s="3"/>
      <c r="M1147" s="3"/>
      <c r="N1147" s="3"/>
      <c r="O1147" s="3"/>
      <c r="P1147" s="3"/>
      <c r="Q1147" s="3"/>
      <c r="R1147" s="111"/>
      <c r="S1147" s="111"/>
      <c r="T1147" s="111"/>
    </row>
    <row r="1148" spans="3:20" s="4" customFormat="1" x14ac:dyDescent="0.25">
      <c r="C1148" s="3"/>
      <c r="D1148" s="3"/>
      <c r="E1148" s="3"/>
      <c r="F1148" s="3"/>
      <c r="G1148" s="3"/>
      <c r="H1148" s="3"/>
      <c r="I1148" s="3"/>
      <c r="J1148" s="3"/>
      <c r="K1148" s="3"/>
      <c r="L1148" s="3"/>
      <c r="M1148" s="3"/>
      <c r="N1148" s="3"/>
      <c r="O1148" s="3"/>
      <c r="P1148" s="3"/>
      <c r="Q1148" s="3"/>
      <c r="R1148" s="111"/>
      <c r="S1148" s="111"/>
      <c r="T1148" s="111"/>
    </row>
    <row r="1149" spans="3:20" s="4" customFormat="1" x14ac:dyDescent="0.25">
      <c r="C1149" s="3"/>
      <c r="D1149" s="3"/>
      <c r="E1149" s="3"/>
      <c r="F1149" s="3"/>
      <c r="G1149" s="3"/>
      <c r="H1149" s="3"/>
      <c r="I1149" s="3"/>
      <c r="J1149" s="3"/>
      <c r="K1149" s="3"/>
      <c r="L1149" s="3"/>
      <c r="M1149" s="3"/>
      <c r="N1149" s="3"/>
      <c r="O1149" s="3"/>
      <c r="P1149" s="3"/>
      <c r="Q1149" s="3"/>
      <c r="R1149" s="111"/>
      <c r="S1149" s="111"/>
      <c r="T1149" s="111"/>
    </row>
    <row r="1150" spans="3:20" s="4" customFormat="1" x14ac:dyDescent="0.25">
      <c r="C1150" s="3"/>
      <c r="D1150" s="3"/>
      <c r="E1150" s="3"/>
      <c r="F1150" s="3"/>
      <c r="G1150" s="3"/>
      <c r="H1150" s="3"/>
      <c r="I1150" s="3"/>
      <c r="J1150" s="3"/>
      <c r="K1150" s="3"/>
      <c r="L1150" s="3"/>
      <c r="M1150" s="3"/>
      <c r="N1150" s="3"/>
      <c r="O1150" s="3"/>
      <c r="P1150" s="3"/>
      <c r="Q1150" s="3"/>
      <c r="R1150" s="111"/>
      <c r="S1150" s="111"/>
      <c r="T1150" s="111"/>
    </row>
    <row r="1151" spans="3:20" s="4" customFormat="1" x14ac:dyDescent="0.25">
      <c r="C1151" s="3"/>
      <c r="D1151" s="3"/>
      <c r="E1151" s="3"/>
      <c r="F1151" s="3"/>
      <c r="G1151" s="3"/>
      <c r="H1151" s="3"/>
      <c r="I1151" s="3"/>
      <c r="J1151" s="3"/>
      <c r="K1151" s="3"/>
      <c r="L1151" s="3"/>
      <c r="M1151" s="3"/>
      <c r="N1151" s="3"/>
      <c r="O1151" s="3"/>
      <c r="P1151" s="3"/>
      <c r="Q1151" s="3"/>
      <c r="R1151" s="111"/>
      <c r="S1151" s="111"/>
      <c r="T1151" s="111"/>
    </row>
    <row r="1152" spans="3:20" s="4" customFormat="1" x14ac:dyDescent="0.25">
      <c r="C1152" s="3"/>
      <c r="D1152" s="3"/>
      <c r="E1152" s="3"/>
      <c r="F1152" s="3"/>
      <c r="G1152" s="3"/>
      <c r="H1152" s="3"/>
      <c r="I1152" s="3"/>
      <c r="J1152" s="3"/>
      <c r="K1152" s="3"/>
      <c r="L1152" s="3"/>
      <c r="M1152" s="3"/>
      <c r="N1152" s="3"/>
      <c r="O1152" s="3"/>
      <c r="P1152" s="3"/>
      <c r="Q1152" s="3"/>
      <c r="R1152" s="111"/>
      <c r="S1152" s="111"/>
      <c r="T1152" s="111"/>
    </row>
    <row r="1153" spans="3:20" s="4" customFormat="1" x14ac:dyDescent="0.25">
      <c r="C1153" s="3"/>
      <c r="D1153" s="3"/>
      <c r="E1153" s="3"/>
      <c r="F1153" s="3"/>
      <c r="G1153" s="3"/>
      <c r="H1153" s="3"/>
      <c r="I1153" s="3"/>
      <c r="J1153" s="3"/>
      <c r="K1153" s="3"/>
      <c r="L1153" s="3"/>
      <c r="M1153" s="3"/>
      <c r="N1153" s="3"/>
      <c r="O1153" s="3"/>
      <c r="P1153" s="3"/>
      <c r="Q1153" s="3"/>
      <c r="R1153" s="111"/>
      <c r="S1153" s="111"/>
      <c r="T1153" s="111"/>
    </row>
    <row r="1154" spans="3:20" s="4" customFormat="1" x14ac:dyDescent="0.25">
      <c r="C1154" s="3"/>
      <c r="D1154" s="3"/>
      <c r="E1154" s="3"/>
      <c r="F1154" s="3"/>
      <c r="G1154" s="3"/>
      <c r="H1154" s="3"/>
      <c r="I1154" s="3"/>
      <c r="J1154" s="3"/>
      <c r="K1154" s="3"/>
      <c r="L1154" s="3"/>
      <c r="M1154" s="3"/>
      <c r="N1154" s="3"/>
      <c r="O1154" s="3"/>
      <c r="P1154" s="3"/>
      <c r="Q1154" s="3"/>
      <c r="R1154" s="111"/>
      <c r="S1154" s="111"/>
      <c r="T1154" s="111"/>
    </row>
    <row r="1155" spans="3:20" s="4" customFormat="1" x14ac:dyDescent="0.25">
      <c r="C1155" s="3"/>
      <c r="D1155" s="3"/>
      <c r="E1155" s="3"/>
      <c r="F1155" s="3"/>
      <c r="G1155" s="3"/>
      <c r="H1155" s="3"/>
      <c r="I1155" s="3"/>
      <c r="J1155" s="3"/>
      <c r="K1155" s="3"/>
      <c r="L1155" s="3"/>
      <c r="M1155" s="3"/>
      <c r="N1155" s="3"/>
      <c r="O1155" s="3"/>
      <c r="P1155" s="3"/>
      <c r="Q1155" s="3"/>
      <c r="R1155" s="111"/>
      <c r="S1155" s="111"/>
      <c r="T1155" s="111"/>
    </row>
    <row r="1156" spans="3:20" s="4" customFormat="1" x14ac:dyDescent="0.25">
      <c r="C1156" s="3"/>
      <c r="D1156" s="3"/>
      <c r="E1156" s="3"/>
      <c r="F1156" s="3"/>
      <c r="G1156" s="3"/>
      <c r="H1156" s="3"/>
      <c r="I1156" s="3"/>
      <c r="J1156" s="3"/>
      <c r="K1156" s="3"/>
      <c r="L1156" s="3"/>
      <c r="M1156" s="3"/>
      <c r="N1156" s="3"/>
      <c r="O1156" s="3"/>
      <c r="P1156" s="3"/>
      <c r="Q1156" s="3"/>
      <c r="R1156" s="111"/>
      <c r="S1156" s="111"/>
      <c r="T1156" s="111"/>
    </row>
    <row r="1157" spans="3:20" s="4" customFormat="1" x14ac:dyDescent="0.25">
      <c r="C1157" s="3"/>
      <c r="D1157" s="3"/>
      <c r="E1157" s="3"/>
      <c r="F1157" s="3"/>
      <c r="G1157" s="3"/>
      <c r="H1157" s="3"/>
      <c r="I1157" s="3"/>
      <c r="J1157" s="3"/>
      <c r="K1157" s="3"/>
      <c r="L1157" s="3"/>
      <c r="M1157" s="3"/>
      <c r="N1157" s="3"/>
      <c r="O1157" s="3"/>
      <c r="P1157" s="3"/>
      <c r="Q1157" s="3"/>
      <c r="R1157" s="111"/>
      <c r="S1157" s="111"/>
      <c r="T1157" s="111"/>
    </row>
    <row r="1158" spans="3:20" s="4" customFormat="1" x14ac:dyDescent="0.25">
      <c r="C1158" s="3"/>
      <c r="D1158" s="3"/>
      <c r="E1158" s="3"/>
      <c r="F1158" s="3"/>
      <c r="G1158" s="3"/>
      <c r="H1158" s="3"/>
      <c r="I1158" s="3"/>
      <c r="J1158" s="3"/>
      <c r="K1158" s="3"/>
      <c r="L1158" s="3"/>
      <c r="M1158" s="3"/>
      <c r="N1158" s="3"/>
      <c r="O1158" s="3"/>
      <c r="P1158" s="3"/>
      <c r="Q1158" s="3"/>
      <c r="R1158" s="111"/>
      <c r="S1158" s="111"/>
      <c r="T1158" s="111"/>
    </row>
    <row r="1159" spans="3:20" s="4" customFormat="1" x14ac:dyDescent="0.25">
      <c r="C1159" s="3"/>
      <c r="D1159" s="3"/>
      <c r="E1159" s="3"/>
      <c r="F1159" s="3"/>
      <c r="G1159" s="3"/>
      <c r="H1159" s="3"/>
      <c r="I1159" s="3"/>
      <c r="J1159" s="3"/>
      <c r="K1159" s="3"/>
      <c r="L1159" s="3"/>
      <c r="M1159" s="3"/>
      <c r="N1159" s="3"/>
      <c r="O1159" s="3"/>
      <c r="P1159" s="3"/>
      <c r="Q1159" s="3"/>
      <c r="R1159" s="111"/>
      <c r="S1159" s="111"/>
      <c r="T1159" s="111"/>
    </row>
    <row r="1160" spans="3:20" s="4" customFormat="1" x14ac:dyDescent="0.25">
      <c r="C1160" s="3"/>
      <c r="D1160" s="3"/>
      <c r="E1160" s="3"/>
      <c r="F1160" s="3"/>
      <c r="G1160" s="3"/>
      <c r="H1160" s="3"/>
      <c r="I1160" s="3"/>
      <c r="J1160" s="3"/>
      <c r="K1160" s="3"/>
      <c r="L1160" s="3"/>
      <c r="M1160" s="3"/>
      <c r="N1160" s="3"/>
      <c r="O1160" s="3"/>
      <c r="P1160" s="3"/>
      <c r="Q1160" s="3"/>
      <c r="R1160" s="111"/>
      <c r="S1160" s="111"/>
      <c r="T1160" s="111"/>
    </row>
    <row r="1161" spans="3:20" s="4" customFormat="1" x14ac:dyDescent="0.25">
      <c r="C1161" s="3"/>
      <c r="D1161" s="3"/>
      <c r="E1161" s="3"/>
      <c r="F1161" s="3"/>
      <c r="G1161" s="3"/>
      <c r="H1161" s="3"/>
      <c r="I1161" s="3"/>
      <c r="J1161" s="3"/>
      <c r="K1161" s="3"/>
      <c r="L1161" s="3"/>
      <c r="M1161" s="3"/>
      <c r="N1161" s="3"/>
      <c r="O1161" s="3"/>
      <c r="P1161" s="3"/>
      <c r="Q1161" s="3"/>
      <c r="R1161" s="111"/>
      <c r="S1161" s="111"/>
      <c r="T1161" s="111"/>
    </row>
    <row r="1162" spans="3:20" s="4" customFormat="1" x14ac:dyDescent="0.25">
      <c r="C1162" s="3"/>
      <c r="D1162" s="3"/>
      <c r="E1162" s="3"/>
      <c r="F1162" s="3"/>
      <c r="G1162" s="3"/>
      <c r="H1162" s="3"/>
      <c r="I1162" s="3"/>
      <c r="J1162" s="3"/>
      <c r="K1162" s="3"/>
      <c r="L1162" s="3"/>
      <c r="M1162" s="3"/>
      <c r="N1162" s="3"/>
      <c r="O1162" s="3"/>
      <c r="P1162" s="3"/>
      <c r="Q1162" s="3"/>
      <c r="R1162" s="111"/>
      <c r="S1162" s="111"/>
      <c r="T1162" s="111"/>
    </row>
    <row r="1163" spans="3:20" s="4" customFormat="1" x14ac:dyDescent="0.25">
      <c r="C1163" s="3"/>
      <c r="D1163" s="3"/>
      <c r="E1163" s="3"/>
      <c r="F1163" s="3"/>
      <c r="G1163" s="3"/>
      <c r="H1163" s="3"/>
      <c r="I1163" s="3"/>
      <c r="J1163" s="3"/>
      <c r="K1163" s="3"/>
      <c r="L1163" s="3"/>
      <c r="M1163" s="3"/>
      <c r="N1163" s="3"/>
      <c r="O1163" s="3"/>
      <c r="P1163" s="3"/>
      <c r="Q1163" s="3"/>
      <c r="R1163" s="111"/>
      <c r="S1163" s="111"/>
      <c r="T1163" s="111"/>
    </row>
    <row r="1164" spans="3:20" s="4" customFormat="1" x14ac:dyDescent="0.25">
      <c r="C1164" s="3"/>
      <c r="D1164" s="3"/>
      <c r="E1164" s="3"/>
      <c r="F1164" s="3"/>
      <c r="G1164" s="3"/>
      <c r="H1164" s="3"/>
      <c r="I1164" s="3"/>
      <c r="J1164" s="3"/>
      <c r="K1164" s="3"/>
      <c r="L1164" s="3"/>
      <c r="M1164" s="3"/>
      <c r="N1164" s="3"/>
      <c r="O1164" s="3"/>
      <c r="P1164" s="3"/>
      <c r="Q1164" s="3"/>
      <c r="R1164" s="111"/>
      <c r="S1164" s="111"/>
      <c r="T1164" s="111"/>
    </row>
    <row r="1165" spans="3:20" s="4" customFormat="1" x14ac:dyDescent="0.25">
      <c r="C1165" s="3"/>
      <c r="D1165" s="3"/>
      <c r="E1165" s="3"/>
      <c r="F1165" s="3"/>
      <c r="G1165" s="3"/>
      <c r="H1165" s="3"/>
      <c r="I1165" s="3"/>
      <c r="J1165" s="3"/>
      <c r="K1165" s="3"/>
      <c r="L1165" s="3"/>
      <c r="M1165" s="3"/>
      <c r="N1165" s="3"/>
      <c r="O1165" s="3"/>
      <c r="P1165" s="3"/>
      <c r="Q1165" s="3"/>
      <c r="R1165" s="111"/>
      <c r="S1165" s="111"/>
      <c r="T1165" s="111"/>
    </row>
    <row r="1166" spans="3:20" s="4" customFormat="1" x14ac:dyDescent="0.25">
      <c r="C1166" s="3"/>
      <c r="D1166" s="3"/>
      <c r="E1166" s="3"/>
      <c r="F1166" s="3"/>
      <c r="G1166" s="3"/>
      <c r="H1166" s="3"/>
      <c r="I1166" s="3"/>
      <c r="J1166" s="3"/>
      <c r="K1166" s="3"/>
      <c r="L1166" s="3"/>
      <c r="M1166" s="3"/>
      <c r="N1166" s="3"/>
      <c r="O1166" s="3"/>
      <c r="P1166" s="3"/>
      <c r="Q1166" s="3"/>
      <c r="R1166" s="111"/>
      <c r="S1166" s="111"/>
      <c r="T1166" s="111"/>
    </row>
    <row r="1167" spans="3:20" s="4" customFormat="1" x14ac:dyDescent="0.25">
      <c r="C1167" s="3"/>
      <c r="D1167" s="3"/>
      <c r="E1167" s="3"/>
      <c r="F1167" s="3"/>
      <c r="G1167" s="3"/>
      <c r="H1167" s="3"/>
      <c r="I1167" s="3"/>
      <c r="J1167" s="3"/>
      <c r="K1167" s="3"/>
      <c r="L1167" s="3"/>
      <c r="M1167" s="3"/>
      <c r="N1167" s="3"/>
      <c r="O1167" s="3"/>
      <c r="P1167" s="3"/>
      <c r="Q1167" s="3"/>
      <c r="R1167" s="111"/>
      <c r="S1167" s="111"/>
      <c r="T1167" s="111"/>
    </row>
    <row r="1168" spans="3:20" s="4" customFormat="1" x14ac:dyDescent="0.25">
      <c r="C1168" s="3"/>
      <c r="D1168" s="3"/>
      <c r="E1168" s="3"/>
      <c r="F1168" s="3"/>
      <c r="G1168" s="3"/>
      <c r="H1168" s="3"/>
      <c r="I1168" s="3"/>
      <c r="J1168" s="3"/>
      <c r="K1168" s="3"/>
      <c r="L1168" s="3"/>
      <c r="M1168" s="3"/>
      <c r="N1168" s="3"/>
      <c r="O1168" s="3"/>
      <c r="P1168" s="3"/>
      <c r="Q1168" s="3"/>
      <c r="R1168" s="111"/>
      <c r="S1168" s="111"/>
      <c r="T1168" s="111"/>
    </row>
    <row r="1169" spans="3:20" s="4" customFormat="1" x14ac:dyDescent="0.25">
      <c r="C1169" s="3"/>
      <c r="D1169" s="3"/>
      <c r="E1169" s="3"/>
      <c r="F1169" s="3"/>
      <c r="G1169" s="3"/>
      <c r="H1169" s="3"/>
      <c r="I1169" s="3"/>
      <c r="J1169" s="3"/>
      <c r="K1169" s="3"/>
      <c r="L1169" s="3"/>
      <c r="M1169" s="3"/>
      <c r="N1169" s="3"/>
      <c r="O1169" s="3"/>
      <c r="P1169" s="3"/>
      <c r="Q1169" s="3"/>
      <c r="R1169" s="111"/>
      <c r="S1169" s="111"/>
      <c r="T1169" s="111"/>
    </row>
    <row r="1170" spans="3:20" s="4" customFormat="1" x14ac:dyDescent="0.25">
      <c r="C1170" s="3"/>
      <c r="D1170" s="3"/>
      <c r="E1170" s="3"/>
      <c r="F1170" s="3"/>
      <c r="G1170" s="3"/>
      <c r="H1170" s="3"/>
      <c r="I1170" s="3"/>
      <c r="J1170" s="3"/>
      <c r="K1170" s="3"/>
      <c r="L1170" s="3"/>
      <c r="M1170" s="3"/>
      <c r="N1170" s="3"/>
      <c r="O1170" s="3"/>
      <c r="P1170" s="3"/>
      <c r="Q1170" s="3"/>
      <c r="R1170" s="111"/>
      <c r="S1170" s="111"/>
      <c r="T1170" s="111"/>
    </row>
    <row r="1171" spans="3:20" s="4" customFormat="1" x14ac:dyDescent="0.25">
      <c r="C1171" s="3"/>
      <c r="D1171" s="3"/>
      <c r="E1171" s="3"/>
      <c r="F1171" s="3"/>
      <c r="G1171" s="3"/>
      <c r="H1171" s="3"/>
      <c r="I1171" s="3"/>
      <c r="J1171" s="3"/>
      <c r="K1171" s="3"/>
      <c r="L1171" s="3"/>
      <c r="M1171" s="3"/>
      <c r="N1171" s="3"/>
      <c r="O1171" s="3"/>
      <c r="P1171" s="3"/>
      <c r="Q1171" s="3"/>
      <c r="R1171" s="111"/>
      <c r="S1171" s="111"/>
      <c r="T1171" s="111"/>
    </row>
    <row r="1172" spans="3:20" s="4" customFormat="1" x14ac:dyDescent="0.25">
      <c r="C1172" s="3"/>
      <c r="D1172" s="3"/>
      <c r="E1172" s="3"/>
      <c r="F1172" s="3"/>
      <c r="G1172" s="3"/>
      <c r="H1172" s="3"/>
      <c r="I1172" s="3"/>
      <c r="J1172" s="3"/>
      <c r="K1172" s="3"/>
      <c r="L1172" s="3"/>
      <c r="M1172" s="3"/>
      <c r="N1172" s="3"/>
      <c r="O1172" s="3"/>
      <c r="P1172" s="3"/>
      <c r="Q1172" s="3"/>
      <c r="R1172" s="111"/>
      <c r="S1172" s="111"/>
      <c r="T1172" s="111"/>
    </row>
    <row r="1173" spans="3:20" s="4" customFormat="1" x14ac:dyDescent="0.25">
      <c r="C1173" s="3"/>
      <c r="D1173" s="3"/>
      <c r="E1173" s="3"/>
      <c r="F1173" s="3"/>
      <c r="G1173" s="3"/>
      <c r="H1173" s="3"/>
      <c r="I1173" s="3"/>
      <c r="J1173" s="3"/>
      <c r="K1173" s="3"/>
      <c r="L1173" s="3"/>
      <c r="M1173" s="3"/>
      <c r="N1173" s="3"/>
      <c r="O1173" s="3"/>
      <c r="P1173" s="3"/>
      <c r="Q1173" s="3"/>
      <c r="R1173" s="111"/>
      <c r="S1173" s="111"/>
      <c r="T1173" s="111"/>
    </row>
    <row r="1174" spans="3:20" s="4" customFormat="1" x14ac:dyDescent="0.25">
      <c r="C1174" s="3"/>
      <c r="D1174" s="3"/>
      <c r="E1174" s="3"/>
      <c r="F1174" s="3"/>
      <c r="G1174" s="3"/>
      <c r="H1174" s="3"/>
      <c r="I1174" s="3"/>
      <c r="J1174" s="3"/>
      <c r="K1174" s="3"/>
      <c r="L1174" s="3"/>
      <c r="M1174" s="3"/>
      <c r="N1174" s="3"/>
      <c r="O1174" s="3"/>
      <c r="P1174" s="3"/>
      <c r="Q1174" s="3"/>
      <c r="R1174" s="111"/>
      <c r="S1174" s="111"/>
      <c r="T1174" s="111"/>
    </row>
    <row r="1175" spans="3:20" s="4" customFormat="1" x14ac:dyDescent="0.25">
      <c r="C1175" s="3"/>
      <c r="D1175" s="3"/>
      <c r="E1175" s="3"/>
      <c r="F1175" s="3"/>
      <c r="G1175" s="3"/>
      <c r="H1175" s="3"/>
      <c r="I1175" s="3"/>
      <c r="J1175" s="3"/>
      <c r="K1175" s="3"/>
      <c r="L1175" s="3"/>
      <c r="M1175" s="3"/>
      <c r="N1175" s="3"/>
      <c r="O1175" s="3"/>
      <c r="P1175" s="3"/>
      <c r="Q1175" s="3"/>
      <c r="R1175" s="111"/>
      <c r="S1175" s="111"/>
      <c r="T1175" s="111"/>
    </row>
    <row r="1176" spans="3:20" s="4" customFormat="1" x14ac:dyDescent="0.25">
      <c r="C1176" s="3"/>
      <c r="D1176" s="3"/>
      <c r="E1176" s="3"/>
      <c r="F1176" s="3"/>
      <c r="G1176" s="3"/>
      <c r="H1176" s="3"/>
      <c r="I1176" s="3"/>
      <c r="J1176" s="3"/>
      <c r="K1176" s="3"/>
      <c r="L1176" s="3"/>
      <c r="M1176" s="3"/>
      <c r="N1176" s="3"/>
      <c r="O1176" s="3"/>
      <c r="P1176" s="3"/>
      <c r="Q1176" s="3"/>
      <c r="R1176" s="111"/>
      <c r="S1176" s="111"/>
      <c r="T1176" s="111"/>
    </row>
    <row r="1177" spans="3:20" s="4" customFormat="1" x14ac:dyDescent="0.25">
      <c r="C1177" s="3"/>
      <c r="D1177" s="3"/>
      <c r="E1177" s="3"/>
      <c r="F1177" s="3"/>
      <c r="G1177" s="3"/>
      <c r="H1177" s="3"/>
      <c r="I1177" s="3"/>
      <c r="J1177" s="3"/>
      <c r="K1177" s="3"/>
      <c r="L1177" s="3"/>
      <c r="M1177" s="3"/>
      <c r="N1177" s="3"/>
      <c r="O1177" s="3"/>
      <c r="P1177" s="3"/>
      <c r="Q1177" s="3"/>
      <c r="R1177" s="111"/>
      <c r="S1177" s="111"/>
      <c r="T1177" s="111"/>
    </row>
    <row r="1178" spans="3:20" s="4" customFormat="1" x14ac:dyDescent="0.25">
      <c r="C1178" s="3"/>
      <c r="D1178" s="3"/>
      <c r="E1178" s="3"/>
      <c r="F1178" s="3"/>
      <c r="G1178" s="3"/>
      <c r="H1178" s="3"/>
      <c r="I1178" s="3"/>
      <c r="J1178" s="3"/>
      <c r="K1178" s="3"/>
      <c r="L1178" s="3"/>
      <c r="M1178" s="3"/>
      <c r="N1178" s="3"/>
      <c r="O1178" s="3"/>
      <c r="P1178" s="3"/>
      <c r="Q1178" s="3"/>
      <c r="R1178" s="111"/>
      <c r="S1178" s="111"/>
      <c r="T1178" s="111"/>
    </row>
    <row r="1179" spans="3:20" s="4" customFormat="1" x14ac:dyDescent="0.25">
      <c r="C1179" s="3"/>
      <c r="D1179" s="3"/>
      <c r="E1179" s="3"/>
      <c r="F1179" s="3"/>
      <c r="G1179" s="3"/>
      <c r="H1179" s="3"/>
      <c r="I1179" s="3"/>
      <c r="J1179" s="3"/>
      <c r="K1179" s="3"/>
      <c r="L1179" s="3"/>
      <c r="M1179" s="3"/>
      <c r="N1179" s="3"/>
      <c r="O1179" s="3"/>
      <c r="P1179" s="3"/>
      <c r="Q1179" s="3"/>
      <c r="R1179" s="111"/>
      <c r="S1179" s="111"/>
      <c r="T1179" s="111"/>
    </row>
    <row r="1180" spans="3:20" s="4" customFormat="1" x14ac:dyDescent="0.25">
      <c r="C1180" s="3"/>
      <c r="D1180" s="3"/>
      <c r="E1180" s="3"/>
      <c r="F1180" s="3"/>
      <c r="G1180" s="3"/>
      <c r="H1180" s="3"/>
      <c r="I1180" s="3"/>
      <c r="J1180" s="3"/>
      <c r="K1180" s="3"/>
      <c r="L1180" s="3"/>
      <c r="M1180" s="3"/>
      <c r="N1180" s="3"/>
      <c r="O1180" s="3"/>
      <c r="P1180" s="3"/>
      <c r="Q1180" s="3"/>
      <c r="R1180" s="111"/>
      <c r="S1180" s="111"/>
      <c r="T1180" s="111"/>
    </row>
    <row r="1181" spans="3:20" s="4" customFormat="1" x14ac:dyDescent="0.25">
      <c r="C1181" s="3"/>
      <c r="D1181" s="3"/>
      <c r="E1181" s="3"/>
      <c r="F1181" s="3"/>
      <c r="G1181" s="3"/>
      <c r="H1181" s="3"/>
      <c r="I1181" s="3"/>
      <c r="J1181" s="3"/>
      <c r="K1181" s="3"/>
      <c r="L1181" s="3"/>
      <c r="M1181" s="3"/>
      <c r="N1181" s="3"/>
      <c r="O1181" s="3"/>
      <c r="P1181" s="3"/>
      <c r="Q1181" s="3"/>
      <c r="R1181" s="111"/>
      <c r="S1181" s="111"/>
      <c r="T1181" s="111"/>
    </row>
    <row r="1182" spans="3:20" s="4" customFormat="1" x14ac:dyDescent="0.25">
      <c r="C1182" s="3"/>
      <c r="D1182" s="3"/>
      <c r="E1182" s="3"/>
      <c r="F1182" s="3"/>
      <c r="G1182" s="3"/>
      <c r="H1182" s="3"/>
      <c r="I1182" s="3"/>
      <c r="J1182" s="3"/>
      <c r="K1182" s="3"/>
      <c r="L1182" s="3"/>
      <c r="M1182" s="3"/>
      <c r="N1182" s="3"/>
      <c r="O1182" s="3"/>
      <c r="P1182" s="3"/>
      <c r="Q1182" s="3"/>
      <c r="R1182" s="111"/>
      <c r="S1182" s="111"/>
      <c r="T1182" s="111"/>
    </row>
    <row r="1183" spans="3:20" s="4" customFormat="1" x14ac:dyDescent="0.25">
      <c r="C1183" s="3"/>
      <c r="D1183" s="3"/>
      <c r="E1183" s="3"/>
      <c r="F1183" s="3"/>
      <c r="G1183" s="3"/>
      <c r="H1183" s="3"/>
      <c r="I1183" s="3"/>
      <c r="J1183" s="3"/>
      <c r="K1183" s="3"/>
      <c r="L1183" s="3"/>
      <c r="M1183" s="3"/>
      <c r="N1183" s="3"/>
      <c r="O1183" s="3"/>
      <c r="P1183" s="3"/>
      <c r="Q1183" s="3"/>
      <c r="R1183" s="111"/>
      <c r="S1183" s="111"/>
      <c r="T1183" s="111"/>
    </row>
    <row r="1184" spans="3:20" s="4" customFormat="1" x14ac:dyDescent="0.25">
      <c r="C1184" s="3"/>
      <c r="D1184" s="3"/>
      <c r="E1184" s="3"/>
      <c r="F1184" s="3"/>
      <c r="G1184" s="3"/>
      <c r="H1184" s="3"/>
      <c r="I1184" s="3"/>
      <c r="J1184" s="3"/>
      <c r="K1184" s="3"/>
      <c r="L1184" s="3"/>
      <c r="M1184" s="3"/>
      <c r="N1184" s="3"/>
      <c r="O1184" s="3"/>
      <c r="P1184" s="3"/>
      <c r="Q1184" s="3"/>
      <c r="R1184" s="111"/>
      <c r="S1184" s="111"/>
      <c r="T1184" s="111"/>
    </row>
    <row r="1185" spans="3:20" s="4" customFormat="1" x14ac:dyDescent="0.25">
      <c r="C1185" s="3"/>
      <c r="D1185" s="3"/>
      <c r="E1185" s="3"/>
      <c r="F1185" s="3"/>
      <c r="G1185" s="3"/>
      <c r="H1185" s="3"/>
      <c r="I1185" s="3"/>
      <c r="J1185" s="3"/>
      <c r="K1185" s="3"/>
      <c r="L1185" s="3"/>
      <c r="M1185" s="3"/>
      <c r="N1185" s="3"/>
      <c r="O1185" s="3"/>
      <c r="P1185" s="3"/>
      <c r="Q1185" s="3"/>
      <c r="R1185" s="111"/>
      <c r="S1185" s="111"/>
      <c r="T1185" s="111"/>
    </row>
    <row r="1186" spans="3:20" s="4" customFormat="1" x14ac:dyDescent="0.25">
      <c r="C1186" s="3"/>
      <c r="D1186" s="3"/>
      <c r="E1186" s="3"/>
      <c r="F1186" s="3"/>
      <c r="G1186" s="3"/>
      <c r="H1186" s="3"/>
      <c r="I1186" s="3"/>
      <c r="J1186" s="3"/>
      <c r="K1186" s="3"/>
      <c r="L1186" s="3"/>
      <c r="M1186" s="3"/>
      <c r="N1186" s="3"/>
      <c r="O1186" s="3"/>
      <c r="P1186" s="3"/>
      <c r="Q1186" s="3"/>
      <c r="R1186" s="111"/>
      <c r="S1186" s="111"/>
      <c r="T1186" s="111"/>
    </row>
    <row r="1187" spans="3:20" s="4" customFormat="1" x14ac:dyDescent="0.25">
      <c r="C1187" s="3"/>
      <c r="D1187" s="3"/>
      <c r="E1187" s="3"/>
      <c r="F1187" s="3"/>
      <c r="G1187" s="3"/>
      <c r="H1187" s="3"/>
      <c r="I1187" s="3"/>
      <c r="J1187" s="3"/>
      <c r="K1187" s="3"/>
      <c r="L1187" s="3"/>
      <c r="M1187" s="3"/>
      <c r="N1187" s="3"/>
      <c r="O1187" s="3"/>
      <c r="P1187" s="3"/>
      <c r="Q1187" s="3"/>
      <c r="R1187" s="111"/>
      <c r="S1187" s="111"/>
      <c r="T1187" s="111"/>
    </row>
    <row r="1188" spans="3:20" s="4" customFormat="1" x14ac:dyDescent="0.25">
      <c r="C1188" s="3"/>
      <c r="D1188" s="3"/>
      <c r="E1188" s="3"/>
      <c r="F1188" s="3"/>
      <c r="G1188" s="3"/>
      <c r="H1188" s="3"/>
      <c r="I1188" s="3"/>
      <c r="J1188" s="3"/>
      <c r="K1188" s="3"/>
      <c r="L1188" s="3"/>
      <c r="M1188" s="3"/>
      <c r="N1188" s="3"/>
      <c r="O1188" s="3"/>
      <c r="P1188" s="3"/>
      <c r="Q1188" s="3"/>
      <c r="R1188" s="111"/>
      <c r="S1188" s="111"/>
      <c r="T1188" s="111"/>
    </row>
    <row r="1189" spans="3:20" s="4" customFormat="1" x14ac:dyDescent="0.25">
      <c r="C1189" s="3"/>
      <c r="D1189" s="3"/>
      <c r="E1189" s="3"/>
      <c r="F1189" s="3"/>
      <c r="G1189" s="3"/>
      <c r="H1189" s="3"/>
      <c r="I1189" s="3"/>
      <c r="J1189" s="3"/>
      <c r="K1189" s="3"/>
      <c r="L1189" s="3"/>
      <c r="M1189" s="3"/>
      <c r="N1189" s="3"/>
      <c r="O1189" s="3"/>
      <c r="P1189" s="3"/>
      <c r="Q1189" s="3"/>
      <c r="R1189" s="111"/>
      <c r="S1189" s="111"/>
      <c r="T1189" s="111"/>
    </row>
    <row r="1190" spans="3:20" s="4" customFormat="1" x14ac:dyDescent="0.25">
      <c r="C1190" s="3"/>
      <c r="D1190" s="3"/>
      <c r="E1190" s="3"/>
      <c r="F1190" s="3"/>
      <c r="G1190" s="3"/>
      <c r="H1190" s="3"/>
      <c r="I1190" s="3"/>
      <c r="J1190" s="3"/>
      <c r="K1190" s="3"/>
      <c r="L1190" s="3"/>
      <c r="M1190" s="3"/>
      <c r="N1190" s="3"/>
      <c r="O1190" s="3"/>
      <c r="P1190" s="3"/>
      <c r="Q1190" s="3"/>
      <c r="R1190" s="111"/>
      <c r="S1190" s="111"/>
      <c r="T1190" s="111"/>
    </row>
    <row r="1191" spans="3:20" s="4" customFormat="1" x14ac:dyDescent="0.25">
      <c r="C1191" s="3"/>
      <c r="D1191" s="3"/>
      <c r="E1191" s="3"/>
      <c r="F1191" s="3"/>
      <c r="G1191" s="3"/>
      <c r="H1191" s="3"/>
      <c r="I1191" s="3"/>
      <c r="J1191" s="3"/>
      <c r="K1191" s="3"/>
      <c r="L1191" s="3"/>
      <c r="M1191" s="3"/>
      <c r="N1191" s="3"/>
      <c r="O1191" s="3"/>
      <c r="P1191" s="3"/>
      <c r="Q1191" s="3"/>
      <c r="R1191" s="111"/>
      <c r="S1191" s="111"/>
      <c r="T1191" s="111"/>
    </row>
    <row r="1192" spans="3:20" s="4" customFormat="1" x14ac:dyDescent="0.25">
      <c r="C1192" s="3"/>
      <c r="D1192" s="3"/>
      <c r="E1192" s="3"/>
      <c r="F1192" s="3"/>
      <c r="G1192" s="3"/>
      <c r="H1192" s="3"/>
      <c r="I1192" s="3"/>
      <c r="J1192" s="3"/>
      <c r="K1192" s="3"/>
      <c r="L1192" s="3"/>
      <c r="M1192" s="3"/>
      <c r="N1192" s="3"/>
      <c r="O1192" s="3"/>
      <c r="P1192" s="3"/>
      <c r="Q1192" s="3"/>
      <c r="R1192" s="111"/>
      <c r="S1192" s="111"/>
      <c r="T1192" s="111"/>
    </row>
    <row r="1193" spans="3:20" s="4" customFormat="1" x14ac:dyDescent="0.25">
      <c r="C1193" s="3"/>
      <c r="D1193" s="3"/>
      <c r="E1193" s="3"/>
      <c r="F1193" s="3"/>
      <c r="G1193" s="3"/>
      <c r="H1193" s="3"/>
      <c r="I1193" s="3"/>
      <c r="J1193" s="3"/>
      <c r="K1193" s="3"/>
      <c r="L1193" s="3"/>
      <c r="M1193" s="3"/>
      <c r="N1193" s="3"/>
      <c r="O1193" s="3"/>
      <c r="P1193" s="3"/>
      <c r="Q1193" s="3"/>
      <c r="R1193" s="111"/>
      <c r="S1193" s="111"/>
      <c r="T1193" s="111"/>
    </row>
    <row r="1194" spans="3:20" s="4" customFormat="1" x14ac:dyDescent="0.25">
      <c r="C1194" s="3"/>
      <c r="D1194" s="3"/>
      <c r="E1194" s="3"/>
      <c r="F1194" s="3"/>
      <c r="G1194" s="3"/>
      <c r="H1194" s="3"/>
      <c r="I1194" s="3"/>
      <c r="J1194" s="3"/>
      <c r="K1194" s="3"/>
      <c r="L1194" s="3"/>
      <c r="M1194" s="3"/>
      <c r="N1194" s="3"/>
      <c r="O1194" s="3"/>
      <c r="P1194" s="3"/>
      <c r="Q1194" s="3"/>
      <c r="R1194" s="111"/>
      <c r="S1194" s="111"/>
      <c r="T1194" s="111"/>
    </row>
    <row r="1195" spans="3:20" s="4" customFormat="1" x14ac:dyDescent="0.25">
      <c r="C1195" s="3"/>
      <c r="D1195" s="3"/>
      <c r="E1195" s="3"/>
      <c r="F1195" s="3"/>
      <c r="G1195" s="3"/>
      <c r="H1195" s="3"/>
      <c r="I1195" s="3"/>
      <c r="J1195" s="3"/>
      <c r="K1195" s="3"/>
      <c r="L1195" s="3"/>
      <c r="M1195" s="3"/>
      <c r="N1195" s="3"/>
      <c r="O1195" s="3"/>
      <c r="P1195" s="3"/>
      <c r="Q1195" s="3"/>
      <c r="R1195" s="111"/>
      <c r="S1195" s="111"/>
      <c r="T1195" s="111"/>
    </row>
    <row r="1196" spans="3:20" s="4" customFormat="1" x14ac:dyDescent="0.25">
      <c r="C1196" s="3"/>
      <c r="D1196" s="3"/>
      <c r="E1196" s="3"/>
      <c r="F1196" s="3"/>
      <c r="G1196" s="3"/>
      <c r="H1196" s="3"/>
      <c r="I1196" s="3"/>
      <c r="J1196" s="3"/>
      <c r="K1196" s="3"/>
      <c r="L1196" s="3"/>
      <c r="M1196" s="3"/>
      <c r="N1196" s="3"/>
      <c r="O1196" s="3"/>
      <c r="P1196" s="3"/>
      <c r="Q1196" s="3"/>
      <c r="R1196" s="111"/>
      <c r="S1196" s="111"/>
      <c r="T1196" s="111"/>
    </row>
    <row r="1197" spans="3:20" s="4" customFormat="1" x14ac:dyDescent="0.25">
      <c r="C1197" s="3"/>
      <c r="D1197" s="3"/>
      <c r="E1197" s="3"/>
      <c r="F1197" s="3"/>
      <c r="G1197" s="3"/>
      <c r="H1197" s="3"/>
      <c r="I1197" s="3"/>
      <c r="J1197" s="3"/>
      <c r="K1197" s="3"/>
      <c r="L1197" s="3"/>
      <c r="M1197" s="3"/>
      <c r="N1197" s="3"/>
      <c r="O1197" s="3"/>
      <c r="P1197" s="3"/>
      <c r="Q1197" s="3"/>
      <c r="R1197" s="111"/>
      <c r="S1197" s="111"/>
      <c r="T1197" s="111"/>
    </row>
    <row r="1198" spans="3:20" s="4" customFormat="1" x14ac:dyDescent="0.25">
      <c r="C1198" s="3"/>
      <c r="D1198" s="3"/>
      <c r="E1198" s="3"/>
      <c r="F1198" s="3"/>
      <c r="G1198" s="3"/>
      <c r="H1198" s="3"/>
      <c r="I1198" s="3"/>
      <c r="J1198" s="3"/>
      <c r="K1198" s="3"/>
      <c r="L1198" s="3"/>
      <c r="M1198" s="3"/>
      <c r="N1198" s="3"/>
      <c r="O1198" s="3"/>
      <c r="P1198" s="3"/>
      <c r="Q1198" s="3"/>
      <c r="R1198" s="111"/>
      <c r="S1198" s="111"/>
      <c r="T1198" s="111"/>
    </row>
    <row r="1199" spans="3:20" s="4" customFormat="1" x14ac:dyDescent="0.25">
      <c r="C1199" s="3"/>
      <c r="D1199" s="3"/>
      <c r="E1199" s="3"/>
      <c r="F1199" s="3"/>
      <c r="G1199" s="3"/>
      <c r="H1199" s="3"/>
      <c r="I1199" s="3"/>
      <c r="J1199" s="3"/>
      <c r="K1199" s="3"/>
      <c r="L1199" s="3"/>
      <c r="M1199" s="3"/>
      <c r="N1199" s="3"/>
      <c r="O1199" s="3"/>
      <c r="P1199" s="3"/>
      <c r="Q1199" s="3"/>
      <c r="R1199" s="111"/>
      <c r="S1199" s="111"/>
      <c r="T1199" s="111"/>
    </row>
    <row r="1200" spans="3:20" s="4" customFormat="1" x14ac:dyDescent="0.25">
      <c r="C1200" s="3"/>
      <c r="D1200" s="3"/>
      <c r="E1200" s="3"/>
      <c r="F1200" s="3"/>
      <c r="G1200" s="3"/>
      <c r="H1200" s="3"/>
      <c r="I1200" s="3"/>
      <c r="J1200" s="3"/>
      <c r="K1200" s="3"/>
      <c r="L1200" s="3"/>
      <c r="M1200" s="3"/>
      <c r="N1200" s="3"/>
      <c r="O1200" s="3"/>
      <c r="P1200" s="3"/>
      <c r="Q1200" s="3"/>
      <c r="R1200" s="111"/>
      <c r="S1200" s="111"/>
      <c r="T1200" s="111"/>
    </row>
    <row r="1201" spans="3:20" s="4" customFormat="1" x14ac:dyDescent="0.25">
      <c r="C1201" s="3"/>
      <c r="D1201" s="3"/>
      <c r="E1201" s="3"/>
      <c r="F1201" s="3"/>
      <c r="G1201" s="3"/>
      <c r="H1201" s="3"/>
      <c r="I1201" s="3"/>
      <c r="J1201" s="3"/>
      <c r="K1201" s="3"/>
      <c r="L1201" s="3"/>
      <c r="M1201" s="3"/>
      <c r="N1201" s="3"/>
      <c r="O1201" s="3"/>
      <c r="P1201" s="3"/>
      <c r="Q1201" s="3"/>
      <c r="R1201" s="111"/>
      <c r="S1201" s="111"/>
      <c r="T1201" s="111"/>
    </row>
    <row r="1202" spans="3:20" s="4" customFormat="1" x14ac:dyDescent="0.25">
      <c r="C1202" s="3"/>
      <c r="D1202" s="3"/>
      <c r="E1202" s="3"/>
      <c r="F1202" s="3"/>
      <c r="G1202" s="3"/>
      <c r="H1202" s="3"/>
      <c r="I1202" s="3"/>
      <c r="J1202" s="3"/>
      <c r="K1202" s="3"/>
      <c r="L1202" s="3"/>
      <c r="M1202" s="3"/>
      <c r="N1202" s="3"/>
      <c r="O1202" s="3"/>
      <c r="P1202" s="3"/>
      <c r="Q1202" s="3"/>
      <c r="R1202" s="111"/>
      <c r="S1202" s="111"/>
      <c r="T1202" s="111"/>
    </row>
    <row r="1203" spans="3:20" s="4" customFormat="1" x14ac:dyDescent="0.25">
      <c r="C1203" s="3"/>
      <c r="D1203" s="3"/>
      <c r="E1203" s="3"/>
      <c r="F1203" s="3"/>
      <c r="G1203" s="3"/>
      <c r="H1203" s="3"/>
      <c r="I1203" s="3"/>
      <c r="J1203" s="3"/>
      <c r="K1203" s="3"/>
      <c r="L1203" s="3"/>
      <c r="M1203" s="3"/>
      <c r="N1203" s="3"/>
      <c r="O1203" s="3"/>
      <c r="P1203" s="3"/>
      <c r="Q1203" s="3"/>
      <c r="R1203" s="111"/>
      <c r="S1203" s="111"/>
      <c r="T1203" s="111"/>
    </row>
    <row r="1204" spans="3:20" s="4" customFormat="1" x14ac:dyDescent="0.25">
      <c r="C1204" s="3"/>
      <c r="D1204" s="3"/>
      <c r="E1204" s="3"/>
      <c r="F1204" s="3"/>
      <c r="G1204" s="3"/>
      <c r="H1204" s="3"/>
      <c r="I1204" s="3"/>
      <c r="J1204" s="3"/>
      <c r="K1204" s="3"/>
      <c r="L1204" s="3"/>
      <c r="M1204" s="3"/>
      <c r="N1204" s="3"/>
      <c r="O1204" s="3"/>
      <c r="P1204" s="3"/>
      <c r="Q1204" s="3"/>
      <c r="R1204" s="111"/>
      <c r="S1204" s="111"/>
      <c r="T1204" s="111"/>
    </row>
    <row r="1205" spans="3:20" s="4" customFormat="1" x14ac:dyDescent="0.25">
      <c r="C1205" s="3"/>
      <c r="D1205" s="3"/>
      <c r="E1205" s="3"/>
      <c r="F1205" s="3"/>
      <c r="G1205" s="3"/>
      <c r="H1205" s="3"/>
      <c r="I1205" s="3"/>
      <c r="J1205" s="3"/>
      <c r="K1205" s="3"/>
      <c r="L1205" s="3"/>
      <c r="M1205" s="3"/>
      <c r="N1205" s="3"/>
      <c r="O1205" s="3"/>
      <c r="P1205" s="3"/>
      <c r="Q1205" s="3"/>
      <c r="R1205" s="111"/>
      <c r="S1205" s="111"/>
      <c r="T1205" s="111"/>
    </row>
    <row r="1206" spans="3:20" s="4" customFormat="1" x14ac:dyDescent="0.25">
      <c r="C1206" s="3"/>
      <c r="D1206" s="3"/>
      <c r="E1206" s="3"/>
      <c r="F1206" s="3"/>
      <c r="G1206" s="3"/>
      <c r="H1206" s="3"/>
      <c r="I1206" s="3"/>
      <c r="J1206" s="3"/>
      <c r="K1206" s="3"/>
      <c r="L1206" s="3"/>
      <c r="M1206" s="3"/>
      <c r="N1206" s="3"/>
      <c r="O1206" s="3"/>
      <c r="P1206" s="3"/>
      <c r="Q1206" s="3"/>
      <c r="R1206" s="111"/>
      <c r="S1206" s="111"/>
      <c r="T1206" s="111"/>
    </row>
    <row r="1207" spans="3:20" s="4" customFormat="1" x14ac:dyDescent="0.25">
      <c r="C1207" s="3"/>
      <c r="D1207" s="3"/>
      <c r="E1207" s="3"/>
      <c r="F1207" s="3"/>
      <c r="G1207" s="3"/>
      <c r="H1207" s="3"/>
      <c r="I1207" s="3"/>
      <c r="J1207" s="3"/>
      <c r="K1207" s="3"/>
      <c r="L1207" s="3"/>
      <c r="M1207" s="3"/>
      <c r="N1207" s="3"/>
      <c r="O1207" s="3"/>
      <c r="P1207" s="3"/>
      <c r="Q1207" s="3"/>
      <c r="R1207" s="111"/>
      <c r="S1207" s="111"/>
      <c r="T1207" s="111"/>
    </row>
    <row r="1208" spans="3:20" s="4" customFormat="1" x14ac:dyDescent="0.25">
      <c r="C1208" s="3"/>
      <c r="D1208" s="3"/>
      <c r="E1208" s="3"/>
      <c r="F1208" s="3"/>
      <c r="G1208" s="3"/>
      <c r="H1208" s="3"/>
      <c r="I1208" s="3"/>
      <c r="J1208" s="3"/>
      <c r="K1208" s="3"/>
      <c r="L1208" s="3"/>
      <c r="M1208" s="3"/>
      <c r="N1208" s="3"/>
      <c r="O1208" s="3"/>
      <c r="P1208" s="3"/>
      <c r="Q1208" s="3"/>
      <c r="R1208" s="111"/>
      <c r="S1208" s="111"/>
      <c r="T1208" s="111"/>
    </row>
    <row r="1209" spans="3:20" s="4" customFormat="1" x14ac:dyDescent="0.25">
      <c r="C1209" s="3"/>
      <c r="D1209" s="3"/>
      <c r="E1209" s="3"/>
      <c r="F1209" s="3"/>
      <c r="G1209" s="3"/>
      <c r="H1209" s="3"/>
      <c r="I1209" s="3"/>
      <c r="J1209" s="3"/>
      <c r="K1209" s="3"/>
      <c r="L1209" s="3"/>
      <c r="M1209" s="3"/>
      <c r="N1209" s="3"/>
      <c r="O1209" s="3"/>
      <c r="P1209" s="3"/>
      <c r="Q1209" s="3"/>
      <c r="R1209" s="111"/>
      <c r="S1209" s="111"/>
      <c r="T1209" s="111"/>
    </row>
    <row r="1210" spans="3:20" s="4" customFormat="1" x14ac:dyDescent="0.25">
      <c r="C1210" s="3"/>
      <c r="D1210" s="3"/>
      <c r="E1210" s="3"/>
      <c r="F1210" s="3"/>
      <c r="G1210" s="3"/>
      <c r="H1210" s="3"/>
      <c r="I1210" s="3"/>
      <c r="J1210" s="3"/>
      <c r="K1210" s="3"/>
      <c r="L1210" s="3"/>
      <c r="M1210" s="3"/>
      <c r="N1210" s="3"/>
      <c r="O1210" s="3"/>
      <c r="P1210" s="3"/>
      <c r="Q1210" s="3"/>
      <c r="R1210" s="111"/>
      <c r="S1210" s="111"/>
      <c r="T1210" s="111"/>
    </row>
    <row r="1211" spans="3:20" s="4" customFormat="1" x14ac:dyDescent="0.25">
      <c r="C1211" s="3"/>
      <c r="D1211" s="3"/>
      <c r="E1211" s="3"/>
      <c r="F1211" s="3"/>
      <c r="G1211" s="3"/>
      <c r="H1211" s="3"/>
      <c r="I1211" s="3"/>
      <c r="J1211" s="3"/>
      <c r="K1211" s="3"/>
      <c r="L1211" s="3"/>
      <c r="M1211" s="3"/>
      <c r="N1211" s="3"/>
      <c r="O1211" s="3"/>
      <c r="P1211" s="3"/>
      <c r="Q1211" s="3"/>
      <c r="R1211" s="111"/>
      <c r="S1211" s="111"/>
      <c r="T1211" s="111"/>
    </row>
    <row r="1212" spans="3:20" s="4" customFormat="1" x14ac:dyDescent="0.25">
      <c r="C1212" s="3"/>
      <c r="D1212" s="3"/>
      <c r="E1212" s="3"/>
      <c r="F1212" s="3"/>
      <c r="G1212" s="3"/>
      <c r="H1212" s="3"/>
      <c r="I1212" s="3"/>
      <c r="J1212" s="3"/>
      <c r="K1212" s="3"/>
      <c r="L1212" s="3"/>
      <c r="M1212" s="3"/>
      <c r="N1212" s="3"/>
      <c r="O1212" s="3"/>
      <c r="P1212" s="3"/>
      <c r="Q1212" s="3"/>
      <c r="R1212" s="111"/>
      <c r="S1212" s="111"/>
      <c r="T1212" s="111"/>
    </row>
    <row r="1213" spans="3:20" s="4" customFormat="1" x14ac:dyDescent="0.25">
      <c r="C1213" s="3"/>
      <c r="D1213" s="3"/>
      <c r="E1213" s="3"/>
      <c r="F1213" s="3"/>
      <c r="G1213" s="3"/>
      <c r="H1213" s="3"/>
      <c r="I1213" s="3"/>
      <c r="J1213" s="3"/>
      <c r="K1213" s="3"/>
      <c r="L1213" s="3"/>
      <c r="M1213" s="3"/>
      <c r="N1213" s="3"/>
      <c r="O1213" s="3"/>
      <c r="P1213" s="3"/>
      <c r="Q1213" s="3"/>
      <c r="R1213" s="111"/>
      <c r="S1213" s="111"/>
      <c r="T1213" s="111"/>
    </row>
    <row r="1214" spans="3:20" s="4" customFormat="1" x14ac:dyDescent="0.25">
      <c r="C1214" s="3"/>
      <c r="D1214" s="3"/>
      <c r="E1214" s="3"/>
      <c r="F1214" s="3"/>
      <c r="G1214" s="3"/>
      <c r="H1214" s="3"/>
      <c r="I1214" s="3"/>
      <c r="J1214" s="3"/>
      <c r="K1214" s="3"/>
      <c r="L1214" s="3"/>
      <c r="M1214" s="3"/>
      <c r="N1214" s="3"/>
      <c r="O1214" s="3"/>
      <c r="P1214" s="3"/>
      <c r="Q1214" s="3"/>
      <c r="R1214" s="111"/>
      <c r="S1214" s="111"/>
      <c r="T1214" s="111"/>
    </row>
    <row r="1215" spans="3:20" s="4" customFormat="1" x14ac:dyDescent="0.25">
      <c r="C1215" s="3"/>
      <c r="D1215" s="3"/>
      <c r="E1215" s="3"/>
      <c r="F1215" s="3"/>
      <c r="G1215" s="3"/>
      <c r="H1215" s="3"/>
      <c r="I1215" s="3"/>
      <c r="J1215" s="3"/>
      <c r="K1215" s="3"/>
      <c r="L1215" s="3"/>
      <c r="M1215" s="3"/>
      <c r="N1215" s="3"/>
      <c r="O1215" s="3"/>
      <c r="P1215" s="3"/>
      <c r="Q1215" s="3"/>
      <c r="R1215" s="111"/>
      <c r="S1215" s="111"/>
      <c r="T1215" s="111"/>
    </row>
    <row r="1216" spans="3:20" s="4" customFormat="1" x14ac:dyDescent="0.25">
      <c r="C1216" s="3"/>
      <c r="D1216" s="3"/>
      <c r="E1216" s="3"/>
      <c r="F1216" s="3"/>
      <c r="G1216" s="3"/>
      <c r="H1216" s="3"/>
      <c r="I1216" s="3"/>
      <c r="J1216" s="3"/>
      <c r="K1216" s="3"/>
      <c r="L1216" s="3"/>
      <c r="M1216" s="3"/>
      <c r="N1216" s="3"/>
      <c r="O1216" s="3"/>
      <c r="P1216" s="3"/>
      <c r="Q1216" s="3"/>
      <c r="R1216" s="111"/>
      <c r="S1216" s="111"/>
      <c r="T1216" s="111"/>
    </row>
    <row r="1217" spans="3:20" s="4" customFormat="1" x14ac:dyDescent="0.25">
      <c r="C1217" s="3"/>
      <c r="D1217" s="3"/>
      <c r="E1217" s="3"/>
      <c r="F1217" s="3"/>
      <c r="G1217" s="3"/>
      <c r="H1217" s="3"/>
      <c r="I1217" s="3"/>
      <c r="J1217" s="3"/>
      <c r="K1217" s="3"/>
      <c r="L1217" s="3"/>
      <c r="M1217" s="3"/>
      <c r="N1217" s="3"/>
      <c r="O1217" s="3"/>
      <c r="P1217" s="3"/>
      <c r="Q1217" s="3"/>
      <c r="R1217" s="111"/>
      <c r="S1217" s="111"/>
      <c r="T1217" s="111"/>
    </row>
    <row r="1218" spans="3:20" s="4" customFormat="1" x14ac:dyDescent="0.25">
      <c r="C1218" s="3"/>
      <c r="D1218" s="3"/>
      <c r="E1218" s="3"/>
      <c r="F1218" s="3"/>
      <c r="G1218" s="3"/>
      <c r="H1218" s="3"/>
      <c r="I1218" s="3"/>
      <c r="J1218" s="3"/>
      <c r="K1218" s="3"/>
      <c r="L1218" s="3"/>
      <c r="M1218" s="3"/>
      <c r="N1218" s="3"/>
      <c r="O1218" s="3"/>
      <c r="P1218" s="3"/>
      <c r="Q1218" s="3"/>
      <c r="R1218" s="111"/>
      <c r="S1218" s="111"/>
      <c r="T1218" s="111"/>
    </row>
    <row r="1219" spans="3:20" s="4" customFormat="1" x14ac:dyDescent="0.25">
      <c r="C1219" s="3"/>
      <c r="D1219" s="3"/>
      <c r="E1219" s="3"/>
      <c r="F1219" s="3"/>
      <c r="G1219" s="3"/>
      <c r="H1219" s="3"/>
      <c r="I1219" s="3"/>
      <c r="J1219" s="3"/>
      <c r="K1219" s="3"/>
      <c r="L1219" s="3"/>
      <c r="M1219" s="3"/>
      <c r="N1219" s="3"/>
      <c r="O1219" s="3"/>
      <c r="P1219" s="3"/>
      <c r="Q1219" s="3"/>
      <c r="R1219" s="111"/>
      <c r="S1219" s="111"/>
      <c r="T1219" s="111"/>
    </row>
    <row r="1220" spans="3:20" s="4" customFormat="1" x14ac:dyDescent="0.25">
      <c r="C1220" s="3"/>
      <c r="D1220" s="3"/>
      <c r="E1220" s="3"/>
      <c r="F1220" s="3"/>
      <c r="G1220" s="3"/>
      <c r="H1220" s="3"/>
      <c r="I1220" s="3"/>
      <c r="J1220" s="3"/>
      <c r="K1220" s="3"/>
      <c r="L1220" s="3"/>
      <c r="M1220" s="3"/>
      <c r="N1220" s="3"/>
      <c r="O1220" s="3"/>
      <c r="P1220" s="3"/>
      <c r="Q1220" s="3"/>
      <c r="R1220" s="111"/>
      <c r="S1220" s="111"/>
      <c r="T1220" s="111"/>
    </row>
    <row r="1221" spans="3:20" s="4" customFormat="1" x14ac:dyDescent="0.25">
      <c r="C1221" s="3"/>
      <c r="D1221" s="3"/>
      <c r="E1221" s="3"/>
      <c r="F1221" s="3"/>
      <c r="G1221" s="3"/>
      <c r="H1221" s="3"/>
      <c r="I1221" s="3"/>
      <c r="J1221" s="3"/>
      <c r="K1221" s="3"/>
      <c r="L1221" s="3"/>
      <c r="M1221" s="3"/>
      <c r="N1221" s="3"/>
      <c r="O1221" s="3"/>
      <c r="P1221" s="3"/>
      <c r="Q1221" s="3"/>
      <c r="R1221" s="111"/>
      <c r="S1221" s="111"/>
      <c r="T1221" s="111"/>
    </row>
    <row r="1222" spans="3:20" s="4" customFormat="1" x14ac:dyDescent="0.25">
      <c r="C1222" s="3"/>
      <c r="D1222" s="3"/>
      <c r="E1222" s="3"/>
      <c r="F1222" s="3"/>
      <c r="G1222" s="3"/>
      <c r="H1222" s="3"/>
      <c r="I1222" s="3"/>
      <c r="J1222" s="3"/>
      <c r="K1222" s="3"/>
      <c r="L1222" s="3"/>
      <c r="M1222" s="3"/>
      <c r="N1222" s="3"/>
      <c r="O1222" s="3"/>
      <c r="P1222" s="3"/>
      <c r="Q1222" s="3"/>
      <c r="R1222" s="111"/>
      <c r="S1222" s="111"/>
      <c r="T1222" s="111"/>
    </row>
    <row r="1223" spans="3:20" s="4" customFormat="1" x14ac:dyDescent="0.25">
      <c r="C1223" s="3"/>
      <c r="D1223" s="3"/>
      <c r="E1223" s="3"/>
      <c r="F1223" s="3"/>
      <c r="G1223" s="3"/>
      <c r="H1223" s="3"/>
      <c r="I1223" s="3"/>
      <c r="J1223" s="3"/>
      <c r="K1223" s="3"/>
      <c r="L1223" s="3"/>
      <c r="M1223" s="3"/>
      <c r="N1223" s="3"/>
      <c r="O1223" s="3"/>
      <c r="P1223" s="3"/>
      <c r="Q1223" s="3"/>
      <c r="R1223" s="111"/>
      <c r="S1223" s="111"/>
      <c r="T1223" s="111"/>
    </row>
    <row r="1224" spans="3:20" s="4" customFormat="1" x14ac:dyDescent="0.25">
      <c r="C1224" s="3"/>
      <c r="D1224" s="3"/>
      <c r="E1224" s="3"/>
      <c r="F1224" s="3"/>
      <c r="G1224" s="3"/>
      <c r="H1224" s="3"/>
      <c r="I1224" s="3"/>
      <c r="J1224" s="3"/>
      <c r="K1224" s="3"/>
      <c r="L1224" s="3"/>
      <c r="M1224" s="3"/>
      <c r="N1224" s="3"/>
      <c r="O1224" s="3"/>
      <c r="P1224" s="3"/>
      <c r="Q1224" s="3"/>
      <c r="R1224" s="111"/>
      <c r="S1224" s="111"/>
      <c r="T1224" s="111"/>
    </row>
    <row r="1225" spans="3:20" s="4" customFormat="1" x14ac:dyDescent="0.25">
      <c r="C1225" s="3"/>
      <c r="D1225" s="3"/>
      <c r="E1225" s="3"/>
      <c r="F1225" s="3"/>
      <c r="G1225" s="3"/>
      <c r="H1225" s="3"/>
      <c r="I1225" s="3"/>
      <c r="J1225" s="3"/>
      <c r="K1225" s="3"/>
      <c r="L1225" s="3"/>
      <c r="M1225" s="3"/>
      <c r="N1225" s="3"/>
      <c r="O1225" s="3"/>
      <c r="P1225" s="3"/>
      <c r="Q1225" s="3"/>
      <c r="R1225" s="111"/>
      <c r="S1225" s="111"/>
      <c r="T1225" s="111"/>
    </row>
    <row r="1226" spans="3:20" s="4" customFormat="1" x14ac:dyDescent="0.25">
      <c r="C1226" s="3"/>
      <c r="D1226" s="3"/>
      <c r="E1226" s="3"/>
      <c r="F1226" s="3"/>
      <c r="G1226" s="3"/>
      <c r="H1226" s="3"/>
      <c r="I1226" s="3"/>
      <c r="J1226" s="3"/>
      <c r="K1226" s="3"/>
      <c r="L1226" s="3"/>
      <c r="M1226" s="3"/>
      <c r="N1226" s="3"/>
      <c r="O1226" s="3"/>
      <c r="P1226" s="3"/>
      <c r="Q1226" s="3"/>
      <c r="R1226" s="111"/>
      <c r="S1226" s="111"/>
      <c r="T1226" s="111"/>
    </row>
    <row r="1227" spans="3:20" s="4" customFormat="1" x14ac:dyDescent="0.25">
      <c r="C1227" s="3"/>
      <c r="D1227" s="3"/>
      <c r="E1227" s="3"/>
      <c r="F1227" s="3"/>
      <c r="G1227" s="3"/>
      <c r="H1227" s="3"/>
      <c r="I1227" s="3"/>
      <c r="J1227" s="3"/>
      <c r="K1227" s="3"/>
      <c r="L1227" s="3"/>
      <c r="M1227" s="3"/>
      <c r="N1227" s="3"/>
      <c r="O1227" s="3"/>
      <c r="P1227" s="3"/>
      <c r="Q1227" s="3"/>
      <c r="R1227" s="111"/>
      <c r="S1227" s="111"/>
      <c r="T1227" s="111"/>
    </row>
    <row r="1228" spans="3:20" s="4" customFormat="1" x14ac:dyDescent="0.25">
      <c r="C1228" s="3"/>
      <c r="D1228" s="3"/>
      <c r="E1228" s="3"/>
      <c r="F1228" s="3"/>
      <c r="G1228" s="3"/>
      <c r="H1228" s="3"/>
      <c r="I1228" s="3"/>
      <c r="J1228" s="3"/>
      <c r="K1228" s="3"/>
      <c r="L1228" s="3"/>
      <c r="M1228" s="3"/>
      <c r="N1228" s="3"/>
      <c r="O1228" s="3"/>
      <c r="P1228" s="3"/>
      <c r="Q1228" s="3"/>
      <c r="R1228" s="111"/>
      <c r="S1228" s="111"/>
      <c r="T1228" s="111"/>
    </row>
    <row r="1229" spans="3:20" s="4" customFormat="1" x14ac:dyDescent="0.25">
      <c r="C1229" s="3"/>
      <c r="D1229" s="3"/>
      <c r="E1229" s="3"/>
      <c r="F1229" s="3"/>
      <c r="G1229" s="3"/>
      <c r="H1229" s="3"/>
      <c r="I1229" s="3"/>
      <c r="J1229" s="3"/>
      <c r="K1229" s="3"/>
      <c r="L1229" s="3"/>
      <c r="M1229" s="3"/>
      <c r="N1229" s="3"/>
      <c r="O1229" s="3"/>
      <c r="P1229" s="3"/>
      <c r="Q1229" s="3"/>
      <c r="R1229" s="111"/>
      <c r="S1229" s="111"/>
      <c r="T1229" s="111"/>
    </row>
    <row r="1230" spans="3:20" s="4" customFormat="1" x14ac:dyDescent="0.25">
      <c r="C1230" s="3"/>
      <c r="D1230" s="3"/>
      <c r="E1230" s="3"/>
      <c r="F1230" s="3"/>
      <c r="G1230" s="3"/>
      <c r="H1230" s="3"/>
      <c r="I1230" s="3"/>
      <c r="J1230" s="3"/>
      <c r="K1230" s="3"/>
      <c r="L1230" s="3"/>
      <c r="M1230" s="3"/>
      <c r="N1230" s="3"/>
      <c r="O1230" s="3"/>
      <c r="P1230" s="3"/>
      <c r="Q1230" s="3"/>
      <c r="R1230" s="111"/>
      <c r="S1230" s="111"/>
      <c r="T1230" s="111"/>
    </row>
    <row r="1231" spans="3:20" s="4" customFormat="1" x14ac:dyDescent="0.25">
      <c r="C1231" s="3"/>
      <c r="D1231" s="3"/>
      <c r="E1231" s="3"/>
      <c r="F1231" s="3"/>
      <c r="G1231" s="3"/>
      <c r="H1231" s="3"/>
      <c r="I1231" s="3"/>
      <c r="J1231" s="3"/>
      <c r="K1231" s="3"/>
      <c r="L1231" s="3"/>
      <c r="M1231" s="3"/>
      <c r="N1231" s="3"/>
      <c r="O1231" s="3"/>
      <c r="P1231" s="3"/>
      <c r="Q1231" s="3"/>
      <c r="R1231" s="111"/>
      <c r="S1231" s="111"/>
      <c r="T1231" s="111"/>
    </row>
    <row r="1232" spans="3:20" s="4" customFormat="1" x14ac:dyDescent="0.25">
      <c r="C1232" s="3"/>
      <c r="D1232" s="3"/>
      <c r="E1232" s="3"/>
      <c r="F1232" s="3"/>
      <c r="G1232" s="3"/>
      <c r="H1232" s="3"/>
      <c r="I1232" s="3"/>
      <c r="J1232" s="3"/>
      <c r="K1232" s="3"/>
      <c r="L1232" s="3"/>
      <c r="M1232" s="3"/>
      <c r="N1232" s="3"/>
      <c r="O1232" s="3"/>
      <c r="P1232" s="3"/>
      <c r="Q1232" s="3"/>
      <c r="R1232" s="111"/>
      <c r="S1232" s="111"/>
      <c r="T1232" s="111"/>
    </row>
    <row r="1233" spans="3:20" s="4" customFormat="1" x14ac:dyDescent="0.25">
      <c r="C1233" s="3"/>
      <c r="D1233" s="3"/>
      <c r="E1233" s="3"/>
      <c r="F1233" s="3"/>
      <c r="G1233" s="3"/>
      <c r="H1233" s="3"/>
      <c r="I1233" s="3"/>
      <c r="J1233" s="3"/>
      <c r="K1233" s="3"/>
      <c r="L1233" s="3"/>
      <c r="M1233" s="3"/>
      <c r="N1233" s="3"/>
      <c r="O1233" s="3"/>
      <c r="P1233" s="3"/>
      <c r="Q1233" s="3"/>
      <c r="R1233" s="111"/>
      <c r="S1233" s="111"/>
      <c r="T1233" s="111"/>
    </row>
    <row r="1234" spans="3:20" s="4" customFormat="1" x14ac:dyDescent="0.25">
      <c r="C1234" s="3"/>
      <c r="D1234" s="3"/>
      <c r="E1234" s="3"/>
      <c r="F1234" s="3"/>
      <c r="G1234" s="3"/>
      <c r="H1234" s="3"/>
      <c r="I1234" s="3"/>
      <c r="J1234" s="3"/>
      <c r="K1234" s="3"/>
      <c r="L1234" s="3"/>
      <c r="M1234" s="3"/>
      <c r="N1234" s="3"/>
      <c r="O1234" s="3"/>
      <c r="P1234" s="3"/>
      <c r="Q1234" s="3"/>
      <c r="R1234" s="111"/>
      <c r="S1234" s="111"/>
      <c r="T1234" s="111"/>
    </row>
    <row r="1235" spans="3:20" s="4" customFormat="1" x14ac:dyDescent="0.25">
      <c r="C1235" s="3"/>
      <c r="D1235" s="3"/>
      <c r="E1235" s="3"/>
      <c r="F1235" s="3"/>
      <c r="G1235" s="3"/>
      <c r="H1235" s="3"/>
      <c r="I1235" s="3"/>
      <c r="J1235" s="3"/>
      <c r="K1235" s="3"/>
      <c r="L1235" s="3"/>
      <c r="M1235" s="3"/>
      <c r="N1235" s="3"/>
      <c r="O1235" s="3"/>
      <c r="P1235" s="3"/>
      <c r="Q1235" s="3"/>
      <c r="R1235" s="111"/>
      <c r="S1235" s="111"/>
      <c r="T1235" s="111"/>
    </row>
    <row r="1236" spans="3:20" s="4" customFormat="1" x14ac:dyDescent="0.25">
      <c r="C1236" s="3"/>
      <c r="D1236" s="3"/>
      <c r="E1236" s="3"/>
      <c r="F1236" s="3"/>
      <c r="G1236" s="3"/>
      <c r="H1236" s="3"/>
      <c r="I1236" s="3"/>
      <c r="J1236" s="3"/>
      <c r="K1236" s="3"/>
      <c r="L1236" s="3"/>
      <c r="M1236" s="3"/>
      <c r="N1236" s="3"/>
      <c r="O1236" s="3"/>
      <c r="P1236" s="3"/>
      <c r="Q1236" s="3"/>
      <c r="R1236" s="111"/>
      <c r="S1236" s="111"/>
      <c r="T1236" s="111"/>
    </row>
    <row r="1237" spans="3:20" s="4" customFormat="1" x14ac:dyDescent="0.25">
      <c r="C1237" s="3"/>
      <c r="D1237" s="3"/>
      <c r="E1237" s="3"/>
      <c r="F1237" s="3"/>
      <c r="G1237" s="3"/>
      <c r="H1237" s="3"/>
      <c r="I1237" s="3"/>
      <c r="J1237" s="3"/>
      <c r="K1237" s="3"/>
      <c r="L1237" s="3"/>
      <c r="M1237" s="3"/>
      <c r="N1237" s="3"/>
      <c r="O1237" s="3"/>
      <c r="P1237" s="3"/>
      <c r="Q1237" s="3"/>
      <c r="R1237" s="111"/>
      <c r="S1237" s="111"/>
      <c r="T1237" s="111"/>
    </row>
    <row r="1238" spans="3:20" s="4" customFormat="1" x14ac:dyDescent="0.25">
      <c r="C1238" s="3"/>
      <c r="D1238" s="3"/>
      <c r="E1238" s="3"/>
      <c r="F1238" s="3"/>
      <c r="G1238" s="3"/>
      <c r="H1238" s="3"/>
      <c r="I1238" s="3"/>
      <c r="J1238" s="3"/>
      <c r="K1238" s="3"/>
      <c r="L1238" s="3"/>
      <c r="M1238" s="3"/>
      <c r="N1238" s="3"/>
      <c r="O1238" s="3"/>
      <c r="P1238" s="3"/>
      <c r="Q1238" s="3"/>
      <c r="R1238" s="111"/>
      <c r="S1238" s="111"/>
      <c r="T1238" s="111"/>
    </row>
    <row r="1239" spans="3:20" s="4" customFormat="1" x14ac:dyDescent="0.25">
      <c r="C1239" s="3"/>
      <c r="D1239" s="3"/>
      <c r="E1239" s="3"/>
      <c r="F1239" s="3"/>
      <c r="G1239" s="3"/>
      <c r="H1239" s="3"/>
      <c r="I1239" s="3"/>
      <c r="J1239" s="3"/>
      <c r="K1239" s="3"/>
      <c r="L1239" s="3"/>
      <c r="M1239" s="3"/>
      <c r="N1239" s="3"/>
      <c r="O1239" s="3"/>
      <c r="P1239" s="3"/>
      <c r="Q1239" s="3"/>
      <c r="R1239" s="111"/>
      <c r="S1239" s="111"/>
      <c r="T1239" s="111"/>
    </row>
    <row r="1240" spans="3:20" s="4" customFormat="1" x14ac:dyDescent="0.25">
      <c r="C1240" s="3"/>
      <c r="D1240" s="3"/>
      <c r="E1240" s="3"/>
      <c r="F1240" s="3"/>
      <c r="G1240" s="3"/>
      <c r="H1240" s="3"/>
      <c r="I1240" s="3"/>
      <c r="J1240" s="3"/>
      <c r="K1240" s="3"/>
      <c r="L1240" s="3"/>
      <c r="M1240" s="3"/>
      <c r="N1240" s="3"/>
      <c r="O1240" s="3"/>
      <c r="P1240" s="3"/>
      <c r="Q1240" s="3"/>
      <c r="R1240" s="111"/>
      <c r="S1240" s="111"/>
      <c r="T1240" s="111"/>
    </row>
    <row r="1241" spans="3:20" s="4" customFormat="1" x14ac:dyDescent="0.25">
      <c r="C1241" s="3"/>
      <c r="D1241" s="3"/>
      <c r="E1241" s="3"/>
      <c r="F1241" s="3"/>
      <c r="G1241" s="3"/>
      <c r="H1241" s="3"/>
      <c r="I1241" s="3"/>
      <c r="J1241" s="3"/>
      <c r="K1241" s="3"/>
      <c r="L1241" s="3"/>
      <c r="M1241" s="3"/>
      <c r="N1241" s="3"/>
      <c r="O1241" s="3"/>
      <c r="P1241" s="3"/>
      <c r="Q1241" s="3"/>
      <c r="R1241" s="111"/>
      <c r="S1241" s="111"/>
      <c r="T1241" s="111"/>
    </row>
    <row r="1242" spans="3:20" s="4" customFormat="1" x14ac:dyDescent="0.25">
      <c r="C1242" s="3"/>
      <c r="D1242" s="3"/>
      <c r="E1242" s="3"/>
      <c r="F1242" s="3"/>
      <c r="G1242" s="3"/>
      <c r="H1242" s="3"/>
      <c r="I1242" s="3"/>
      <c r="J1242" s="3"/>
      <c r="K1242" s="3"/>
      <c r="L1242" s="3"/>
      <c r="M1242" s="3"/>
      <c r="N1242" s="3"/>
      <c r="O1242" s="3"/>
      <c r="P1242" s="3"/>
      <c r="Q1242" s="3"/>
      <c r="R1242" s="111"/>
      <c r="S1242" s="111"/>
      <c r="T1242" s="111"/>
    </row>
    <row r="1243" spans="3:20" s="4" customFormat="1" x14ac:dyDescent="0.25">
      <c r="C1243" s="3"/>
      <c r="D1243" s="3"/>
      <c r="E1243" s="3"/>
      <c r="F1243" s="3"/>
      <c r="G1243" s="3"/>
      <c r="H1243" s="3"/>
      <c r="I1243" s="3"/>
      <c r="J1243" s="3"/>
      <c r="K1243" s="3"/>
      <c r="L1243" s="3"/>
      <c r="M1243" s="3"/>
      <c r="N1243" s="3"/>
      <c r="O1243" s="3"/>
      <c r="P1243" s="3"/>
      <c r="Q1243" s="3"/>
      <c r="R1243" s="111"/>
      <c r="S1243" s="111"/>
      <c r="T1243" s="111"/>
    </row>
    <row r="1244" spans="3:20" s="4" customFormat="1" x14ac:dyDescent="0.25">
      <c r="C1244" s="3"/>
      <c r="D1244" s="3"/>
      <c r="E1244" s="3"/>
      <c r="F1244" s="3"/>
      <c r="G1244" s="3"/>
      <c r="H1244" s="3"/>
      <c r="I1244" s="3"/>
      <c r="J1244" s="3"/>
      <c r="K1244" s="3"/>
      <c r="L1244" s="3"/>
      <c r="M1244" s="3"/>
      <c r="N1244" s="3"/>
      <c r="O1244" s="3"/>
      <c r="P1244" s="3"/>
      <c r="Q1244" s="3"/>
      <c r="R1244" s="111"/>
      <c r="S1244" s="111"/>
      <c r="T1244" s="111"/>
    </row>
    <row r="1245" spans="3:20" s="4" customFormat="1" x14ac:dyDescent="0.25">
      <c r="C1245" s="3"/>
      <c r="D1245" s="3"/>
      <c r="E1245" s="3"/>
      <c r="F1245" s="3"/>
      <c r="G1245" s="3"/>
      <c r="H1245" s="3"/>
      <c r="I1245" s="3"/>
      <c r="J1245" s="3"/>
      <c r="K1245" s="3"/>
      <c r="L1245" s="3"/>
      <c r="M1245" s="3"/>
      <c r="N1245" s="3"/>
      <c r="O1245" s="3"/>
      <c r="P1245" s="3"/>
      <c r="Q1245" s="3"/>
      <c r="R1245" s="111"/>
      <c r="S1245" s="111"/>
      <c r="T1245" s="111"/>
    </row>
    <row r="1246" spans="3:20" s="4" customFormat="1" x14ac:dyDescent="0.25">
      <c r="C1246" s="3"/>
      <c r="D1246" s="3"/>
      <c r="E1246" s="3"/>
      <c r="F1246" s="3"/>
      <c r="G1246" s="3"/>
      <c r="H1246" s="3"/>
      <c r="I1246" s="3"/>
      <c r="J1246" s="3"/>
      <c r="K1246" s="3"/>
      <c r="L1246" s="3"/>
      <c r="M1246" s="3"/>
      <c r="N1246" s="3"/>
      <c r="O1246" s="3"/>
      <c r="P1246" s="3"/>
      <c r="Q1246" s="3"/>
      <c r="R1246" s="111"/>
      <c r="S1246" s="111"/>
      <c r="T1246" s="111"/>
    </row>
    <row r="1247" spans="3:20" s="4" customFormat="1" x14ac:dyDescent="0.25">
      <c r="C1247" s="3"/>
      <c r="D1247" s="3"/>
      <c r="E1247" s="3"/>
      <c r="F1247" s="3"/>
      <c r="G1247" s="3"/>
      <c r="H1247" s="3"/>
      <c r="I1247" s="3"/>
      <c r="J1247" s="3"/>
      <c r="K1247" s="3"/>
      <c r="L1247" s="3"/>
      <c r="M1247" s="3"/>
      <c r="N1247" s="3"/>
      <c r="O1247" s="3"/>
      <c r="P1247" s="3"/>
      <c r="Q1247" s="3"/>
      <c r="R1247" s="111"/>
      <c r="S1247" s="111"/>
      <c r="T1247" s="111"/>
    </row>
    <row r="1248" spans="3:20" s="4" customFormat="1" x14ac:dyDescent="0.25">
      <c r="C1248" s="3"/>
      <c r="D1248" s="3"/>
      <c r="E1248" s="3"/>
      <c r="F1248" s="3"/>
      <c r="G1248" s="3"/>
      <c r="H1248" s="3"/>
      <c r="I1248" s="3"/>
      <c r="J1248" s="3"/>
      <c r="K1248" s="3"/>
      <c r="L1248" s="3"/>
      <c r="M1248" s="3"/>
      <c r="N1248" s="3"/>
      <c r="O1248" s="3"/>
      <c r="P1248" s="3"/>
      <c r="Q1248" s="3"/>
      <c r="R1248" s="111"/>
      <c r="S1248" s="111"/>
      <c r="T1248" s="111"/>
    </row>
    <row r="1249" spans="3:20" s="4" customFormat="1" x14ac:dyDescent="0.25">
      <c r="C1249" s="3"/>
      <c r="D1249" s="3"/>
      <c r="E1249" s="3"/>
      <c r="F1249" s="3"/>
      <c r="G1249" s="3"/>
      <c r="H1249" s="3"/>
      <c r="I1249" s="3"/>
      <c r="J1249" s="3"/>
      <c r="K1249" s="3"/>
      <c r="L1249" s="3"/>
      <c r="M1249" s="3"/>
      <c r="N1249" s="3"/>
      <c r="O1249" s="3"/>
      <c r="P1249" s="3"/>
      <c r="Q1249" s="3"/>
      <c r="R1249" s="111"/>
      <c r="S1249" s="111"/>
      <c r="T1249" s="111"/>
    </row>
    <row r="1250" spans="3:20" s="4" customFormat="1" x14ac:dyDescent="0.25">
      <c r="C1250" s="3"/>
      <c r="D1250" s="3"/>
      <c r="E1250" s="3"/>
      <c r="F1250" s="3"/>
      <c r="G1250" s="3"/>
      <c r="H1250" s="3"/>
      <c r="I1250" s="3"/>
      <c r="J1250" s="3"/>
      <c r="K1250" s="3"/>
      <c r="L1250" s="3"/>
      <c r="M1250" s="3"/>
      <c r="N1250" s="3"/>
      <c r="O1250" s="3"/>
      <c r="P1250" s="3"/>
      <c r="Q1250" s="3"/>
      <c r="R1250" s="111"/>
      <c r="S1250" s="111"/>
      <c r="T1250" s="111"/>
    </row>
    <row r="1251" spans="3:20" s="4" customFormat="1" x14ac:dyDescent="0.25">
      <c r="C1251" s="3"/>
      <c r="D1251" s="3"/>
      <c r="E1251" s="3"/>
      <c r="F1251" s="3"/>
      <c r="G1251" s="3"/>
      <c r="H1251" s="3"/>
      <c r="I1251" s="3"/>
      <c r="J1251" s="3"/>
      <c r="K1251" s="3"/>
      <c r="L1251" s="3"/>
      <c r="M1251" s="3"/>
      <c r="N1251" s="3"/>
      <c r="O1251" s="3"/>
      <c r="P1251" s="3"/>
      <c r="Q1251" s="3"/>
      <c r="R1251" s="111"/>
      <c r="S1251" s="111"/>
      <c r="T1251" s="111"/>
    </row>
    <row r="1252" spans="3:20" s="4" customFormat="1" x14ac:dyDescent="0.25">
      <c r="C1252" s="3"/>
      <c r="D1252" s="3"/>
      <c r="E1252" s="3"/>
      <c r="F1252" s="3"/>
      <c r="G1252" s="3"/>
      <c r="H1252" s="3"/>
      <c r="I1252" s="3"/>
      <c r="J1252" s="3"/>
      <c r="K1252" s="3"/>
      <c r="L1252" s="3"/>
      <c r="M1252" s="3"/>
      <c r="N1252" s="3"/>
      <c r="O1252" s="3"/>
      <c r="P1252" s="3"/>
      <c r="Q1252" s="3"/>
      <c r="R1252" s="111"/>
      <c r="S1252" s="111"/>
      <c r="T1252" s="111"/>
    </row>
    <row r="1253" spans="3:20" s="4" customFormat="1" x14ac:dyDescent="0.25">
      <c r="C1253" s="3"/>
      <c r="D1253" s="3"/>
      <c r="E1253" s="3"/>
      <c r="F1253" s="3"/>
      <c r="G1253" s="3"/>
      <c r="H1253" s="3"/>
      <c r="I1253" s="3"/>
      <c r="J1253" s="3"/>
      <c r="K1253" s="3"/>
      <c r="L1253" s="3"/>
      <c r="M1253" s="3"/>
      <c r="N1253" s="3"/>
      <c r="O1253" s="3"/>
      <c r="P1253" s="3"/>
      <c r="Q1253" s="3"/>
      <c r="R1253" s="111"/>
      <c r="S1253" s="111"/>
      <c r="T1253" s="111"/>
    </row>
    <row r="1254" spans="3:20" s="4" customFormat="1" x14ac:dyDescent="0.25">
      <c r="C1254" s="3"/>
      <c r="D1254" s="3"/>
      <c r="E1254" s="3"/>
      <c r="F1254" s="3"/>
      <c r="G1254" s="3"/>
      <c r="H1254" s="3"/>
      <c r="I1254" s="3"/>
      <c r="J1254" s="3"/>
      <c r="K1254" s="3"/>
      <c r="L1254" s="3"/>
      <c r="M1254" s="3"/>
      <c r="N1254" s="3"/>
      <c r="O1254" s="3"/>
      <c r="P1254" s="3"/>
      <c r="Q1254" s="3"/>
      <c r="R1254" s="111"/>
      <c r="S1254" s="111"/>
      <c r="T1254" s="111"/>
    </row>
    <row r="1255" spans="3:20" s="4" customFormat="1" x14ac:dyDescent="0.25">
      <c r="C1255" s="3"/>
      <c r="D1255" s="3"/>
      <c r="E1255" s="3"/>
      <c r="F1255" s="3"/>
      <c r="G1255" s="3"/>
      <c r="H1255" s="3"/>
      <c r="I1255" s="3"/>
      <c r="J1255" s="3"/>
      <c r="K1255" s="3"/>
      <c r="L1255" s="3"/>
      <c r="M1255" s="3"/>
      <c r="N1255" s="3"/>
      <c r="O1255" s="3"/>
      <c r="P1255" s="3"/>
      <c r="Q1255" s="3"/>
      <c r="R1255" s="111"/>
      <c r="S1255" s="111"/>
      <c r="T1255" s="111"/>
    </row>
    <row r="1256" spans="3:20" s="4" customFormat="1" x14ac:dyDescent="0.25">
      <c r="C1256" s="3"/>
      <c r="D1256" s="3"/>
      <c r="E1256" s="3"/>
      <c r="F1256" s="3"/>
      <c r="G1256" s="3"/>
      <c r="H1256" s="3"/>
      <c r="I1256" s="3"/>
      <c r="J1256" s="3"/>
      <c r="K1256" s="3"/>
      <c r="L1256" s="3"/>
      <c r="M1256" s="3"/>
      <c r="N1256" s="3"/>
      <c r="O1256" s="3"/>
      <c r="P1256" s="3"/>
      <c r="Q1256" s="3"/>
      <c r="R1256" s="111"/>
      <c r="S1256" s="111"/>
      <c r="T1256" s="111"/>
    </row>
    <row r="1257" spans="3:20" s="4" customFormat="1" x14ac:dyDescent="0.25">
      <c r="C1257" s="3"/>
      <c r="D1257" s="3"/>
      <c r="E1257" s="3"/>
      <c r="F1257" s="3"/>
      <c r="G1257" s="3"/>
      <c r="H1257" s="3"/>
      <c r="I1257" s="3"/>
      <c r="J1257" s="3"/>
      <c r="K1257" s="3"/>
      <c r="L1257" s="3"/>
      <c r="M1257" s="3"/>
      <c r="N1257" s="3"/>
      <c r="O1257" s="3"/>
      <c r="P1257" s="3"/>
      <c r="Q1257" s="3"/>
      <c r="R1257" s="111"/>
      <c r="S1257" s="111"/>
      <c r="T1257" s="111"/>
    </row>
    <row r="1258" spans="3:20" s="4" customFormat="1" x14ac:dyDescent="0.25">
      <c r="C1258" s="3"/>
      <c r="D1258" s="3"/>
      <c r="E1258" s="3"/>
      <c r="F1258" s="3"/>
      <c r="G1258" s="3"/>
      <c r="H1258" s="3"/>
      <c r="I1258" s="3"/>
      <c r="J1258" s="3"/>
      <c r="K1258" s="3"/>
      <c r="L1258" s="3"/>
      <c r="M1258" s="3"/>
      <c r="N1258" s="3"/>
      <c r="O1258" s="3"/>
      <c r="P1258" s="3"/>
      <c r="Q1258" s="3"/>
      <c r="R1258" s="111"/>
      <c r="S1258" s="111"/>
      <c r="T1258" s="111"/>
    </row>
    <row r="1259" spans="3:20" s="4" customFormat="1" x14ac:dyDescent="0.25">
      <c r="C1259" s="3"/>
      <c r="D1259" s="3"/>
      <c r="E1259" s="3"/>
      <c r="F1259" s="3"/>
      <c r="G1259" s="3"/>
      <c r="H1259" s="3"/>
      <c r="I1259" s="3"/>
      <c r="J1259" s="3"/>
      <c r="K1259" s="3"/>
      <c r="L1259" s="3"/>
      <c r="M1259" s="3"/>
      <c r="N1259" s="3"/>
      <c r="O1259" s="3"/>
      <c r="P1259" s="3"/>
      <c r="Q1259" s="3"/>
      <c r="R1259" s="111"/>
      <c r="S1259" s="111"/>
      <c r="T1259" s="111"/>
    </row>
    <row r="1260" spans="3:20" s="4" customFormat="1" x14ac:dyDescent="0.25">
      <c r="C1260" s="3"/>
      <c r="D1260" s="3"/>
      <c r="E1260" s="3"/>
      <c r="F1260" s="3"/>
      <c r="G1260" s="3"/>
      <c r="H1260" s="3"/>
      <c r="I1260" s="3"/>
      <c r="J1260" s="3"/>
      <c r="K1260" s="3"/>
      <c r="L1260" s="3"/>
      <c r="M1260" s="3"/>
      <c r="N1260" s="3"/>
      <c r="O1260" s="3"/>
      <c r="P1260" s="3"/>
      <c r="Q1260" s="3"/>
      <c r="R1260" s="111"/>
      <c r="S1260" s="111"/>
      <c r="T1260" s="111"/>
    </row>
    <row r="1261" spans="3:20" s="4" customFormat="1" x14ac:dyDescent="0.25">
      <c r="C1261" s="3"/>
      <c r="D1261" s="3"/>
      <c r="E1261" s="3"/>
      <c r="F1261" s="3"/>
      <c r="G1261" s="3"/>
      <c r="H1261" s="3"/>
      <c r="I1261" s="3"/>
      <c r="J1261" s="3"/>
      <c r="K1261" s="3"/>
      <c r="L1261" s="3"/>
      <c r="M1261" s="3"/>
      <c r="N1261" s="3"/>
      <c r="O1261" s="3"/>
      <c r="P1261" s="3"/>
      <c r="Q1261" s="3"/>
      <c r="R1261" s="111"/>
      <c r="S1261" s="111"/>
      <c r="T1261" s="111"/>
    </row>
    <row r="1262" spans="3:20" s="4" customFormat="1" x14ac:dyDescent="0.25">
      <c r="C1262" s="3"/>
      <c r="D1262" s="3"/>
      <c r="E1262" s="3"/>
      <c r="F1262" s="3"/>
      <c r="G1262" s="3"/>
      <c r="H1262" s="3"/>
      <c r="I1262" s="3"/>
      <c r="J1262" s="3"/>
      <c r="K1262" s="3"/>
      <c r="L1262" s="3"/>
      <c r="M1262" s="3"/>
      <c r="N1262" s="3"/>
      <c r="O1262" s="3"/>
      <c r="P1262" s="3"/>
      <c r="Q1262" s="3"/>
      <c r="R1262" s="111"/>
      <c r="S1262" s="111"/>
      <c r="T1262" s="111"/>
    </row>
    <row r="1263" spans="3:20" s="4" customFormat="1" x14ac:dyDescent="0.25">
      <c r="C1263" s="3"/>
      <c r="D1263" s="3"/>
      <c r="E1263" s="3"/>
      <c r="F1263" s="3"/>
      <c r="G1263" s="3"/>
      <c r="H1263" s="3"/>
      <c r="I1263" s="3"/>
      <c r="J1263" s="3"/>
      <c r="K1263" s="3"/>
      <c r="L1263" s="3"/>
      <c r="M1263" s="3"/>
      <c r="N1263" s="3"/>
      <c r="O1263" s="3"/>
      <c r="P1263" s="3"/>
      <c r="Q1263" s="3"/>
      <c r="R1263" s="111"/>
      <c r="S1263" s="111"/>
      <c r="T1263" s="111"/>
    </row>
    <row r="1264" spans="3:20" s="4" customFormat="1" x14ac:dyDescent="0.25">
      <c r="C1264" s="3"/>
      <c r="D1264" s="3"/>
      <c r="E1264" s="3"/>
      <c r="F1264" s="3"/>
      <c r="G1264" s="3"/>
      <c r="H1264" s="3"/>
      <c r="I1264" s="3"/>
      <c r="J1264" s="3"/>
      <c r="K1264" s="3"/>
      <c r="L1264" s="3"/>
      <c r="M1264" s="3"/>
      <c r="N1264" s="3"/>
      <c r="O1264" s="3"/>
      <c r="P1264" s="3"/>
      <c r="Q1264" s="3"/>
      <c r="R1264" s="111"/>
      <c r="S1264" s="111"/>
      <c r="T1264" s="111"/>
    </row>
    <row r="1265" spans="3:20" s="4" customFormat="1" x14ac:dyDescent="0.25">
      <c r="C1265" s="3"/>
      <c r="D1265" s="3"/>
      <c r="E1265" s="3"/>
      <c r="F1265" s="3"/>
      <c r="G1265" s="3"/>
      <c r="H1265" s="3"/>
      <c r="I1265" s="3"/>
      <c r="J1265" s="3"/>
      <c r="K1265" s="3"/>
      <c r="L1265" s="3"/>
      <c r="M1265" s="3"/>
      <c r="N1265" s="3"/>
      <c r="O1265" s="3"/>
      <c r="P1265" s="3"/>
      <c r="Q1265" s="3"/>
      <c r="R1265" s="111"/>
      <c r="S1265" s="111"/>
      <c r="T1265" s="111"/>
    </row>
    <row r="1266" spans="3:20" s="4" customFormat="1" x14ac:dyDescent="0.25">
      <c r="C1266" s="3"/>
      <c r="D1266" s="3"/>
      <c r="E1266" s="3"/>
      <c r="F1266" s="3"/>
      <c r="G1266" s="3"/>
      <c r="H1266" s="3"/>
      <c r="I1266" s="3"/>
      <c r="J1266" s="3"/>
      <c r="K1266" s="3"/>
      <c r="L1266" s="3"/>
      <c r="M1266" s="3"/>
      <c r="N1266" s="3"/>
      <c r="O1266" s="3"/>
      <c r="P1266" s="3"/>
      <c r="Q1266" s="3"/>
      <c r="R1266" s="111"/>
      <c r="S1266" s="111"/>
      <c r="T1266" s="111"/>
    </row>
    <row r="1267" spans="3:20" s="4" customFormat="1" x14ac:dyDescent="0.25">
      <c r="C1267" s="3"/>
      <c r="D1267" s="3"/>
      <c r="E1267" s="3"/>
      <c r="F1267" s="3"/>
      <c r="G1267" s="3"/>
      <c r="H1267" s="3"/>
      <c r="I1267" s="3"/>
      <c r="J1267" s="3"/>
      <c r="K1267" s="3"/>
      <c r="L1267" s="3"/>
      <c r="M1267" s="3"/>
      <c r="N1267" s="3"/>
      <c r="O1267" s="3"/>
      <c r="P1267" s="3"/>
      <c r="Q1267" s="3"/>
      <c r="R1267" s="111"/>
      <c r="S1267" s="111"/>
      <c r="T1267" s="111"/>
    </row>
    <row r="1268" spans="3:20" s="4" customFormat="1" x14ac:dyDescent="0.25">
      <c r="C1268" s="3"/>
      <c r="D1268" s="3"/>
      <c r="E1268" s="3"/>
      <c r="F1268" s="3"/>
      <c r="G1268" s="3"/>
      <c r="H1268" s="3"/>
      <c r="I1268" s="3"/>
      <c r="J1268" s="3"/>
      <c r="K1268" s="3"/>
      <c r="L1268" s="3"/>
      <c r="M1268" s="3"/>
      <c r="N1268" s="3"/>
      <c r="O1268" s="3"/>
      <c r="P1268" s="3"/>
      <c r="Q1268" s="3"/>
      <c r="R1268" s="111"/>
      <c r="S1268" s="111"/>
      <c r="T1268" s="111"/>
    </row>
    <row r="1269" spans="3:20" s="4" customFormat="1" x14ac:dyDescent="0.25">
      <c r="C1269" s="3"/>
      <c r="D1269" s="3"/>
      <c r="E1269" s="3"/>
      <c r="F1269" s="3"/>
      <c r="G1269" s="3"/>
      <c r="H1269" s="3"/>
      <c r="I1269" s="3"/>
      <c r="J1269" s="3"/>
      <c r="K1269" s="3"/>
      <c r="L1269" s="3"/>
      <c r="M1269" s="3"/>
      <c r="N1269" s="3"/>
      <c r="O1269" s="3"/>
      <c r="P1269" s="3"/>
      <c r="Q1269" s="3"/>
      <c r="R1269" s="111"/>
      <c r="S1269" s="111"/>
      <c r="T1269" s="111"/>
    </row>
    <row r="1270" spans="3:20" s="4" customFormat="1" x14ac:dyDescent="0.25">
      <c r="C1270" s="3"/>
      <c r="D1270" s="3"/>
      <c r="E1270" s="3"/>
      <c r="F1270" s="3"/>
      <c r="G1270" s="3"/>
      <c r="H1270" s="3"/>
      <c r="I1270" s="3"/>
      <c r="J1270" s="3"/>
      <c r="K1270" s="3"/>
      <c r="L1270" s="3"/>
      <c r="M1270" s="3"/>
      <c r="N1270" s="3"/>
      <c r="O1270" s="3"/>
      <c r="P1270" s="3"/>
      <c r="Q1270" s="3"/>
      <c r="R1270" s="111"/>
      <c r="S1270" s="111"/>
      <c r="T1270" s="111"/>
    </row>
    <row r="1271" spans="3:20" s="4" customFormat="1" x14ac:dyDescent="0.25">
      <c r="C1271" s="3"/>
      <c r="D1271" s="3"/>
      <c r="E1271" s="3"/>
      <c r="F1271" s="3"/>
      <c r="G1271" s="3"/>
      <c r="H1271" s="3"/>
      <c r="I1271" s="3"/>
      <c r="J1271" s="3"/>
      <c r="K1271" s="3"/>
      <c r="L1271" s="3"/>
      <c r="M1271" s="3"/>
      <c r="N1271" s="3"/>
      <c r="O1271" s="3"/>
      <c r="P1271" s="3"/>
      <c r="Q1271" s="3"/>
      <c r="R1271" s="111"/>
      <c r="S1271" s="111"/>
      <c r="T1271" s="111"/>
    </row>
    <row r="1272" spans="3:20" s="4" customFormat="1" x14ac:dyDescent="0.25">
      <c r="C1272" s="3"/>
      <c r="D1272" s="3"/>
      <c r="E1272" s="3"/>
      <c r="F1272" s="3"/>
      <c r="G1272" s="3"/>
      <c r="H1272" s="3"/>
      <c r="I1272" s="3"/>
      <c r="J1272" s="3"/>
      <c r="K1272" s="3"/>
      <c r="L1272" s="3"/>
      <c r="M1272" s="3"/>
      <c r="N1272" s="3"/>
      <c r="O1272" s="3"/>
      <c r="P1272" s="3"/>
      <c r="Q1272" s="3"/>
      <c r="R1272" s="111"/>
      <c r="S1272" s="111"/>
      <c r="T1272" s="111"/>
    </row>
    <row r="1273" spans="3:20" s="4" customFormat="1" x14ac:dyDescent="0.25">
      <c r="C1273" s="3"/>
      <c r="D1273" s="3"/>
      <c r="E1273" s="3"/>
      <c r="F1273" s="3"/>
      <c r="G1273" s="3"/>
      <c r="H1273" s="3"/>
      <c r="I1273" s="3"/>
      <c r="J1273" s="3"/>
      <c r="K1273" s="3"/>
      <c r="L1273" s="3"/>
      <c r="M1273" s="3"/>
      <c r="N1273" s="3"/>
      <c r="O1273" s="3"/>
      <c r="P1273" s="3"/>
      <c r="Q1273" s="3"/>
      <c r="R1273" s="111"/>
      <c r="S1273" s="111"/>
      <c r="T1273" s="111"/>
    </row>
    <row r="1274" spans="3:20" s="4" customFormat="1" x14ac:dyDescent="0.25">
      <c r="C1274" s="3"/>
      <c r="D1274" s="3"/>
      <c r="E1274" s="3"/>
      <c r="F1274" s="3"/>
      <c r="G1274" s="3"/>
      <c r="H1274" s="3"/>
      <c r="I1274" s="3"/>
      <c r="J1274" s="3"/>
      <c r="K1274" s="3"/>
      <c r="L1274" s="3"/>
      <c r="M1274" s="3"/>
      <c r="N1274" s="3"/>
      <c r="O1274" s="3"/>
      <c r="P1274" s="3"/>
      <c r="Q1274" s="3"/>
      <c r="R1274" s="111"/>
      <c r="S1274" s="111"/>
      <c r="T1274" s="111"/>
    </row>
    <row r="1275" spans="3:20" s="4" customFormat="1" x14ac:dyDescent="0.25">
      <c r="C1275" s="3"/>
      <c r="D1275" s="3"/>
      <c r="E1275" s="3"/>
      <c r="F1275" s="3"/>
      <c r="G1275" s="3"/>
      <c r="H1275" s="3"/>
      <c r="I1275" s="3"/>
      <c r="J1275" s="3"/>
      <c r="K1275" s="3"/>
      <c r="L1275" s="3"/>
      <c r="M1275" s="3"/>
      <c r="N1275" s="3"/>
      <c r="O1275" s="3"/>
      <c r="P1275" s="3"/>
      <c r="Q1275" s="3"/>
      <c r="R1275" s="111"/>
      <c r="S1275" s="111"/>
      <c r="T1275" s="111"/>
    </row>
    <row r="1276" spans="3:20" s="4" customFormat="1" x14ac:dyDescent="0.25">
      <c r="C1276" s="3"/>
      <c r="D1276" s="3"/>
      <c r="E1276" s="3"/>
      <c r="F1276" s="3"/>
      <c r="G1276" s="3"/>
      <c r="H1276" s="3"/>
      <c r="I1276" s="3"/>
      <c r="J1276" s="3"/>
      <c r="K1276" s="3"/>
      <c r="L1276" s="3"/>
      <c r="M1276" s="3"/>
      <c r="N1276" s="3"/>
      <c r="O1276" s="3"/>
      <c r="P1276" s="3"/>
      <c r="Q1276" s="3"/>
      <c r="R1276" s="111"/>
      <c r="S1276" s="111"/>
      <c r="T1276" s="111"/>
    </row>
    <row r="1277" spans="3:20" s="4" customFormat="1" x14ac:dyDescent="0.25">
      <c r="C1277" s="3"/>
      <c r="D1277" s="3"/>
      <c r="E1277" s="3"/>
      <c r="F1277" s="3"/>
      <c r="G1277" s="3"/>
      <c r="H1277" s="3"/>
      <c r="I1277" s="3"/>
      <c r="J1277" s="3"/>
      <c r="K1277" s="3"/>
      <c r="L1277" s="3"/>
      <c r="M1277" s="3"/>
      <c r="N1277" s="3"/>
      <c r="O1277" s="3"/>
      <c r="P1277" s="3"/>
      <c r="Q1277" s="3"/>
      <c r="R1277" s="111"/>
      <c r="S1277" s="111"/>
      <c r="T1277" s="111"/>
    </row>
    <row r="1278" spans="3:20" s="4" customFormat="1" x14ac:dyDescent="0.25">
      <c r="C1278" s="3"/>
      <c r="D1278" s="3"/>
      <c r="E1278" s="3"/>
      <c r="F1278" s="3"/>
      <c r="G1278" s="3"/>
      <c r="H1278" s="3"/>
      <c r="I1278" s="3"/>
      <c r="J1278" s="3"/>
      <c r="K1278" s="3"/>
      <c r="L1278" s="3"/>
      <c r="M1278" s="3"/>
      <c r="N1278" s="3"/>
      <c r="O1278" s="3"/>
      <c r="P1278" s="3"/>
      <c r="Q1278" s="3"/>
      <c r="R1278" s="111"/>
      <c r="S1278" s="111"/>
      <c r="T1278" s="111"/>
    </row>
    <row r="1279" spans="3:20" s="4" customFormat="1" x14ac:dyDescent="0.25">
      <c r="C1279" s="3"/>
      <c r="D1279" s="3"/>
      <c r="E1279" s="3"/>
      <c r="F1279" s="3"/>
      <c r="G1279" s="3"/>
      <c r="H1279" s="3"/>
      <c r="I1279" s="3"/>
      <c r="J1279" s="3"/>
      <c r="K1279" s="3"/>
      <c r="L1279" s="3"/>
      <c r="M1279" s="3"/>
      <c r="N1279" s="3"/>
      <c r="O1279" s="3"/>
      <c r="P1279" s="3"/>
      <c r="Q1279" s="3"/>
      <c r="R1279" s="111"/>
      <c r="S1279" s="111"/>
      <c r="T1279" s="111"/>
    </row>
    <row r="1280" spans="3:20" s="4" customFormat="1" x14ac:dyDescent="0.25">
      <c r="C1280" s="3"/>
      <c r="D1280" s="3"/>
      <c r="E1280" s="3"/>
      <c r="F1280" s="3"/>
      <c r="G1280" s="3"/>
      <c r="H1280" s="3"/>
      <c r="I1280" s="3"/>
      <c r="J1280" s="3"/>
      <c r="K1280" s="3"/>
      <c r="L1280" s="3"/>
      <c r="M1280" s="3"/>
      <c r="N1280" s="3"/>
      <c r="O1280" s="3"/>
      <c r="P1280" s="3"/>
      <c r="Q1280" s="3"/>
      <c r="R1280" s="111"/>
      <c r="S1280" s="111"/>
      <c r="T1280" s="111"/>
    </row>
    <row r="1281" spans="3:20" s="4" customFormat="1" x14ac:dyDescent="0.25">
      <c r="C1281" s="3"/>
      <c r="D1281" s="3"/>
      <c r="E1281" s="3"/>
      <c r="F1281" s="3"/>
      <c r="G1281" s="3"/>
      <c r="H1281" s="3"/>
      <c r="I1281" s="3"/>
      <c r="J1281" s="3"/>
      <c r="K1281" s="3"/>
      <c r="L1281" s="3"/>
      <c r="M1281" s="3"/>
      <c r="N1281" s="3"/>
      <c r="O1281" s="3"/>
      <c r="P1281" s="3"/>
      <c r="Q1281" s="3"/>
      <c r="R1281" s="111"/>
      <c r="S1281" s="111"/>
      <c r="T1281" s="111"/>
    </row>
    <row r="1282" spans="3:20" s="4" customFormat="1" x14ac:dyDescent="0.25">
      <c r="C1282" s="3"/>
      <c r="D1282" s="3"/>
      <c r="E1282" s="3"/>
      <c r="F1282" s="3"/>
      <c r="G1282" s="3"/>
      <c r="H1282" s="3"/>
      <c r="I1282" s="3"/>
      <c r="J1282" s="3"/>
      <c r="K1282" s="3"/>
      <c r="L1282" s="3"/>
      <c r="M1282" s="3"/>
      <c r="N1282" s="3"/>
      <c r="O1282" s="3"/>
      <c r="P1282" s="3"/>
      <c r="Q1282" s="3"/>
      <c r="R1282" s="111"/>
      <c r="S1282" s="111"/>
      <c r="T1282" s="111"/>
    </row>
    <row r="1283" spans="3:20" s="4" customFormat="1" x14ac:dyDescent="0.25">
      <c r="C1283" s="3"/>
      <c r="D1283" s="3"/>
      <c r="E1283" s="3"/>
      <c r="F1283" s="3"/>
      <c r="G1283" s="3"/>
      <c r="H1283" s="3"/>
      <c r="I1283" s="3"/>
      <c r="J1283" s="3"/>
      <c r="K1283" s="3"/>
      <c r="L1283" s="3"/>
      <c r="M1283" s="3"/>
      <c r="N1283" s="3"/>
      <c r="O1283" s="3"/>
      <c r="P1283" s="3"/>
      <c r="Q1283" s="3"/>
      <c r="R1283" s="111"/>
      <c r="S1283" s="111"/>
      <c r="T1283" s="111"/>
    </row>
    <row r="1284" spans="3:20" s="4" customFormat="1" x14ac:dyDescent="0.25">
      <c r="C1284" s="3"/>
      <c r="D1284" s="3"/>
      <c r="E1284" s="3"/>
      <c r="F1284" s="3"/>
      <c r="G1284" s="3"/>
      <c r="H1284" s="3"/>
      <c r="I1284" s="3"/>
      <c r="J1284" s="3"/>
      <c r="K1284" s="3"/>
      <c r="L1284" s="3"/>
      <c r="M1284" s="3"/>
      <c r="N1284" s="3"/>
      <c r="O1284" s="3"/>
      <c r="P1284" s="3"/>
      <c r="Q1284" s="3"/>
      <c r="R1284" s="111"/>
      <c r="S1284" s="111"/>
      <c r="T1284" s="111"/>
    </row>
    <row r="1285" spans="3:20" s="4" customFormat="1" x14ac:dyDescent="0.25">
      <c r="C1285" s="3"/>
      <c r="D1285" s="3"/>
      <c r="E1285" s="3"/>
      <c r="F1285" s="3"/>
      <c r="G1285" s="3"/>
      <c r="H1285" s="3"/>
      <c r="I1285" s="3"/>
      <c r="J1285" s="3"/>
      <c r="K1285" s="3"/>
      <c r="L1285" s="3"/>
      <c r="M1285" s="3"/>
      <c r="N1285" s="3"/>
      <c r="O1285" s="3"/>
      <c r="P1285" s="3"/>
      <c r="Q1285" s="3"/>
      <c r="R1285" s="111"/>
      <c r="S1285" s="111"/>
      <c r="T1285" s="111"/>
    </row>
    <row r="1286" spans="3:20" s="4" customFormat="1" x14ac:dyDescent="0.25">
      <c r="C1286" s="3"/>
      <c r="D1286" s="3"/>
      <c r="E1286" s="3"/>
      <c r="F1286" s="3"/>
      <c r="G1286" s="3"/>
      <c r="H1286" s="3"/>
      <c r="I1286" s="3"/>
      <c r="J1286" s="3"/>
      <c r="K1286" s="3"/>
      <c r="L1286" s="3"/>
      <c r="M1286" s="3"/>
      <c r="N1286" s="3"/>
      <c r="O1286" s="3"/>
      <c r="P1286" s="3"/>
      <c r="Q1286" s="3"/>
      <c r="R1286" s="111"/>
      <c r="S1286" s="111"/>
      <c r="T1286" s="111"/>
    </row>
    <row r="1287" spans="3:20" s="4" customFormat="1" x14ac:dyDescent="0.25">
      <c r="C1287" s="3"/>
      <c r="D1287" s="3"/>
      <c r="E1287" s="3"/>
      <c r="F1287" s="3"/>
      <c r="G1287" s="3"/>
      <c r="H1287" s="3"/>
      <c r="I1287" s="3"/>
      <c r="J1287" s="3"/>
      <c r="K1287" s="3"/>
      <c r="L1287" s="3"/>
      <c r="M1287" s="3"/>
      <c r="N1287" s="3"/>
      <c r="O1287" s="3"/>
      <c r="P1287" s="3"/>
      <c r="Q1287" s="3"/>
      <c r="R1287" s="111"/>
      <c r="S1287" s="111"/>
      <c r="T1287" s="111"/>
    </row>
    <row r="1288" spans="3:20" s="4" customFormat="1" x14ac:dyDescent="0.25">
      <c r="C1288" s="3"/>
      <c r="D1288" s="3"/>
      <c r="E1288" s="3"/>
      <c r="F1288" s="3"/>
      <c r="G1288" s="3"/>
      <c r="H1288" s="3"/>
      <c r="I1288" s="3"/>
      <c r="J1288" s="3"/>
      <c r="K1288" s="3"/>
      <c r="L1288" s="3"/>
      <c r="M1288" s="3"/>
      <c r="N1288" s="3"/>
      <c r="O1288" s="3"/>
      <c r="P1288" s="3"/>
      <c r="Q1288" s="3"/>
      <c r="R1288" s="111"/>
      <c r="S1288" s="111"/>
      <c r="T1288" s="111"/>
    </row>
    <row r="1289" spans="3:20" s="4" customFormat="1" x14ac:dyDescent="0.25">
      <c r="C1289" s="3"/>
      <c r="D1289" s="3"/>
      <c r="E1289" s="3"/>
      <c r="F1289" s="3"/>
      <c r="G1289" s="3"/>
      <c r="H1289" s="3"/>
      <c r="I1289" s="3"/>
      <c r="J1289" s="3"/>
      <c r="K1289" s="3"/>
      <c r="L1289" s="3"/>
      <c r="M1289" s="3"/>
      <c r="N1289" s="3"/>
      <c r="O1289" s="3"/>
      <c r="P1289" s="3"/>
      <c r="Q1289" s="3"/>
      <c r="R1289" s="111"/>
      <c r="S1289" s="111"/>
      <c r="T1289" s="111"/>
    </row>
    <row r="1290" spans="3:20" s="4" customFormat="1" x14ac:dyDescent="0.25">
      <c r="C1290" s="3"/>
      <c r="D1290" s="3"/>
      <c r="E1290" s="3"/>
      <c r="F1290" s="3"/>
      <c r="G1290" s="3"/>
      <c r="H1290" s="3"/>
      <c r="I1290" s="3"/>
      <c r="J1290" s="3"/>
      <c r="K1290" s="3"/>
      <c r="L1290" s="3"/>
      <c r="M1290" s="3"/>
      <c r="N1290" s="3"/>
      <c r="O1290" s="3"/>
      <c r="P1290" s="3"/>
      <c r="Q1290" s="3"/>
      <c r="R1290" s="111"/>
      <c r="S1290" s="111"/>
      <c r="T1290" s="111"/>
    </row>
    <row r="1291" spans="3:20" s="4" customFormat="1" x14ac:dyDescent="0.25">
      <c r="C1291" s="3"/>
      <c r="D1291" s="3"/>
      <c r="E1291" s="3"/>
      <c r="F1291" s="3"/>
      <c r="G1291" s="3"/>
      <c r="H1291" s="3"/>
      <c r="I1291" s="3"/>
      <c r="J1291" s="3"/>
      <c r="K1291" s="3"/>
      <c r="L1291" s="3"/>
      <c r="M1291" s="3"/>
      <c r="N1291" s="3"/>
      <c r="O1291" s="3"/>
      <c r="P1291" s="3"/>
      <c r="Q1291" s="3"/>
      <c r="R1291" s="111"/>
      <c r="S1291" s="111"/>
      <c r="T1291" s="111"/>
    </row>
    <row r="1292" spans="3:20" s="4" customFormat="1" x14ac:dyDescent="0.25">
      <c r="C1292" s="3"/>
      <c r="D1292" s="3"/>
      <c r="E1292" s="3"/>
      <c r="F1292" s="3"/>
      <c r="G1292" s="3"/>
      <c r="H1292" s="3"/>
      <c r="I1292" s="3"/>
      <c r="J1292" s="3"/>
      <c r="K1292" s="3"/>
      <c r="L1292" s="3"/>
      <c r="M1292" s="3"/>
      <c r="N1292" s="3"/>
      <c r="O1292" s="3"/>
      <c r="P1292" s="3"/>
      <c r="Q1292" s="3"/>
      <c r="R1292" s="111"/>
      <c r="S1292" s="111"/>
      <c r="T1292" s="111"/>
    </row>
    <row r="1293" spans="3:20" s="4" customFormat="1" x14ac:dyDescent="0.25">
      <c r="C1293" s="3"/>
      <c r="D1293" s="3"/>
      <c r="E1293" s="3"/>
      <c r="F1293" s="3"/>
      <c r="G1293" s="3"/>
      <c r="H1293" s="3"/>
      <c r="I1293" s="3"/>
      <c r="J1293" s="3"/>
      <c r="K1293" s="3"/>
      <c r="L1293" s="3"/>
      <c r="M1293" s="3"/>
      <c r="N1293" s="3"/>
      <c r="O1293" s="3"/>
      <c r="P1293" s="3"/>
      <c r="Q1293" s="3"/>
      <c r="R1293" s="111"/>
      <c r="S1293" s="111"/>
      <c r="T1293" s="111"/>
    </row>
    <row r="1294" spans="3:20" s="4" customFormat="1" x14ac:dyDescent="0.25">
      <c r="C1294" s="3"/>
      <c r="D1294" s="3"/>
      <c r="E1294" s="3"/>
      <c r="F1294" s="3"/>
      <c r="G1294" s="3"/>
      <c r="H1294" s="3"/>
      <c r="I1294" s="3"/>
      <c r="J1294" s="3"/>
      <c r="K1294" s="3"/>
      <c r="L1294" s="3"/>
      <c r="M1294" s="3"/>
      <c r="N1294" s="3"/>
      <c r="O1294" s="3"/>
      <c r="P1294" s="3"/>
      <c r="Q1294" s="3"/>
      <c r="R1294" s="111"/>
      <c r="S1294" s="111"/>
      <c r="T1294" s="111"/>
    </row>
    <row r="1295" spans="3:20" s="4" customFormat="1" x14ac:dyDescent="0.25">
      <c r="C1295" s="3"/>
      <c r="D1295" s="3"/>
      <c r="E1295" s="3"/>
      <c r="F1295" s="3"/>
      <c r="G1295" s="3"/>
      <c r="H1295" s="3"/>
      <c r="I1295" s="3"/>
      <c r="J1295" s="3"/>
      <c r="K1295" s="3"/>
      <c r="L1295" s="3"/>
      <c r="M1295" s="3"/>
      <c r="N1295" s="3"/>
      <c r="O1295" s="3"/>
      <c r="P1295" s="3"/>
      <c r="Q1295" s="3"/>
      <c r="R1295" s="111"/>
      <c r="S1295" s="111"/>
      <c r="T1295" s="111"/>
    </row>
    <row r="1296" spans="3:20" s="4" customFormat="1" x14ac:dyDescent="0.25">
      <c r="C1296" s="3"/>
      <c r="D1296" s="3"/>
      <c r="E1296" s="3"/>
      <c r="F1296" s="3"/>
      <c r="G1296" s="3"/>
      <c r="H1296" s="3"/>
      <c r="I1296" s="3"/>
      <c r="J1296" s="3"/>
      <c r="K1296" s="3"/>
      <c r="L1296" s="3"/>
      <c r="M1296" s="3"/>
      <c r="N1296" s="3"/>
      <c r="O1296" s="3"/>
      <c r="P1296" s="3"/>
      <c r="Q1296" s="3"/>
      <c r="R1296" s="111"/>
      <c r="S1296" s="111"/>
      <c r="T1296" s="111"/>
    </row>
    <row r="1297" spans="3:20" s="4" customFormat="1" x14ac:dyDescent="0.25">
      <c r="C1297" s="3"/>
      <c r="D1297" s="3"/>
      <c r="E1297" s="3"/>
      <c r="F1297" s="3"/>
      <c r="G1297" s="3"/>
      <c r="H1297" s="3"/>
      <c r="I1297" s="3"/>
      <c r="J1297" s="3"/>
      <c r="K1297" s="3"/>
      <c r="L1297" s="3"/>
      <c r="M1297" s="3"/>
      <c r="N1297" s="3"/>
      <c r="O1297" s="3"/>
      <c r="P1297" s="3"/>
      <c r="Q1297" s="3"/>
      <c r="R1297" s="111"/>
      <c r="S1297" s="111"/>
      <c r="T1297" s="111"/>
    </row>
    <row r="1298" spans="3:20" s="4" customFormat="1" x14ac:dyDescent="0.25">
      <c r="C1298" s="3"/>
      <c r="D1298" s="3"/>
      <c r="E1298" s="3"/>
      <c r="F1298" s="3"/>
      <c r="G1298" s="3"/>
      <c r="H1298" s="3"/>
      <c r="I1298" s="3"/>
      <c r="J1298" s="3"/>
      <c r="K1298" s="3"/>
      <c r="L1298" s="3"/>
      <c r="M1298" s="3"/>
      <c r="N1298" s="3"/>
      <c r="O1298" s="3"/>
      <c r="P1298" s="3"/>
      <c r="Q1298" s="3"/>
      <c r="R1298" s="111"/>
      <c r="S1298" s="111"/>
      <c r="T1298" s="111"/>
    </row>
    <row r="1299" spans="3:20" s="4" customFormat="1" x14ac:dyDescent="0.25">
      <c r="C1299" s="3"/>
      <c r="D1299" s="3"/>
      <c r="E1299" s="3"/>
      <c r="F1299" s="3"/>
      <c r="G1299" s="3"/>
      <c r="H1299" s="3"/>
      <c r="I1299" s="3"/>
      <c r="J1299" s="3"/>
      <c r="K1299" s="3"/>
      <c r="L1299" s="3"/>
      <c r="M1299" s="3"/>
      <c r="N1299" s="3"/>
      <c r="O1299" s="3"/>
      <c r="P1299" s="3"/>
      <c r="Q1299" s="3"/>
      <c r="R1299" s="111"/>
      <c r="S1299" s="111"/>
      <c r="T1299" s="111"/>
    </row>
    <row r="1300" spans="3:20" s="4" customFormat="1" x14ac:dyDescent="0.25">
      <c r="C1300" s="3"/>
      <c r="D1300" s="3"/>
      <c r="E1300" s="3"/>
      <c r="F1300" s="3"/>
      <c r="G1300" s="3"/>
      <c r="H1300" s="3"/>
      <c r="I1300" s="3"/>
      <c r="J1300" s="3"/>
      <c r="K1300" s="3"/>
      <c r="L1300" s="3"/>
      <c r="M1300" s="3"/>
      <c r="N1300" s="3"/>
      <c r="O1300" s="3"/>
      <c r="P1300" s="3"/>
      <c r="Q1300" s="3"/>
      <c r="R1300" s="111"/>
      <c r="S1300" s="111"/>
      <c r="T1300" s="111"/>
    </row>
    <row r="1301" spans="3:20" s="4" customFormat="1" x14ac:dyDescent="0.25">
      <c r="C1301" s="3"/>
      <c r="D1301" s="3"/>
      <c r="E1301" s="3"/>
      <c r="F1301" s="3"/>
      <c r="G1301" s="3"/>
      <c r="H1301" s="3"/>
      <c r="I1301" s="3"/>
      <c r="J1301" s="3"/>
      <c r="K1301" s="3"/>
      <c r="L1301" s="3"/>
      <c r="M1301" s="3"/>
      <c r="N1301" s="3"/>
      <c r="O1301" s="3"/>
      <c r="P1301" s="3"/>
      <c r="Q1301" s="3"/>
      <c r="R1301" s="111"/>
      <c r="S1301" s="111"/>
      <c r="T1301" s="111"/>
    </row>
    <row r="1302" spans="3:20" s="4" customFormat="1" x14ac:dyDescent="0.25">
      <c r="C1302" s="3"/>
      <c r="D1302" s="3"/>
      <c r="E1302" s="3"/>
      <c r="F1302" s="3"/>
      <c r="G1302" s="3"/>
      <c r="H1302" s="3"/>
      <c r="I1302" s="3"/>
      <c r="J1302" s="3"/>
      <c r="K1302" s="3"/>
      <c r="L1302" s="3"/>
      <c r="M1302" s="3"/>
      <c r="N1302" s="3"/>
      <c r="O1302" s="3"/>
      <c r="P1302" s="3"/>
      <c r="Q1302" s="3"/>
      <c r="R1302" s="111"/>
      <c r="S1302" s="111"/>
      <c r="T1302" s="111"/>
    </row>
    <row r="1303" spans="3:20" s="4" customFormat="1" x14ac:dyDescent="0.25">
      <c r="C1303" s="3"/>
      <c r="D1303" s="3"/>
      <c r="E1303" s="3"/>
      <c r="F1303" s="3"/>
      <c r="G1303" s="3"/>
      <c r="H1303" s="3"/>
      <c r="I1303" s="3"/>
      <c r="J1303" s="3"/>
      <c r="K1303" s="3"/>
      <c r="L1303" s="3"/>
      <c r="M1303" s="3"/>
      <c r="N1303" s="3"/>
      <c r="O1303" s="3"/>
      <c r="P1303" s="3"/>
      <c r="Q1303" s="3"/>
      <c r="R1303" s="111"/>
      <c r="S1303" s="111"/>
      <c r="T1303" s="111"/>
    </row>
    <row r="1304" spans="3:20" s="4" customFormat="1" x14ac:dyDescent="0.25">
      <c r="C1304" s="3"/>
      <c r="D1304" s="3"/>
      <c r="E1304" s="3"/>
      <c r="F1304" s="3"/>
      <c r="G1304" s="3"/>
      <c r="H1304" s="3"/>
      <c r="I1304" s="3"/>
      <c r="J1304" s="3"/>
      <c r="K1304" s="3"/>
      <c r="L1304" s="3"/>
      <c r="M1304" s="3"/>
      <c r="N1304" s="3"/>
      <c r="O1304" s="3"/>
      <c r="P1304" s="3"/>
      <c r="Q1304" s="3"/>
      <c r="R1304" s="111"/>
      <c r="S1304" s="111"/>
      <c r="T1304" s="111"/>
    </row>
    <row r="1305" spans="3:20" s="4" customFormat="1" x14ac:dyDescent="0.25">
      <c r="C1305" s="3"/>
      <c r="D1305" s="3"/>
      <c r="E1305" s="3"/>
      <c r="F1305" s="3"/>
      <c r="G1305" s="3"/>
      <c r="H1305" s="3"/>
      <c r="I1305" s="3"/>
      <c r="J1305" s="3"/>
      <c r="K1305" s="3"/>
      <c r="L1305" s="3"/>
      <c r="M1305" s="3"/>
      <c r="N1305" s="3"/>
      <c r="O1305" s="3"/>
      <c r="P1305" s="3"/>
      <c r="Q1305" s="3"/>
      <c r="R1305" s="111"/>
      <c r="S1305" s="111"/>
      <c r="T1305" s="111"/>
    </row>
    <row r="1306" spans="3:20" s="4" customFormat="1" x14ac:dyDescent="0.25">
      <c r="C1306" s="3"/>
      <c r="D1306" s="3"/>
      <c r="E1306" s="3"/>
      <c r="F1306" s="3"/>
      <c r="G1306" s="3"/>
      <c r="H1306" s="3"/>
      <c r="I1306" s="3"/>
      <c r="J1306" s="3"/>
      <c r="K1306" s="3"/>
      <c r="L1306" s="3"/>
      <c r="M1306" s="3"/>
      <c r="N1306" s="3"/>
      <c r="O1306" s="3"/>
      <c r="P1306" s="3"/>
      <c r="Q1306" s="3"/>
      <c r="R1306" s="111"/>
      <c r="S1306" s="111"/>
      <c r="T1306" s="111"/>
    </row>
    <row r="1307" spans="3:20" s="4" customFormat="1" x14ac:dyDescent="0.25">
      <c r="C1307" s="3"/>
      <c r="D1307" s="3"/>
      <c r="E1307" s="3"/>
      <c r="F1307" s="3"/>
      <c r="G1307" s="3"/>
      <c r="H1307" s="3"/>
      <c r="I1307" s="3"/>
      <c r="J1307" s="3"/>
      <c r="K1307" s="3"/>
      <c r="L1307" s="3"/>
      <c r="M1307" s="3"/>
      <c r="N1307" s="3"/>
      <c r="O1307" s="3"/>
      <c r="P1307" s="3"/>
      <c r="Q1307" s="3"/>
      <c r="R1307" s="111"/>
      <c r="S1307" s="111"/>
      <c r="T1307" s="111"/>
    </row>
    <row r="1308" spans="3:20" s="4" customFormat="1" x14ac:dyDescent="0.25">
      <c r="C1308" s="3"/>
      <c r="D1308" s="3"/>
      <c r="E1308" s="3"/>
      <c r="F1308" s="3"/>
      <c r="G1308" s="3"/>
      <c r="H1308" s="3"/>
      <c r="I1308" s="3"/>
      <c r="J1308" s="3"/>
      <c r="K1308" s="3"/>
      <c r="L1308" s="3"/>
      <c r="M1308" s="3"/>
      <c r="N1308" s="3"/>
      <c r="O1308" s="3"/>
      <c r="P1308" s="3"/>
      <c r="Q1308" s="3"/>
      <c r="R1308" s="111"/>
      <c r="S1308" s="111"/>
      <c r="T1308" s="111"/>
    </row>
    <row r="1309" spans="3:20" s="4" customFormat="1" x14ac:dyDescent="0.25">
      <c r="C1309" s="3"/>
      <c r="D1309" s="3"/>
      <c r="E1309" s="3"/>
      <c r="F1309" s="3"/>
      <c r="G1309" s="3"/>
      <c r="H1309" s="3"/>
      <c r="I1309" s="3"/>
      <c r="J1309" s="3"/>
      <c r="K1309" s="3"/>
      <c r="L1309" s="3"/>
      <c r="M1309" s="3"/>
      <c r="N1309" s="3"/>
      <c r="O1309" s="3"/>
      <c r="P1309" s="3"/>
      <c r="Q1309" s="3"/>
      <c r="R1309" s="111"/>
      <c r="S1309" s="111"/>
      <c r="T1309" s="111"/>
    </row>
    <row r="1310" spans="3:20" s="4" customFormat="1" x14ac:dyDescent="0.25">
      <c r="C1310" s="3"/>
      <c r="D1310" s="3"/>
      <c r="E1310" s="3"/>
      <c r="F1310" s="3"/>
      <c r="G1310" s="3"/>
      <c r="H1310" s="3"/>
      <c r="I1310" s="3"/>
      <c r="J1310" s="3"/>
      <c r="K1310" s="3"/>
      <c r="L1310" s="3"/>
      <c r="M1310" s="3"/>
      <c r="N1310" s="3"/>
      <c r="O1310" s="3"/>
      <c r="P1310" s="3"/>
      <c r="Q1310" s="3"/>
      <c r="R1310" s="111"/>
      <c r="S1310" s="111"/>
      <c r="T1310" s="111"/>
    </row>
    <row r="1311" spans="3:20" s="4" customFormat="1" x14ac:dyDescent="0.25">
      <c r="C1311" s="3"/>
      <c r="D1311" s="3"/>
      <c r="E1311" s="3"/>
      <c r="F1311" s="3"/>
      <c r="G1311" s="3"/>
      <c r="H1311" s="3"/>
      <c r="I1311" s="3"/>
      <c r="J1311" s="3"/>
      <c r="K1311" s="3"/>
      <c r="L1311" s="3"/>
      <c r="M1311" s="3"/>
      <c r="N1311" s="3"/>
      <c r="O1311" s="3"/>
      <c r="P1311" s="3"/>
      <c r="Q1311" s="3"/>
      <c r="R1311" s="111"/>
      <c r="S1311" s="111"/>
      <c r="T1311" s="111"/>
    </row>
    <row r="1312" spans="3:20" s="4" customFormat="1" x14ac:dyDescent="0.25">
      <c r="C1312" s="3"/>
      <c r="D1312" s="3"/>
      <c r="E1312" s="3"/>
      <c r="F1312" s="3"/>
      <c r="G1312" s="3"/>
      <c r="H1312" s="3"/>
      <c r="I1312" s="3"/>
      <c r="J1312" s="3"/>
      <c r="K1312" s="3"/>
      <c r="L1312" s="3"/>
      <c r="M1312" s="3"/>
      <c r="N1312" s="3"/>
      <c r="O1312" s="3"/>
      <c r="P1312" s="3"/>
      <c r="Q1312" s="3"/>
      <c r="R1312" s="111"/>
      <c r="S1312" s="111"/>
      <c r="T1312" s="111"/>
    </row>
    <row r="1313" spans="3:20" s="4" customFormat="1" x14ac:dyDescent="0.25">
      <c r="C1313" s="3"/>
      <c r="D1313" s="3"/>
      <c r="E1313" s="3"/>
      <c r="F1313" s="3"/>
      <c r="G1313" s="3"/>
      <c r="H1313" s="3"/>
      <c r="I1313" s="3"/>
      <c r="J1313" s="3"/>
      <c r="K1313" s="3"/>
      <c r="L1313" s="3"/>
      <c r="M1313" s="3"/>
      <c r="N1313" s="3"/>
      <c r="O1313" s="3"/>
      <c r="P1313" s="3"/>
      <c r="Q1313" s="3"/>
      <c r="R1313" s="111"/>
      <c r="S1313" s="111"/>
      <c r="T1313" s="111"/>
    </row>
    <row r="1314" spans="3:20" s="4" customFormat="1" x14ac:dyDescent="0.25">
      <c r="C1314" s="3"/>
      <c r="D1314" s="3"/>
      <c r="E1314" s="3"/>
      <c r="F1314" s="3"/>
      <c r="G1314" s="3"/>
      <c r="H1314" s="3"/>
      <c r="I1314" s="3"/>
      <c r="J1314" s="3"/>
      <c r="K1314" s="3"/>
      <c r="L1314" s="3"/>
      <c r="M1314" s="3"/>
      <c r="N1314" s="3"/>
      <c r="O1314" s="3"/>
      <c r="P1314" s="3"/>
      <c r="Q1314" s="3"/>
      <c r="R1314" s="111"/>
      <c r="S1314" s="111"/>
      <c r="T1314" s="111"/>
    </row>
    <row r="1315" spans="3:20" s="4" customFormat="1" x14ac:dyDescent="0.25">
      <c r="C1315" s="3"/>
      <c r="D1315" s="3"/>
      <c r="E1315" s="3"/>
      <c r="F1315" s="3"/>
      <c r="G1315" s="3"/>
      <c r="H1315" s="3"/>
      <c r="I1315" s="3"/>
      <c r="J1315" s="3"/>
      <c r="K1315" s="3"/>
      <c r="L1315" s="3"/>
      <c r="M1315" s="3"/>
      <c r="N1315" s="3"/>
      <c r="O1315" s="3"/>
      <c r="P1315" s="3"/>
      <c r="Q1315" s="3"/>
      <c r="R1315" s="111"/>
      <c r="S1315" s="111"/>
      <c r="T1315" s="111"/>
    </row>
    <row r="1316" spans="3:20" s="4" customFormat="1" x14ac:dyDescent="0.25">
      <c r="C1316" s="3"/>
      <c r="D1316" s="3"/>
      <c r="E1316" s="3"/>
      <c r="F1316" s="3"/>
      <c r="G1316" s="3"/>
      <c r="H1316" s="3"/>
      <c r="I1316" s="3"/>
      <c r="J1316" s="3"/>
      <c r="K1316" s="3"/>
      <c r="L1316" s="3"/>
      <c r="M1316" s="3"/>
      <c r="N1316" s="3"/>
      <c r="O1316" s="3"/>
      <c r="P1316" s="3"/>
      <c r="Q1316" s="3"/>
      <c r="R1316" s="111"/>
      <c r="S1316" s="111"/>
      <c r="T1316" s="111"/>
    </row>
    <row r="1317" spans="3:20" s="4" customFormat="1" x14ac:dyDescent="0.25">
      <c r="C1317" s="3"/>
      <c r="D1317" s="3"/>
      <c r="E1317" s="3"/>
      <c r="F1317" s="3"/>
      <c r="G1317" s="3"/>
      <c r="H1317" s="3"/>
      <c r="I1317" s="3"/>
      <c r="J1317" s="3"/>
      <c r="K1317" s="3"/>
      <c r="L1317" s="3"/>
      <c r="M1317" s="3"/>
      <c r="N1317" s="3"/>
      <c r="O1317" s="3"/>
      <c r="P1317" s="3"/>
      <c r="Q1317" s="3"/>
      <c r="R1317" s="111"/>
      <c r="S1317" s="111"/>
      <c r="T1317" s="111"/>
    </row>
    <row r="1318" spans="3:20" s="4" customFormat="1" x14ac:dyDescent="0.25">
      <c r="C1318" s="3"/>
      <c r="D1318" s="3"/>
      <c r="E1318" s="3"/>
      <c r="F1318" s="3"/>
      <c r="G1318" s="3"/>
      <c r="H1318" s="3"/>
      <c r="I1318" s="3"/>
      <c r="J1318" s="3"/>
      <c r="K1318" s="3"/>
      <c r="L1318" s="3"/>
      <c r="M1318" s="3"/>
      <c r="N1318" s="3"/>
      <c r="O1318" s="3"/>
      <c r="P1318" s="3"/>
      <c r="Q1318" s="3"/>
      <c r="R1318" s="111"/>
      <c r="S1318" s="111"/>
      <c r="T1318" s="111"/>
    </row>
    <row r="1319" spans="3:20" s="4" customFormat="1" x14ac:dyDescent="0.25">
      <c r="C1319" s="3"/>
      <c r="D1319" s="3"/>
      <c r="E1319" s="3"/>
      <c r="F1319" s="3"/>
      <c r="G1319" s="3"/>
      <c r="H1319" s="3"/>
      <c r="I1319" s="3"/>
      <c r="J1319" s="3"/>
      <c r="K1319" s="3"/>
      <c r="L1319" s="3"/>
      <c r="M1319" s="3"/>
      <c r="N1319" s="3"/>
      <c r="O1319" s="3"/>
      <c r="P1319" s="3"/>
      <c r="Q1319" s="3"/>
      <c r="R1319" s="111"/>
      <c r="S1319" s="111"/>
      <c r="T1319" s="111"/>
    </row>
    <row r="1320" spans="3:20" s="4" customFormat="1" x14ac:dyDescent="0.25">
      <c r="C1320" s="3"/>
      <c r="D1320" s="3"/>
      <c r="E1320" s="3"/>
      <c r="F1320" s="3"/>
      <c r="G1320" s="3"/>
      <c r="H1320" s="3"/>
      <c r="I1320" s="3"/>
      <c r="J1320" s="3"/>
      <c r="K1320" s="3"/>
      <c r="L1320" s="3"/>
      <c r="M1320" s="3"/>
      <c r="N1320" s="3"/>
      <c r="O1320" s="3"/>
      <c r="P1320" s="3"/>
      <c r="Q1320" s="3"/>
      <c r="R1320" s="111"/>
      <c r="S1320" s="111"/>
      <c r="T1320" s="111"/>
    </row>
    <row r="1321" spans="3:20" s="4" customFormat="1" x14ac:dyDescent="0.25">
      <c r="C1321" s="3"/>
      <c r="D1321" s="3"/>
      <c r="E1321" s="3"/>
      <c r="F1321" s="3"/>
      <c r="G1321" s="3"/>
      <c r="H1321" s="3"/>
      <c r="I1321" s="3"/>
      <c r="J1321" s="3"/>
      <c r="K1321" s="3"/>
      <c r="L1321" s="3"/>
      <c r="M1321" s="3"/>
      <c r="N1321" s="3"/>
      <c r="O1321" s="3"/>
      <c r="P1321" s="3"/>
      <c r="Q1321" s="3"/>
      <c r="R1321" s="111"/>
      <c r="S1321" s="111"/>
      <c r="T1321" s="111"/>
    </row>
    <row r="1322" spans="3:20" s="4" customFormat="1" x14ac:dyDescent="0.25">
      <c r="C1322" s="3"/>
      <c r="D1322" s="3"/>
      <c r="E1322" s="3"/>
      <c r="F1322" s="3"/>
      <c r="G1322" s="3"/>
      <c r="H1322" s="3"/>
      <c r="I1322" s="3"/>
      <c r="J1322" s="3"/>
      <c r="K1322" s="3"/>
      <c r="L1322" s="3"/>
      <c r="M1322" s="3"/>
      <c r="N1322" s="3"/>
      <c r="O1322" s="3"/>
      <c r="P1322" s="3"/>
      <c r="Q1322" s="3"/>
      <c r="R1322" s="111"/>
      <c r="S1322" s="111"/>
      <c r="T1322" s="111"/>
    </row>
    <row r="1323" spans="3:20" s="4" customFormat="1" x14ac:dyDescent="0.25">
      <c r="C1323" s="3"/>
      <c r="D1323" s="3"/>
      <c r="E1323" s="3"/>
      <c r="F1323" s="3"/>
      <c r="G1323" s="3"/>
      <c r="H1323" s="3"/>
      <c r="I1323" s="3"/>
      <c r="J1323" s="3"/>
      <c r="K1323" s="3"/>
      <c r="L1323" s="3"/>
      <c r="M1323" s="3"/>
      <c r="N1323" s="3"/>
      <c r="O1323" s="3"/>
      <c r="P1323" s="3"/>
      <c r="Q1323" s="3"/>
      <c r="R1323" s="111"/>
      <c r="S1323" s="111"/>
      <c r="T1323" s="111"/>
    </row>
    <row r="1324" spans="3:20" s="4" customFormat="1" x14ac:dyDescent="0.25">
      <c r="C1324" s="3"/>
      <c r="D1324" s="3"/>
      <c r="E1324" s="3"/>
      <c r="F1324" s="3"/>
      <c r="G1324" s="3"/>
      <c r="H1324" s="3"/>
      <c r="I1324" s="3"/>
      <c r="J1324" s="3"/>
      <c r="K1324" s="3"/>
      <c r="L1324" s="3"/>
      <c r="M1324" s="3"/>
      <c r="N1324" s="3"/>
      <c r="O1324" s="3"/>
      <c r="P1324" s="3"/>
      <c r="Q1324" s="3"/>
      <c r="R1324" s="111"/>
      <c r="S1324" s="111"/>
      <c r="T1324" s="111"/>
    </row>
    <row r="1325" spans="3:20" s="4" customFormat="1" x14ac:dyDescent="0.25">
      <c r="C1325" s="3"/>
      <c r="D1325" s="3"/>
      <c r="E1325" s="3"/>
      <c r="F1325" s="3"/>
      <c r="G1325" s="3"/>
      <c r="H1325" s="3"/>
      <c r="I1325" s="3"/>
      <c r="J1325" s="3"/>
      <c r="K1325" s="3"/>
      <c r="L1325" s="3"/>
      <c r="M1325" s="3"/>
      <c r="N1325" s="3"/>
      <c r="O1325" s="3"/>
      <c r="P1325" s="3"/>
      <c r="Q1325" s="3"/>
      <c r="R1325" s="111"/>
      <c r="S1325" s="111"/>
      <c r="T1325" s="111"/>
    </row>
    <row r="1326" spans="3:20" s="4" customFormat="1" x14ac:dyDescent="0.25">
      <c r="C1326" s="3"/>
      <c r="D1326" s="3"/>
      <c r="E1326" s="3"/>
      <c r="F1326" s="3"/>
      <c r="G1326" s="3"/>
      <c r="H1326" s="3"/>
      <c r="I1326" s="3"/>
      <c r="J1326" s="3"/>
      <c r="K1326" s="3"/>
      <c r="L1326" s="3"/>
      <c r="M1326" s="3"/>
      <c r="N1326" s="3"/>
      <c r="O1326" s="3"/>
      <c r="P1326" s="3"/>
      <c r="Q1326" s="3"/>
      <c r="R1326" s="111"/>
      <c r="S1326" s="111"/>
      <c r="T1326" s="111"/>
    </row>
    <row r="1327" spans="3:20" s="4" customFormat="1" x14ac:dyDescent="0.25">
      <c r="C1327" s="3"/>
      <c r="D1327" s="3"/>
      <c r="E1327" s="3"/>
      <c r="F1327" s="3"/>
      <c r="G1327" s="3"/>
      <c r="H1327" s="3"/>
      <c r="I1327" s="3"/>
      <c r="J1327" s="3"/>
      <c r="K1327" s="3"/>
      <c r="L1327" s="3"/>
      <c r="M1327" s="3"/>
      <c r="N1327" s="3"/>
      <c r="O1327" s="3"/>
      <c r="P1327" s="3"/>
      <c r="Q1327" s="3"/>
      <c r="R1327" s="111"/>
      <c r="S1327" s="111"/>
      <c r="T1327" s="111"/>
    </row>
    <row r="1328" spans="3:20" s="4" customFormat="1" x14ac:dyDescent="0.25">
      <c r="C1328" s="3"/>
      <c r="D1328" s="3"/>
      <c r="E1328" s="3"/>
      <c r="F1328" s="3"/>
      <c r="G1328" s="3"/>
      <c r="H1328" s="3"/>
      <c r="I1328" s="3"/>
      <c r="J1328" s="3"/>
      <c r="K1328" s="3"/>
      <c r="L1328" s="3"/>
      <c r="M1328" s="3"/>
      <c r="N1328" s="3"/>
      <c r="O1328" s="3"/>
      <c r="P1328" s="3"/>
      <c r="Q1328" s="3"/>
      <c r="R1328" s="111"/>
      <c r="S1328" s="111"/>
      <c r="T1328" s="111"/>
    </row>
    <row r="1329" spans="3:20" s="4" customFormat="1" x14ac:dyDescent="0.25">
      <c r="C1329" s="3"/>
      <c r="D1329" s="3"/>
      <c r="E1329" s="3"/>
      <c r="F1329" s="3"/>
      <c r="G1329" s="3"/>
      <c r="H1329" s="3"/>
      <c r="I1329" s="3"/>
      <c r="J1329" s="3"/>
      <c r="K1329" s="3"/>
      <c r="L1329" s="3"/>
      <c r="M1329" s="3"/>
      <c r="N1329" s="3"/>
      <c r="O1329" s="3"/>
      <c r="P1329" s="3"/>
      <c r="Q1329" s="3"/>
      <c r="R1329" s="111"/>
      <c r="S1329" s="111"/>
      <c r="T1329" s="111"/>
    </row>
    <row r="1330" spans="3:20" s="4" customFormat="1" x14ac:dyDescent="0.25">
      <c r="C1330" s="3"/>
      <c r="D1330" s="3"/>
      <c r="E1330" s="3"/>
      <c r="F1330" s="3"/>
      <c r="G1330" s="3"/>
      <c r="H1330" s="3"/>
      <c r="I1330" s="3"/>
      <c r="J1330" s="3"/>
      <c r="K1330" s="3"/>
      <c r="L1330" s="3"/>
      <c r="M1330" s="3"/>
      <c r="N1330" s="3"/>
      <c r="O1330" s="3"/>
      <c r="P1330" s="3"/>
      <c r="Q1330" s="3"/>
      <c r="R1330" s="111"/>
      <c r="S1330" s="111"/>
      <c r="T1330" s="111"/>
    </row>
    <row r="1331" spans="3:20" s="4" customFormat="1" x14ac:dyDescent="0.25">
      <c r="C1331" s="3"/>
      <c r="D1331" s="3"/>
      <c r="E1331" s="3"/>
      <c r="F1331" s="3"/>
      <c r="G1331" s="3"/>
      <c r="H1331" s="3"/>
      <c r="I1331" s="3"/>
      <c r="J1331" s="3"/>
      <c r="K1331" s="3"/>
      <c r="L1331" s="3"/>
      <c r="M1331" s="3"/>
      <c r="N1331" s="3"/>
      <c r="O1331" s="3"/>
      <c r="P1331" s="3"/>
      <c r="Q1331" s="3"/>
      <c r="R1331" s="111"/>
      <c r="S1331" s="111"/>
      <c r="T1331" s="111"/>
    </row>
    <row r="1332" spans="3:20" s="4" customFormat="1" x14ac:dyDescent="0.25">
      <c r="C1332" s="3"/>
      <c r="D1332" s="3"/>
      <c r="E1332" s="3"/>
      <c r="F1332" s="3"/>
      <c r="G1332" s="3"/>
      <c r="H1332" s="3"/>
      <c r="I1332" s="3"/>
      <c r="J1332" s="3"/>
      <c r="K1332" s="3"/>
      <c r="L1332" s="3"/>
      <c r="M1332" s="3"/>
      <c r="N1332" s="3"/>
      <c r="O1332" s="3"/>
      <c r="P1332" s="3"/>
      <c r="Q1332" s="3"/>
      <c r="R1332" s="111"/>
      <c r="S1332" s="111"/>
      <c r="T1332" s="111"/>
    </row>
    <row r="1333" spans="3:20" s="4" customFormat="1" x14ac:dyDescent="0.25">
      <c r="C1333" s="3"/>
      <c r="D1333" s="3"/>
      <c r="E1333" s="3"/>
      <c r="F1333" s="3"/>
      <c r="G1333" s="3"/>
      <c r="H1333" s="3"/>
      <c r="I1333" s="3"/>
      <c r="J1333" s="3"/>
      <c r="K1333" s="3"/>
      <c r="L1333" s="3"/>
      <c r="M1333" s="3"/>
      <c r="N1333" s="3"/>
      <c r="O1333" s="3"/>
      <c r="P1333" s="3"/>
      <c r="Q1333" s="3"/>
      <c r="R1333" s="111"/>
      <c r="S1333" s="111"/>
      <c r="T1333" s="111"/>
    </row>
    <row r="1334" spans="3:20" s="4" customFormat="1" x14ac:dyDescent="0.25">
      <c r="C1334" s="3"/>
      <c r="D1334" s="3"/>
      <c r="E1334" s="3"/>
      <c r="F1334" s="3"/>
      <c r="G1334" s="3"/>
      <c r="H1334" s="3"/>
      <c r="I1334" s="3"/>
      <c r="J1334" s="3"/>
      <c r="K1334" s="3"/>
      <c r="L1334" s="3"/>
      <c r="M1334" s="3"/>
      <c r="N1334" s="3"/>
      <c r="O1334" s="3"/>
      <c r="P1334" s="3"/>
      <c r="Q1334" s="3"/>
      <c r="R1334" s="111"/>
      <c r="S1334" s="111"/>
      <c r="T1334" s="111"/>
    </row>
    <row r="1335" spans="3:20" s="4" customFormat="1" x14ac:dyDescent="0.25">
      <c r="C1335" s="3"/>
      <c r="D1335" s="3"/>
      <c r="E1335" s="3"/>
      <c r="F1335" s="3"/>
      <c r="G1335" s="3"/>
      <c r="H1335" s="3"/>
      <c r="I1335" s="3"/>
      <c r="J1335" s="3"/>
      <c r="K1335" s="3"/>
      <c r="L1335" s="3"/>
      <c r="M1335" s="3"/>
      <c r="N1335" s="3"/>
      <c r="O1335" s="3"/>
      <c r="P1335" s="3"/>
      <c r="Q1335" s="3"/>
      <c r="R1335" s="111"/>
      <c r="S1335" s="111"/>
      <c r="T1335" s="111"/>
    </row>
    <row r="1336" spans="3:20" s="4" customFormat="1" x14ac:dyDescent="0.25">
      <c r="C1336" s="3"/>
      <c r="D1336" s="3"/>
      <c r="E1336" s="3"/>
      <c r="F1336" s="3"/>
      <c r="G1336" s="3"/>
      <c r="H1336" s="3"/>
      <c r="I1336" s="3"/>
      <c r="J1336" s="3"/>
      <c r="K1336" s="3"/>
      <c r="L1336" s="3"/>
      <c r="M1336" s="3"/>
      <c r="N1336" s="3"/>
      <c r="O1336" s="3"/>
      <c r="P1336" s="3"/>
      <c r="Q1336" s="3"/>
      <c r="R1336" s="111"/>
      <c r="S1336" s="111"/>
      <c r="T1336" s="111"/>
    </row>
    <row r="1337" spans="3:20" s="4" customFormat="1" x14ac:dyDescent="0.25">
      <c r="C1337" s="3"/>
      <c r="D1337" s="3"/>
      <c r="E1337" s="3"/>
      <c r="F1337" s="3"/>
      <c r="G1337" s="3"/>
      <c r="H1337" s="3"/>
      <c r="I1337" s="3"/>
      <c r="J1337" s="3"/>
      <c r="K1337" s="3"/>
      <c r="L1337" s="3"/>
      <c r="M1337" s="3"/>
      <c r="N1337" s="3"/>
      <c r="O1337" s="3"/>
      <c r="P1337" s="3"/>
      <c r="Q1337" s="3"/>
      <c r="R1337" s="111"/>
      <c r="S1337" s="111"/>
      <c r="T1337" s="111"/>
    </row>
    <row r="1338" spans="3:20" s="4" customFormat="1" x14ac:dyDescent="0.25">
      <c r="C1338" s="3"/>
      <c r="D1338" s="3"/>
      <c r="E1338" s="3"/>
      <c r="F1338" s="3"/>
      <c r="G1338" s="3"/>
      <c r="H1338" s="3"/>
      <c r="I1338" s="3"/>
      <c r="J1338" s="3"/>
      <c r="K1338" s="3"/>
      <c r="L1338" s="3"/>
      <c r="M1338" s="3"/>
      <c r="N1338" s="3"/>
      <c r="O1338" s="3"/>
      <c r="P1338" s="3"/>
      <c r="Q1338" s="3"/>
      <c r="R1338" s="111"/>
      <c r="S1338" s="111"/>
      <c r="T1338" s="111"/>
    </row>
    <row r="1339" spans="3:20" s="4" customFormat="1" x14ac:dyDescent="0.25">
      <c r="C1339" s="3"/>
      <c r="D1339" s="3"/>
      <c r="E1339" s="3"/>
      <c r="F1339" s="3"/>
      <c r="G1339" s="3"/>
      <c r="H1339" s="3"/>
      <c r="I1339" s="3"/>
      <c r="J1339" s="3"/>
      <c r="K1339" s="3"/>
      <c r="L1339" s="3"/>
      <c r="M1339" s="3"/>
      <c r="N1339" s="3"/>
      <c r="O1339" s="3"/>
      <c r="P1339" s="3"/>
      <c r="Q1339" s="3"/>
      <c r="R1339" s="111"/>
      <c r="S1339" s="111"/>
      <c r="T1339" s="111"/>
    </row>
    <row r="1340" spans="3:20" s="4" customFormat="1" x14ac:dyDescent="0.25">
      <c r="C1340" s="3"/>
      <c r="D1340" s="3"/>
      <c r="E1340" s="3"/>
      <c r="F1340" s="3"/>
      <c r="G1340" s="3"/>
      <c r="H1340" s="3"/>
      <c r="I1340" s="3"/>
      <c r="J1340" s="3"/>
      <c r="K1340" s="3"/>
      <c r="L1340" s="3"/>
      <c r="M1340" s="3"/>
      <c r="N1340" s="3"/>
      <c r="O1340" s="3"/>
      <c r="P1340" s="3"/>
      <c r="Q1340" s="3"/>
      <c r="R1340" s="111"/>
      <c r="S1340" s="111"/>
      <c r="T1340" s="111"/>
    </row>
    <row r="1341" spans="3:20" s="4" customFormat="1" x14ac:dyDescent="0.25">
      <c r="C1341" s="3"/>
      <c r="D1341" s="3"/>
      <c r="E1341" s="3"/>
      <c r="F1341" s="3"/>
      <c r="G1341" s="3"/>
      <c r="H1341" s="3"/>
      <c r="I1341" s="3"/>
      <c r="J1341" s="3"/>
      <c r="K1341" s="3"/>
      <c r="L1341" s="3"/>
      <c r="M1341" s="3"/>
      <c r="N1341" s="3"/>
      <c r="O1341" s="3"/>
      <c r="P1341" s="3"/>
      <c r="Q1341" s="3"/>
      <c r="R1341" s="111"/>
      <c r="S1341" s="111"/>
      <c r="T1341" s="111"/>
    </row>
    <row r="1342" spans="3:20" s="4" customFormat="1" x14ac:dyDescent="0.25">
      <c r="C1342" s="3"/>
      <c r="D1342" s="3"/>
      <c r="E1342" s="3"/>
      <c r="F1342" s="3"/>
      <c r="G1342" s="3"/>
      <c r="H1342" s="3"/>
      <c r="I1342" s="3"/>
      <c r="J1342" s="3"/>
      <c r="K1342" s="3"/>
      <c r="L1342" s="3"/>
      <c r="M1342" s="3"/>
      <c r="N1342" s="3"/>
      <c r="O1342" s="3"/>
      <c r="P1342" s="3"/>
      <c r="Q1342" s="3"/>
      <c r="R1342" s="111"/>
      <c r="S1342" s="111"/>
      <c r="T1342" s="111"/>
    </row>
    <row r="1343" spans="3:20" s="4" customFormat="1" x14ac:dyDescent="0.25">
      <c r="C1343" s="3"/>
      <c r="D1343" s="3"/>
      <c r="E1343" s="3"/>
      <c r="F1343" s="3"/>
      <c r="G1343" s="3"/>
      <c r="H1343" s="3"/>
      <c r="I1343" s="3"/>
      <c r="J1343" s="3"/>
      <c r="K1343" s="3"/>
      <c r="L1343" s="3"/>
      <c r="M1343" s="3"/>
      <c r="N1343" s="3"/>
      <c r="O1343" s="3"/>
      <c r="P1343" s="3"/>
      <c r="Q1343" s="3"/>
      <c r="R1343" s="111"/>
      <c r="S1343" s="111"/>
      <c r="T1343" s="111"/>
    </row>
    <row r="1344" spans="3:20" s="4" customFormat="1" x14ac:dyDescent="0.25">
      <c r="C1344" s="3"/>
      <c r="D1344" s="3"/>
      <c r="E1344" s="3"/>
      <c r="F1344" s="3"/>
      <c r="G1344" s="3"/>
      <c r="H1344" s="3"/>
      <c r="I1344" s="3"/>
      <c r="J1344" s="3"/>
      <c r="K1344" s="3"/>
      <c r="L1344" s="3"/>
      <c r="M1344" s="3"/>
      <c r="N1344" s="3"/>
      <c r="O1344" s="3"/>
      <c r="P1344" s="3"/>
      <c r="Q1344" s="3"/>
      <c r="R1344" s="111"/>
      <c r="S1344" s="111"/>
      <c r="T1344" s="111"/>
    </row>
    <row r="1345" spans="3:20" s="4" customFormat="1" x14ac:dyDescent="0.25">
      <c r="C1345" s="3"/>
      <c r="D1345" s="3"/>
      <c r="E1345" s="3"/>
      <c r="F1345" s="3"/>
      <c r="G1345" s="3"/>
      <c r="H1345" s="3"/>
      <c r="I1345" s="3"/>
      <c r="J1345" s="3"/>
      <c r="K1345" s="3"/>
      <c r="L1345" s="3"/>
      <c r="M1345" s="3"/>
      <c r="N1345" s="3"/>
      <c r="O1345" s="3"/>
      <c r="P1345" s="3"/>
      <c r="Q1345" s="3"/>
      <c r="R1345" s="111"/>
      <c r="S1345" s="111"/>
      <c r="T1345" s="111"/>
    </row>
    <row r="1346" spans="3:20" s="4" customFormat="1" x14ac:dyDescent="0.25">
      <c r="C1346" s="3"/>
      <c r="D1346" s="3"/>
      <c r="E1346" s="3"/>
      <c r="F1346" s="3"/>
      <c r="G1346" s="3"/>
      <c r="H1346" s="3"/>
      <c r="I1346" s="3"/>
      <c r="J1346" s="3"/>
      <c r="K1346" s="3"/>
      <c r="L1346" s="3"/>
      <c r="M1346" s="3"/>
      <c r="N1346" s="3"/>
      <c r="O1346" s="3"/>
      <c r="P1346" s="3"/>
      <c r="Q1346" s="3"/>
      <c r="R1346" s="111"/>
      <c r="S1346" s="111"/>
      <c r="T1346" s="111"/>
    </row>
    <row r="1347" spans="3:20" s="4" customFormat="1" x14ac:dyDescent="0.25">
      <c r="C1347" s="3"/>
      <c r="D1347" s="3"/>
      <c r="E1347" s="3"/>
      <c r="F1347" s="3"/>
      <c r="G1347" s="3"/>
      <c r="H1347" s="3"/>
      <c r="I1347" s="3"/>
      <c r="J1347" s="3"/>
      <c r="K1347" s="3"/>
      <c r="L1347" s="3"/>
      <c r="M1347" s="3"/>
      <c r="N1347" s="3"/>
      <c r="O1347" s="3"/>
      <c r="P1347" s="3"/>
      <c r="Q1347" s="3"/>
      <c r="R1347" s="111"/>
      <c r="S1347" s="111"/>
      <c r="T1347" s="111"/>
    </row>
    <row r="1348" spans="3:20" s="4" customFormat="1" x14ac:dyDescent="0.25">
      <c r="C1348" s="3"/>
      <c r="D1348" s="3"/>
      <c r="E1348" s="3"/>
      <c r="F1348" s="3"/>
      <c r="G1348" s="3"/>
      <c r="H1348" s="3"/>
      <c r="I1348" s="3"/>
      <c r="J1348" s="3"/>
      <c r="K1348" s="3"/>
      <c r="L1348" s="3"/>
      <c r="M1348" s="3"/>
      <c r="N1348" s="3"/>
      <c r="O1348" s="3"/>
      <c r="P1348" s="3"/>
      <c r="Q1348" s="3"/>
      <c r="R1348" s="111"/>
      <c r="S1348" s="111"/>
      <c r="T1348" s="111"/>
    </row>
    <row r="1349" spans="3:20" s="4" customFormat="1" x14ac:dyDescent="0.25">
      <c r="C1349" s="3"/>
      <c r="D1349" s="3"/>
      <c r="E1349" s="3"/>
      <c r="F1349" s="3"/>
      <c r="G1349" s="3"/>
      <c r="H1349" s="3"/>
      <c r="I1349" s="3"/>
      <c r="J1349" s="3"/>
      <c r="K1349" s="3"/>
      <c r="L1349" s="3"/>
      <c r="M1349" s="3"/>
      <c r="N1349" s="3"/>
      <c r="O1349" s="3"/>
      <c r="P1349" s="3"/>
      <c r="Q1349" s="3"/>
      <c r="R1349" s="111"/>
      <c r="S1349" s="111"/>
      <c r="T1349" s="111"/>
    </row>
    <row r="1350" spans="3:20" s="4" customFormat="1" x14ac:dyDescent="0.25">
      <c r="C1350" s="3"/>
      <c r="D1350" s="3"/>
      <c r="E1350" s="3"/>
      <c r="F1350" s="3"/>
      <c r="G1350" s="3"/>
      <c r="H1350" s="3"/>
      <c r="I1350" s="3"/>
      <c r="J1350" s="3"/>
      <c r="K1350" s="3"/>
      <c r="L1350" s="3"/>
      <c r="M1350" s="3"/>
      <c r="N1350" s="3"/>
      <c r="O1350" s="3"/>
      <c r="P1350" s="3"/>
      <c r="Q1350" s="3"/>
      <c r="R1350" s="111"/>
      <c r="S1350" s="111"/>
      <c r="T1350" s="111"/>
    </row>
    <row r="1351" spans="3:20" s="4" customFormat="1" x14ac:dyDescent="0.25">
      <c r="C1351" s="3"/>
      <c r="D1351" s="3"/>
      <c r="E1351" s="3"/>
      <c r="F1351" s="3"/>
      <c r="G1351" s="3"/>
      <c r="H1351" s="3"/>
      <c r="I1351" s="3"/>
      <c r="J1351" s="3"/>
      <c r="K1351" s="3"/>
      <c r="L1351" s="3"/>
      <c r="M1351" s="3"/>
      <c r="N1351" s="3"/>
      <c r="O1351" s="3"/>
      <c r="P1351" s="3"/>
      <c r="Q1351" s="3"/>
      <c r="R1351" s="111"/>
      <c r="S1351" s="111"/>
      <c r="T1351" s="111"/>
    </row>
    <row r="1352" spans="3:20" s="4" customFormat="1" x14ac:dyDescent="0.25">
      <c r="C1352" s="3"/>
      <c r="D1352" s="3"/>
      <c r="E1352" s="3"/>
      <c r="F1352" s="3"/>
      <c r="G1352" s="3"/>
      <c r="H1352" s="3"/>
      <c r="I1352" s="3"/>
      <c r="J1352" s="3"/>
      <c r="K1352" s="3"/>
      <c r="L1352" s="3"/>
      <c r="M1352" s="3"/>
      <c r="N1352" s="3"/>
      <c r="O1352" s="3"/>
      <c r="P1352" s="3"/>
      <c r="Q1352" s="3"/>
      <c r="R1352" s="111"/>
      <c r="S1352" s="111"/>
      <c r="T1352" s="111"/>
    </row>
    <row r="1353" spans="3:20" s="4" customFormat="1" x14ac:dyDescent="0.25">
      <c r="C1353" s="3"/>
      <c r="D1353" s="3"/>
      <c r="E1353" s="3"/>
      <c r="F1353" s="3"/>
      <c r="G1353" s="3"/>
      <c r="H1353" s="3"/>
      <c r="I1353" s="3"/>
      <c r="J1353" s="3"/>
      <c r="K1353" s="3"/>
      <c r="L1353" s="3"/>
      <c r="M1353" s="3"/>
      <c r="N1353" s="3"/>
      <c r="O1353" s="3"/>
      <c r="P1353" s="3"/>
      <c r="Q1353" s="3"/>
      <c r="R1353" s="111"/>
      <c r="S1353" s="111"/>
      <c r="T1353" s="111"/>
    </row>
    <row r="1354" spans="3:20" s="4" customFormat="1" x14ac:dyDescent="0.25">
      <c r="C1354" s="3"/>
      <c r="D1354" s="3"/>
      <c r="E1354" s="3"/>
      <c r="F1354" s="3"/>
      <c r="G1354" s="3"/>
      <c r="H1354" s="3"/>
      <c r="I1354" s="3"/>
      <c r="J1354" s="3"/>
      <c r="K1354" s="3"/>
      <c r="L1354" s="3"/>
      <c r="M1354" s="3"/>
      <c r="N1354" s="3"/>
      <c r="O1354" s="3"/>
      <c r="P1354" s="3"/>
      <c r="Q1354" s="3"/>
      <c r="R1354" s="111"/>
      <c r="S1354" s="111"/>
      <c r="T1354" s="111"/>
    </row>
    <row r="1355" spans="3:20" s="4" customFormat="1" x14ac:dyDescent="0.25">
      <c r="C1355" s="3"/>
      <c r="D1355" s="3"/>
      <c r="E1355" s="3"/>
      <c r="F1355" s="3"/>
      <c r="G1355" s="3"/>
      <c r="H1355" s="3"/>
      <c r="I1355" s="3"/>
      <c r="J1355" s="3"/>
      <c r="K1355" s="3"/>
      <c r="L1355" s="3"/>
      <c r="M1355" s="3"/>
      <c r="N1355" s="3"/>
      <c r="O1355" s="3"/>
      <c r="P1355" s="3"/>
      <c r="Q1355" s="3"/>
      <c r="R1355" s="111"/>
      <c r="S1355" s="111"/>
      <c r="T1355" s="111"/>
    </row>
    <row r="1356" spans="3:20" s="4" customFormat="1" x14ac:dyDescent="0.25">
      <c r="C1356" s="3"/>
      <c r="D1356" s="3"/>
      <c r="E1356" s="3"/>
      <c r="F1356" s="3"/>
      <c r="G1356" s="3"/>
      <c r="H1356" s="3"/>
      <c r="I1356" s="3"/>
      <c r="J1356" s="3"/>
      <c r="K1356" s="3"/>
      <c r="L1356" s="3"/>
      <c r="M1356" s="3"/>
      <c r="N1356" s="3"/>
      <c r="O1356" s="3"/>
      <c r="P1356" s="3"/>
      <c r="Q1356" s="3"/>
      <c r="R1356" s="111"/>
      <c r="S1356" s="111"/>
      <c r="T1356" s="111"/>
    </row>
    <row r="1357" spans="3:20" s="4" customFormat="1" x14ac:dyDescent="0.25">
      <c r="C1357" s="3"/>
      <c r="D1357" s="3"/>
      <c r="E1357" s="3"/>
      <c r="F1357" s="3"/>
      <c r="G1357" s="3"/>
      <c r="H1357" s="3"/>
      <c r="I1357" s="3"/>
      <c r="J1357" s="3"/>
      <c r="K1357" s="3"/>
      <c r="L1357" s="3"/>
      <c r="M1357" s="3"/>
      <c r="N1357" s="3"/>
      <c r="O1357" s="3"/>
      <c r="P1357" s="3"/>
      <c r="Q1357" s="3"/>
      <c r="R1357" s="111"/>
      <c r="S1357" s="111"/>
      <c r="T1357" s="111"/>
    </row>
    <row r="1358" spans="3:20" s="4" customFormat="1" x14ac:dyDescent="0.25">
      <c r="C1358" s="3"/>
      <c r="D1358" s="3"/>
      <c r="E1358" s="3"/>
      <c r="F1358" s="3"/>
      <c r="G1358" s="3"/>
      <c r="H1358" s="3"/>
      <c r="I1358" s="3"/>
      <c r="J1358" s="3"/>
      <c r="K1358" s="3"/>
      <c r="L1358" s="3"/>
      <c r="M1358" s="3"/>
      <c r="N1358" s="3"/>
      <c r="O1358" s="3"/>
      <c r="P1358" s="3"/>
      <c r="Q1358" s="3"/>
      <c r="R1358" s="111"/>
      <c r="S1358" s="111"/>
      <c r="T1358" s="111"/>
    </row>
    <row r="1359" spans="3:20" s="4" customFormat="1" x14ac:dyDescent="0.25">
      <c r="C1359" s="3"/>
      <c r="D1359" s="3"/>
      <c r="E1359" s="3"/>
      <c r="F1359" s="3"/>
      <c r="G1359" s="3"/>
      <c r="H1359" s="3"/>
      <c r="I1359" s="3"/>
      <c r="J1359" s="3"/>
      <c r="K1359" s="3"/>
      <c r="L1359" s="3"/>
      <c r="M1359" s="3"/>
      <c r="N1359" s="3"/>
      <c r="O1359" s="3"/>
      <c r="P1359" s="3"/>
      <c r="Q1359" s="3"/>
      <c r="R1359" s="111"/>
      <c r="S1359" s="111"/>
      <c r="T1359" s="111"/>
    </row>
    <row r="1360" spans="3:20" s="4" customFormat="1" x14ac:dyDescent="0.25">
      <c r="C1360" s="3"/>
      <c r="D1360" s="3"/>
      <c r="E1360" s="3"/>
      <c r="F1360" s="3"/>
      <c r="G1360" s="3"/>
      <c r="H1360" s="3"/>
      <c r="I1360" s="3"/>
      <c r="J1360" s="3"/>
      <c r="K1360" s="3"/>
      <c r="L1360" s="3"/>
      <c r="M1360" s="3"/>
      <c r="N1360" s="3"/>
      <c r="O1360" s="3"/>
      <c r="P1360" s="3"/>
      <c r="Q1360" s="3"/>
      <c r="R1360" s="111"/>
      <c r="S1360" s="111"/>
      <c r="T1360" s="111"/>
    </row>
    <row r="1361" spans="3:20" s="4" customFormat="1" x14ac:dyDescent="0.25">
      <c r="C1361" s="3"/>
      <c r="D1361" s="3"/>
      <c r="E1361" s="3"/>
      <c r="F1361" s="3"/>
      <c r="G1361" s="3"/>
      <c r="H1361" s="3"/>
      <c r="I1361" s="3"/>
      <c r="J1361" s="3"/>
      <c r="K1361" s="3"/>
      <c r="L1361" s="3"/>
      <c r="M1361" s="3"/>
      <c r="N1361" s="3"/>
      <c r="O1361" s="3"/>
      <c r="P1361" s="3"/>
      <c r="Q1361" s="3"/>
      <c r="R1361" s="111"/>
      <c r="S1361" s="111"/>
      <c r="T1361" s="111"/>
    </row>
    <row r="1362" spans="3:20" s="4" customFormat="1" x14ac:dyDescent="0.25">
      <c r="C1362" s="3"/>
      <c r="D1362" s="3"/>
      <c r="E1362" s="3"/>
      <c r="F1362" s="3"/>
      <c r="G1362" s="3"/>
      <c r="H1362" s="3"/>
      <c r="I1362" s="3"/>
      <c r="J1362" s="3"/>
      <c r="K1362" s="3"/>
      <c r="L1362" s="3"/>
      <c r="M1362" s="3"/>
      <c r="N1362" s="3"/>
      <c r="O1362" s="3"/>
      <c r="P1362" s="3"/>
      <c r="Q1362" s="3"/>
      <c r="R1362" s="111"/>
      <c r="S1362" s="111"/>
      <c r="T1362" s="111"/>
    </row>
    <row r="1363" spans="3:20" s="4" customFormat="1" x14ac:dyDescent="0.25">
      <c r="C1363" s="3"/>
      <c r="D1363" s="3"/>
      <c r="E1363" s="3"/>
      <c r="F1363" s="3"/>
      <c r="G1363" s="3"/>
      <c r="H1363" s="3"/>
      <c r="I1363" s="3"/>
      <c r="J1363" s="3"/>
      <c r="K1363" s="3"/>
      <c r="L1363" s="3"/>
      <c r="M1363" s="3"/>
      <c r="N1363" s="3"/>
      <c r="O1363" s="3"/>
      <c r="P1363" s="3"/>
      <c r="Q1363" s="3"/>
      <c r="R1363" s="111"/>
      <c r="S1363" s="111"/>
      <c r="T1363" s="111"/>
    </row>
    <row r="1364" spans="3:20" s="4" customFormat="1" x14ac:dyDescent="0.25">
      <c r="C1364" s="3"/>
      <c r="D1364" s="3"/>
      <c r="E1364" s="3"/>
      <c r="F1364" s="3"/>
      <c r="G1364" s="3"/>
      <c r="H1364" s="3"/>
      <c r="I1364" s="3"/>
      <c r="J1364" s="3"/>
      <c r="K1364" s="3"/>
      <c r="L1364" s="3"/>
      <c r="M1364" s="3"/>
      <c r="N1364" s="3"/>
      <c r="O1364" s="3"/>
      <c r="P1364" s="3"/>
      <c r="Q1364" s="3"/>
      <c r="R1364" s="111"/>
      <c r="S1364" s="111"/>
      <c r="T1364" s="111"/>
    </row>
    <row r="1365" spans="3:20" s="4" customFormat="1" x14ac:dyDescent="0.25">
      <c r="C1365" s="3"/>
      <c r="D1365" s="3"/>
      <c r="E1365" s="3"/>
      <c r="F1365" s="3"/>
      <c r="G1365" s="3"/>
      <c r="H1365" s="3"/>
      <c r="I1365" s="3"/>
      <c r="J1365" s="3"/>
      <c r="K1365" s="3"/>
      <c r="L1365" s="3"/>
      <c r="M1365" s="3"/>
      <c r="N1365" s="3"/>
      <c r="O1365" s="3"/>
      <c r="P1365" s="3"/>
      <c r="Q1365" s="3"/>
      <c r="R1365" s="111"/>
      <c r="S1365" s="111"/>
      <c r="T1365" s="111"/>
    </row>
    <row r="1366" spans="3:20" s="4" customFormat="1" x14ac:dyDescent="0.25">
      <c r="C1366" s="3"/>
      <c r="D1366" s="3"/>
      <c r="E1366" s="3"/>
      <c r="F1366" s="3"/>
      <c r="G1366" s="3"/>
      <c r="H1366" s="3"/>
      <c r="I1366" s="3"/>
      <c r="J1366" s="3"/>
      <c r="K1366" s="3"/>
      <c r="L1366" s="3"/>
      <c r="M1366" s="3"/>
      <c r="N1366" s="3"/>
      <c r="O1366" s="3"/>
      <c r="P1366" s="3"/>
      <c r="Q1366" s="3"/>
      <c r="R1366" s="111"/>
      <c r="S1366" s="111"/>
      <c r="T1366" s="111"/>
    </row>
    <row r="1367" spans="3:20" s="4" customFormat="1" x14ac:dyDescent="0.25">
      <c r="C1367" s="3"/>
      <c r="D1367" s="3"/>
      <c r="E1367" s="3"/>
      <c r="F1367" s="3"/>
      <c r="G1367" s="3"/>
      <c r="H1367" s="3"/>
      <c r="I1367" s="3"/>
      <c r="J1367" s="3"/>
      <c r="K1367" s="3"/>
      <c r="L1367" s="3"/>
      <c r="M1367" s="3"/>
      <c r="N1367" s="3"/>
      <c r="O1367" s="3"/>
      <c r="P1367" s="3"/>
      <c r="Q1367" s="3"/>
      <c r="R1367" s="111"/>
      <c r="S1367" s="111"/>
      <c r="T1367" s="111"/>
    </row>
    <row r="1368" spans="3:20" s="4" customFormat="1" x14ac:dyDescent="0.25">
      <c r="C1368" s="3"/>
      <c r="D1368" s="3"/>
      <c r="E1368" s="3"/>
      <c r="F1368" s="3"/>
      <c r="G1368" s="3"/>
      <c r="H1368" s="3"/>
      <c r="I1368" s="3"/>
      <c r="J1368" s="3"/>
      <c r="K1368" s="3"/>
      <c r="L1368" s="3"/>
      <c r="M1368" s="3"/>
      <c r="N1368" s="3"/>
      <c r="O1368" s="3"/>
      <c r="P1368" s="3"/>
      <c r="Q1368" s="3"/>
      <c r="R1368" s="111"/>
      <c r="S1368" s="111"/>
      <c r="T1368" s="111"/>
    </row>
    <row r="1369" spans="3:20" s="4" customFormat="1" x14ac:dyDescent="0.25">
      <c r="C1369" s="3"/>
      <c r="D1369" s="3"/>
      <c r="E1369" s="3"/>
      <c r="F1369" s="3"/>
      <c r="G1369" s="3"/>
      <c r="H1369" s="3"/>
      <c r="I1369" s="3"/>
      <c r="J1369" s="3"/>
      <c r="K1369" s="3"/>
      <c r="L1369" s="3"/>
      <c r="M1369" s="3"/>
      <c r="N1369" s="3"/>
      <c r="O1369" s="3"/>
      <c r="P1369" s="3"/>
      <c r="Q1369" s="3"/>
      <c r="R1369" s="111"/>
      <c r="S1369" s="111"/>
      <c r="T1369" s="111"/>
    </row>
    <row r="1370" spans="3:20" s="4" customFormat="1" x14ac:dyDescent="0.25">
      <c r="C1370" s="3"/>
      <c r="D1370" s="3"/>
      <c r="E1370" s="3"/>
      <c r="F1370" s="3"/>
      <c r="G1370" s="3"/>
      <c r="H1370" s="3"/>
      <c r="I1370" s="3"/>
      <c r="J1370" s="3"/>
      <c r="K1370" s="3"/>
      <c r="L1370" s="3"/>
      <c r="M1370" s="3"/>
      <c r="N1370" s="3"/>
      <c r="O1370" s="3"/>
      <c r="P1370" s="3"/>
      <c r="Q1370" s="3"/>
      <c r="R1370" s="111"/>
      <c r="S1370" s="111"/>
      <c r="T1370" s="111"/>
    </row>
    <row r="1371" spans="3:20" s="4" customFormat="1" x14ac:dyDescent="0.25">
      <c r="C1371" s="3"/>
      <c r="D1371" s="3"/>
      <c r="E1371" s="3"/>
      <c r="F1371" s="3"/>
      <c r="G1371" s="3"/>
      <c r="H1371" s="3"/>
      <c r="I1371" s="3"/>
      <c r="J1371" s="3"/>
      <c r="K1371" s="3"/>
      <c r="L1371" s="3"/>
      <c r="M1371" s="3"/>
      <c r="N1371" s="3"/>
      <c r="O1371" s="3"/>
      <c r="P1371" s="3"/>
      <c r="Q1371" s="3"/>
      <c r="R1371" s="111"/>
      <c r="S1371" s="111"/>
      <c r="T1371" s="111"/>
    </row>
    <row r="1372" spans="3:20" s="4" customFormat="1" x14ac:dyDescent="0.25">
      <c r="C1372" s="3"/>
      <c r="D1372" s="3"/>
      <c r="E1372" s="3"/>
      <c r="F1372" s="3"/>
      <c r="G1372" s="3"/>
      <c r="H1372" s="3"/>
      <c r="I1372" s="3"/>
      <c r="J1372" s="3"/>
      <c r="K1372" s="3"/>
      <c r="L1372" s="3"/>
      <c r="M1372" s="3"/>
      <c r="N1372" s="3"/>
      <c r="O1372" s="3"/>
      <c r="P1372" s="3"/>
      <c r="Q1372" s="3"/>
      <c r="R1372" s="111"/>
      <c r="S1372" s="111"/>
      <c r="T1372" s="111"/>
    </row>
    <row r="1373" spans="3:20" s="4" customFormat="1" x14ac:dyDescent="0.25">
      <c r="C1373" s="3"/>
      <c r="D1373" s="3"/>
      <c r="E1373" s="3"/>
      <c r="F1373" s="3"/>
      <c r="G1373" s="3"/>
      <c r="H1373" s="3"/>
      <c r="I1373" s="3"/>
      <c r="J1373" s="3"/>
      <c r="K1373" s="3"/>
      <c r="L1373" s="3"/>
      <c r="M1373" s="3"/>
      <c r="N1373" s="3"/>
      <c r="O1373" s="3"/>
      <c r="P1373" s="3"/>
      <c r="Q1373" s="3"/>
      <c r="R1373" s="111"/>
      <c r="S1373" s="111"/>
      <c r="T1373" s="111"/>
    </row>
    <row r="1374" spans="3:20" s="4" customFormat="1" x14ac:dyDescent="0.25">
      <c r="C1374" s="3"/>
      <c r="D1374" s="3"/>
      <c r="E1374" s="3"/>
      <c r="F1374" s="3"/>
      <c r="G1374" s="3"/>
      <c r="H1374" s="3"/>
      <c r="I1374" s="3"/>
      <c r="J1374" s="3"/>
      <c r="K1374" s="3"/>
      <c r="L1374" s="3"/>
      <c r="M1374" s="3"/>
      <c r="N1374" s="3"/>
      <c r="O1374" s="3"/>
      <c r="P1374" s="3"/>
      <c r="Q1374" s="3"/>
      <c r="R1374" s="111"/>
      <c r="S1374" s="111"/>
      <c r="T1374" s="111"/>
    </row>
    <row r="1375" spans="3:20" s="4" customFormat="1" x14ac:dyDescent="0.25">
      <c r="C1375" s="3"/>
      <c r="D1375" s="3"/>
      <c r="E1375" s="3"/>
      <c r="F1375" s="3"/>
      <c r="G1375" s="3"/>
      <c r="H1375" s="3"/>
      <c r="I1375" s="3"/>
      <c r="J1375" s="3"/>
      <c r="K1375" s="3"/>
      <c r="L1375" s="3"/>
      <c r="M1375" s="3"/>
      <c r="N1375" s="3"/>
      <c r="O1375" s="3"/>
      <c r="P1375" s="3"/>
      <c r="Q1375" s="3"/>
      <c r="R1375" s="111"/>
      <c r="S1375" s="111"/>
      <c r="T1375" s="111"/>
    </row>
    <row r="1376" spans="3:20" s="4" customFormat="1" x14ac:dyDescent="0.25">
      <c r="C1376" s="3"/>
      <c r="D1376" s="3"/>
      <c r="E1376" s="3"/>
      <c r="F1376" s="3"/>
      <c r="G1376" s="3"/>
      <c r="H1376" s="3"/>
      <c r="I1376" s="3"/>
      <c r="J1376" s="3"/>
      <c r="K1376" s="3"/>
      <c r="L1376" s="3"/>
      <c r="M1376" s="3"/>
      <c r="N1376" s="3"/>
      <c r="O1376" s="3"/>
      <c r="P1376" s="3"/>
      <c r="Q1376" s="3"/>
      <c r="R1376" s="111"/>
      <c r="S1376" s="111"/>
      <c r="T1376" s="111"/>
    </row>
    <row r="1377" spans="3:20" s="4" customFormat="1" x14ac:dyDescent="0.25">
      <c r="C1377" s="3"/>
      <c r="D1377" s="3"/>
      <c r="E1377" s="3"/>
      <c r="F1377" s="3"/>
      <c r="G1377" s="3"/>
      <c r="H1377" s="3"/>
      <c r="I1377" s="3"/>
      <c r="J1377" s="3"/>
      <c r="K1377" s="3"/>
      <c r="L1377" s="3"/>
      <c r="M1377" s="3"/>
      <c r="N1377" s="3"/>
      <c r="O1377" s="3"/>
      <c r="P1377" s="3"/>
      <c r="Q1377" s="3"/>
      <c r="R1377" s="111"/>
      <c r="S1377" s="111"/>
      <c r="T1377" s="111"/>
    </row>
    <row r="1378" spans="3:20" s="4" customFormat="1" x14ac:dyDescent="0.25">
      <c r="C1378" s="3"/>
      <c r="D1378" s="3"/>
      <c r="E1378" s="3"/>
      <c r="F1378" s="3"/>
      <c r="G1378" s="3"/>
      <c r="H1378" s="3"/>
      <c r="I1378" s="3"/>
      <c r="J1378" s="3"/>
      <c r="K1378" s="3"/>
      <c r="L1378" s="3"/>
      <c r="M1378" s="3"/>
      <c r="N1378" s="3"/>
      <c r="O1378" s="3"/>
      <c r="P1378" s="3"/>
      <c r="Q1378" s="3"/>
      <c r="R1378" s="111"/>
      <c r="S1378" s="111"/>
      <c r="T1378" s="111"/>
    </row>
    <row r="1379" spans="3:20" s="4" customFormat="1" x14ac:dyDescent="0.25">
      <c r="C1379" s="3"/>
      <c r="D1379" s="3"/>
      <c r="E1379" s="3"/>
      <c r="F1379" s="3"/>
      <c r="G1379" s="3"/>
      <c r="H1379" s="3"/>
      <c r="I1379" s="3"/>
      <c r="J1379" s="3"/>
      <c r="K1379" s="3"/>
      <c r="L1379" s="3"/>
      <c r="M1379" s="3"/>
      <c r="N1379" s="3"/>
      <c r="O1379" s="3"/>
      <c r="P1379" s="3"/>
      <c r="Q1379" s="3"/>
      <c r="R1379" s="111"/>
      <c r="S1379" s="111"/>
      <c r="T1379" s="111"/>
    </row>
    <row r="1380" spans="3:20" s="4" customFormat="1" x14ac:dyDescent="0.25">
      <c r="C1380" s="3"/>
      <c r="D1380" s="3"/>
      <c r="E1380" s="3"/>
      <c r="F1380" s="3"/>
      <c r="G1380" s="3"/>
      <c r="H1380" s="3"/>
      <c r="I1380" s="3"/>
      <c r="J1380" s="3"/>
      <c r="K1380" s="3"/>
      <c r="L1380" s="3"/>
      <c r="M1380" s="3"/>
      <c r="N1380" s="3"/>
      <c r="O1380" s="3"/>
      <c r="P1380" s="3"/>
      <c r="Q1380" s="3"/>
      <c r="R1380" s="111"/>
      <c r="S1380" s="111"/>
      <c r="T1380" s="111"/>
    </row>
    <row r="1381" spans="3:20" s="4" customFormat="1" x14ac:dyDescent="0.25">
      <c r="C1381" s="3"/>
      <c r="D1381" s="3"/>
      <c r="E1381" s="3"/>
      <c r="F1381" s="3"/>
      <c r="G1381" s="3"/>
      <c r="H1381" s="3"/>
      <c r="I1381" s="3"/>
      <c r="J1381" s="3"/>
      <c r="K1381" s="3"/>
      <c r="L1381" s="3"/>
      <c r="M1381" s="3"/>
      <c r="N1381" s="3"/>
      <c r="O1381" s="3"/>
      <c r="P1381" s="3"/>
      <c r="Q1381" s="3"/>
      <c r="R1381" s="111"/>
      <c r="S1381" s="111"/>
      <c r="T1381" s="111"/>
    </row>
    <row r="1382" spans="3:20" s="4" customFormat="1" x14ac:dyDescent="0.25">
      <c r="C1382" s="3"/>
      <c r="D1382" s="3"/>
      <c r="E1382" s="3"/>
      <c r="F1382" s="3"/>
      <c r="G1382" s="3"/>
      <c r="H1382" s="3"/>
      <c r="I1382" s="3"/>
      <c r="J1382" s="3"/>
      <c r="K1382" s="3"/>
      <c r="L1382" s="3"/>
      <c r="M1382" s="3"/>
      <c r="N1382" s="3"/>
      <c r="O1382" s="3"/>
      <c r="P1382" s="3"/>
      <c r="Q1382" s="3"/>
      <c r="R1382" s="111"/>
      <c r="S1382" s="111"/>
      <c r="T1382" s="111"/>
    </row>
    <row r="1383" spans="3:20" s="4" customFormat="1" x14ac:dyDescent="0.25">
      <c r="C1383" s="3"/>
      <c r="D1383" s="3"/>
      <c r="E1383" s="3"/>
      <c r="F1383" s="3"/>
      <c r="G1383" s="3"/>
      <c r="H1383" s="3"/>
      <c r="I1383" s="3"/>
      <c r="J1383" s="3"/>
      <c r="K1383" s="3"/>
      <c r="L1383" s="3"/>
      <c r="M1383" s="3"/>
      <c r="N1383" s="3"/>
      <c r="O1383" s="3"/>
      <c r="P1383" s="3"/>
      <c r="Q1383" s="3"/>
      <c r="R1383" s="111"/>
      <c r="S1383" s="111"/>
      <c r="T1383" s="111"/>
    </row>
    <row r="1384" spans="3:20" s="4" customFormat="1" x14ac:dyDescent="0.25">
      <c r="C1384" s="3"/>
      <c r="D1384" s="3"/>
      <c r="E1384" s="3"/>
      <c r="F1384" s="3"/>
      <c r="G1384" s="3"/>
      <c r="H1384" s="3"/>
      <c r="I1384" s="3"/>
      <c r="J1384" s="3"/>
      <c r="K1384" s="3"/>
      <c r="L1384" s="3"/>
      <c r="M1384" s="3"/>
      <c r="N1384" s="3"/>
      <c r="O1384" s="3"/>
      <c r="P1384" s="3"/>
      <c r="Q1384" s="3"/>
      <c r="R1384" s="111"/>
      <c r="S1384" s="111"/>
      <c r="T1384" s="111"/>
    </row>
    <row r="1385" spans="3:20" s="4" customFormat="1" x14ac:dyDescent="0.25">
      <c r="C1385" s="3"/>
      <c r="D1385" s="3"/>
      <c r="E1385" s="3"/>
      <c r="F1385" s="3"/>
      <c r="G1385" s="3"/>
      <c r="H1385" s="3"/>
      <c r="I1385" s="3"/>
      <c r="J1385" s="3"/>
      <c r="K1385" s="3"/>
      <c r="L1385" s="3"/>
      <c r="M1385" s="3"/>
      <c r="N1385" s="3"/>
      <c r="O1385" s="3"/>
      <c r="P1385" s="3"/>
      <c r="Q1385" s="3"/>
      <c r="R1385" s="111"/>
      <c r="S1385" s="111"/>
      <c r="T1385" s="111"/>
    </row>
    <row r="1386" spans="3:20" s="4" customFormat="1" x14ac:dyDescent="0.25">
      <c r="C1386" s="3"/>
      <c r="D1386" s="3"/>
      <c r="E1386" s="3"/>
      <c r="F1386" s="3"/>
      <c r="G1386" s="3"/>
      <c r="H1386" s="3"/>
      <c r="I1386" s="3"/>
      <c r="J1386" s="3"/>
      <c r="K1386" s="3"/>
      <c r="L1386" s="3"/>
      <c r="M1386" s="3"/>
      <c r="N1386" s="3"/>
      <c r="O1386" s="3"/>
      <c r="P1386" s="3"/>
      <c r="Q1386" s="3"/>
      <c r="R1386" s="111"/>
      <c r="S1386" s="111"/>
      <c r="T1386" s="111"/>
    </row>
    <row r="1387" spans="3:20" s="4" customFormat="1" x14ac:dyDescent="0.25">
      <c r="C1387" s="3"/>
      <c r="D1387" s="3"/>
      <c r="E1387" s="3"/>
      <c r="F1387" s="3"/>
      <c r="G1387" s="3"/>
      <c r="H1387" s="3"/>
      <c r="I1387" s="3"/>
      <c r="J1387" s="3"/>
      <c r="K1387" s="3"/>
      <c r="L1387" s="3"/>
      <c r="M1387" s="3"/>
      <c r="N1387" s="3"/>
      <c r="O1387" s="3"/>
      <c r="P1387" s="3"/>
      <c r="Q1387" s="3"/>
      <c r="R1387" s="111"/>
      <c r="S1387" s="111"/>
      <c r="T1387" s="111"/>
    </row>
    <row r="1388" spans="3:20" s="4" customFormat="1" x14ac:dyDescent="0.25">
      <c r="C1388" s="3"/>
      <c r="D1388" s="3"/>
      <c r="E1388" s="3"/>
      <c r="F1388" s="3"/>
      <c r="G1388" s="3"/>
      <c r="H1388" s="3"/>
      <c r="I1388" s="3"/>
      <c r="J1388" s="3"/>
      <c r="K1388" s="3"/>
      <c r="L1388" s="3"/>
      <c r="M1388" s="3"/>
      <c r="N1388" s="3"/>
      <c r="O1388" s="3"/>
      <c r="P1388" s="3"/>
      <c r="Q1388" s="3"/>
      <c r="R1388" s="111"/>
      <c r="S1388" s="111"/>
      <c r="T1388" s="111"/>
    </row>
    <row r="1389" spans="3:20" s="4" customFormat="1" x14ac:dyDescent="0.25">
      <c r="C1389" s="3"/>
      <c r="D1389" s="3"/>
      <c r="E1389" s="3"/>
      <c r="F1389" s="3"/>
      <c r="G1389" s="3"/>
      <c r="H1389" s="3"/>
      <c r="I1389" s="3"/>
      <c r="J1389" s="3"/>
      <c r="K1389" s="3"/>
      <c r="L1389" s="3"/>
      <c r="M1389" s="3"/>
      <c r="N1389" s="3"/>
      <c r="O1389" s="3"/>
      <c r="P1389" s="3"/>
      <c r="Q1389" s="3"/>
      <c r="R1389" s="111"/>
      <c r="S1389" s="111"/>
      <c r="T1389" s="111"/>
    </row>
    <row r="1390" spans="3:20" s="4" customFormat="1" x14ac:dyDescent="0.25">
      <c r="C1390" s="3"/>
      <c r="D1390" s="3"/>
      <c r="E1390" s="3"/>
      <c r="F1390" s="3"/>
      <c r="G1390" s="3"/>
      <c r="H1390" s="3"/>
      <c r="I1390" s="3"/>
      <c r="J1390" s="3"/>
      <c r="K1390" s="3"/>
      <c r="L1390" s="3"/>
      <c r="M1390" s="3"/>
      <c r="N1390" s="3"/>
      <c r="O1390" s="3"/>
      <c r="P1390" s="3"/>
      <c r="Q1390" s="3"/>
      <c r="R1390" s="111"/>
      <c r="S1390" s="111"/>
      <c r="T1390" s="111"/>
    </row>
    <row r="1391" spans="3:20" s="4" customFormat="1" x14ac:dyDescent="0.25">
      <c r="C1391" s="3"/>
      <c r="D1391" s="3"/>
      <c r="E1391" s="3"/>
      <c r="F1391" s="3"/>
      <c r="G1391" s="3"/>
      <c r="H1391" s="3"/>
      <c r="I1391" s="3"/>
      <c r="J1391" s="3"/>
      <c r="K1391" s="3"/>
      <c r="L1391" s="3"/>
      <c r="M1391" s="3"/>
      <c r="N1391" s="3"/>
      <c r="O1391" s="3"/>
      <c r="P1391" s="3"/>
      <c r="Q1391" s="3"/>
      <c r="R1391" s="111"/>
      <c r="S1391" s="111"/>
      <c r="T1391" s="111"/>
    </row>
    <row r="1392" spans="3:20" s="4" customFormat="1" x14ac:dyDescent="0.25">
      <c r="C1392" s="3"/>
      <c r="D1392" s="3"/>
      <c r="E1392" s="3"/>
      <c r="F1392" s="3"/>
      <c r="G1392" s="3"/>
      <c r="H1392" s="3"/>
      <c r="I1392" s="3"/>
      <c r="J1392" s="3"/>
      <c r="K1392" s="3"/>
      <c r="L1392" s="3"/>
      <c r="M1392" s="3"/>
      <c r="N1392" s="3"/>
      <c r="O1392" s="3"/>
      <c r="P1392" s="3"/>
      <c r="Q1392" s="3"/>
      <c r="R1392" s="111"/>
      <c r="S1392" s="111"/>
      <c r="T1392" s="111"/>
    </row>
    <row r="1393" spans="3:20" s="4" customFormat="1" x14ac:dyDescent="0.25">
      <c r="C1393" s="3"/>
      <c r="D1393" s="3"/>
      <c r="E1393" s="3"/>
      <c r="F1393" s="3"/>
      <c r="G1393" s="3"/>
      <c r="H1393" s="3"/>
      <c r="I1393" s="3"/>
      <c r="J1393" s="3"/>
      <c r="K1393" s="3"/>
      <c r="L1393" s="3"/>
      <c r="M1393" s="3"/>
      <c r="N1393" s="3"/>
      <c r="O1393" s="3"/>
      <c r="P1393" s="3"/>
      <c r="Q1393" s="3"/>
      <c r="R1393" s="111"/>
      <c r="S1393" s="111"/>
      <c r="T1393" s="111"/>
    </row>
    <row r="1394" spans="3:20" s="4" customFormat="1" x14ac:dyDescent="0.25">
      <c r="C1394" s="3"/>
      <c r="D1394" s="3"/>
      <c r="E1394" s="3"/>
      <c r="F1394" s="3"/>
      <c r="G1394" s="3"/>
      <c r="H1394" s="3"/>
      <c r="I1394" s="3"/>
      <c r="J1394" s="3"/>
      <c r="K1394" s="3"/>
      <c r="L1394" s="3"/>
      <c r="M1394" s="3"/>
      <c r="N1394" s="3"/>
      <c r="O1394" s="3"/>
      <c r="P1394" s="3"/>
      <c r="Q1394" s="3"/>
      <c r="R1394" s="111"/>
      <c r="S1394" s="111"/>
      <c r="T1394" s="111"/>
    </row>
    <row r="1395" spans="3:20" s="4" customFormat="1" x14ac:dyDescent="0.25">
      <c r="C1395" s="3"/>
      <c r="D1395" s="3"/>
      <c r="E1395" s="3"/>
      <c r="F1395" s="3"/>
      <c r="G1395" s="3"/>
      <c r="H1395" s="3"/>
      <c r="I1395" s="3"/>
      <c r="J1395" s="3"/>
      <c r="K1395" s="3"/>
      <c r="L1395" s="3"/>
      <c r="M1395" s="3"/>
      <c r="N1395" s="3"/>
      <c r="O1395" s="3"/>
      <c r="P1395" s="3"/>
      <c r="Q1395" s="3"/>
      <c r="R1395" s="111"/>
      <c r="S1395" s="111"/>
      <c r="T1395" s="111"/>
    </row>
    <row r="1396" spans="3:20" s="4" customFormat="1" x14ac:dyDescent="0.25">
      <c r="C1396" s="3"/>
      <c r="D1396" s="3"/>
      <c r="E1396" s="3"/>
      <c r="F1396" s="3"/>
      <c r="G1396" s="3"/>
      <c r="H1396" s="3"/>
      <c r="I1396" s="3"/>
      <c r="J1396" s="3"/>
      <c r="K1396" s="3"/>
      <c r="L1396" s="3"/>
      <c r="M1396" s="3"/>
      <c r="N1396" s="3"/>
      <c r="O1396" s="3"/>
      <c r="P1396" s="3"/>
      <c r="Q1396" s="3"/>
      <c r="R1396" s="111"/>
      <c r="S1396" s="111"/>
      <c r="T1396" s="111"/>
    </row>
    <row r="1397" spans="3:20" s="4" customFormat="1" x14ac:dyDescent="0.25">
      <c r="C1397" s="3"/>
      <c r="D1397" s="3"/>
      <c r="E1397" s="3"/>
      <c r="F1397" s="3"/>
      <c r="G1397" s="3"/>
      <c r="H1397" s="3"/>
      <c r="I1397" s="3"/>
      <c r="J1397" s="3"/>
      <c r="K1397" s="3"/>
      <c r="L1397" s="3"/>
      <c r="M1397" s="3"/>
      <c r="N1397" s="3"/>
      <c r="O1397" s="3"/>
      <c r="P1397" s="3"/>
      <c r="Q1397" s="3"/>
      <c r="R1397" s="111"/>
      <c r="S1397" s="111"/>
      <c r="T1397" s="111"/>
    </row>
    <row r="1398" spans="3:20" s="4" customFormat="1" x14ac:dyDescent="0.25">
      <c r="C1398" s="3"/>
      <c r="D1398" s="3"/>
      <c r="E1398" s="3"/>
      <c r="F1398" s="3"/>
      <c r="G1398" s="3"/>
      <c r="H1398" s="3"/>
      <c r="I1398" s="3"/>
      <c r="J1398" s="3"/>
      <c r="K1398" s="3"/>
      <c r="L1398" s="3"/>
      <c r="M1398" s="3"/>
      <c r="N1398" s="3"/>
      <c r="O1398" s="3"/>
      <c r="P1398" s="3"/>
      <c r="Q1398" s="3"/>
      <c r="R1398" s="111"/>
      <c r="S1398" s="111"/>
      <c r="T1398" s="111"/>
    </row>
    <row r="1399" spans="3:20" s="4" customFormat="1" x14ac:dyDescent="0.25">
      <c r="C1399" s="3"/>
      <c r="D1399" s="3"/>
      <c r="E1399" s="3"/>
      <c r="F1399" s="3"/>
      <c r="G1399" s="3"/>
      <c r="H1399" s="3"/>
      <c r="I1399" s="3"/>
      <c r="J1399" s="3"/>
      <c r="K1399" s="3"/>
      <c r="L1399" s="3"/>
      <c r="M1399" s="3"/>
      <c r="N1399" s="3"/>
      <c r="O1399" s="3"/>
      <c r="P1399" s="3"/>
      <c r="Q1399" s="3"/>
      <c r="R1399" s="111"/>
      <c r="S1399" s="111"/>
      <c r="T1399" s="111"/>
    </row>
    <row r="1400" spans="3:20" s="4" customFormat="1" x14ac:dyDescent="0.25">
      <c r="C1400" s="3"/>
      <c r="D1400" s="3"/>
      <c r="E1400" s="3"/>
      <c r="F1400" s="3"/>
      <c r="G1400" s="3"/>
      <c r="H1400" s="3"/>
      <c r="I1400" s="3"/>
      <c r="J1400" s="3"/>
      <c r="K1400" s="3"/>
      <c r="L1400" s="3"/>
      <c r="M1400" s="3"/>
      <c r="N1400" s="3"/>
      <c r="O1400" s="3"/>
      <c r="P1400" s="3"/>
      <c r="Q1400" s="3"/>
      <c r="R1400" s="111"/>
      <c r="S1400" s="111"/>
      <c r="T1400" s="111"/>
    </row>
    <row r="1401" spans="3:20" s="4" customFormat="1" x14ac:dyDescent="0.25">
      <c r="C1401" s="3"/>
      <c r="D1401" s="3"/>
      <c r="E1401" s="3"/>
      <c r="F1401" s="3"/>
      <c r="G1401" s="3"/>
      <c r="H1401" s="3"/>
      <c r="I1401" s="3"/>
      <c r="J1401" s="3"/>
      <c r="K1401" s="3"/>
      <c r="L1401" s="3"/>
      <c r="M1401" s="3"/>
      <c r="N1401" s="3"/>
      <c r="O1401" s="3"/>
      <c r="P1401" s="3"/>
      <c r="Q1401" s="3"/>
      <c r="R1401" s="111"/>
      <c r="S1401" s="111"/>
      <c r="T1401" s="111"/>
    </row>
    <row r="1402" spans="3:20" s="4" customFormat="1" x14ac:dyDescent="0.25">
      <c r="C1402" s="3"/>
      <c r="D1402" s="3"/>
      <c r="E1402" s="3"/>
      <c r="F1402" s="3"/>
      <c r="G1402" s="3"/>
      <c r="H1402" s="3"/>
      <c r="I1402" s="3"/>
      <c r="J1402" s="3"/>
      <c r="K1402" s="3"/>
      <c r="L1402" s="3"/>
      <c r="M1402" s="3"/>
      <c r="N1402" s="3"/>
      <c r="O1402" s="3"/>
      <c r="P1402" s="3"/>
      <c r="Q1402" s="3"/>
      <c r="R1402" s="111"/>
      <c r="S1402" s="111"/>
      <c r="T1402" s="111"/>
    </row>
    <row r="1403" spans="3:20" s="4" customFormat="1" x14ac:dyDescent="0.25">
      <c r="C1403" s="3"/>
      <c r="D1403" s="3"/>
      <c r="E1403" s="3"/>
      <c r="F1403" s="3"/>
      <c r="G1403" s="3"/>
      <c r="H1403" s="3"/>
      <c r="I1403" s="3"/>
      <c r="J1403" s="3"/>
      <c r="K1403" s="3"/>
      <c r="L1403" s="3"/>
      <c r="M1403" s="3"/>
      <c r="N1403" s="3"/>
      <c r="O1403" s="3"/>
      <c r="P1403" s="3"/>
      <c r="Q1403" s="3"/>
      <c r="R1403" s="111"/>
      <c r="S1403" s="111"/>
      <c r="T1403" s="111"/>
    </row>
    <row r="1404" spans="3:20" s="4" customFormat="1" x14ac:dyDescent="0.25">
      <c r="C1404" s="3"/>
      <c r="D1404" s="3"/>
      <c r="E1404" s="3"/>
      <c r="F1404" s="3"/>
      <c r="G1404" s="3"/>
      <c r="H1404" s="3"/>
      <c r="I1404" s="3"/>
      <c r="J1404" s="3"/>
      <c r="K1404" s="3"/>
      <c r="L1404" s="3"/>
      <c r="M1404" s="3"/>
      <c r="N1404" s="3"/>
      <c r="O1404" s="3"/>
      <c r="P1404" s="3"/>
      <c r="Q1404" s="3"/>
      <c r="R1404" s="111"/>
      <c r="S1404" s="111"/>
      <c r="T1404" s="111"/>
    </row>
    <row r="1405" spans="3:20" s="4" customFormat="1" x14ac:dyDescent="0.25">
      <c r="C1405" s="3"/>
      <c r="D1405" s="3"/>
      <c r="E1405" s="3"/>
      <c r="F1405" s="3"/>
      <c r="G1405" s="3"/>
      <c r="H1405" s="3"/>
      <c r="I1405" s="3"/>
      <c r="J1405" s="3"/>
      <c r="K1405" s="3"/>
      <c r="L1405" s="3"/>
      <c r="M1405" s="3"/>
      <c r="N1405" s="3"/>
      <c r="O1405" s="3"/>
      <c r="P1405" s="3"/>
      <c r="Q1405" s="3"/>
      <c r="R1405" s="111"/>
      <c r="S1405" s="111"/>
      <c r="T1405" s="111"/>
    </row>
    <row r="1406" spans="3:20" s="4" customFormat="1" x14ac:dyDescent="0.25">
      <c r="C1406" s="3"/>
      <c r="D1406" s="3"/>
      <c r="E1406" s="3"/>
      <c r="F1406" s="3"/>
      <c r="G1406" s="3"/>
      <c r="H1406" s="3"/>
      <c r="I1406" s="3"/>
      <c r="J1406" s="3"/>
      <c r="K1406" s="3"/>
      <c r="L1406" s="3"/>
      <c r="M1406" s="3"/>
      <c r="N1406" s="3"/>
      <c r="O1406" s="3"/>
      <c r="P1406" s="3"/>
      <c r="Q1406" s="3"/>
      <c r="R1406" s="111"/>
      <c r="S1406" s="111"/>
      <c r="T1406" s="111"/>
    </row>
    <row r="1407" spans="3:20" s="4" customFormat="1" x14ac:dyDescent="0.25">
      <c r="C1407" s="3"/>
      <c r="D1407" s="3"/>
      <c r="E1407" s="3"/>
      <c r="F1407" s="3"/>
      <c r="G1407" s="3"/>
      <c r="H1407" s="3"/>
      <c r="I1407" s="3"/>
      <c r="J1407" s="3"/>
      <c r="K1407" s="3"/>
      <c r="L1407" s="3"/>
      <c r="M1407" s="3"/>
      <c r="N1407" s="3"/>
      <c r="O1407" s="3"/>
      <c r="P1407" s="3"/>
      <c r="Q1407" s="3"/>
      <c r="R1407" s="111"/>
      <c r="S1407" s="111"/>
      <c r="T1407" s="111"/>
    </row>
    <row r="1408" spans="3:20" s="4" customFormat="1" x14ac:dyDescent="0.25">
      <c r="C1408" s="3"/>
      <c r="D1408" s="3"/>
      <c r="E1408" s="3"/>
      <c r="F1408" s="3"/>
      <c r="G1408" s="3"/>
      <c r="H1408" s="3"/>
      <c r="I1408" s="3"/>
      <c r="J1408" s="3"/>
      <c r="K1408" s="3"/>
      <c r="L1408" s="3"/>
      <c r="M1408" s="3"/>
      <c r="N1408" s="3"/>
      <c r="O1408" s="3"/>
      <c r="P1408" s="3"/>
      <c r="Q1408" s="3"/>
      <c r="R1408" s="111"/>
      <c r="S1408" s="111"/>
      <c r="T1408" s="111"/>
    </row>
    <row r="1409" spans="3:20" s="4" customFormat="1" x14ac:dyDescent="0.25">
      <c r="C1409" s="3"/>
      <c r="D1409" s="3"/>
      <c r="E1409" s="3"/>
      <c r="F1409" s="3"/>
      <c r="G1409" s="3"/>
      <c r="H1409" s="3"/>
      <c r="I1409" s="3"/>
      <c r="J1409" s="3"/>
      <c r="K1409" s="3"/>
      <c r="L1409" s="3"/>
      <c r="M1409" s="3"/>
      <c r="N1409" s="3"/>
      <c r="O1409" s="3"/>
      <c r="P1409" s="3"/>
      <c r="Q1409" s="3"/>
      <c r="R1409" s="111"/>
      <c r="S1409" s="111"/>
      <c r="T1409" s="111"/>
    </row>
    <row r="1410" spans="3:20" s="4" customFormat="1" x14ac:dyDescent="0.25">
      <c r="C1410" s="3"/>
      <c r="D1410" s="3"/>
      <c r="E1410" s="3"/>
      <c r="F1410" s="3"/>
      <c r="G1410" s="3"/>
      <c r="H1410" s="3"/>
      <c r="I1410" s="3"/>
      <c r="J1410" s="3"/>
      <c r="K1410" s="3"/>
      <c r="L1410" s="3"/>
      <c r="M1410" s="3"/>
      <c r="N1410" s="3"/>
      <c r="O1410" s="3"/>
      <c r="P1410" s="3"/>
      <c r="Q1410" s="3"/>
      <c r="R1410" s="111"/>
      <c r="S1410" s="111"/>
      <c r="T1410" s="111"/>
    </row>
    <row r="1411" spans="3:20" s="4" customFormat="1" x14ac:dyDescent="0.25">
      <c r="C1411" s="3"/>
      <c r="D1411" s="3"/>
      <c r="E1411" s="3"/>
      <c r="F1411" s="3"/>
      <c r="G1411" s="3"/>
      <c r="H1411" s="3"/>
      <c r="I1411" s="3"/>
      <c r="J1411" s="3"/>
      <c r="K1411" s="3"/>
      <c r="L1411" s="3"/>
      <c r="M1411" s="3"/>
      <c r="N1411" s="3"/>
      <c r="O1411" s="3"/>
      <c r="P1411" s="3"/>
      <c r="Q1411" s="3"/>
      <c r="R1411" s="111"/>
      <c r="S1411" s="111"/>
      <c r="T1411" s="111"/>
    </row>
    <row r="1412" spans="3:20" s="4" customFormat="1" x14ac:dyDescent="0.25">
      <c r="C1412" s="3"/>
      <c r="D1412" s="3"/>
      <c r="E1412" s="3"/>
      <c r="F1412" s="3"/>
      <c r="G1412" s="3"/>
      <c r="H1412" s="3"/>
      <c r="I1412" s="3"/>
      <c r="J1412" s="3"/>
      <c r="K1412" s="3"/>
      <c r="L1412" s="3"/>
      <c r="M1412" s="3"/>
      <c r="N1412" s="3"/>
      <c r="O1412" s="3"/>
      <c r="P1412" s="3"/>
      <c r="Q1412" s="3"/>
      <c r="R1412" s="111"/>
      <c r="S1412" s="111"/>
      <c r="T1412" s="111"/>
    </row>
    <row r="1413" spans="3:20" s="4" customFormat="1" x14ac:dyDescent="0.25">
      <c r="C1413" s="3"/>
      <c r="D1413" s="3"/>
      <c r="E1413" s="3"/>
      <c r="F1413" s="3"/>
      <c r="G1413" s="3"/>
      <c r="H1413" s="3"/>
      <c r="I1413" s="3"/>
      <c r="J1413" s="3"/>
      <c r="K1413" s="3"/>
      <c r="L1413" s="3"/>
      <c r="M1413" s="3"/>
      <c r="N1413" s="3"/>
      <c r="O1413" s="3"/>
      <c r="P1413" s="3"/>
      <c r="Q1413" s="3"/>
      <c r="R1413" s="111"/>
      <c r="S1413" s="111"/>
      <c r="T1413" s="111"/>
    </row>
    <row r="1414" spans="3:20" s="4" customFormat="1" x14ac:dyDescent="0.25">
      <c r="C1414" s="3"/>
      <c r="D1414" s="3"/>
      <c r="E1414" s="3"/>
      <c r="F1414" s="3"/>
      <c r="G1414" s="3"/>
      <c r="H1414" s="3"/>
      <c r="I1414" s="3"/>
      <c r="J1414" s="3"/>
      <c r="K1414" s="3"/>
      <c r="L1414" s="3"/>
      <c r="M1414" s="3"/>
      <c r="N1414" s="3"/>
      <c r="O1414" s="3"/>
      <c r="P1414" s="3"/>
      <c r="Q1414" s="3"/>
      <c r="R1414" s="111"/>
      <c r="S1414" s="111"/>
      <c r="T1414" s="111"/>
    </row>
    <row r="1415" spans="3:20" s="4" customFormat="1" x14ac:dyDescent="0.25">
      <c r="C1415" s="3"/>
      <c r="D1415" s="3"/>
      <c r="E1415" s="3"/>
      <c r="F1415" s="3"/>
      <c r="G1415" s="3"/>
      <c r="H1415" s="3"/>
      <c r="I1415" s="3"/>
      <c r="J1415" s="3"/>
      <c r="K1415" s="3"/>
      <c r="L1415" s="3"/>
      <c r="M1415" s="3"/>
      <c r="N1415" s="3"/>
      <c r="O1415" s="3"/>
      <c r="P1415" s="3"/>
      <c r="Q1415" s="3"/>
      <c r="R1415" s="111"/>
      <c r="S1415" s="111"/>
      <c r="T1415" s="111"/>
    </row>
    <row r="1416" spans="3:20" s="4" customFormat="1" x14ac:dyDescent="0.25">
      <c r="C1416" s="3"/>
      <c r="D1416" s="3"/>
      <c r="E1416" s="3"/>
      <c r="F1416" s="3"/>
      <c r="G1416" s="3"/>
      <c r="H1416" s="3"/>
      <c r="I1416" s="3"/>
      <c r="J1416" s="3"/>
      <c r="K1416" s="3"/>
      <c r="L1416" s="3"/>
      <c r="M1416" s="3"/>
      <c r="N1416" s="3"/>
      <c r="O1416" s="3"/>
      <c r="P1416" s="3"/>
      <c r="Q1416" s="3"/>
      <c r="R1416" s="111"/>
      <c r="S1416" s="111"/>
      <c r="T1416" s="111"/>
    </row>
    <row r="1417" spans="3:20" s="4" customFormat="1" x14ac:dyDescent="0.25">
      <c r="C1417" s="3"/>
      <c r="D1417" s="3"/>
      <c r="E1417" s="3"/>
      <c r="F1417" s="3"/>
      <c r="G1417" s="3"/>
      <c r="H1417" s="3"/>
      <c r="I1417" s="3"/>
      <c r="J1417" s="3"/>
      <c r="K1417" s="3"/>
      <c r="L1417" s="3"/>
      <c r="M1417" s="3"/>
      <c r="N1417" s="3"/>
      <c r="O1417" s="3"/>
      <c r="P1417" s="3"/>
      <c r="Q1417" s="3"/>
      <c r="R1417" s="111"/>
      <c r="S1417" s="111"/>
      <c r="T1417" s="111"/>
    </row>
    <row r="1418" spans="3:20" s="4" customFormat="1" x14ac:dyDescent="0.25">
      <c r="C1418" s="3"/>
      <c r="D1418" s="3"/>
      <c r="E1418" s="3"/>
      <c r="F1418" s="3"/>
      <c r="G1418" s="3"/>
      <c r="H1418" s="3"/>
      <c r="I1418" s="3"/>
      <c r="J1418" s="3"/>
      <c r="K1418" s="3"/>
      <c r="L1418" s="3"/>
      <c r="M1418" s="3"/>
      <c r="N1418" s="3"/>
      <c r="O1418" s="3"/>
      <c r="P1418" s="3"/>
      <c r="Q1418" s="3"/>
      <c r="R1418" s="111"/>
      <c r="S1418" s="111"/>
      <c r="T1418" s="111"/>
    </row>
    <row r="1419" spans="3:20" s="4" customFormat="1" x14ac:dyDescent="0.25">
      <c r="C1419" s="3"/>
      <c r="D1419" s="3"/>
      <c r="E1419" s="3"/>
      <c r="F1419" s="3"/>
      <c r="G1419" s="3"/>
      <c r="H1419" s="3"/>
      <c r="I1419" s="3"/>
      <c r="J1419" s="3"/>
      <c r="K1419" s="3"/>
      <c r="L1419" s="3"/>
      <c r="M1419" s="3"/>
      <c r="N1419" s="3"/>
      <c r="O1419" s="3"/>
      <c r="P1419" s="3"/>
      <c r="Q1419" s="3"/>
      <c r="R1419" s="111"/>
      <c r="S1419" s="111"/>
      <c r="T1419" s="111"/>
    </row>
    <row r="1420" spans="3:20" s="4" customFormat="1" x14ac:dyDescent="0.25">
      <c r="C1420" s="3"/>
      <c r="D1420" s="3"/>
      <c r="E1420" s="3"/>
      <c r="F1420" s="3"/>
      <c r="G1420" s="3"/>
      <c r="H1420" s="3"/>
      <c r="I1420" s="3"/>
      <c r="J1420" s="3"/>
      <c r="K1420" s="3"/>
      <c r="L1420" s="3"/>
      <c r="M1420" s="3"/>
      <c r="N1420" s="3"/>
      <c r="O1420" s="3"/>
      <c r="P1420" s="3"/>
      <c r="Q1420" s="3"/>
      <c r="R1420" s="111"/>
      <c r="S1420" s="111"/>
      <c r="T1420" s="111"/>
    </row>
    <row r="1421" spans="3:20" s="4" customFormat="1" x14ac:dyDescent="0.25">
      <c r="C1421" s="3"/>
      <c r="D1421" s="3"/>
      <c r="E1421" s="3"/>
      <c r="F1421" s="3"/>
      <c r="G1421" s="3"/>
      <c r="H1421" s="3"/>
      <c r="I1421" s="3"/>
      <c r="J1421" s="3"/>
      <c r="K1421" s="3"/>
      <c r="L1421" s="3"/>
      <c r="M1421" s="3"/>
      <c r="N1421" s="3"/>
      <c r="O1421" s="3"/>
      <c r="P1421" s="3"/>
      <c r="Q1421" s="3"/>
      <c r="R1421" s="111"/>
      <c r="S1421" s="111"/>
      <c r="T1421" s="111"/>
    </row>
    <row r="1422" spans="3:20" s="4" customFormat="1" x14ac:dyDescent="0.25">
      <c r="C1422" s="3"/>
      <c r="D1422" s="3"/>
      <c r="E1422" s="3"/>
      <c r="F1422" s="3"/>
      <c r="G1422" s="3"/>
      <c r="H1422" s="3"/>
      <c r="I1422" s="3"/>
      <c r="J1422" s="3"/>
      <c r="K1422" s="3"/>
      <c r="L1422" s="3"/>
      <c r="M1422" s="3"/>
      <c r="N1422" s="3"/>
      <c r="O1422" s="3"/>
      <c r="P1422" s="3"/>
      <c r="Q1422" s="3"/>
      <c r="R1422" s="111"/>
      <c r="S1422" s="111"/>
      <c r="T1422" s="111"/>
    </row>
    <row r="1423" spans="3:20" s="4" customFormat="1" x14ac:dyDescent="0.25">
      <c r="C1423" s="3"/>
      <c r="D1423" s="3"/>
      <c r="E1423" s="3"/>
      <c r="F1423" s="3"/>
      <c r="G1423" s="3"/>
      <c r="H1423" s="3"/>
      <c r="I1423" s="3"/>
      <c r="J1423" s="3"/>
      <c r="K1423" s="3"/>
      <c r="L1423" s="3"/>
      <c r="M1423" s="3"/>
      <c r="N1423" s="3"/>
      <c r="O1423" s="3"/>
      <c r="P1423" s="3"/>
      <c r="Q1423" s="3"/>
      <c r="R1423" s="111"/>
      <c r="S1423" s="111"/>
      <c r="T1423" s="111"/>
    </row>
    <row r="1424" spans="3:20" s="4" customFormat="1" x14ac:dyDescent="0.25">
      <c r="C1424" s="3"/>
      <c r="D1424" s="3"/>
      <c r="E1424" s="3"/>
      <c r="F1424" s="3"/>
      <c r="G1424" s="3"/>
      <c r="H1424" s="3"/>
      <c r="I1424" s="3"/>
      <c r="J1424" s="3"/>
      <c r="K1424" s="3"/>
      <c r="L1424" s="3"/>
      <c r="M1424" s="3"/>
      <c r="N1424" s="3"/>
      <c r="O1424" s="3"/>
      <c r="P1424" s="3"/>
      <c r="Q1424" s="3"/>
      <c r="R1424" s="111"/>
      <c r="S1424" s="111"/>
      <c r="T1424" s="111"/>
    </row>
    <row r="1425" spans="3:20" s="4" customFormat="1" x14ac:dyDescent="0.25">
      <c r="C1425" s="3"/>
      <c r="D1425" s="3"/>
      <c r="E1425" s="3"/>
      <c r="F1425" s="3"/>
      <c r="G1425" s="3"/>
      <c r="H1425" s="3"/>
      <c r="I1425" s="3"/>
      <c r="J1425" s="3"/>
      <c r="K1425" s="3"/>
      <c r="L1425" s="3"/>
      <c r="M1425" s="3"/>
      <c r="N1425" s="3"/>
      <c r="O1425" s="3"/>
      <c r="P1425" s="3"/>
      <c r="Q1425" s="3"/>
      <c r="R1425" s="111"/>
      <c r="S1425" s="111"/>
      <c r="T1425" s="111"/>
    </row>
    <row r="1426" spans="3:20" s="4" customFormat="1" x14ac:dyDescent="0.25">
      <c r="C1426" s="3"/>
      <c r="D1426" s="3"/>
      <c r="E1426" s="3"/>
      <c r="F1426" s="3"/>
      <c r="G1426" s="3"/>
      <c r="H1426" s="3"/>
      <c r="I1426" s="3"/>
      <c r="J1426" s="3"/>
      <c r="K1426" s="3"/>
      <c r="L1426" s="3"/>
      <c r="M1426" s="3"/>
      <c r="N1426" s="3"/>
      <c r="O1426" s="3"/>
      <c r="P1426" s="3"/>
      <c r="Q1426" s="3"/>
      <c r="R1426" s="111"/>
      <c r="S1426" s="111"/>
      <c r="T1426" s="111"/>
    </row>
    <row r="1427" spans="3:20" s="4" customFormat="1" x14ac:dyDescent="0.25">
      <c r="C1427" s="3"/>
      <c r="D1427" s="3"/>
      <c r="E1427" s="3"/>
      <c r="F1427" s="3"/>
      <c r="G1427" s="3"/>
      <c r="H1427" s="3"/>
      <c r="I1427" s="3"/>
      <c r="J1427" s="3"/>
      <c r="K1427" s="3"/>
      <c r="L1427" s="3"/>
      <c r="M1427" s="3"/>
      <c r="N1427" s="3"/>
      <c r="O1427" s="3"/>
      <c r="P1427" s="3"/>
      <c r="Q1427" s="3"/>
      <c r="R1427" s="111"/>
      <c r="S1427" s="111"/>
      <c r="T1427" s="111"/>
    </row>
    <row r="1428" spans="3:20" s="4" customFormat="1" x14ac:dyDescent="0.25">
      <c r="C1428" s="3"/>
      <c r="D1428" s="3"/>
      <c r="E1428" s="3"/>
      <c r="F1428" s="3"/>
      <c r="G1428" s="3"/>
      <c r="H1428" s="3"/>
      <c r="I1428" s="3"/>
      <c r="J1428" s="3"/>
      <c r="K1428" s="3"/>
      <c r="L1428" s="3"/>
      <c r="M1428" s="3"/>
      <c r="N1428" s="3"/>
      <c r="O1428" s="3"/>
      <c r="P1428" s="3"/>
      <c r="Q1428" s="3"/>
      <c r="R1428" s="111"/>
      <c r="S1428" s="111"/>
      <c r="T1428" s="111"/>
    </row>
    <row r="1429" spans="3:20" s="4" customFormat="1" x14ac:dyDescent="0.25">
      <c r="C1429" s="3"/>
      <c r="D1429" s="3"/>
      <c r="E1429" s="3"/>
      <c r="F1429" s="3"/>
      <c r="G1429" s="3"/>
      <c r="H1429" s="3"/>
      <c r="I1429" s="3"/>
      <c r="J1429" s="3"/>
      <c r="K1429" s="3"/>
      <c r="L1429" s="3"/>
      <c r="M1429" s="3"/>
      <c r="N1429" s="3"/>
      <c r="O1429" s="3"/>
      <c r="P1429" s="3"/>
      <c r="Q1429" s="3"/>
      <c r="R1429" s="111"/>
      <c r="S1429" s="111"/>
      <c r="T1429" s="111"/>
    </row>
    <row r="1430" spans="3:20" s="4" customFormat="1" x14ac:dyDescent="0.25">
      <c r="C1430" s="3"/>
      <c r="D1430" s="3"/>
      <c r="E1430" s="3"/>
      <c r="F1430" s="3"/>
      <c r="G1430" s="3"/>
      <c r="H1430" s="3"/>
      <c r="I1430" s="3"/>
      <c r="J1430" s="3"/>
      <c r="K1430" s="3"/>
      <c r="L1430" s="3"/>
      <c r="M1430" s="3"/>
      <c r="N1430" s="3"/>
      <c r="O1430" s="3"/>
      <c r="P1430" s="3"/>
      <c r="Q1430" s="3"/>
      <c r="R1430" s="111"/>
      <c r="S1430" s="111"/>
      <c r="T1430" s="111"/>
    </row>
    <row r="1431" spans="3:20" s="4" customFormat="1" x14ac:dyDescent="0.25">
      <c r="C1431" s="3"/>
      <c r="D1431" s="3"/>
      <c r="E1431" s="3"/>
      <c r="F1431" s="3"/>
      <c r="G1431" s="3"/>
      <c r="H1431" s="3"/>
      <c r="I1431" s="3"/>
      <c r="J1431" s="3"/>
      <c r="K1431" s="3"/>
      <c r="L1431" s="3"/>
      <c r="M1431" s="3"/>
      <c r="N1431" s="3"/>
      <c r="O1431" s="3"/>
      <c r="P1431" s="3"/>
      <c r="Q1431" s="3"/>
      <c r="R1431" s="111"/>
      <c r="S1431" s="111"/>
      <c r="T1431" s="111"/>
    </row>
    <row r="1432" spans="3:20" s="4" customFormat="1" x14ac:dyDescent="0.25">
      <c r="C1432" s="3"/>
      <c r="D1432" s="3"/>
      <c r="E1432" s="3"/>
      <c r="F1432" s="3"/>
      <c r="G1432" s="3"/>
      <c r="H1432" s="3"/>
      <c r="I1432" s="3"/>
      <c r="J1432" s="3"/>
      <c r="K1432" s="3"/>
      <c r="L1432" s="3"/>
      <c r="M1432" s="3"/>
      <c r="N1432" s="3"/>
      <c r="O1432" s="3"/>
      <c r="P1432" s="3"/>
      <c r="Q1432" s="3"/>
      <c r="R1432" s="111"/>
      <c r="S1432" s="111"/>
      <c r="T1432" s="111"/>
    </row>
    <row r="1433" spans="3:20" s="4" customFormat="1" x14ac:dyDescent="0.25">
      <c r="C1433" s="3"/>
      <c r="D1433" s="3"/>
      <c r="E1433" s="3"/>
      <c r="F1433" s="3"/>
      <c r="G1433" s="3"/>
      <c r="H1433" s="3"/>
      <c r="I1433" s="3"/>
      <c r="J1433" s="3"/>
      <c r="K1433" s="3"/>
      <c r="L1433" s="3"/>
      <c r="M1433" s="3"/>
      <c r="N1433" s="3"/>
      <c r="O1433" s="3"/>
      <c r="P1433" s="3"/>
      <c r="Q1433" s="3"/>
      <c r="R1433" s="111"/>
      <c r="S1433" s="111"/>
      <c r="T1433" s="111"/>
    </row>
    <row r="1434" spans="3:20" s="4" customFormat="1" x14ac:dyDescent="0.25">
      <c r="C1434" s="3"/>
      <c r="D1434" s="3"/>
      <c r="E1434" s="3"/>
      <c r="F1434" s="3"/>
      <c r="G1434" s="3"/>
      <c r="H1434" s="3"/>
      <c r="I1434" s="3"/>
      <c r="J1434" s="3"/>
      <c r="K1434" s="3"/>
      <c r="L1434" s="3"/>
      <c r="M1434" s="3"/>
      <c r="N1434" s="3"/>
      <c r="O1434" s="3"/>
      <c r="P1434" s="3"/>
      <c r="Q1434" s="3"/>
      <c r="R1434" s="111"/>
      <c r="S1434" s="111"/>
      <c r="T1434" s="111"/>
    </row>
    <row r="1435" spans="3:20" s="4" customFormat="1" x14ac:dyDescent="0.25">
      <c r="C1435" s="3"/>
      <c r="D1435" s="3"/>
      <c r="E1435" s="3"/>
      <c r="F1435" s="3"/>
      <c r="G1435" s="3"/>
      <c r="H1435" s="3"/>
      <c r="I1435" s="3"/>
      <c r="J1435" s="3"/>
      <c r="K1435" s="3"/>
      <c r="L1435" s="3"/>
      <c r="M1435" s="3"/>
      <c r="N1435" s="3"/>
      <c r="O1435" s="3"/>
      <c r="P1435" s="3"/>
      <c r="Q1435" s="3"/>
      <c r="R1435" s="111"/>
      <c r="S1435" s="111"/>
      <c r="T1435" s="111"/>
    </row>
    <row r="1436" spans="3:20" s="4" customFormat="1" x14ac:dyDescent="0.25">
      <c r="C1436" s="3"/>
      <c r="D1436" s="3"/>
      <c r="E1436" s="3"/>
      <c r="F1436" s="3"/>
      <c r="G1436" s="3"/>
      <c r="H1436" s="3"/>
      <c r="I1436" s="3"/>
      <c r="J1436" s="3"/>
      <c r="K1436" s="3"/>
      <c r="L1436" s="3"/>
      <c r="M1436" s="3"/>
      <c r="N1436" s="3"/>
      <c r="O1436" s="3"/>
      <c r="P1436" s="3"/>
      <c r="Q1436" s="3"/>
      <c r="R1436" s="111"/>
      <c r="S1436" s="111"/>
      <c r="T1436" s="111"/>
    </row>
    <row r="1437" spans="3:20" s="4" customFormat="1" x14ac:dyDescent="0.25">
      <c r="C1437" s="3"/>
      <c r="D1437" s="3"/>
      <c r="E1437" s="3"/>
      <c r="F1437" s="3"/>
      <c r="G1437" s="3"/>
      <c r="H1437" s="3"/>
      <c r="I1437" s="3"/>
      <c r="J1437" s="3"/>
      <c r="K1437" s="3"/>
      <c r="L1437" s="3"/>
      <c r="M1437" s="3"/>
      <c r="N1437" s="3"/>
      <c r="O1437" s="3"/>
      <c r="P1437" s="3"/>
      <c r="Q1437" s="3"/>
      <c r="R1437" s="111"/>
      <c r="S1437" s="111"/>
      <c r="T1437" s="111"/>
    </row>
    <row r="1438" spans="3:20" s="4" customFormat="1" x14ac:dyDescent="0.25">
      <c r="C1438" s="3"/>
      <c r="D1438" s="3"/>
      <c r="E1438" s="3"/>
      <c r="F1438" s="3"/>
      <c r="G1438" s="3"/>
      <c r="H1438" s="3"/>
      <c r="I1438" s="3"/>
      <c r="J1438" s="3"/>
      <c r="K1438" s="3"/>
      <c r="L1438" s="3"/>
      <c r="M1438" s="3"/>
      <c r="N1438" s="3"/>
      <c r="O1438" s="3"/>
      <c r="P1438" s="3"/>
      <c r="Q1438" s="3"/>
      <c r="R1438" s="111"/>
      <c r="S1438" s="111"/>
      <c r="T1438" s="111"/>
    </row>
    <row r="1439" spans="3:20" s="4" customFormat="1" x14ac:dyDescent="0.25">
      <c r="C1439" s="3"/>
      <c r="D1439" s="3"/>
      <c r="E1439" s="3"/>
      <c r="F1439" s="3"/>
      <c r="G1439" s="3"/>
      <c r="H1439" s="3"/>
      <c r="I1439" s="3"/>
      <c r="J1439" s="3"/>
      <c r="K1439" s="3"/>
      <c r="L1439" s="3"/>
      <c r="M1439" s="3"/>
      <c r="N1439" s="3"/>
      <c r="O1439" s="3"/>
      <c r="P1439" s="3"/>
      <c r="Q1439" s="3"/>
      <c r="R1439" s="111"/>
      <c r="S1439" s="111"/>
      <c r="T1439" s="111"/>
    </row>
    <row r="1440" spans="3:20" s="4" customFormat="1" x14ac:dyDescent="0.25">
      <c r="C1440" s="3"/>
      <c r="D1440" s="3"/>
      <c r="E1440" s="3"/>
      <c r="F1440" s="3"/>
      <c r="G1440" s="3"/>
      <c r="H1440" s="3"/>
      <c r="I1440" s="3"/>
      <c r="J1440" s="3"/>
      <c r="K1440" s="3"/>
      <c r="L1440" s="3"/>
      <c r="M1440" s="3"/>
      <c r="N1440" s="3"/>
      <c r="O1440" s="3"/>
      <c r="P1440" s="3"/>
      <c r="Q1440" s="3"/>
      <c r="R1440" s="111"/>
      <c r="S1440" s="111"/>
      <c r="T1440" s="111"/>
    </row>
    <row r="1441" spans="3:20" s="4" customFormat="1" x14ac:dyDescent="0.25">
      <c r="C1441" s="3"/>
      <c r="D1441" s="3"/>
      <c r="E1441" s="3"/>
      <c r="F1441" s="3"/>
      <c r="G1441" s="3"/>
      <c r="H1441" s="3"/>
      <c r="I1441" s="3"/>
      <c r="J1441" s="3"/>
      <c r="K1441" s="3"/>
      <c r="L1441" s="3"/>
      <c r="M1441" s="3"/>
      <c r="N1441" s="3"/>
      <c r="O1441" s="3"/>
      <c r="P1441" s="3"/>
      <c r="Q1441" s="3"/>
      <c r="R1441" s="111"/>
      <c r="S1441" s="111"/>
      <c r="T1441" s="111"/>
    </row>
    <row r="1442" spans="3:20" s="4" customFormat="1" x14ac:dyDescent="0.25">
      <c r="C1442" s="3"/>
      <c r="D1442" s="3"/>
      <c r="E1442" s="3"/>
      <c r="F1442" s="3"/>
      <c r="G1442" s="3"/>
      <c r="H1442" s="3"/>
      <c r="I1442" s="3"/>
      <c r="J1442" s="3"/>
      <c r="K1442" s="3"/>
      <c r="L1442" s="3"/>
      <c r="M1442" s="3"/>
      <c r="N1442" s="3"/>
      <c r="O1442" s="3"/>
      <c r="P1442" s="3"/>
      <c r="Q1442" s="3"/>
      <c r="R1442" s="111"/>
      <c r="S1442" s="111"/>
      <c r="T1442" s="111"/>
    </row>
    <row r="1443" spans="3:20" s="4" customFormat="1" x14ac:dyDescent="0.25">
      <c r="C1443" s="3"/>
      <c r="D1443" s="3"/>
      <c r="E1443" s="3"/>
      <c r="F1443" s="3"/>
      <c r="G1443" s="3"/>
      <c r="H1443" s="3"/>
      <c r="I1443" s="3"/>
      <c r="J1443" s="3"/>
      <c r="K1443" s="3"/>
      <c r="L1443" s="3"/>
      <c r="M1443" s="3"/>
      <c r="N1443" s="3"/>
      <c r="O1443" s="3"/>
      <c r="P1443" s="3"/>
      <c r="Q1443" s="3"/>
      <c r="R1443" s="111"/>
      <c r="S1443" s="111"/>
      <c r="T1443" s="111"/>
    </row>
    <row r="1444" spans="3:20" s="4" customFormat="1" x14ac:dyDescent="0.25">
      <c r="C1444" s="3"/>
      <c r="D1444" s="3"/>
      <c r="E1444" s="3"/>
      <c r="F1444" s="3"/>
      <c r="G1444" s="3"/>
      <c r="H1444" s="3"/>
      <c r="I1444" s="3"/>
      <c r="J1444" s="3"/>
      <c r="K1444" s="3"/>
      <c r="L1444" s="3"/>
      <c r="M1444" s="3"/>
      <c r="N1444" s="3"/>
      <c r="O1444" s="3"/>
      <c r="P1444" s="3"/>
      <c r="Q1444" s="3"/>
      <c r="R1444" s="111"/>
      <c r="S1444" s="111"/>
      <c r="T1444" s="111"/>
    </row>
    <row r="1445" spans="3:20" s="4" customFormat="1" x14ac:dyDescent="0.25">
      <c r="C1445" s="3"/>
      <c r="D1445" s="3"/>
      <c r="E1445" s="3"/>
      <c r="F1445" s="3"/>
      <c r="G1445" s="3"/>
      <c r="H1445" s="3"/>
      <c r="I1445" s="3"/>
      <c r="J1445" s="3"/>
      <c r="K1445" s="3"/>
      <c r="L1445" s="3"/>
      <c r="M1445" s="3"/>
      <c r="N1445" s="3"/>
      <c r="O1445" s="3"/>
      <c r="P1445" s="3"/>
      <c r="Q1445" s="3"/>
      <c r="R1445" s="111"/>
      <c r="S1445" s="111"/>
      <c r="T1445" s="111"/>
    </row>
    <row r="1446" spans="3:20" s="4" customFormat="1" x14ac:dyDescent="0.25">
      <c r="C1446" s="3"/>
      <c r="D1446" s="3"/>
      <c r="E1446" s="3"/>
      <c r="F1446" s="3"/>
      <c r="G1446" s="3"/>
      <c r="H1446" s="3"/>
      <c r="I1446" s="3"/>
      <c r="J1446" s="3"/>
      <c r="K1446" s="3"/>
      <c r="L1446" s="3"/>
      <c r="M1446" s="3"/>
      <c r="N1446" s="3"/>
      <c r="O1446" s="3"/>
      <c r="P1446" s="3"/>
      <c r="Q1446" s="3"/>
      <c r="R1446" s="111"/>
      <c r="S1446" s="111"/>
      <c r="T1446" s="111"/>
    </row>
    <row r="1447" spans="3:20" s="4" customFormat="1" x14ac:dyDescent="0.25">
      <c r="C1447" s="3"/>
      <c r="D1447" s="3"/>
      <c r="E1447" s="3"/>
      <c r="F1447" s="3"/>
      <c r="G1447" s="3"/>
      <c r="H1447" s="3"/>
      <c r="I1447" s="3"/>
      <c r="J1447" s="3"/>
      <c r="K1447" s="3"/>
      <c r="L1447" s="3"/>
      <c r="M1447" s="3"/>
      <c r="N1447" s="3"/>
      <c r="O1447" s="3"/>
      <c r="P1447" s="3"/>
      <c r="Q1447" s="3"/>
      <c r="R1447" s="111"/>
      <c r="S1447" s="111"/>
      <c r="T1447" s="111"/>
    </row>
    <row r="1448" spans="3:20" s="4" customFormat="1" x14ac:dyDescent="0.25">
      <c r="C1448" s="3"/>
      <c r="D1448" s="3"/>
      <c r="E1448" s="3"/>
      <c r="F1448" s="3"/>
      <c r="G1448" s="3"/>
      <c r="H1448" s="3"/>
      <c r="I1448" s="3"/>
      <c r="J1448" s="3"/>
      <c r="K1448" s="3"/>
      <c r="L1448" s="3"/>
      <c r="M1448" s="3"/>
      <c r="N1448" s="3"/>
      <c r="O1448" s="3"/>
      <c r="P1448" s="3"/>
      <c r="Q1448" s="3"/>
      <c r="R1448" s="111"/>
      <c r="S1448" s="111"/>
      <c r="T1448" s="111"/>
    </row>
    <row r="1449" spans="3:20" s="4" customFormat="1" x14ac:dyDescent="0.25">
      <c r="C1449" s="3"/>
      <c r="D1449" s="3"/>
      <c r="E1449" s="3"/>
      <c r="F1449" s="3"/>
      <c r="G1449" s="3"/>
      <c r="H1449" s="3"/>
      <c r="I1449" s="3"/>
      <c r="J1449" s="3"/>
      <c r="K1449" s="3"/>
      <c r="L1449" s="3"/>
      <c r="M1449" s="3"/>
      <c r="N1449" s="3"/>
      <c r="O1449" s="3"/>
      <c r="P1449" s="3"/>
      <c r="Q1449" s="3"/>
      <c r="R1449" s="111"/>
      <c r="S1449" s="111"/>
      <c r="T1449" s="111"/>
    </row>
    <row r="1450" spans="3:20" s="4" customFormat="1" x14ac:dyDescent="0.25">
      <c r="C1450" s="3"/>
      <c r="D1450" s="3"/>
      <c r="E1450" s="3"/>
      <c r="F1450" s="3"/>
      <c r="G1450" s="3"/>
      <c r="H1450" s="3"/>
      <c r="I1450" s="3"/>
      <c r="J1450" s="3"/>
      <c r="K1450" s="3"/>
      <c r="L1450" s="3"/>
      <c r="M1450" s="3"/>
      <c r="N1450" s="3"/>
      <c r="O1450" s="3"/>
      <c r="P1450" s="3"/>
      <c r="Q1450" s="3"/>
      <c r="R1450" s="111"/>
      <c r="S1450" s="111"/>
      <c r="T1450" s="111"/>
    </row>
    <row r="1451" spans="3:20" s="4" customFormat="1" x14ac:dyDescent="0.25">
      <c r="C1451" s="3"/>
      <c r="D1451" s="3"/>
      <c r="E1451" s="3"/>
      <c r="F1451" s="3"/>
      <c r="G1451" s="3"/>
      <c r="H1451" s="3"/>
      <c r="I1451" s="3"/>
      <c r="J1451" s="3"/>
      <c r="K1451" s="3"/>
      <c r="L1451" s="3"/>
      <c r="M1451" s="3"/>
      <c r="N1451" s="3"/>
      <c r="O1451" s="3"/>
      <c r="P1451" s="3"/>
      <c r="Q1451" s="3"/>
      <c r="R1451" s="111"/>
      <c r="S1451" s="111"/>
      <c r="T1451" s="111"/>
    </row>
    <row r="1452" spans="3:20" s="4" customFormat="1" x14ac:dyDescent="0.25">
      <c r="C1452" s="3"/>
      <c r="D1452" s="3"/>
      <c r="E1452" s="3"/>
      <c r="F1452" s="3"/>
      <c r="G1452" s="3"/>
      <c r="H1452" s="3"/>
      <c r="I1452" s="3"/>
      <c r="J1452" s="3"/>
      <c r="K1452" s="3"/>
      <c r="L1452" s="3"/>
      <c r="M1452" s="3"/>
      <c r="N1452" s="3"/>
      <c r="O1452" s="3"/>
      <c r="P1452" s="3"/>
      <c r="Q1452" s="3"/>
      <c r="R1452" s="111"/>
      <c r="S1452" s="111"/>
      <c r="T1452" s="111"/>
    </row>
    <row r="1453" spans="3:20" s="4" customFormat="1" x14ac:dyDescent="0.25">
      <c r="C1453" s="3"/>
      <c r="D1453" s="3"/>
      <c r="E1453" s="3"/>
      <c r="F1453" s="3"/>
      <c r="G1453" s="3"/>
      <c r="H1453" s="3"/>
      <c r="I1453" s="3"/>
      <c r="J1453" s="3"/>
      <c r="K1453" s="3"/>
      <c r="L1453" s="3"/>
      <c r="M1453" s="3"/>
      <c r="N1453" s="3"/>
      <c r="O1453" s="3"/>
      <c r="P1453" s="3"/>
      <c r="Q1453" s="3"/>
      <c r="R1453" s="111"/>
      <c r="S1453" s="111"/>
      <c r="T1453" s="111"/>
    </row>
    <row r="1454" spans="3:20" s="4" customFormat="1" x14ac:dyDescent="0.25">
      <c r="C1454" s="3"/>
      <c r="D1454" s="3"/>
      <c r="E1454" s="3"/>
      <c r="F1454" s="3"/>
      <c r="G1454" s="3"/>
      <c r="H1454" s="3"/>
      <c r="I1454" s="3"/>
      <c r="J1454" s="3"/>
      <c r="K1454" s="3"/>
      <c r="L1454" s="3"/>
      <c r="M1454" s="3"/>
      <c r="N1454" s="3"/>
      <c r="O1454" s="3"/>
      <c r="P1454" s="3"/>
      <c r="Q1454" s="3"/>
      <c r="R1454" s="111"/>
      <c r="S1454" s="111"/>
      <c r="T1454" s="111"/>
    </row>
    <row r="1455" spans="3:20" s="4" customFormat="1" x14ac:dyDescent="0.25">
      <c r="C1455" s="3"/>
      <c r="D1455" s="3"/>
      <c r="E1455" s="3"/>
      <c r="F1455" s="3"/>
      <c r="G1455" s="3"/>
      <c r="H1455" s="3"/>
      <c r="I1455" s="3"/>
      <c r="J1455" s="3"/>
      <c r="K1455" s="3"/>
      <c r="L1455" s="3"/>
      <c r="M1455" s="3"/>
      <c r="N1455" s="3"/>
      <c r="O1455" s="3"/>
      <c r="P1455" s="3"/>
      <c r="Q1455" s="3"/>
      <c r="R1455" s="111"/>
      <c r="S1455" s="111"/>
      <c r="T1455" s="111"/>
    </row>
    <row r="1456" spans="3:20" s="4" customFormat="1" x14ac:dyDescent="0.25">
      <c r="C1456" s="3"/>
      <c r="D1456" s="3"/>
      <c r="E1456" s="3"/>
      <c r="F1456" s="3"/>
      <c r="G1456" s="3"/>
      <c r="H1456" s="3"/>
      <c r="I1456" s="3"/>
      <c r="J1456" s="3"/>
      <c r="K1456" s="3"/>
      <c r="L1456" s="3"/>
      <c r="M1456" s="3"/>
      <c r="N1456" s="3"/>
      <c r="O1456" s="3"/>
      <c r="P1456" s="3"/>
      <c r="Q1456" s="3"/>
      <c r="R1456" s="111"/>
      <c r="S1456" s="111"/>
      <c r="T1456" s="111"/>
    </row>
    <row r="1457" spans="3:20" s="4" customFormat="1" x14ac:dyDescent="0.25">
      <c r="C1457" s="3"/>
      <c r="D1457" s="3"/>
      <c r="E1457" s="3"/>
      <c r="F1457" s="3"/>
      <c r="G1457" s="3"/>
      <c r="H1457" s="3"/>
      <c r="I1457" s="3"/>
      <c r="J1457" s="3"/>
      <c r="K1457" s="3"/>
      <c r="L1457" s="3"/>
      <c r="M1457" s="3"/>
      <c r="N1457" s="3"/>
      <c r="O1457" s="3"/>
      <c r="P1457" s="3"/>
      <c r="Q1457" s="3"/>
      <c r="R1457" s="111"/>
      <c r="S1457" s="111"/>
      <c r="T1457" s="111"/>
    </row>
    <row r="1458" spans="3:20" s="4" customFormat="1" x14ac:dyDescent="0.25">
      <c r="C1458" s="3"/>
      <c r="D1458" s="3"/>
      <c r="E1458" s="3"/>
      <c r="F1458" s="3"/>
      <c r="G1458" s="3"/>
      <c r="H1458" s="3"/>
      <c r="I1458" s="3"/>
      <c r="J1458" s="3"/>
      <c r="K1458" s="3"/>
      <c r="L1458" s="3"/>
      <c r="M1458" s="3"/>
      <c r="N1458" s="3"/>
      <c r="O1458" s="3"/>
      <c r="P1458" s="3"/>
      <c r="Q1458" s="3"/>
      <c r="R1458" s="111"/>
      <c r="S1458" s="111"/>
      <c r="T1458" s="111"/>
    </row>
    <row r="1459" spans="3:20" s="4" customFormat="1" x14ac:dyDescent="0.25">
      <c r="C1459" s="3"/>
      <c r="D1459" s="3"/>
      <c r="E1459" s="3"/>
      <c r="F1459" s="3"/>
      <c r="G1459" s="3"/>
      <c r="H1459" s="3"/>
      <c r="I1459" s="3"/>
      <c r="J1459" s="3"/>
      <c r="K1459" s="3"/>
      <c r="L1459" s="3"/>
      <c r="M1459" s="3"/>
      <c r="N1459" s="3"/>
      <c r="O1459" s="3"/>
      <c r="P1459" s="3"/>
      <c r="Q1459" s="3"/>
      <c r="R1459" s="111"/>
      <c r="S1459" s="111"/>
      <c r="T1459" s="111"/>
    </row>
    <row r="1460" spans="3:20" s="4" customFormat="1" x14ac:dyDescent="0.25">
      <c r="C1460" s="3"/>
      <c r="D1460" s="3"/>
      <c r="E1460" s="3"/>
      <c r="F1460" s="3"/>
      <c r="G1460" s="3"/>
      <c r="H1460" s="3"/>
      <c r="I1460" s="3"/>
      <c r="J1460" s="3"/>
      <c r="K1460" s="3"/>
      <c r="L1460" s="3"/>
      <c r="M1460" s="3"/>
      <c r="N1460" s="3"/>
      <c r="O1460" s="3"/>
      <c r="P1460" s="3"/>
      <c r="Q1460" s="3"/>
      <c r="R1460" s="111"/>
      <c r="S1460" s="111"/>
      <c r="T1460" s="111"/>
    </row>
    <row r="1461" spans="3:20" s="4" customFormat="1" x14ac:dyDescent="0.25">
      <c r="C1461" s="3"/>
      <c r="D1461" s="3"/>
      <c r="E1461" s="3"/>
      <c r="F1461" s="3"/>
      <c r="G1461" s="3"/>
      <c r="H1461" s="3"/>
      <c r="I1461" s="3"/>
      <c r="J1461" s="3"/>
      <c r="K1461" s="3"/>
      <c r="L1461" s="3"/>
      <c r="M1461" s="3"/>
      <c r="N1461" s="3"/>
      <c r="O1461" s="3"/>
      <c r="P1461" s="3"/>
      <c r="Q1461" s="3"/>
      <c r="R1461" s="111"/>
      <c r="S1461" s="111"/>
      <c r="T1461" s="111"/>
    </row>
    <row r="1462" spans="3:20" s="4" customFormat="1" x14ac:dyDescent="0.25">
      <c r="C1462" s="3"/>
      <c r="D1462" s="3"/>
      <c r="E1462" s="3"/>
      <c r="F1462" s="3"/>
      <c r="G1462" s="3"/>
      <c r="H1462" s="3"/>
      <c r="I1462" s="3"/>
      <c r="J1462" s="3"/>
      <c r="K1462" s="3"/>
      <c r="L1462" s="3"/>
      <c r="M1462" s="3"/>
      <c r="N1462" s="3"/>
      <c r="O1462" s="3"/>
      <c r="P1462" s="3"/>
      <c r="Q1462" s="3"/>
      <c r="R1462" s="111"/>
      <c r="S1462" s="111"/>
      <c r="T1462" s="111"/>
    </row>
    <row r="1463" spans="3:20" s="4" customFormat="1" x14ac:dyDescent="0.25">
      <c r="C1463" s="3"/>
      <c r="D1463" s="3"/>
      <c r="E1463" s="3"/>
      <c r="F1463" s="3"/>
      <c r="G1463" s="3"/>
      <c r="H1463" s="3"/>
      <c r="I1463" s="3"/>
      <c r="J1463" s="3"/>
      <c r="K1463" s="3"/>
      <c r="L1463" s="3"/>
      <c r="M1463" s="3"/>
      <c r="N1463" s="3"/>
      <c r="O1463" s="3"/>
      <c r="P1463" s="3"/>
      <c r="Q1463" s="3"/>
      <c r="R1463" s="111"/>
      <c r="S1463" s="111"/>
      <c r="T1463" s="111"/>
    </row>
    <row r="1464" spans="3:20" s="4" customFormat="1" x14ac:dyDescent="0.25">
      <c r="C1464" s="3"/>
      <c r="D1464" s="3"/>
      <c r="E1464" s="3"/>
      <c r="F1464" s="3"/>
      <c r="G1464" s="3"/>
      <c r="H1464" s="3"/>
      <c r="I1464" s="3"/>
      <c r="J1464" s="3"/>
      <c r="K1464" s="3"/>
      <c r="L1464" s="3"/>
      <c r="M1464" s="3"/>
      <c r="N1464" s="3"/>
      <c r="O1464" s="3"/>
      <c r="P1464" s="3"/>
      <c r="Q1464" s="3"/>
      <c r="R1464" s="111"/>
      <c r="S1464" s="111"/>
      <c r="T1464" s="111"/>
    </row>
    <row r="1465" spans="3:20" s="4" customFormat="1" x14ac:dyDescent="0.25">
      <c r="C1465" s="3"/>
      <c r="D1465" s="3"/>
      <c r="E1465" s="3"/>
      <c r="F1465" s="3"/>
      <c r="G1465" s="3"/>
      <c r="H1465" s="3"/>
      <c r="I1465" s="3"/>
      <c r="J1465" s="3"/>
      <c r="K1465" s="3"/>
      <c r="L1465" s="3"/>
      <c r="M1465" s="3"/>
      <c r="N1465" s="3"/>
      <c r="O1465" s="3"/>
      <c r="P1465" s="3"/>
      <c r="Q1465" s="3"/>
      <c r="R1465" s="111"/>
      <c r="S1465" s="111"/>
      <c r="T1465" s="111"/>
    </row>
    <row r="1466" spans="3:20" s="4" customFormat="1" x14ac:dyDescent="0.25">
      <c r="C1466" s="3"/>
      <c r="D1466" s="3"/>
      <c r="E1466" s="3"/>
      <c r="F1466" s="3"/>
      <c r="G1466" s="3"/>
      <c r="H1466" s="3"/>
      <c r="I1466" s="3"/>
      <c r="J1466" s="3"/>
      <c r="K1466" s="3"/>
      <c r="L1466" s="3"/>
      <c r="M1466" s="3"/>
      <c r="N1466" s="3"/>
      <c r="O1466" s="3"/>
      <c r="P1466" s="3"/>
      <c r="Q1466" s="3"/>
      <c r="R1466" s="111"/>
      <c r="S1466" s="111"/>
      <c r="T1466" s="111"/>
    </row>
    <row r="1467" spans="3:20" s="4" customFormat="1" x14ac:dyDescent="0.25">
      <c r="C1467" s="3"/>
      <c r="D1467" s="3"/>
      <c r="E1467" s="3"/>
      <c r="F1467" s="3"/>
      <c r="G1467" s="3"/>
      <c r="H1467" s="3"/>
      <c r="I1467" s="3"/>
      <c r="J1467" s="3"/>
      <c r="K1467" s="3"/>
      <c r="L1467" s="3"/>
      <c r="M1467" s="3"/>
      <c r="N1467" s="3"/>
      <c r="O1467" s="3"/>
      <c r="P1467" s="3"/>
      <c r="Q1467" s="3"/>
      <c r="R1467" s="111"/>
      <c r="S1467" s="111"/>
      <c r="T1467" s="111"/>
    </row>
    <row r="1468" spans="3:20" s="4" customFormat="1" x14ac:dyDescent="0.25">
      <c r="C1468" s="3"/>
      <c r="D1468" s="3"/>
      <c r="E1468" s="3"/>
      <c r="F1468" s="3"/>
      <c r="G1468" s="3"/>
      <c r="H1468" s="3"/>
      <c r="I1468" s="3"/>
      <c r="J1468" s="3"/>
      <c r="K1468" s="3"/>
      <c r="L1468" s="3"/>
      <c r="M1468" s="3"/>
      <c r="N1468" s="3"/>
      <c r="O1468" s="3"/>
      <c r="P1468" s="3"/>
      <c r="Q1468" s="3"/>
      <c r="R1468" s="111"/>
      <c r="S1468" s="111"/>
      <c r="T1468" s="111"/>
    </row>
    <row r="1469" spans="3:20" s="4" customFormat="1" x14ac:dyDescent="0.25">
      <c r="C1469" s="3"/>
      <c r="D1469" s="3"/>
      <c r="E1469" s="3"/>
      <c r="F1469" s="3"/>
      <c r="G1469" s="3"/>
      <c r="H1469" s="3"/>
      <c r="I1469" s="3"/>
      <c r="J1469" s="3"/>
      <c r="K1469" s="3"/>
      <c r="L1469" s="3"/>
      <c r="M1469" s="3"/>
      <c r="N1469" s="3"/>
      <c r="O1469" s="3"/>
      <c r="P1469" s="3"/>
      <c r="Q1469" s="3"/>
      <c r="R1469" s="111"/>
      <c r="S1469" s="111"/>
      <c r="T1469" s="111"/>
    </row>
    <row r="1470" spans="3:20" s="4" customFormat="1" x14ac:dyDescent="0.25">
      <c r="C1470" s="3"/>
      <c r="D1470" s="3"/>
      <c r="E1470" s="3"/>
      <c r="F1470" s="3"/>
      <c r="G1470" s="3"/>
      <c r="H1470" s="3"/>
      <c r="I1470" s="3"/>
      <c r="J1470" s="3"/>
      <c r="K1470" s="3"/>
      <c r="L1470" s="3"/>
      <c r="M1470" s="3"/>
      <c r="N1470" s="3"/>
      <c r="O1470" s="3"/>
      <c r="P1470" s="3"/>
      <c r="Q1470" s="3"/>
      <c r="R1470" s="111"/>
      <c r="S1470" s="111"/>
      <c r="T1470" s="111"/>
    </row>
    <row r="1471" spans="3:20" s="4" customFormat="1" x14ac:dyDescent="0.25">
      <c r="C1471" s="3"/>
      <c r="D1471" s="3"/>
      <c r="E1471" s="3"/>
      <c r="F1471" s="3"/>
      <c r="G1471" s="3"/>
      <c r="H1471" s="3"/>
      <c r="I1471" s="3"/>
      <c r="J1471" s="3"/>
      <c r="K1471" s="3"/>
      <c r="L1471" s="3"/>
      <c r="M1471" s="3"/>
      <c r="N1471" s="3"/>
      <c r="O1471" s="3"/>
      <c r="P1471" s="3"/>
      <c r="Q1471" s="3"/>
      <c r="R1471" s="111"/>
      <c r="S1471" s="111"/>
      <c r="T1471" s="111"/>
    </row>
    <row r="1472" spans="3:20" s="4" customFormat="1" x14ac:dyDescent="0.25">
      <c r="C1472" s="3"/>
      <c r="D1472" s="3"/>
      <c r="E1472" s="3"/>
      <c r="F1472" s="3"/>
      <c r="G1472" s="3"/>
      <c r="H1472" s="3"/>
      <c r="I1472" s="3"/>
      <c r="J1472" s="3"/>
      <c r="K1472" s="3"/>
      <c r="L1472" s="3"/>
      <c r="M1472" s="3"/>
      <c r="N1472" s="3"/>
      <c r="O1472" s="3"/>
      <c r="P1472" s="3"/>
      <c r="Q1472" s="3"/>
      <c r="R1472" s="111"/>
      <c r="S1472" s="111"/>
      <c r="T1472" s="111"/>
    </row>
    <row r="1473" spans="3:20" s="4" customFormat="1" x14ac:dyDescent="0.25">
      <c r="C1473" s="3"/>
      <c r="D1473" s="3"/>
      <c r="E1473" s="3"/>
      <c r="F1473" s="3"/>
      <c r="G1473" s="3"/>
      <c r="H1473" s="3"/>
      <c r="I1473" s="3"/>
      <c r="J1473" s="3"/>
      <c r="K1473" s="3"/>
      <c r="L1473" s="3"/>
      <c r="M1473" s="3"/>
      <c r="N1473" s="3"/>
      <c r="O1473" s="3"/>
      <c r="P1473" s="3"/>
      <c r="Q1473" s="3"/>
      <c r="R1473" s="111"/>
      <c r="S1473" s="111"/>
      <c r="T1473" s="111"/>
    </row>
    <row r="1474" spans="3:20" s="4" customFormat="1" x14ac:dyDescent="0.25">
      <c r="C1474" s="3"/>
      <c r="D1474" s="3"/>
      <c r="E1474" s="3"/>
      <c r="F1474" s="3"/>
      <c r="G1474" s="3"/>
      <c r="H1474" s="3"/>
      <c r="I1474" s="3"/>
      <c r="J1474" s="3"/>
      <c r="K1474" s="3"/>
      <c r="L1474" s="3"/>
      <c r="M1474" s="3"/>
      <c r="N1474" s="3"/>
      <c r="O1474" s="3"/>
      <c r="P1474" s="3"/>
      <c r="Q1474" s="3"/>
      <c r="R1474" s="111"/>
      <c r="S1474" s="111"/>
      <c r="T1474" s="111"/>
    </row>
    <row r="1475" spans="3:20" s="4" customFormat="1" x14ac:dyDescent="0.25">
      <c r="C1475" s="3"/>
      <c r="D1475" s="3"/>
      <c r="E1475" s="3"/>
      <c r="F1475" s="3"/>
      <c r="G1475" s="3"/>
      <c r="H1475" s="3"/>
      <c r="I1475" s="3"/>
      <c r="J1475" s="3"/>
      <c r="K1475" s="3"/>
      <c r="L1475" s="3"/>
      <c r="M1475" s="3"/>
      <c r="N1475" s="3"/>
      <c r="O1475" s="3"/>
      <c r="P1475" s="3"/>
      <c r="Q1475" s="3"/>
      <c r="R1475" s="111"/>
      <c r="S1475" s="111"/>
      <c r="T1475" s="111"/>
    </row>
    <row r="1476" spans="3:20" s="4" customFormat="1" x14ac:dyDescent="0.25">
      <c r="C1476" s="3"/>
      <c r="D1476" s="3"/>
      <c r="E1476" s="3"/>
      <c r="F1476" s="3"/>
      <c r="G1476" s="3"/>
      <c r="H1476" s="3"/>
      <c r="I1476" s="3"/>
      <c r="J1476" s="3"/>
      <c r="K1476" s="3"/>
      <c r="L1476" s="3"/>
      <c r="M1476" s="3"/>
      <c r="N1476" s="3"/>
      <c r="O1476" s="3"/>
      <c r="P1476" s="3"/>
      <c r="Q1476" s="3"/>
      <c r="R1476" s="111"/>
      <c r="S1476" s="111"/>
      <c r="T1476" s="111"/>
    </row>
    <row r="1477" spans="3:20" s="4" customFormat="1" x14ac:dyDescent="0.25">
      <c r="C1477" s="3"/>
      <c r="D1477" s="3"/>
      <c r="E1477" s="3"/>
      <c r="F1477" s="3"/>
      <c r="G1477" s="3"/>
      <c r="H1477" s="3"/>
      <c r="I1477" s="3"/>
      <c r="J1477" s="3"/>
      <c r="K1477" s="3"/>
      <c r="L1477" s="3"/>
      <c r="M1477" s="3"/>
      <c r="N1477" s="3"/>
      <c r="O1477" s="3"/>
      <c r="P1477" s="3"/>
      <c r="Q1477" s="3"/>
      <c r="R1477" s="111"/>
      <c r="S1477" s="111"/>
      <c r="T1477" s="111"/>
    </row>
    <row r="1478" spans="3:20" s="4" customFormat="1" x14ac:dyDescent="0.25">
      <c r="C1478" s="3"/>
      <c r="D1478" s="3"/>
      <c r="E1478" s="3"/>
      <c r="F1478" s="3"/>
      <c r="G1478" s="3"/>
      <c r="H1478" s="3"/>
      <c r="I1478" s="3"/>
      <c r="J1478" s="3"/>
      <c r="K1478" s="3"/>
      <c r="L1478" s="3"/>
      <c r="M1478" s="3"/>
      <c r="N1478" s="3"/>
      <c r="O1478" s="3"/>
      <c r="P1478" s="3"/>
      <c r="Q1478" s="3"/>
      <c r="R1478" s="111"/>
      <c r="S1478" s="111"/>
      <c r="T1478" s="111"/>
    </row>
    <row r="1479" spans="3:20" s="4" customFormat="1" x14ac:dyDescent="0.25">
      <c r="C1479" s="3"/>
      <c r="D1479" s="3"/>
      <c r="E1479" s="3"/>
      <c r="F1479" s="3"/>
      <c r="G1479" s="3"/>
      <c r="H1479" s="3"/>
      <c r="I1479" s="3"/>
      <c r="J1479" s="3"/>
      <c r="K1479" s="3"/>
      <c r="L1479" s="3"/>
      <c r="M1479" s="3"/>
      <c r="N1479" s="3"/>
      <c r="O1479" s="3"/>
      <c r="P1479" s="3"/>
      <c r="Q1479" s="3"/>
      <c r="R1479" s="111"/>
      <c r="S1479" s="111"/>
      <c r="T1479" s="111"/>
    </row>
    <row r="1480" spans="3:20" s="4" customFormat="1" x14ac:dyDescent="0.25">
      <c r="C1480" s="3"/>
      <c r="D1480" s="3"/>
      <c r="E1480" s="3"/>
      <c r="F1480" s="3"/>
      <c r="G1480" s="3"/>
      <c r="H1480" s="3"/>
      <c r="I1480" s="3"/>
      <c r="J1480" s="3"/>
      <c r="K1480" s="3"/>
      <c r="L1480" s="3"/>
      <c r="M1480" s="3"/>
      <c r="N1480" s="3"/>
      <c r="O1480" s="3"/>
      <c r="P1480" s="3"/>
      <c r="Q1480" s="3"/>
      <c r="R1480" s="111"/>
      <c r="S1480" s="111"/>
      <c r="T1480" s="111"/>
    </row>
    <row r="1481" spans="3:20" s="4" customFormat="1" x14ac:dyDescent="0.25">
      <c r="C1481" s="3"/>
      <c r="D1481" s="3"/>
      <c r="E1481" s="3"/>
      <c r="F1481" s="3"/>
      <c r="G1481" s="3"/>
      <c r="H1481" s="3"/>
      <c r="I1481" s="3"/>
      <c r="J1481" s="3"/>
      <c r="K1481" s="3"/>
      <c r="L1481" s="3"/>
      <c r="M1481" s="3"/>
      <c r="N1481" s="3"/>
      <c r="O1481" s="3"/>
      <c r="P1481" s="3"/>
      <c r="Q1481" s="3"/>
      <c r="R1481" s="111"/>
      <c r="S1481" s="111"/>
      <c r="T1481" s="111"/>
    </row>
    <row r="1482" spans="3:20" s="4" customFormat="1" x14ac:dyDescent="0.25">
      <c r="C1482" s="3"/>
      <c r="D1482" s="3"/>
      <c r="E1482" s="3"/>
      <c r="F1482" s="3"/>
      <c r="G1482" s="3"/>
      <c r="H1482" s="3"/>
      <c r="I1482" s="3"/>
      <c r="J1482" s="3"/>
      <c r="K1482" s="3"/>
      <c r="L1482" s="3"/>
      <c r="M1482" s="3"/>
      <c r="N1482" s="3"/>
      <c r="O1482" s="3"/>
      <c r="P1482" s="3"/>
      <c r="Q1482" s="3"/>
      <c r="R1482" s="111"/>
      <c r="S1482" s="111"/>
      <c r="T1482" s="111"/>
    </row>
    <row r="1483" spans="3:20" s="4" customFormat="1" x14ac:dyDescent="0.25">
      <c r="C1483" s="3"/>
      <c r="D1483" s="3"/>
      <c r="E1483" s="3"/>
      <c r="F1483" s="3"/>
      <c r="G1483" s="3"/>
      <c r="H1483" s="3"/>
      <c r="I1483" s="3"/>
      <c r="J1483" s="3"/>
      <c r="K1483" s="3"/>
      <c r="L1483" s="3"/>
      <c r="M1483" s="3"/>
      <c r="N1483" s="3"/>
      <c r="O1483" s="3"/>
      <c r="P1483" s="3"/>
      <c r="Q1483" s="3"/>
      <c r="R1483" s="111"/>
      <c r="S1483" s="111"/>
      <c r="T1483" s="111"/>
    </row>
    <row r="1484" spans="3:20" s="4" customFormat="1" x14ac:dyDescent="0.25">
      <c r="C1484" s="3"/>
      <c r="D1484" s="3"/>
      <c r="E1484" s="3"/>
      <c r="F1484" s="3"/>
      <c r="G1484" s="3"/>
      <c r="H1484" s="3"/>
      <c r="I1484" s="3"/>
      <c r="J1484" s="3"/>
      <c r="K1484" s="3"/>
      <c r="L1484" s="3"/>
      <c r="M1484" s="3"/>
      <c r="N1484" s="3"/>
      <c r="O1484" s="3"/>
      <c r="P1484" s="3"/>
      <c r="Q1484" s="3"/>
      <c r="R1484" s="111"/>
      <c r="S1484" s="111"/>
      <c r="T1484" s="111"/>
    </row>
    <row r="1485" spans="3:20" s="4" customFormat="1" x14ac:dyDescent="0.25">
      <c r="C1485" s="3"/>
      <c r="D1485" s="3"/>
      <c r="E1485" s="3"/>
      <c r="F1485" s="3"/>
      <c r="G1485" s="3"/>
      <c r="H1485" s="3"/>
      <c r="I1485" s="3"/>
      <c r="J1485" s="3"/>
      <c r="K1485" s="3"/>
      <c r="L1485" s="3"/>
      <c r="M1485" s="3"/>
      <c r="N1485" s="3"/>
      <c r="O1485" s="3"/>
      <c r="P1485" s="3"/>
      <c r="Q1485" s="3"/>
      <c r="R1485" s="111"/>
      <c r="S1485" s="111"/>
      <c r="T1485" s="111"/>
    </row>
    <row r="1486" spans="3:20" s="4" customFormat="1" x14ac:dyDescent="0.25">
      <c r="C1486" s="3"/>
      <c r="D1486" s="3"/>
      <c r="E1486" s="3"/>
      <c r="F1486" s="3"/>
      <c r="G1486" s="3"/>
      <c r="H1486" s="3"/>
      <c r="I1486" s="3"/>
      <c r="J1486" s="3"/>
      <c r="K1486" s="3"/>
      <c r="L1486" s="3"/>
      <c r="M1486" s="3"/>
      <c r="N1486" s="3"/>
      <c r="O1486" s="3"/>
      <c r="P1486" s="3"/>
      <c r="Q1486" s="3"/>
      <c r="R1486" s="111"/>
      <c r="S1486" s="111"/>
      <c r="T1486" s="111"/>
    </row>
    <row r="1487" spans="3:20" s="4" customFormat="1" x14ac:dyDescent="0.25">
      <c r="C1487" s="3"/>
      <c r="D1487" s="3"/>
      <c r="E1487" s="3"/>
      <c r="F1487" s="3"/>
      <c r="G1487" s="3"/>
      <c r="H1487" s="3"/>
      <c r="I1487" s="3"/>
      <c r="J1487" s="3"/>
      <c r="K1487" s="3"/>
      <c r="L1487" s="3"/>
      <c r="M1487" s="3"/>
      <c r="N1487" s="3"/>
      <c r="O1487" s="3"/>
      <c r="P1487" s="3"/>
      <c r="Q1487" s="3"/>
      <c r="R1487" s="111"/>
      <c r="S1487" s="111"/>
      <c r="T1487" s="111"/>
    </row>
    <row r="1488" spans="3:20" s="4" customFormat="1" x14ac:dyDescent="0.25">
      <c r="C1488" s="3"/>
      <c r="D1488" s="3"/>
      <c r="E1488" s="3"/>
      <c r="F1488" s="3"/>
      <c r="G1488" s="3"/>
      <c r="H1488" s="3"/>
      <c r="I1488" s="3"/>
      <c r="J1488" s="3"/>
      <c r="K1488" s="3"/>
      <c r="L1488" s="3"/>
      <c r="M1488" s="3"/>
      <c r="N1488" s="3"/>
      <c r="O1488" s="3"/>
      <c r="P1488" s="3"/>
      <c r="Q1488" s="3"/>
      <c r="R1488" s="111"/>
      <c r="S1488" s="111"/>
      <c r="T1488" s="111"/>
    </row>
    <row r="1489" spans="3:20" s="4" customFormat="1" x14ac:dyDescent="0.25">
      <c r="C1489" s="3"/>
      <c r="D1489" s="3"/>
      <c r="E1489" s="3"/>
      <c r="F1489" s="3"/>
      <c r="G1489" s="3"/>
      <c r="H1489" s="3"/>
      <c r="I1489" s="3"/>
      <c r="J1489" s="3"/>
      <c r="K1489" s="3"/>
      <c r="L1489" s="3"/>
      <c r="M1489" s="3"/>
      <c r="N1489" s="3"/>
      <c r="O1489" s="3"/>
      <c r="P1489" s="3"/>
      <c r="Q1489" s="3"/>
      <c r="R1489" s="111"/>
      <c r="S1489" s="111"/>
      <c r="T1489" s="111"/>
    </row>
    <row r="1490" spans="3:20" s="4" customFormat="1" x14ac:dyDescent="0.25">
      <c r="C1490" s="3"/>
      <c r="D1490" s="3"/>
      <c r="E1490" s="3"/>
      <c r="F1490" s="3"/>
      <c r="G1490" s="3"/>
      <c r="H1490" s="3"/>
      <c r="I1490" s="3"/>
      <c r="J1490" s="3"/>
      <c r="K1490" s="3"/>
      <c r="L1490" s="3"/>
      <c r="M1490" s="3"/>
      <c r="N1490" s="3"/>
      <c r="O1490" s="3"/>
      <c r="P1490" s="3"/>
      <c r="Q1490" s="3"/>
      <c r="R1490" s="111"/>
      <c r="S1490" s="111"/>
      <c r="T1490" s="111"/>
    </row>
    <row r="1491" spans="3:20" s="4" customFormat="1" x14ac:dyDescent="0.25">
      <c r="C1491" s="3"/>
      <c r="D1491" s="3"/>
      <c r="E1491" s="3"/>
      <c r="F1491" s="3"/>
      <c r="G1491" s="3"/>
      <c r="H1491" s="3"/>
      <c r="I1491" s="3"/>
      <c r="J1491" s="3"/>
      <c r="K1491" s="3"/>
      <c r="L1491" s="3"/>
      <c r="M1491" s="3"/>
      <c r="N1491" s="3"/>
      <c r="O1491" s="3"/>
      <c r="P1491" s="3"/>
      <c r="Q1491" s="3"/>
      <c r="R1491" s="111"/>
      <c r="S1491" s="111"/>
      <c r="T1491" s="111"/>
    </row>
    <row r="1492" spans="3:20" s="4" customFormat="1" x14ac:dyDescent="0.25">
      <c r="C1492" s="3"/>
      <c r="D1492" s="3"/>
      <c r="E1492" s="3"/>
      <c r="F1492" s="3"/>
      <c r="G1492" s="3"/>
      <c r="H1492" s="3"/>
      <c r="I1492" s="3"/>
      <c r="J1492" s="3"/>
      <c r="K1492" s="3"/>
      <c r="L1492" s="3"/>
      <c r="M1492" s="3"/>
      <c r="N1492" s="3"/>
      <c r="O1492" s="3"/>
      <c r="P1492" s="3"/>
      <c r="Q1492" s="3"/>
      <c r="R1492" s="111"/>
      <c r="S1492" s="111"/>
      <c r="T1492" s="111"/>
    </row>
    <row r="1493" spans="3:20" s="4" customFormat="1" x14ac:dyDescent="0.25">
      <c r="C1493" s="3"/>
      <c r="D1493" s="3"/>
      <c r="E1493" s="3"/>
      <c r="F1493" s="3"/>
      <c r="G1493" s="3"/>
      <c r="H1493" s="3"/>
      <c r="I1493" s="3"/>
      <c r="J1493" s="3"/>
      <c r="K1493" s="3"/>
      <c r="L1493" s="3"/>
      <c r="M1493" s="3"/>
      <c r="N1493" s="3"/>
      <c r="O1493" s="3"/>
      <c r="P1493" s="3"/>
      <c r="Q1493" s="3"/>
      <c r="R1493" s="111"/>
      <c r="S1493" s="111"/>
      <c r="T1493" s="111"/>
    </row>
    <row r="1494" spans="3:20" s="4" customFormat="1" x14ac:dyDescent="0.25">
      <c r="C1494" s="3"/>
      <c r="D1494" s="3"/>
      <c r="E1494" s="3"/>
      <c r="F1494" s="3"/>
      <c r="G1494" s="3"/>
      <c r="H1494" s="3"/>
      <c r="I1494" s="3"/>
      <c r="J1494" s="3"/>
      <c r="K1494" s="3"/>
      <c r="L1494" s="3"/>
      <c r="M1494" s="3"/>
      <c r="N1494" s="3"/>
      <c r="O1494" s="3"/>
      <c r="P1494" s="3"/>
      <c r="Q1494" s="3"/>
      <c r="R1494" s="111"/>
      <c r="S1494" s="111"/>
      <c r="T1494" s="111"/>
    </row>
    <row r="1495" spans="3:20" s="4" customFormat="1" x14ac:dyDescent="0.25">
      <c r="C1495" s="3"/>
      <c r="D1495" s="3"/>
      <c r="E1495" s="3"/>
      <c r="F1495" s="3"/>
      <c r="G1495" s="3"/>
      <c r="H1495" s="3"/>
      <c r="I1495" s="3"/>
      <c r="J1495" s="3"/>
      <c r="K1495" s="3"/>
      <c r="L1495" s="3"/>
      <c r="M1495" s="3"/>
      <c r="N1495" s="3"/>
      <c r="O1495" s="3"/>
      <c r="P1495" s="3"/>
      <c r="Q1495" s="3"/>
      <c r="R1495" s="111"/>
      <c r="S1495" s="111"/>
      <c r="T1495" s="111"/>
    </row>
    <row r="1496" spans="3:20" s="4" customFormat="1" x14ac:dyDescent="0.25">
      <c r="C1496" s="3"/>
      <c r="D1496" s="3"/>
      <c r="E1496" s="3"/>
      <c r="F1496" s="3"/>
      <c r="G1496" s="3"/>
      <c r="H1496" s="3"/>
      <c r="I1496" s="3"/>
      <c r="J1496" s="3"/>
      <c r="K1496" s="3"/>
      <c r="L1496" s="3"/>
      <c r="M1496" s="3"/>
      <c r="N1496" s="3"/>
      <c r="O1496" s="3"/>
      <c r="P1496" s="3"/>
      <c r="Q1496" s="3"/>
      <c r="R1496" s="111"/>
      <c r="S1496" s="111"/>
      <c r="T1496" s="111"/>
    </row>
    <row r="1497" spans="3:20" s="4" customFormat="1" x14ac:dyDescent="0.25">
      <c r="C1497" s="3"/>
      <c r="D1497" s="3"/>
      <c r="E1497" s="3"/>
      <c r="F1497" s="3"/>
      <c r="G1497" s="3"/>
      <c r="H1497" s="3"/>
      <c r="I1497" s="3"/>
      <c r="J1497" s="3"/>
      <c r="K1497" s="3"/>
      <c r="L1497" s="3"/>
      <c r="M1497" s="3"/>
      <c r="N1497" s="3"/>
      <c r="O1497" s="3"/>
      <c r="P1497" s="3"/>
      <c r="Q1497" s="3"/>
      <c r="R1497" s="111"/>
      <c r="S1497" s="111"/>
      <c r="T1497" s="111"/>
    </row>
    <row r="1498" spans="3:20" s="4" customFormat="1" x14ac:dyDescent="0.25">
      <c r="C1498" s="3"/>
      <c r="D1498" s="3"/>
      <c r="E1498" s="3"/>
      <c r="F1498" s="3"/>
      <c r="G1498" s="3"/>
      <c r="H1498" s="3"/>
      <c r="I1498" s="3"/>
      <c r="J1498" s="3"/>
      <c r="K1498" s="3"/>
      <c r="L1498" s="3"/>
      <c r="M1498" s="3"/>
      <c r="N1498" s="3"/>
      <c r="O1498" s="3"/>
      <c r="P1498" s="3"/>
      <c r="Q1498" s="3"/>
      <c r="R1498" s="111"/>
      <c r="S1498" s="111"/>
      <c r="T1498" s="111"/>
    </row>
    <row r="1499" spans="3:20" s="4" customFormat="1" x14ac:dyDescent="0.25">
      <c r="C1499" s="3"/>
      <c r="D1499" s="3"/>
      <c r="E1499" s="3"/>
      <c r="F1499" s="3"/>
      <c r="G1499" s="3"/>
      <c r="H1499" s="3"/>
      <c r="I1499" s="3"/>
      <c r="J1499" s="3"/>
      <c r="K1499" s="3"/>
      <c r="L1499" s="3"/>
      <c r="M1499" s="3"/>
      <c r="N1499" s="3"/>
      <c r="O1499" s="3"/>
      <c r="P1499" s="3"/>
      <c r="Q1499" s="3"/>
      <c r="R1499" s="111"/>
      <c r="S1499" s="111"/>
      <c r="T1499" s="111"/>
    </row>
    <row r="1500" spans="3:20" s="4" customFormat="1" x14ac:dyDescent="0.25">
      <c r="C1500" s="3"/>
      <c r="D1500" s="3"/>
      <c r="E1500" s="3"/>
      <c r="F1500" s="3"/>
      <c r="G1500" s="3"/>
      <c r="H1500" s="3"/>
      <c r="I1500" s="3"/>
      <c r="J1500" s="3"/>
      <c r="K1500" s="3"/>
      <c r="L1500" s="3"/>
      <c r="M1500" s="3"/>
      <c r="N1500" s="3"/>
      <c r="O1500" s="3"/>
      <c r="P1500" s="3"/>
      <c r="Q1500" s="3"/>
      <c r="R1500" s="111"/>
      <c r="S1500" s="111"/>
      <c r="T1500" s="111"/>
    </row>
    <row r="1501" spans="3:20" s="4" customFormat="1" x14ac:dyDescent="0.25">
      <c r="C1501" s="3"/>
      <c r="D1501" s="3"/>
      <c r="E1501" s="3"/>
      <c r="F1501" s="3"/>
      <c r="G1501" s="3"/>
      <c r="H1501" s="3"/>
      <c r="I1501" s="3"/>
      <c r="J1501" s="3"/>
      <c r="K1501" s="3"/>
      <c r="L1501" s="3"/>
      <c r="M1501" s="3"/>
      <c r="N1501" s="3"/>
      <c r="O1501" s="3"/>
      <c r="P1501" s="3"/>
      <c r="Q1501" s="3"/>
      <c r="R1501" s="111"/>
      <c r="S1501" s="111"/>
      <c r="T1501" s="111"/>
    </row>
    <row r="1502" spans="3:20" s="4" customFormat="1" x14ac:dyDescent="0.25">
      <c r="C1502" s="3"/>
      <c r="D1502" s="3"/>
      <c r="E1502" s="3"/>
      <c r="F1502" s="3"/>
      <c r="G1502" s="3"/>
      <c r="H1502" s="3"/>
      <c r="I1502" s="3"/>
      <c r="J1502" s="3"/>
      <c r="K1502" s="3"/>
      <c r="L1502" s="3"/>
      <c r="M1502" s="3"/>
      <c r="N1502" s="3"/>
      <c r="O1502" s="3"/>
      <c r="P1502" s="3"/>
      <c r="Q1502" s="3"/>
      <c r="R1502" s="111"/>
      <c r="S1502" s="111"/>
      <c r="T1502" s="111"/>
    </row>
    <row r="1503" spans="3:20" s="4" customFormat="1" x14ac:dyDescent="0.25">
      <c r="C1503" s="3"/>
      <c r="D1503" s="3"/>
      <c r="E1503" s="3"/>
      <c r="F1503" s="3"/>
      <c r="G1503" s="3"/>
      <c r="H1503" s="3"/>
      <c r="I1503" s="3"/>
      <c r="J1503" s="3"/>
      <c r="K1503" s="3"/>
      <c r="L1503" s="3"/>
      <c r="M1503" s="3"/>
      <c r="N1503" s="3"/>
      <c r="O1503" s="3"/>
      <c r="P1503" s="3"/>
      <c r="Q1503" s="3"/>
      <c r="R1503" s="111"/>
      <c r="S1503" s="111"/>
      <c r="T1503" s="111"/>
    </row>
    <row r="1504" spans="3:20" s="4" customFormat="1" x14ac:dyDescent="0.25">
      <c r="C1504" s="3"/>
      <c r="D1504" s="3"/>
      <c r="E1504" s="3"/>
      <c r="F1504" s="3"/>
      <c r="G1504" s="3"/>
      <c r="H1504" s="3"/>
      <c r="I1504" s="3"/>
      <c r="J1504" s="3"/>
      <c r="K1504" s="3"/>
      <c r="L1504" s="3"/>
      <c r="M1504" s="3"/>
      <c r="N1504" s="3"/>
      <c r="O1504" s="3"/>
      <c r="P1504" s="3"/>
      <c r="Q1504" s="3"/>
      <c r="R1504" s="111"/>
      <c r="S1504" s="111"/>
      <c r="T1504" s="111"/>
    </row>
    <row r="1505" spans="3:20" s="4" customFormat="1" x14ac:dyDescent="0.25">
      <c r="C1505" s="3"/>
      <c r="D1505" s="3"/>
      <c r="E1505" s="3"/>
      <c r="F1505" s="3"/>
      <c r="G1505" s="3"/>
      <c r="H1505" s="3"/>
      <c r="I1505" s="3"/>
      <c r="J1505" s="3"/>
      <c r="K1505" s="3"/>
      <c r="L1505" s="3"/>
      <c r="M1505" s="3"/>
      <c r="N1505" s="3"/>
      <c r="O1505" s="3"/>
      <c r="P1505" s="3"/>
      <c r="Q1505" s="3"/>
      <c r="R1505" s="111"/>
      <c r="S1505" s="111"/>
      <c r="T1505" s="111"/>
    </row>
    <row r="1506" spans="3:20" s="4" customFormat="1" x14ac:dyDescent="0.25">
      <c r="C1506" s="3"/>
      <c r="D1506" s="3"/>
      <c r="E1506" s="3"/>
      <c r="F1506" s="3"/>
      <c r="G1506" s="3"/>
      <c r="H1506" s="3"/>
      <c r="I1506" s="3"/>
      <c r="J1506" s="3"/>
      <c r="K1506" s="3"/>
      <c r="L1506" s="3"/>
      <c r="M1506" s="3"/>
      <c r="N1506" s="3"/>
      <c r="O1506" s="3"/>
      <c r="P1506" s="3"/>
      <c r="Q1506" s="3"/>
      <c r="R1506" s="111"/>
      <c r="S1506" s="111"/>
      <c r="T1506" s="111"/>
    </row>
    <row r="1507" spans="3:20" s="4" customFormat="1" x14ac:dyDescent="0.25">
      <c r="C1507" s="3"/>
      <c r="D1507" s="3"/>
      <c r="E1507" s="3"/>
      <c r="F1507" s="3"/>
      <c r="G1507" s="3"/>
      <c r="H1507" s="3"/>
      <c r="I1507" s="3"/>
      <c r="J1507" s="3"/>
      <c r="K1507" s="3"/>
      <c r="L1507" s="3"/>
      <c r="M1507" s="3"/>
      <c r="N1507" s="3"/>
      <c r="O1507" s="3"/>
      <c r="P1507" s="3"/>
      <c r="Q1507" s="3"/>
      <c r="R1507" s="111"/>
      <c r="S1507" s="111"/>
      <c r="T1507" s="111"/>
    </row>
    <row r="1508" spans="3:20" s="4" customFormat="1" x14ac:dyDescent="0.25">
      <c r="C1508" s="3"/>
      <c r="D1508" s="3"/>
      <c r="E1508" s="3"/>
      <c r="F1508" s="3"/>
      <c r="G1508" s="3"/>
      <c r="H1508" s="3"/>
      <c r="I1508" s="3"/>
      <c r="J1508" s="3"/>
      <c r="K1508" s="3"/>
      <c r="L1508" s="3"/>
      <c r="M1508" s="3"/>
      <c r="N1508" s="3"/>
      <c r="O1508" s="3"/>
      <c r="P1508" s="3"/>
      <c r="Q1508" s="3"/>
      <c r="R1508" s="111"/>
      <c r="S1508" s="111"/>
      <c r="T1508" s="111"/>
    </row>
    <row r="1509" spans="3:20" s="4" customFormat="1" x14ac:dyDescent="0.25">
      <c r="C1509" s="3"/>
      <c r="D1509" s="3"/>
      <c r="E1509" s="3"/>
      <c r="F1509" s="3"/>
      <c r="G1509" s="3"/>
      <c r="H1509" s="3"/>
      <c r="I1509" s="3"/>
      <c r="J1509" s="3"/>
      <c r="K1509" s="3"/>
      <c r="L1509" s="3"/>
      <c r="M1509" s="3"/>
      <c r="N1509" s="3"/>
      <c r="O1509" s="3"/>
      <c r="P1509" s="3"/>
      <c r="Q1509" s="3"/>
      <c r="R1509" s="111"/>
      <c r="S1509" s="111"/>
      <c r="T1509" s="111"/>
    </row>
    <row r="1510" spans="3:20" s="4" customFormat="1" x14ac:dyDescent="0.25">
      <c r="C1510" s="3"/>
      <c r="D1510" s="3"/>
      <c r="E1510" s="3"/>
      <c r="F1510" s="3"/>
      <c r="G1510" s="3"/>
      <c r="H1510" s="3"/>
      <c r="I1510" s="3"/>
      <c r="J1510" s="3"/>
      <c r="K1510" s="3"/>
      <c r="L1510" s="3"/>
      <c r="M1510" s="3"/>
      <c r="N1510" s="3"/>
      <c r="O1510" s="3"/>
      <c r="P1510" s="3"/>
      <c r="Q1510" s="3"/>
      <c r="R1510" s="111"/>
      <c r="S1510" s="111"/>
      <c r="T1510" s="111"/>
    </row>
    <row r="1511" spans="3:20" s="4" customFormat="1" x14ac:dyDescent="0.25">
      <c r="C1511" s="3"/>
      <c r="D1511" s="3"/>
      <c r="E1511" s="3"/>
      <c r="F1511" s="3"/>
      <c r="G1511" s="3"/>
      <c r="H1511" s="3"/>
      <c r="I1511" s="3"/>
      <c r="J1511" s="3"/>
      <c r="K1511" s="3"/>
      <c r="L1511" s="3"/>
      <c r="M1511" s="3"/>
      <c r="N1511" s="3"/>
      <c r="O1511" s="3"/>
      <c r="P1511" s="3"/>
      <c r="Q1511" s="3"/>
      <c r="R1511" s="111"/>
      <c r="S1511" s="111"/>
      <c r="T1511" s="111"/>
    </row>
    <row r="1512" spans="3:20" s="4" customFormat="1" x14ac:dyDescent="0.25">
      <c r="C1512" s="3"/>
      <c r="D1512" s="3"/>
      <c r="E1512" s="3"/>
      <c r="F1512" s="3"/>
      <c r="G1512" s="3"/>
      <c r="H1512" s="3"/>
      <c r="I1512" s="3"/>
      <c r="J1512" s="3"/>
      <c r="K1512" s="3"/>
      <c r="L1512" s="3"/>
      <c r="M1512" s="3"/>
      <c r="N1512" s="3"/>
      <c r="O1512" s="3"/>
      <c r="P1512" s="3"/>
      <c r="Q1512" s="3"/>
      <c r="R1512" s="111"/>
      <c r="S1512" s="111"/>
      <c r="T1512" s="111"/>
    </row>
    <row r="1513" spans="3:20" s="4" customFormat="1" x14ac:dyDescent="0.25">
      <c r="C1513" s="3"/>
      <c r="D1513" s="3"/>
      <c r="E1513" s="3"/>
      <c r="F1513" s="3"/>
      <c r="G1513" s="3"/>
      <c r="H1513" s="3"/>
      <c r="I1513" s="3"/>
      <c r="J1513" s="3"/>
      <c r="K1513" s="3"/>
      <c r="L1513" s="3"/>
      <c r="M1513" s="3"/>
      <c r="N1513" s="3"/>
      <c r="O1513" s="3"/>
      <c r="P1513" s="3"/>
      <c r="Q1513" s="3"/>
      <c r="R1513" s="111"/>
      <c r="S1513" s="111"/>
      <c r="T1513" s="111"/>
    </row>
    <row r="1514" spans="3:20" s="4" customFormat="1" x14ac:dyDescent="0.25">
      <c r="C1514" s="3"/>
      <c r="D1514" s="3"/>
      <c r="E1514" s="3"/>
      <c r="F1514" s="3"/>
      <c r="G1514" s="3"/>
      <c r="H1514" s="3"/>
      <c r="I1514" s="3"/>
      <c r="J1514" s="3"/>
      <c r="K1514" s="3"/>
      <c r="L1514" s="3"/>
      <c r="M1514" s="3"/>
      <c r="N1514" s="3"/>
      <c r="O1514" s="3"/>
      <c r="P1514" s="3"/>
      <c r="Q1514" s="3"/>
      <c r="R1514" s="111"/>
      <c r="S1514" s="111"/>
      <c r="T1514" s="111"/>
    </row>
    <row r="1515" spans="3:20" s="4" customFormat="1" x14ac:dyDescent="0.25">
      <c r="C1515" s="3"/>
      <c r="D1515" s="3"/>
      <c r="E1515" s="3"/>
      <c r="F1515" s="3"/>
      <c r="G1515" s="3"/>
      <c r="H1515" s="3"/>
      <c r="I1515" s="3"/>
      <c r="J1515" s="3"/>
      <c r="K1515" s="3"/>
      <c r="L1515" s="3"/>
      <c r="M1515" s="3"/>
      <c r="N1515" s="3"/>
      <c r="O1515" s="3"/>
      <c r="P1515" s="3"/>
      <c r="Q1515" s="3"/>
      <c r="R1515" s="111"/>
      <c r="S1515" s="111"/>
      <c r="T1515" s="111"/>
    </row>
    <row r="1516" spans="3:20" s="4" customFormat="1" x14ac:dyDescent="0.25">
      <c r="C1516" s="3"/>
      <c r="D1516" s="3"/>
      <c r="E1516" s="3"/>
      <c r="F1516" s="3"/>
      <c r="G1516" s="3"/>
      <c r="H1516" s="3"/>
      <c r="I1516" s="3"/>
      <c r="J1516" s="3"/>
      <c r="K1516" s="3"/>
      <c r="L1516" s="3"/>
      <c r="M1516" s="3"/>
      <c r="N1516" s="3"/>
      <c r="O1516" s="3"/>
      <c r="P1516" s="3"/>
      <c r="Q1516" s="3"/>
      <c r="R1516" s="111"/>
      <c r="S1516" s="111"/>
      <c r="T1516" s="111"/>
    </row>
    <row r="1517" spans="3:20" s="4" customFormat="1" x14ac:dyDescent="0.25">
      <c r="C1517" s="3"/>
      <c r="D1517" s="3"/>
      <c r="E1517" s="3"/>
      <c r="F1517" s="3"/>
      <c r="G1517" s="3"/>
      <c r="H1517" s="3"/>
      <c r="I1517" s="3"/>
      <c r="J1517" s="3"/>
      <c r="K1517" s="3"/>
      <c r="L1517" s="3"/>
      <c r="M1517" s="3"/>
      <c r="N1517" s="3"/>
      <c r="O1517" s="3"/>
      <c r="P1517" s="3"/>
      <c r="Q1517" s="3"/>
      <c r="R1517" s="111"/>
      <c r="S1517" s="111"/>
      <c r="T1517" s="111"/>
    </row>
    <row r="1518" spans="3:20" s="4" customFormat="1" x14ac:dyDescent="0.25">
      <c r="C1518" s="3"/>
      <c r="D1518" s="3"/>
      <c r="E1518" s="3"/>
      <c r="F1518" s="3"/>
      <c r="G1518" s="3"/>
      <c r="H1518" s="3"/>
      <c r="I1518" s="3"/>
      <c r="J1518" s="3"/>
      <c r="K1518" s="3"/>
      <c r="L1518" s="3"/>
      <c r="M1518" s="3"/>
      <c r="N1518" s="3"/>
      <c r="O1518" s="3"/>
      <c r="P1518" s="3"/>
      <c r="Q1518" s="3"/>
      <c r="R1518" s="111"/>
      <c r="S1518" s="111"/>
      <c r="T1518" s="111"/>
    </row>
    <row r="1519" spans="3:20" s="4" customFormat="1" x14ac:dyDescent="0.25">
      <c r="C1519" s="3"/>
      <c r="D1519" s="3"/>
      <c r="E1519" s="3"/>
      <c r="F1519" s="3"/>
      <c r="G1519" s="3"/>
      <c r="H1519" s="3"/>
      <c r="I1519" s="3"/>
      <c r="J1519" s="3"/>
      <c r="K1519" s="3"/>
      <c r="L1519" s="3"/>
      <c r="M1519" s="3"/>
      <c r="N1519" s="3"/>
      <c r="O1519" s="3"/>
      <c r="P1519" s="3"/>
      <c r="Q1519" s="3"/>
      <c r="R1519" s="111"/>
      <c r="S1519" s="111"/>
      <c r="T1519" s="111"/>
    </row>
    <row r="1520" spans="3:20" s="4" customFormat="1" x14ac:dyDescent="0.25">
      <c r="C1520" s="3"/>
      <c r="D1520" s="3"/>
      <c r="E1520" s="3"/>
      <c r="F1520" s="3"/>
      <c r="G1520" s="3"/>
      <c r="H1520" s="3"/>
      <c r="I1520" s="3"/>
      <c r="J1520" s="3"/>
      <c r="K1520" s="3"/>
      <c r="L1520" s="3"/>
      <c r="M1520" s="3"/>
      <c r="N1520" s="3"/>
      <c r="O1520" s="3"/>
      <c r="P1520" s="3"/>
      <c r="Q1520" s="3"/>
      <c r="R1520" s="111"/>
      <c r="S1520" s="111"/>
      <c r="T1520" s="111"/>
    </row>
    <row r="1521" spans="3:20" s="4" customFormat="1" x14ac:dyDescent="0.25">
      <c r="C1521" s="3"/>
      <c r="D1521" s="3"/>
      <c r="E1521" s="3"/>
      <c r="F1521" s="3"/>
      <c r="G1521" s="3"/>
      <c r="H1521" s="3"/>
      <c r="I1521" s="3"/>
      <c r="J1521" s="3"/>
      <c r="K1521" s="3"/>
      <c r="L1521" s="3"/>
      <c r="M1521" s="3"/>
      <c r="N1521" s="3"/>
      <c r="O1521" s="3"/>
      <c r="P1521" s="3"/>
      <c r="Q1521" s="3"/>
      <c r="R1521" s="111"/>
      <c r="S1521" s="111"/>
      <c r="T1521" s="111"/>
    </row>
    <row r="1522" spans="3:20" s="4" customFormat="1" x14ac:dyDescent="0.25">
      <c r="C1522" s="3"/>
      <c r="D1522" s="3"/>
      <c r="E1522" s="3"/>
      <c r="F1522" s="3"/>
      <c r="G1522" s="3"/>
      <c r="H1522" s="3"/>
      <c r="I1522" s="3"/>
      <c r="J1522" s="3"/>
      <c r="K1522" s="3"/>
      <c r="L1522" s="3"/>
      <c r="M1522" s="3"/>
      <c r="N1522" s="3"/>
      <c r="O1522" s="3"/>
      <c r="P1522" s="3"/>
      <c r="Q1522" s="3"/>
      <c r="R1522" s="111"/>
      <c r="S1522" s="111"/>
      <c r="T1522" s="111"/>
    </row>
    <row r="1523" spans="3:20" s="4" customFormat="1" x14ac:dyDescent="0.25">
      <c r="C1523" s="3"/>
      <c r="D1523" s="3"/>
      <c r="E1523" s="3"/>
      <c r="F1523" s="3"/>
      <c r="G1523" s="3"/>
      <c r="H1523" s="3"/>
      <c r="I1523" s="3"/>
      <c r="J1523" s="3"/>
      <c r="K1523" s="3"/>
      <c r="L1523" s="3"/>
      <c r="M1523" s="3"/>
      <c r="N1523" s="3"/>
      <c r="O1523" s="3"/>
      <c r="P1523" s="3"/>
      <c r="Q1523" s="3"/>
      <c r="R1523" s="111"/>
      <c r="S1523" s="111"/>
      <c r="T1523" s="111"/>
    </row>
    <row r="1524" spans="3:20" s="4" customFormat="1" x14ac:dyDescent="0.25">
      <c r="C1524" s="3"/>
      <c r="D1524" s="3"/>
      <c r="E1524" s="3"/>
      <c r="F1524" s="3"/>
      <c r="G1524" s="3"/>
      <c r="H1524" s="3"/>
      <c r="I1524" s="3"/>
      <c r="J1524" s="3"/>
      <c r="K1524" s="3"/>
      <c r="L1524" s="3"/>
      <c r="M1524" s="3"/>
      <c r="N1524" s="3"/>
      <c r="O1524" s="3"/>
      <c r="P1524" s="3"/>
      <c r="Q1524" s="3"/>
      <c r="R1524" s="111"/>
      <c r="S1524" s="111"/>
      <c r="T1524" s="111"/>
    </row>
    <row r="1525" spans="3:20" s="4" customFormat="1" x14ac:dyDescent="0.25">
      <c r="C1525" s="3"/>
      <c r="D1525" s="3"/>
      <c r="E1525" s="3"/>
      <c r="F1525" s="3"/>
      <c r="G1525" s="3"/>
      <c r="H1525" s="3"/>
      <c r="I1525" s="3"/>
      <c r="J1525" s="3"/>
      <c r="K1525" s="3"/>
      <c r="L1525" s="3"/>
      <c r="M1525" s="3"/>
      <c r="N1525" s="3"/>
      <c r="O1525" s="3"/>
      <c r="P1525" s="3"/>
      <c r="Q1525" s="3"/>
      <c r="R1525" s="111"/>
      <c r="S1525" s="111"/>
      <c r="T1525" s="111"/>
    </row>
    <row r="1526" spans="3:20" s="4" customFormat="1" x14ac:dyDescent="0.25">
      <c r="C1526" s="3"/>
      <c r="D1526" s="3"/>
      <c r="E1526" s="3"/>
      <c r="F1526" s="3"/>
      <c r="G1526" s="3"/>
      <c r="H1526" s="3"/>
      <c r="I1526" s="3"/>
      <c r="J1526" s="3"/>
      <c r="K1526" s="3"/>
      <c r="L1526" s="3"/>
      <c r="M1526" s="3"/>
      <c r="N1526" s="3"/>
      <c r="O1526" s="3"/>
      <c r="P1526" s="3"/>
      <c r="Q1526" s="3"/>
      <c r="R1526" s="111"/>
      <c r="S1526" s="111"/>
      <c r="T1526" s="111"/>
    </row>
    <row r="1527" spans="3:20" s="4" customFormat="1" x14ac:dyDescent="0.25">
      <c r="C1527" s="3"/>
      <c r="D1527" s="3"/>
      <c r="E1527" s="3"/>
      <c r="F1527" s="3"/>
      <c r="G1527" s="3"/>
      <c r="H1527" s="3"/>
      <c r="I1527" s="3"/>
      <c r="J1527" s="3"/>
      <c r="K1527" s="3"/>
      <c r="L1527" s="3"/>
      <c r="M1527" s="3"/>
      <c r="N1527" s="3"/>
      <c r="O1527" s="3"/>
      <c r="P1527" s="3"/>
      <c r="Q1527" s="3"/>
      <c r="R1527" s="111"/>
      <c r="S1527" s="111"/>
      <c r="T1527" s="111"/>
    </row>
    <row r="1528" spans="3:20" s="4" customFormat="1" x14ac:dyDescent="0.25">
      <c r="C1528" s="3"/>
      <c r="D1528" s="3"/>
      <c r="E1528" s="3"/>
      <c r="F1528" s="3"/>
      <c r="G1528" s="3"/>
      <c r="H1528" s="3"/>
      <c r="I1528" s="3"/>
      <c r="J1528" s="3"/>
      <c r="K1528" s="3"/>
      <c r="L1528" s="3"/>
      <c r="M1528" s="3"/>
      <c r="N1528" s="3"/>
      <c r="O1528" s="3"/>
      <c r="P1528" s="3"/>
      <c r="Q1528" s="3"/>
      <c r="R1528" s="111"/>
      <c r="S1528" s="111"/>
      <c r="T1528" s="111"/>
    </row>
    <row r="1529" spans="3:20" s="4" customFormat="1" x14ac:dyDescent="0.25">
      <c r="C1529" s="3"/>
      <c r="D1529" s="3"/>
      <c r="E1529" s="3"/>
      <c r="F1529" s="3"/>
      <c r="G1529" s="3"/>
      <c r="H1529" s="3"/>
      <c r="I1529" s="3"/>
      <c r="J1529" s="3"/>
      <c r="K1529" s="3"/>
      <c r="L1529" s="3"/>
      <c r="M1529" s="3"/>
      <c r="N1529" s="3"/>
      <c r="O1529" s="3"/>
      <c r="P1529" s="3"/>
      <c r="Q1529" s="3"/>
      <c r="R1529" s="111"/>
      <c r="S1529" s="111"/>
      <c r="T1529" s="111"/>
    </row>
    <row r="1530" spans="3:20" s="4" customFormat="1" x14ac:dyDescent="0.25">
      <c r="C1530" s="3"/>
      <c r="D1530" s="3"/>
      <c r="E1530" s="3"/>
      <c r="F1530" s="3"/>
      <c r="G1530" s="3"/>
      <c r="H1530" s="3"/>
      <c r="I1530" s="3"/>
      <c r="J1530" s="3"/>
      <c r="K1530" s="3"/>
      <c r="L1530" s="3"/>
      <c r="M1530" s="3"/>
      <c r="N1530" s="3"/>
      <c r="O1530" s="3"/>
      <c r="P1530" s="3"/>
      <c r="Q1530" s="3"/>
      <c r="R1530" s="111"/>
      <c r="S1530" s="111"/>
      <c r="T1530" s="111"/>
    </row>
    <row r="1531" spans="3:20" s="4" customFormat="1" x14ac:dyDescent="0.25">
      <c r="C1531" s="3"/>
      <c r="D1531" s="3"/>
      <c r="E1531" s="3"/>
      <c r="F1531" s="3"/>
      <c r="G1531" s="3"/>
      <c r="H1531" s="3"/>
      <c r="I1531" s="3"/>
      <c r="J1531" s="3"/>
      <c r="K1531" s="3"/>
      <c r="L1531" s="3"/>
      <c r="M1531" s="3"/>
      <c r="N1531" s="3"/>
      <c r="O1531" s="3"/>
      <c r="P1531" s="3"/>
      <c r="Q1531" s="3"/>
      <c r="R1531" s="111"/>
      <c r="S1531" s="111"/>
      <c r="T1531" s="111"/>
    </row>
    <row r="1532" spans="3:20" s="4" customFormat="1" x14ac:dyDescent="0.25">
      <c r="C1532" s="3"/>
      <c r="D1532" s="3"/>
      <c r="E1532" s="3"/>
      <c r="F1532" s="3"/>
      <c r="G1532" s="3"/>
      <c r="H1532" s="3"/>
      <c r="I1532" s="3"/>
      <c r="J1532" s="3"/>
      <c r="K1532" s="3"/>
      <c r="L1532" s="3"/>
      <c r="M1532" s="3"/>
      <c r="N1532" s="3"/>
      <c r="O1532" s="3"/>
      <c r="P1532" s="3"/>
      <c r="Q1532" s="3"/>
      <c r="R1532" s="111"/>
      <c r="S1532" s="111"/>
      <c r="T1532" s="111"/>
    </row>
    <row r="1533" spans="3:20" s="4" customFormat="1" x14ac:dyDescent="0.25">
      <c r="C1533" s="3"/>
      <c r="D1533" s="3"/>
      <c r="E1533" s="3"/>
      <c r="F1533" s="3"/>
      <c r="G1533" s="3"/>
      <c r="H1533" s="3"/>
      <c r="I1533" s="3"/>
      <c r="J1533" s="3"/>
      <c r="K1533" s="3"/>
      <c r="L1533" s="3"/>
      <c r="M1533" s="3"/>
      <c r="N1533" s="3"/>
      <c r="O1533" s="3"/>
      <c r="P1533" s="3"/>
      <c r="Q1533" s="3"/>
      <c r="R1533" s="111"/>
      <c r="S1533" s="111"/>
      <c r="T1533" s="111"/>
    </row>
    <row r="1534" spans="3:20" s="4" customFormat="1" x14ac:dyDescent="0.25">
      <c r="C1534" s="3"/>
      <c r="D1534" s="3"/>
      <c r="E1534" s="3"/>
      <c r="F1534" s="3"/>
      <c r="G1534" s="3"/>
      <c r="H1534" s="3"/>
      <c r="I1534" s="3"/>
      <c r="J1534" s="3"/>
      <c r="K1534" s="3"/>
      <c r="L1534" s="3"/>
      <c r="M1534" s="3"/>
      <c r="N1534" s="3"/>
      <c r="O1534" s="3"/>
      <c r="P1534" s="3"/>
      <c r="Q1534" s="3"/>
      <c r="R1534" s="111"/>
      <c r="S1534" s="111"/>
      <c r="T1534" s="111"/>
    </row>
    <row r="1535" spans="3:20" s="4" customFormat="1" x14ac:dyDescent="0.25">
      <c r="C1535" s="3"/>
      <c r="D1535" s="3"/>
      <c r="E1535" s="3"/>
      <c r="F1535" s="3"/>
      <c r="G1535" s="3"/>
      <c r="H1535" s="3"/>
      <c r="I1535" s="3"/>
      <c r="J1535" s="3"/>
      <c r="K1535" s="3"/>
      <c r="L1535" s="3"/>
      <c r="M1535" s="3"/>
      <c r="N1535" s="3"/>
      <c r="O1535" s="3"/>
      <c r="P1535" s="3"/>
      <c r="Q1535" s="3"/>
      <c r="R1535" s="111"/>
      <c r="S1535" s="111"/>
      <c r="T1535" s="111"/>
    </row>
    <row r="1536" spans="3:20" s="4" customFormat="1" x14ac:dyDescent="0.25">
      <c r="C1536" s="3"/>
      <c r="D1536" s="3"/>
      <c r="E1536" s="3"/>
      <c r="F1536" s="3"/>
      <c r="G1536" s="3"/>
      <c r="H1536" s="3"/>
      <c r="I1536" s="3"/>
      <c r="J1536" s="3"/>
      <c r="K1536" s="3"/>
      <c r="L1536" s="3"/>
      <c r="M1536" s="3"/>
      <c r="N1536" s="3"/>
      <c r="O1536" s="3"/>
      <c r="P1536" s="3"/>
      <c r="Q1536" s="3"/>
      <c r="R1536" s="111"/>
      <c r="S1536" s="111"/>
      <c r="T1536" s="111"/>
    </row>
    <row r="1537" spans="3:20" s="4" customFormat="1" x14ac:dyDescent="0.25">
      <c r="C1537" s="3"/>
      <c r="D1537" s="3"/>
      <c r="E1537" s="3"/>
      <c r="F1537" s="3"/>
      <c r="G1537" s="3"/>
      <c r="H1537" s="3"/>
      <c r="I1537" s="3"/>
      <c r="J1537" s="3"/>
      <c r="K1537" s="3"/>
      <c r="L1537" s="3"/>
      <c r="M1537" s="3"/>
      <c r="N1537" s="3"/>
      <c r="O1537" s="3"/>
      <c r="P1537" s="3"/>
      <c r="Q1537" s="3"/>
      <c r="R1537" s="111"/>
      <c r="S1537" s="111"/>
      <c r="T1537" s="111"/>
    </row>
    <row r="1538" spans="3:20" s="4" customFormat="1" x14ac:dyDescent="0.25">
      <c r="C1538" s="3"/>
      <c r="D1538" s="3"/>
      <c r="E1538" s="3"/>
      <c r="F1538" s="3"/>
      <c r="G1538" s="3"/>
      <c r="H1538" s="3"/>
      <c r="I1538" s="3"/>
      <c r="J1538" s="3"/>
      <c r="K1538" s="3"/>
      <c r="L1538" s="3"/>
      <c r="M1538" s="3"/>
      <c r="N1538" s="3"/>
      <c r="O1538" s="3"/>
      <c r="P1538" s="3"/>
      <c r="Q1538" s="3"/>
      <c r="R1538" s="111"/>
      <c r="S1538" s="111"/>
      <c r="T1538" s="111"/>
    </row>
    <row r="1539" spans="3:20" s="4" customFormat="1" x14ac:dyDescent="0.25">
      <c r="C1539" s="3"/>
      <c r="D1539" s="3"/>
      <c r="E1539" s="3"/>
      <c r="F1539" s="3"/>
      <c r="G1539" s="3"/>
      <c r="H1539" s="3"/>
      <c r="I1539" s="3"/>
      <c r="J1539" s="3"/>
      <c r="K1539" s="3"/>
      <c r="L1539" s="3"/>
      <c r="M1539" s="3"/>
      <c r="N1539" s="3"/>
      <c r="O1539" s="3"/>
      <c r="P1539" s="3"/>
      <c r="Q1539" s="3"/>
      <c r="R1539" s="111"/>
      <c r="S1539" s="111"/>
      <c r="T1539" s="111"/>
    </row>
    <row r="1540" spans="3:20" s="4" customFormat="1" x14ac:dyDescent="0.25">
      <c r="C1540" s="3"/>
      <c r="D1540" s="3"/>
      <c r="E1540" s="3"/>
      <c r="F1540" s="3"/>
      <c r="G1540" s="3"/>
      <c r="H1540" s="3"/>
      <c r="I1540" s="3"/>
      <c r="J1540" s="3"/>
      <c r="K1540" s="3"/>
      <c r="L1540" s="3"/>
      <c r="M1540" s="3"/>
      <c r="N1540" s="3"/>
      <c r="O1540" s="3"/>
      <c r="P1540" s="3"/>
      <c r="Q1540" s="3"/>
      <c r="R1540" s="111"/>
      <c r="S1540" s="111"/>
      <c r="T1540" s="111"/>
    </row>
    <row r="1541" spans="3:20" s="4" customFormat="1" x14ac:dyDescent="0.25">
      <c r="C1541" s="3"/>
      <c r="D1541" s="3"/>
      <c r="E1541" s="3"/>
      <c r="F1541" s="3"/>
      <c r="G1541" s="3"/>
      <c r="H1541" s="3"/>
      <c r="I1541" s="3"/>
      <c r="J1541" s="3"/>
      <c r="K1541" s="3"/>
      <c r="L1541" s="3"/>
      <c r="M1541" s="3"/>
      <c r="N1541" s="3"/>
      <c r="O1541" s="3"/>
      <c r="P1541" s="3"/>
      <c r="Q1541" s="3"/>
      <c r="R1541" s="111"/>
      <c r="S1541" s="111"/>
      <c r="T1541" s="111"/>
    </row>
    <row r="1542" spans="3:20" s="4" customFormat="1" x14ac:dyDescent="0.25">
      <c r="C1542" s="3"/>
      <c r="D1542" s="3"/>
      <c r="E1542" s="3"/>
      <c r="F1542" s="3"/>
      <c r="G1542" s="3"/>
      <c r="H1542" s="3"/>
      <c r="I1542" s="3"/>
      <c r="J1542" s="3"/>
      <c r="K1542" s="3"/>
      <c r="L1542" s="3"/>
      <c r="M1542" s="3"/>
      <c r="N1542" s="3"/>
      <c r="O1542" s="3"/>
      <c r="P1542" s="3"/>
      <c r="Q1542" s="3"/>
      <c r="R1542" s="111"/>
      <c r="S1542" s="111"/>
      <c r="T1542" s="111"/>
    </row>
    <row r="1543" spans="3:20" s="4" customFormat="1" x14ac:dyDescent="0.25">
      <c r="C1543" s="3"/>
      <c r="D1543" s="3"/>
      <c r="E1543" s="3"/>
      <c r="F1543" s="3"/>
      <c r="G1543" s="3"/>
      <c r="H1543" s="3"/>
      <c r="I1543" s="3"/>
      <c r="J1543" s="3"/>
      <c r="K1543" s="3"/>
      <c r="L1543" s="3"/>
      <c r="M1543" s="3"/>
      <c r="N1543" s="3"/>
      <c r="O1543" s="3"/>
      <c r="P1543" s="3"/>
      <c r="Q1543" s="3"/>
      <c r="R1543" s="111"/>
      <c r="S1543" s="111"/>
      <c r="T1543" s="111"/>
    </row>
    <row r="1544" spans="3:20" s="4" customFormat="1" x14ac:dyDescent="0.25">
      <c r="C1544" s="3"/>
      <c r="D1544" s="3"/>
      <c r="E1544" s="3"/>
      <c r="F1544" s="3"/>
      <c r="G1544" s="3"/>
      <c r="H1544" s="3"/>
      <c r="I1544" s="3"/>
      <c r="J1544" s="3"/>
      <c r="K1544" s="3"/>
      <c r="L1544" s="3"/>
      <c r="M1544" s="3"/>
      <c r="N1544" s="3"/>
      <c r="O1544" s="3"/>
      <c r="P1544" s="3"/>
      <c r="Q1544" s="3"/>
      <c r="R1544" s="111"/>
      <c r="S1544" s="111"/>
      <c r="T1544" s="111"/>
    </row>
    <row r="1545" spans="3:20" s="4" customFormat="1" x14ac:dyDescent="0.25">
      <c r="C1545" s="3"/>
      <c r="D1545" s="3"/>
      <c r="E1545" s="3"/>
      <c r="F1545" s="3"/>
      <c r="G1545" s="3"/>
      <c r="H1545" s="3"/>
      <c r="I1545" s="3"/>
      <c r="J1545" s="3"/>
      <c r="K1545" s="3"/>
      <c r="L1545" s="3"/>
      <c r="M1545" s="3"/>
      <c r="N1545" s="3"/>
      <c r="O1545" s="3"/>
      <c r="P1545" s="3"/>
      <c r="Q1545" s="3"/>
      <c r="R1545" s="111"/>
      <c r="S1545" s="111"/>
      <c r="T1545" s="111"/>
    </row>
    <row r="1546" spans="3:20" s="4" customFormat="1" x14ac:dyDescent="0.25">
      <c r="C1546" s="3"/>
      <c r="D1546" s="3"/>
      <c r="E1546" s="3"/>
      <c r="F1546" s="3"/>
      <c r="G1546" s="3"/>
      <c r="H1546" s="3"/>
      <c r="I1546" s="3"/>
      <c r="J1546" s="3"/>
      <c r="K1546" s="3"/>
      <c r="L1546" s="3"/>
      <c r="M1546" s="3"/>
      <c r="N1546" s="3"/>
      <c r="O1546" s="3"/>
      <c r="P1546" s="3"/>
      <c r="Q1546" s="3"/>
      <c r="R1546" s="111"/>
      <c r="S1546" s="111"/>
      <c r="T1546" s="111"/>
    </row>
    <row r="1547" spans="3:20" s="4" customFormat="1" x14ac:dyDescent="0.25">
      <c r="C1547" s="3"/>
      <c r="D1547" s="3"/>
      <c r="E1547" s="3"/>
      <c r="F1547" s="3"/>
      <c r="G1547" s="3"/>
      <c r="H1547" s="3"/>
      <c r="I1547" s="3"/>
      <c r="J1547" s="3"/>
      <c r="K1547" s="3"/>
      <c r="L1547" s="3"/>
      <c r="M1547" s="3"/>
      <c r="N1547" s="3"/>
      <c r="O1547" s="3"/>
      <c r="P1547" s="3"/>
      <c r="Q1547" s="3"/>
      <c r="R1547" s="111"/>
      <c r="S1547" s="111"/>
      <c r="T1547" s="111"/>
    </row>
    <row r="1548" spans="3:20" s="4" customFormat="1" x14ac:dyDescent="0.25">
      <c r="C1548" s="3"/>
      <c r="D1548" s="3"/>
      <c r="E1548" s="3"/>
      <c r="F1548" s="3"/>
      <c r="G1548" s="3"/>
      <c r="H1548" s="3"/>
      <c r="I1548" s="3"/>
      <c r="J1548" s="3"/>
      <c r="K1548" s="3"/>
      <c r="L1548" s="3"/>
      <c r="M1548" s="3"/>
      <c r="N1548" s="3"/>
      <c r="O1548" s="3"/>
      <c r="P1548" s="3"/>
      <c r="Q1548" s="3"/>
      <c r="R1548" s="111"/>
      <c r="S1548" s="111"/>
      <c r="T1548" s="111"/>
    </row>
    <row r="1549" spans="3:20" s="4" customFormat="1" x14ac:dyDescent="0.25">
      <c r="C1549" s="3"/>
      <c r="D1549" s="3"/>
      <c r="E1549" s="3"/>
      <c r="F1549" s="3"/>
      <c r="G1549" s="3"/>
      <c r="H1549" s="3"/>
      <c r="I1549" s="3"/>
      <c r="J1549" s="3"/>
      <c r="K1549" s="3"/>
      <c r="L1549" s="3"/>
      <c r="M1549" s="3"/>
      <c r="N1549" s="3"/>
      <c r="O1549" s="3"/>
      <c r="P1549" s="3"/>
      <c r="Q1549" s="3"/>
      <c r="R1549" s="111"/>
      <c r="S1549" s="111"/>
      <c r="T1549" s="111"/>
    </row>
    <row r="1550" spans="3:20" s="4" customFormat="1" x14ac:dyDescent="0.25">
      <c r="C1550" s="3"/>
      <c r="D1550" s="3"/>
      <c r="E1550" s="3"/>
      <c r="F1550" s="3"/>
      <c r="G1550" s="3"/>
      <c r="H1550" s="3"/>
      <c r="I1550" s="3"/>
      <c r="J1550" s="3"/>
      <c r="K1550" s="3"/>
      <c r="L1550" s="3"/>
      <c r="M1550" s="3"/>
      <c r="N1550" s="3"/>
      <c r="O1550" s="3"/>
      <c r="P1550" s="3"/>
      <c r="Q1550" s="3"/>
      <c r="R1550" s="111"/>
      <c r="S1550" s="111"/>
      <c r="T1550" s="111"/>
    </row>
    <row r="1551" spans="3:20" s="4" customFormat="1" x14ac:dyDescent="0.25">
      <c r="C1551" s="3"/>
      <c r="D1551" s="3"/>
      <c r="E1551" s="3"/>
      <c r="F1551" s="3"/>
      <c r="G1551" s="3"/>
      <c r="H1551" s="3"/>
      <c r="I1551" s="3"/>
      <c r="J1551" s="3"/>
      <c r="K1551" s="3"/>
      <c r="L1551" s="3"/>
      <c r="M1551" s="3"/>
      <c r="N1551" s="3"/>
      <c r="O1551" s="3"/>
      <c r="P1551" s="3"/>
      <c r="Q1551" s="3"/>
      <c r="R1551" s="111"/>
      <c r="S1551" s="111"/>
      <c r="T1551" s="111"/>
    </row>
    <row r="1552" spans="3:20" s="4" customFormat="1" x14ac:dyDescent="0.25">
      <c r="C1552" s="3"/>
      <c r="D1552" s="3"/>
      <c r="E1552" s="3"/>
      <c r="F1552" s="3"/>
      <c r="G1552" s="3"/>
      <c r="H1552" s="3"/>
      <c r="I1552" s="3"/>
      <c r="J1552" s="3"/>
      <c r="K1552" s="3"/>
      <c r="L1552" s="3"/>
      <c r="M1552" s="3"/>
      <c r="N1552" s="3"/>
      <c r="O1552" s="3"/>
      <c r="P1552" s="3"/>
      <c r="Q1552" s="3"/>
      <c r="R1552" s="111"/>
      <c r="S1552" s="111"/>
      <c r="T1552" s="111"/>
    </row>
    <row r="1553" spans="3:20" s="4" customFormat="1" x14ac:dyDescent="0.25">
      <c r="C1553" s="3"/>
      <c r="D1553" s="3"/>
      <c r="E1553" s="3"/>
      <c r="F1553" s="3"/>
      <c r="G1553" s="3"/>
      <c r="H1553" s="3"/>
      <c r="I1553" s="3"/>
      <c r="J1553" s="3"/>
      <c r="K1553" s="3"/>
      <c r="L1553" s="3"/>
      <c r="M1553" s="3"/>
      <c r="N1553" s="3"/>
      <c r="O1553" s="3"/>
      <c r="P1553" s="3"/>
      <c r="Q1553" s="3"/>
      <c r="R1553" s="111"/>
      <c r="S1553" s="111"/>
      <c r="T1553" s="111"/>
    </row>
    <row r="1554" spans="3:20" s="4" customFormat="1" x14ac:dyDescent="0.25">
      <c r="C1554" s="3"/>
      <c r="D1554" s="3"/>
      <c r="E1554" s="3"/>
      <c r="F1554" s="3"/>
      <c r="G1554" s="3"/>
      <c r="H1554" s="3"/>
      <c r="I1554" s="3"/>
      <c r="J1554" s="3"/>
      <c r="K1554" s="3"/>
      <c r="L1554" s="3"/>
      <c r="M1554" s="3"/>
      <c r="N1554" s="3"/>
      <c r="O1554" s="3"/>
      <c r="P1554" s="3"/>
      <c r="Q1554" s="3"/>
      <c r="R1554" s="111"/>
      <c r="S1554" s="111"/>
      <c r="T1554" s="111"/>
    </row>
    <row r="1555" spans="3:20" s="4" customFormat="1" x14ac:dyDescent="0.25">
      <c r="C1555" s="3"/>
      <c r="D1555" s="3"/>
      <c r="E1555" s="3"/>
      <c r="F1555" s="3"/>
      <c r="G1555" s="3"/>
      <c r="H1555" s="3"/>
      <c r="I1555" s="3"/>
      <c r="J1555" s="3"/>
      <c r="K1555" s="3"/>
      <c r="L1555" s="3"/>
      <c r="M1555" s="3"/>
      <c r="N1555" s="3"/>
      <c r="O1555" s="3"/>
      <c r="P1555" s="3"/>
      <c r="Q1555" s="3"/>
      <c r="R1555" s="111"/>
      <c r="S1555" s="111"/>
      <c r="T1555" s="111"/>
    </row>
    <row r="1556" spans="3:20" s="4" customFormat="1" x14ac:dyDescent="0.25">
      <c r="C1556" s="3"/>
      <c r="D1556" s="3"/>
      <c r="E1556" s="3"/>
      <c r="F1556" s="3"/>
      <c r="G1556" s="3"/>
      <c r="H1556" s="3"/>
      <c r="I1556" s="3"/>
      <c r="J1556" s="3"/>
      <c r="K1556" s="3"/>
      <c r="L1556" s="3"/>
      <c r="M1556" s="3"/>
      <c r="N1556" s="3"/>
      <c r="O1556" s="3"/>
      <c r="P1556" s="3"/>
      <c r="Q1556" s="3"/>
      <c r="R1556" s="111"/>
      <c r="S1556" s="111"/>
      <c r="T1556" s="111"/>
    </row>
    <row r="1557" spans="3:20" s="4" customFormat="1" x14ac:dyDescent="0.25">
      <c r="C1557" s="3"/>
      <c r="D1557" s="3"/>
      <c r="E1557" s="3"/>
      <c r="F1557" s="3"/>
      <c r="G1557" s="3"/>
      <c r="H1557" s="3"/>
      <c r="I1557" s="3"/>
      <c r="J1557" s="3"/>
      <c r="K1557" s="3"/>
      <c r="L1557" s="3"/>
      <c r="M1557" s="3"/>
      <c r="N1557" s="3"/>
      <c r="O1557" s="3"/>
      <c r="P1557" s="3"/>
      <c r="Q1557" s="3"/>
      <c r="R1557" s="111"/>
      <c r="S1557" s="111"/>
      <c r="T1557" s="111"/>
    </row>
    <row r="1558" spans="3:20" s="4" customFormat="1" x14ac:dyDescent="0.25">
      <c r="C1558" s="3"/>
      <c r="D1558" s="3"/>
      <c r="E1558" s="3"/>
      <c r="F1558" s="3"/>
      <c r="G1558" s="3"/>
      <c r="H1558" s="3"/>
      <c r="I1558" s="3"/>
      <c r="J1558" s="3"/>
      <c r="K1558" s="3"/>
      <c r="L1558" s="3"/>
      <c r="M1558" s="3"/>
      <c r="N1558" s="3"/>
      <c r="O1558" s="3"/>
      <c r="P1558" s="3"/>
      <c r="Q1558" s="3"/>
      <c r="R1558" s="111"/>
      <c r="S1558" s="111"/>
      <c r="T1558" s="111"/>
    </row>
    <row r="1559" spans="3:20" s="4" customFormat="1" x14ac:dyDescent="0.25">
      <c r="C1559" s="3"/>
      <c r="D1559" s="3"/>
      <c r="E1559" s="3"/>
      <c r="F1559" s="3"/>
      <c r="G1559" s="3"/>
      <c r="H1559" s="3"/>
      <c r="I1559" s="3"/>
      <c r="J1559" s="3"/>
      <c r="K1559" s="3"/>
      <c r="L1559" s="3"/>
      <c r="M1559" s="3"/>
      <c r="N1559" s="3"/>
      <c r="O1559" s="3"/>
      <c r="P1559" s="3"/>
      <c r="Q1559" s="3"/>
      <c r="R1559" s="111"/>
      <c r="S1559" s="111"/>
      <c r="T1559" s="111"/>
    </row>
    <row r="1560" spans="3:20" s="4" customFormat="1" x14ac:dyDescent="0.25">
      <c r="C1560" s="3"/>
      <c r="D1560" s="3"/>
      <c r="E1560" s="3"/>
      <c r="F1560" s="3"/>
      <c r="G1560" s="3"/>
      <c r="H1560" s="3"/>
      <c r="I1560" s="3"/>
      <c r="J1560" s="3"/>
      <c r="K1560" s="3"/>
      <c r="L1560" s="3"/>
      <c r="M1560" s="3"/>
      <c r="N1560" s="3"/>
      <c r="O1560" s="3"/>
      <c r="P1560" s="3"/>
      <c r="Q1560" s="3"/>
      <c r="R1560" s="111"/>
      <c r="S1560" s="111"/>
      <c r="T1560" s="111"/>
    </row>
    <row r="1561" spans="3:20" s="4" customFormat="1" x14ac:dyDescent="0.25">
      <c r="C1561" s="3"/>
      <c r="D1561" s="3"/>
      <c r="E1561" s="3"/>
      <c r="F1561" s="3"/>
      <c r="G1561" s="3"/>
      <c r="H1561" s="3"/>
      <c r="I1561" s="3"/>
      <c r="J1561" s="3"/>
      <c r="K1561" s="3"/>
      <c r="L1561" s="3"/>
      <c r="M1561" s="3"/>
      <c r="N1561" s="3"/>
      <c r="O1561" s="3"/>
      <c r="P1561" s="3"/>
      <c r="Q1561" s="3"/>
      <c r="R1561" s="111"/>
      <c r="S1561" s="111"/>
      <c r="T1561" s="111"/>
    </row>
    <row r="1562" spans="3:20" s="4" customFormat="1" x14ac:dyDescent="0.25">
      <c r="C1562" s="3"/>
      <c r="D1562" s="3"/>
      <c r="E1562" s="3"/>
      <c r="F1562" s="3"/>
      <c r="G1562" s="3"/>
      <c r="H1562" s="3"/>
      <c r="I1562" s="3"/>
      <c r="J1562" s="3"/>
      <c r="K1562" s="3"/>
      <c r="L1562" s="3"/>
      <c r="M1562" s="3"/>
      <c r="N1562" s="3"/>
      <c r="O1562" s="3"/>
      <c r="P1562" s="3"/>
      <c r="Q1562" s="3"/>
      <c r="R1562" s="111"/>
      <c r="S1562" s="111"/>
      <c r="T1562" s="111"/>
    </row>
    <row r="1563" spans="3:20" s="4" customFormat="1" x14ac:dyDescent="0.25">
      <c r="C1563" s="3"/>
      <c r="D1563" s="3"/>
      <c r="E1563" s="3"/>
      <c r="F1563" s="3"/>
      <c r="G1563" s="3"/>
      <c r="H1563" s="3"/>
      <c r="I1563" s="3"/>
      <c r="J1563" s="3"/>
      <c r="K1563" s="3"/>
      <c r="L1563" s="3"/>
      <c r="M1563" s="3"/>
      <c r="N1563" s="3"/>
      <c r="O1563" s="3"/>
      <c r="P1563" s="3"/>
      <c r="Q1563" s="3"/>
      <c r="R1563" s="111"/>
      <c r="S1563" s="111"/>
      <c r="T1563" s="111"/>
    </row>
    <row r="1564" spans="3:20" s="4" customFormat="1" x14ac:dyDescent="0.25">
      <c r="C1564" s="3"/>
      <c r="D1564" s="3"/>
      <c r="E1564" s="3"/>
      <c r="F1564" s="3"/>
      <c r="G1564" s="3"/>
      <c r="H1564" s="3"/>
      <c r="I1564" s="3"/>
      <c r="J1564" s="3"/>
      <c r="K1564" s="3"/>
      <c r="L1564" s="3"/>
      <c r="M1564" s="3"/>
      <c r="N1564" s="3"/>
      <c r="O1564" s="3"/>
      <c r="P1564" s="3"/>
      <c r="Q1564" s="3"/>
      <c r="R1564" s="111"/>
      <c r="S1564" s="111"/>
      <c r="T1564" s="111"/>
    </row>
    <row r="1565" spans="3:20" s="4" customFormat="1" x14ac:dyDescent="0.25">
      <c r="C1565" s="3"/>
      <c r="D1565" s="3"/>
      <c r="E1565" s="3"/>
      <c r="F1565" s="3"/>
      <c r="G1565" s="3"/>
      <c r="H1565" s="3"/>
      <c r="I1565" s="3"/>
      <c r="J1565" s="3"/>
      <c r="K1565" s="3"/>
      <c r="L1565" s="3"/>
      <c r="M1565" s="3"/>
      <c r="N1565" s="3"/>
      <c r="O1565" s="3"/>
      <c r="P1565" s="3"/>
      <c r="Q1565" s="3"/>
      <c r="R1565" s="111"/>
      <c r="S1565" s="111"/>
      <c r="T1565" s="111"/>
    </row>
    <row r="1566" spans="3:20" s="4" customFormat="1" x14ac:dyDescent="0.25">
      <c r="C1566" s="3"/>
      <c r="D1566" s="3"/>
      <c r="E1566" s="3"/>
      <c r="F1566" s="3"/>
      <c r="G1566" s="3"/>
      <c r="H1566" s="3"/>
      <c r="I1566" s="3"/>
      <c r="J1566" s="3"/>
      <c r="K1566" s="3"/>
      <c r="L1566" s="3"/>
      <c r="M1566" s="3"/>
      <c r="N1566" s="3"/>
      <c r="O1566" s="3"/>
      <c r="P1566" s="3"/>
      <c r="Q1566" s="3"/>
      <c r="R1566" s="111"/>
      <c r="S1566" s="111"/>
      <c r="T1566" s="111"/>
    </row>
    <row r="1567" spans="3:20" s="4" customFormat="1" x14ac:dyDescent="0.25">
      <c r="C1567" s="3"/>
      <c r="D1567" s="3"/>
      <c r="E1567" s="3"/>
      <c r="F1567" s="3"/>
      <c r="G1567" s="3"/>
      <c r="H1567" s="3"/>
      <c r="I1567" s="3"/>
      <c r="J1567" s="3"/>
      <c r="K1567" s="3"/>
      <c r="L1567" s="3"/>
      <c r="M1567" s="3"/>
      <c r="N1567" s="3"/>
      <c r="O1567" s="3"/>
      <c r="P1567" s="3"/>
      <c r="Q1567" s="3"/>
      <c r="R1567" s="111"/>
      <c r="S1567" s="111"/>
      <c r="T1567" s="111"/>
    </row>
    <row r="1568" spans="3:20" s="4" customFormat="1" x14ac:dyDescent="0.25">
      <c r="C1568" s="3"/>
      <c r="D1568" s="3"/>
      <c r="E1568" s="3"/>
      <c r="F1568" s="3"/>
      <c r="G1568" s="3"/>
      <c r="H1568" s="3"/>
      <c r="I1568" s="3"/>
      <c r="J1568" s="3"/>
      <c r="K1568" s="3"/>
      <c r="L1568" s="3"/>
      <c r="M1568" s="3"/>
      <c r="N1568" s="3"/>
      <c r="O1568" s="3"/>
      <c r="P1568" s="3"/>
      <c r="Q1568" s="3"/>
      <c r="R1568" s="111"/>
      <c r="S1568" s="111"/>
      <c r="T1568" s="111"/>
    </row>
    <row r="1569" spans="3:20" s="4" customFormat="1" x14ac:dyDescent="0.25">
      <c r="C1569" s="3"/>
      <c r="D1569" s="3"/>
      <c r="E1569" s="3"/>
      <c r="F1569" s="3"/>
      <c r="G1569" s="3"/>
      <c r="H1569" s="3"/>
      <c r="I1569" s="3"/>
      <c r="J1569" s="3"/>
      <c r="K1569" s="3"/>
      <c r="L1569" s="3"/>
      <c r="M1569" s="3"/>
      <c r="N1569" s="3"/>
      <c r="O1569" s="3"/>
      <c r="P1569" s="3"/>
      <c r="Q1569" s="3"/>
      <c r="R1569" s="111"/>
      <c r="S1569" s="111"/>
      <c r="T1569" s="111"/>
    </row>
    <row r="1570" spans="3:20" s="4" customFormat="1" x14ac:dyDescent="0.25">
      <c r="C1570" s="3"/>
      <c r="D1570" s="3"/>
      <c r="E1570" s="3"/>
      <c r="F1570" s="3"/>
      <c r="G1570" s="3"/>
      <c r="H1570" s="3"/>
      <c r="I1570" s="3"/>
      <c r="J1570" s="3"/>
      <c r="K1570" s="3"/>
      <c r="L1570" s="3"/>
      <c r="M1570" s="3"/>
      <c r="N1570" s="3"/>
      <c r="O1570" s="3"/>
      <c r="P1570" s="3"/>
      <c r="Q1570" s="3"/>
      <c r="R1570" s="111"/>
      <c r="S1570" s="111"/>
      <c r="T1570" s="111"/>
    </row>
    <row r="1571" spans="3:20" s="4" customFormat="1" x14ac:dyDescent="0.25">
      <c r="C1571" s="3"/>
      <c r="D1571" s="3"/>
      <c r="E1571" s="3"/>
      <c r="F1571" s="3"/>
      <c r="G1571" s="3"/>
      <c r="H1571" s="3"/>
      <c r="I1571" s="3"/>
      <c r="J1571" s="3"/>
      <c r="K1571" s="3"/>
      <c r="L1571" s="3"/>
      <c r="M1571" s="3"/>
      <c r="N1571" s="3"/>
      <c r="O1571" s="3"/>
      <c r="P1571" s="3"/>
      <c r="Q1571" s="3"/>
      <c r="R1571" s="111"/>
      <c r="S1571" s="111"/>
      <c r="T1571" s="111"/>
    </row>
    <row r="1572" spans="3:20" s="4" customFormat="1" x14ac:dyDescent="0.25">
      <c r="C1572" s="3"/>
      <c r="D1572" s="3"/>
      <c r="E1572" s="3"/>
      <c r="F1572" s="3"/>
      <c r="G1572" s="3"/>
      <c r="H1572" s="3"/>
      <c r="I1572" s="3"/>
      <c r="J1572" s="3"/>
      <c r="K1572" s="3"/>
      <c r="L1572" s="3"/>
      <c r="M1572" s="3"/>
      <c r="N1572" s="3"/>
      <c r="O1572" s="3"/>
      <c r="P1572" s="3"/>
      <c r="Q1572" s="3"/>
      <c r="R1572" s="111"/>
      <c r="S1572" s="111"/>
      <c r="T1572" s="111"/>
    </row>
    <row r="1573" spans="3:20" s="4" customFormat="1" x14ac:dyDescent="0.25">
      <c r="C1573" s="3"/>
      <c r="D1573" s="3"/>
      <c r="E1573" s="3"/>
      <c r="F1573" s="3"/>
      <c r="G1573" s="3"/>
      <c r="H1573" s="3"/>
      <c r="I1573" s="3"/>
      <c r="J1573" s="3"/>
      <c r="K1573" s="3"/>
      <c r="L1573" s="3"/>
      <c r="M1573" s="3"/>
      <c r="N1573" s="3"/>
      <c r="O1573" s="3"/>
      <c r="P1573" s="3"/>
      <c r="Q1573" s="3"/>
      <c r="R1573" s="111"/>
      <c r="S1573" s="111"/>
      <c r="T1573" s="111"/>
    </row>
    <row r="1574" spans="3:20" s="4" customFormat="1" x14ac:dyDescent="0.25">
      <c r="C1574" s="3"/>
      <c r="D1574" s="3"/>
      <c r="E1574" s="3"/>
      <c r="F1574" s="3"/>
      <c r="G1574" s="3"/>
      <c r="H1574" s="3"/>
      <c r="I1574" s="3"/>
      <c r="J1574" s="3"/>
      <c r="K1574" s="3"/>
      <c r="L1574" s="3"/>
      <c r="M1574" s="3"/>
      <c r="N1574" s="3"/>
      <c r="O1574" s="3"/>
      <c r="P1574" s="3"/>
      <c r="Q1574" s="3"/>
      <c r="R1574" s="111"/>
      <c r="S1574" s="111"/>
      <c r="T1574" s="111"/>
    </row>
    <row r="1575" spans="3:20" s="4" customFormat="1" x14ac:dyDescent="0.25">
      <c r="C1575" s="3"/>
      <c r="D1575" s="3"/>
      <c r="E1575" s="3"/>
      <c r="F1575" s="3"/>
      <c r="G1575" s="3"/>
      <c r="H1575" s="3"/>
      <c r="I1575" s="3"/>
      <c r="J1575" s="3"/>
      <c r="K1575" s="3"/>
      <c r="L1575" s="3"/>
      <c r="M1575" s="3"/>
      <c r="N1575" s="3"/>
      <c r="O1575" s="3"/>
      <c r="P1575" s="3"/>
      <c r="Q1575" s="3"/>
      <c r="R1575" s="111"/>
      <c r="S1575" s="111"/>
      <c r="T1575" s="111"/>
    </row>
    <row r="1576" spans="3:20" s="4" customFormat="1" x14ac:dyDescent="0.25">
      <c r="C1576" s="3"/>
      <c r="D1576" s="3"/>
      <c r="E1576" s="3"/>
      <c r="F1576" s="3"/>
      <c r="G1576" s="3"/>
      <c r="H1576" s="3"/>
      <c r="I1576" s="3"/>
      <c r="J1576" s="3"/>
      <c r="K1576" s="3"/>
      <c r="L1576" s="3"/>
      <c r="M1576" s="3"/>
      <c r="N1576" s="3"/>
      <c r="O1576" s="3"/>
      <c r="P1576" s="3"/>
      <c r="Q1576" s="3"/>
      <c r="R1576" s="111"/>
      <c r="S1576" s="111"/>
      <c r="T1576" s="111"/>
    </row>
    <row r="1577" spans="3:20" s="4" customFormat="1" x14ac:dyDescent="0.25">
      <c r="C1577" s="3"/>
      <c r="D1577" s="3"/>
      <c r="E1577" s="3"/>
      <c r="F1577" s="3"/>
      <c r="G1577" s="3"/>
      <c r="H1577" s="3"/>
      <c r="I1577" s="3"/>
      <c r="J1577" s="3"/>
      <c r="K1577" s="3"/>
      <c r="L1577" s="3"/>
      <c r="M1577" s="3"/>
      <c r="N1577" s="3"/>
      <c r="O1577" s="3"/>
      <c r="P1577" s="3"/>
      <c r="Q1577" s="3"/>
      <c r="R1577" s="111"/>
      <c r="S1577" s="111"/>
      <c r="T1577" s="111"/>
    </row>
    <row r="1578" spans="3:20" s="4" customFormat="1" x14ac:dyDescent="0.25">
      <c r="C1578" s="3"/>
      <c r="D1578" s="3"/>
      <c r="E1578" s="3"/>
      <c r="F1578" s="3"/>
      <c r="G1578" s="3"/>
      <c r="H1578" s="3"/>
      <c r="I1578" s="3"/>
      <c r="J1578" s="3"/>
      <c r="K1578" s="3"/>
      <c r="L1578" s="3"/>
      <c r="M1578" s="3"/>
      <c r="N1578" s="3"/>
      <c r="O1578" s="3"/>
      <c r="P1578" s="3"/>
      <c r="Q1578" s="3"/>
      <c r="R1578" s="111"/>
      <c r="S1578" s="111"/>
      <c r="T1578" s="111"/>
    </row>
    <row r="1579" spans="3:20" s="4" customFormat="1" x14ac:dyDescent="0.25">
      <c r="C1579" s="3"/>
      <c r="D1579" s="3"/>
      <c r="E1579" s="3"/>
      <c r="F1579" s="3"/>
      <c r="G1579" s="3"/>
      <c r="H1579" s="3"/>
      <c r="I1579" s="3"/>
      <c r="J1579" s="3"/>
      <c r="K1579" s="3"/>
      <c r="L1579" s="3"/>
      <c r="M1579" s="3"/>
      <c r="N1579" s="3"/>
      <c r="O1579" s="3"/>
      <c r="P1579" s="3"/>
      <c r="Q1579" s="3"/>
      <c r="R1579" s="111"/>
      <c r="S1579" s="111"/>
      <c r="T1579" s="111"/>
    </row>
    <row r="1580" spans="3:20" s="4" customFormat="1" x14ac:dyDescent="0.25">
      <c r="C1580" s="3"/>
      <c r="D1580" s="3"/>
      <c r="E1580" s="3"/>
      <c r="F1580" s="3"/>
      <c r="G1580" s="3"/>
      <c r="H1580" s="3"/>
      <c r="I1580" s="3"/>
      <c r="J1580" s="3"/>
      <c r="K1580" s="3"/>
      <c r="L1580" s="3"/>
      <c r="M1580" s="3"/>
      <c r="N1580" s="3"/>
      <c r="O1580" s="3"/>
      <c r="P1580" s="3"/>
      <c r="Q1580" s="3"/>
      <c r="R1580" s="111"/>
      <c r="S1580" s="111"/>
      <c r="T1580" s="111"/>
    </row>
    <row r="1581" spans="3:20" s="4" customFormat="1" x14ac:dyDescent="0.25">
      <c r="C1581" s="3"/>
      <c r="D1581" s="3"/>
      <c r="E1581" s="3"/>
      <c r="F1581" s="3"/>
      <c r="G1581" s="3"/>
      <c r="H1581" s="3"/>
      <c r="I1581" s="3"/>
      <c r="J1581" s="3"/>
      <c r="K1581" s="3"/>
      <c r="L1581" s="3"/>
      <c r="M1581" s="3"/>
      <c r="N1581" s="3"/>
      <c r="O1581" s="3"/>
      <c r="P1581" s="3"/>
      <c r="Q1581" s="3"/>
      <c r="R1581" s="111"/>
      <c r="S1581" s="111"/>
      <c r="T1581" s="111"/>
    </row>
    <row r="1582" spans="3:20" s="4" customFormat="1" x14ac:dyDescent="0.25">
      <c r="C1582" s="3"/>
      <c r="D1582" s="3"/>
      <c r="E1582" s="3"/>
      <c r="F1582" s="3"/>
      <c r="G1582" s="3"/>
      <c r="H1582" s="3"/>
      <c r="I1582" s="3"/>
      <c r="J1582" s="3"/>
      <c r="K1582" s="3"/>
      <c r="L1582" s="3"/>
      <c r="M1582" s="3"/>
      <c r="N1582" s="3"/>
      <c r="O1582" s="3"/>
      <c r="P1582" s="3"/>
      <c r="Q1582" s="3"/>
      <c r="R1582" s="111"/>
      <c r="S1582" s="111"/>
      <c r="T1582" s="111"/>
    </row>
    <row r="1583" spans="3:20" s="4" customFormat="1" x14ac:dyDescent="0.25">
      <c r="C1583" s="3"/>
      <c r="D1583" s="3"/>
      <c r="E1583" s="3"/>
      <c r="F1583" s="3"/>
      <c r="G1583" s="3"/>
      <c r="H1583" s="3"/>
      <c r="I1583" s="3"/>
      <c r="J1583" s="3"/>
      <c r="K1583" s="3"/>
      <c r="L1583" s="3"/>
      <c r="M1583" s="3"/>
      <c r="N1583" s="3"/>
      <c r="O1583" s="3"/>
      <c r="P1583" s="3"/>
      <c r="Q1583" s="3"/>
      <c r="R1583" s="111"/>
      <c r="S1583" s="111"/>
      <c r="T1583" s="111"/>
    </row>
    <row r="1584" spans="3:20" s="4" customFormat="1" x14ac:dyDescent="0.25">
      <c r="C1584" s="3"/>
      <c r="D1584" s="3"/>
      <c r="E1584" s="3"/>
      <c r="F1584" s="3"/>
      <c r="G1584" s="3"/>
      <c r="H1584" s="3"/>
      <c r="I1584" s="3"/>
      <c r="J1584" s="3"/>
      <c r="K1584" s="3"/>
      <c r="L1584" s="3"/>
      <c r="M1584" s="3"/>
      <c r="N1584" s="3"/>
      <c r="O1584" s="3"/>
      <c r="P1584" s="3"/>
      <c r="Q1584" s="3"/>
      <c r="R1584" s="111"/>
      <c r="S1584" s="111"/>
      <c r="T1584" s="111"/>
    </row>
    <row r="1585" spans="3:20" s="4" customFormat="1" x14ac:dyDescent="0.25">
      <c r="C1585" s="3"/>
      <c r="D1585" s="3"/>
      <c r="E1585" s="3"/>
      <c r="F1585" s="3"/>
      <c r="G1585" s="3"/>
      <c r="H1585" s="3"/>
      <c r="I1585" s="3"/>
      <c r="J1585" s="3"/>
      <c r="K1585" s="3"/>
      <c r="L1585" s="3"/>
      <c r="M1585" s="3"/>
      <c r="N1585" s="3"/>
      <c r="O1585" s="3"/>
      <c r="P1585" s="3"/>
      <c r="Q1585" s="3"/>
      <c r="R1585" s="111"/>
      <c r="S1585" s="111"/>
      <c r="T1585" s="111"/>
    </row>
    <row r="1586" spans="3:20" s="4" customFormat="1" x14ac:dyDescent="0.25">
      <c r="C1586" s="3"/>
      <c r="D1586" s="3"/>
      <c r="E1586" s="3"/>
      <c r="F1586" s="3"/>
      <c r="G1586" s="3"/>
      <c r="H1586" s="3"/>
      <c r="I1586" s="3"/>
      <c r="J1586" s="3"/>
      <c r="K1586" s="3"/>
      <c r="L1586" s="3"/>
      <c r="M1586" s="3"/>
      <c r="N1586" s="3"/>
      <c r="O1586" s="3"/>
      <c r="P1586" s="3"/>
      <c r="Q1586" s="3"/>
      <c r="R1586" s="111"/>
      <c r="S1586" s="111"/>
      <c r="T1586" s="111"/>
    </row>
    <row r="1587" spans="3:20" s="4" customFormat="1" x14ac:dyDescent="0.25">
      <c r="C1587" s="3"/>
      <c r="D1587" s="3"/>
      <c r="E1587" s="3"/>
      <c r="F1587" s="3"/>
      <c r="G1587" s="3"/>
      <c r="H1587" s="3"/>
      <c r="I1587" s="3"/>
      <c r="J1587" s="3"/>
      <c r="K1587" s="3"/>
      <c r="L1587" s="3"/>
      <c r="M1587" s="3"/>
      <c r="N1587" s="3"/>
      <c r="O1587" s="3"/>
      <c r="P1587" s="3"/>
      <c r="Q1587" s="3"/>
      <c r="R1587" s="111"/>
      <c r="S1587" s="111"/>
      <c r="T1587" s="111"/>
    </row>
    <row r="1588" spans="3:20" s="4" customFormat="1" x14ac:dyDescent="0.25">
      <c r="C1588" s="3"/>
      <c r="D1588" s="3"/>
      <c r="E1588" s="3"/>
      <c r="F1588" s="3"/>
      <c r="G1588" s="3"/>
      <c r="H1588" s="3"/>
      <c r="I1588" s="3"/>
      <c r="J1588" s="3"/>
      <c r="K1588" s="3"/>
      <c r="L1588" s="3"/>
      <c r="M1588" s="3"/>
      <c r="N1588" s="3"/>
      <c r="O1588" s="3"/>
      <c r="P1588" s="3"/>
      <c r="Q1588" s="3"/>
      <c r="R1588" s="111"/>
      <c r="S1588" s="111"/>
      <c r="T1588" s="111"/>
    </row>
    <row r="1589" spans="3:20" s="4" customFormat="1" x14ac:dyDescent="0.25">
      <c r="C1589" s="3"/>
      <c r="D1589" s="3"/>
      <c r="E1589" s="3"/>
      <c r="F1589" s="3"/>
      <c r="G1589" s="3"/>
      <c r="H1589" s="3"/>
      <c r="I1589" s="3"/>
      <c r="J1589" s="3"/>
      <c r="K1589" s="3"/>
      <c r="L1589" s="3"/>
      <c r="M1589" s="3"/>
      <c r="N1589" s="3"/>
      <c r="O1589" s="3"/>
      <c r="P1589" s="3"/>
      <c r="Q1589" s="3"/>
      <c r="R1589" s="111"/>
      <c r="S1589" s="111"/>
      <c r="T1589" s="111"/>
    </row>
    <row r="1590" spans="3:20" s="4" customFormat="1" x14ac:dyDescent="0.25">
      <c r="C1590" s="3"/>
      <c r="D1590" s="3"/>
      <c r="E1590" s="3"/>
      <c r="F1590" s="3"/>
      <c r="G1590" s="3"/>
      <c r="H1590" s="3"/>
      <c r="I1590" s="3"/>
      <c r="J1590" s="3"/>
      <c r="K1590" s="3"/>
      <c r="L1590" s="3"/>
      <c r="M1590" s="3"/>
      <c r="N1590" s="3"/>
      <c r="O1590" s="3"/>
      <c r="P1590" s="3"/>
      <c r="Q1590" s="3"/>
      <c r="R1590" s="111"/>
      <c r="S1590" s="111"/>
      <c r="T1590" s="111"/>
    </row>
    <row r="1591" spans="3:20" s="4" customFormat="1" x14ac:dyDescent="0.25">
      <c r="C1591" s="3"/>
      <c r="D1591" s="3"/>
      <c r="E1591" s="3"/>
      <c r="F1591" s="3"/>
      <c r="G1591" s="3"/>
      <c r="H1591" s="3"/>
      <c r="I1591" s="3"/>
      <c r="J1591" s="3"/>
      <c r="K1591" s="3"/>
      <c r="L1591" s="3"/>
      <c r="M1591" s="3"/>
      <c r="N1591" s="3"/>
      <c r="O1591" s="3"/>
      <c r="P1591" s="3"/>
      <c r="Q1591" s="3"/>
      <c r="R1591" s="111"/>
      <c r="S1591" s="111"/>
      <c r="T1591" s="111"/>
    </row>
    <row r="1592" spans="3:20" s="4" customFormat="1" x14ac:dyDescent="0.25">
      <c r="C1592" s="3"/>
      <c r="D1592" s="3"/>
      <c r="E1592" s="3"/>
      <c r="F1592" s="3"/>
      <c r="G1592" s="3"/>
      <c r="H1592" s="3"/>
      <c r="I1592" s="3"/>
      <c r="J1592" s="3"/>
      <c r="K1592" s="3"/>
      <c r="L1592" s="3"/>
      <c r="M1592" s="3"/>
      <c r="N1592" s="3"/>
      <c r="O1592" s="3"/>
      <c r="P1592" s="3"/>
      <c r="Q1592" s="3"/>
      <c r="R1592" s="111"/>
      <c r="S1592" s="111"/>
      <c r="T1592" s="111"/>
    </row>
    <row r="1593" spans="3:20" s="4" customFormat="1" x14ac:dyDescent="0.25">
      <c r="C1593" s="3"/>
      <c r="D1593" s="3"/>
      <c r="E1593" s="3"/>
      <c r="F1593" s="3"/>
      <c r="G1593" s="3"/>
      <c r="H1593" s="3"/>
      <c r="I1593" s="3"/>
      <c r="J1593" s="3"/>
      <c r="K1593" s="3"/>
      <c r="L1593" s="3"/>
      <c r="M1593" s="3"/>
      <c r="N1593" s="3"/>
      <c r="O1593" s="3"/>
      <c r="P1593" s="3"/>
      <c r="Q1593" s="3"/>
      <c r="R1593" s="111"/>
      <c r="S1593" s="111"/>
      <c r="T1593" s="111"/>
    </row>
    <row r="1594" spans="3:20" s="4" customFormat="1" x14ac:dyDescent="0.25">
      <c r="C1594" s="3"/>
      <c r="D1594" s="3"/>
      <c r="E1594" s="3"/>
      <c r="F1594" s="3"/>
      <c r="G1594" s="3"/>
      <c r="H1594" s="3"/>
      <c r="I1594" s="3"/>
      <c r="J1594" s="3"/>
      <c r="K1594" s="3"/>
      <c r="L1594" s="3"/>
      <c r="M1594" s="3"/>
      <c r="N1594" s="3"/>
      <c r="O1594" s="3"/>
      <c r="P1594" s="3"/>
      <c r="Q1594" s="3"/>
      <c r="R1594" s="111"/>
      <c r="S1594" s="111"/>
      <c r="T1594" s="111"/>
    </row>
    <row r="1595" spans="3:20" s="4" customFormat="1" x14ac:dyDescent="0.25">
      <c r="C1595" s="3"/>
      <c r="D1595" s="3"/>
      <c r="E1595" s="3"/>
      <c r="F1595" s="3"/>
      <c r="G1595" s="3"/>
      <c r="H1595" s="3"/>
      <c r="I1595" s="3"/>
      <c r="J1595" s="3"/>
      <c r="K1595" s="3"/>
      <c r="L1595" s="3"/>
      <c r="M1595" s="3"/>
      <c r="N1595" s="3"/>
      <c r="O1595" s="3"/>
      <c r="P1595" s="3"/>
      <c r="Q1595" s="3"/>
      <c r="R1595" s="111"/>
      <c r="S1595" s="111"/>
      <c r="T1595" s="111"/>
    </row>
    <row r="1596" spans="3:20" s="4" customFormat="1" x14ac:dyDescent="0.25">
      <c r="C1596" s="3"/>
      <c r="D1596" s="3"/>
      <c r="E1596" s="3"/>
      <c r="F1596" s="3"/>
      <c r="G1596" s="3"/>
      <c r="H1596" s="3"/>
      <c r="I1596" s="3"/>
      <c r="J1596" s="3"/>
      <c r="K1596" s="3"/>
      <c r="L1596" s="3"/>
      <c r="M1596" s="3"/>
      <c r="N1596" s="3"/>
      <c r="O1596" s="3"/>
      <c r="P1596" s="3"/>
      <c r="Q1596" s="3"/>
      <c r="R1596" s="111"/>
      <c r="S1596" s="111"/>
      <c r="T1596" s="111"/>
    </row>
    <row r="1597" spans="3:20" s="4" customFormat="1" x14ac:dyDescent="0.25">
      <c r="C1597" s="3"/>
      <c r="D1597" s="3"/>
      <c r="E1597" s="3"/>
      <c r="F1597" s="3"/>
      <c r="G1597" s="3"/>
      <c r="H1597" s="3"/>
      <c r="I1597" s="3"/>
      <c r="J1597" s="3"/>
      <c r="K1597" s="3"/>
      <c r="L1597" s="3"/>
      <c r="M1597" s="3"/>
      <c r="N1597" s="3"/>
      <c r="O1597" s="3"/>
      <c r="P1597" s="3"/>
      <c r="Q1597" s="3"/>
      <c r="R1597" s="111"/>
      <c r="S1597" s="111"/>
      <c r="T1597" s="111"/>
    </row>
    <row r="1598" spans="3:20" s="4" customFormat="1" x14ac:dyDescent="0.25">
      <c r="C1598" s="3"/>
      <c r="D1598" s="3"/>
      <c r="E1598" s="3"/>
      <c r="F1598" s="3"/>
      <c r="G1598" s="3"/>
      <c r="H1598" s="3"/>
      <c r="I1598" s="3"/>
      <c r="J1598" s="3"/>
      <c r="K1598" s="3"/>
      <c r="L1598" s="3"/>
      <c r="M1598" s="3"/>
      <c r="N1598" s="3"/>
      <c r="O1598" s="3"/>
      <c r="P1598" s="3"/>
      <c r="Q1598" s="3"/>
      <c r="R1598" s="111"/>
      <c r="S1598" s="111"/>
      <c r="T1598" s="111"/>
    </row>
    <row r="1599" spans="3:20" s="4" customFormat="1" x14ac:dyDescent="0.25">
      <c r="C1599" s="3"/>
      <c r="D1599" s="3"/>
      <c r="E1599" s="3"/>
      <c r="F1599" s="3"/>
      <c r="G1599" s="3"/>
      <c r="H1599" s="3"/>
      <c r="I1599" s="3"/>
      <c r="J1599" s="3"/>
      <c r="K1599" s="3"/>
      <c r="L1599" s="3"/>
      <c r="M1599" s="3"/>
      <c r="N1599" s="3"/>
      <c r="O1599" s="3"/>
      <c r="P1599" s="3"/>
      <c r="Q1599" s="3"/>
      <c r="R1599" s="111"/>
      <c r="S1599" s="111"/>
      <c r="T1599" s="111"/>
    </row>
    <row r="1600" spans="3:20" s="4" customFormat="1" x14ac:dyDescent="0.25">
      <c r="C1600" s="3"/>
      <c r="D1600" s="3"/>
      <c r="E1600" s="3"/>
      <c r="F1600" s="3"/>
      <c r="G1600" s="3"/>
      <c r="H1600" s="3"/>
      <c r="I1600" s="3"/>
      <c r="J1600" s="3"/>
      <c r="K1600" s="3"/>
      <c r="L1600" s="3"/>
      <c r="M1600" s="3"/>
      <c r="N1600" s="3"/>
      <c r="O1600" s="3"/>
      <c r="P1600" s="3"/>
      <c r="Q1600" s="3"/>
      <c r="R1600" s="111"/>
      <c r="S1600" s="111"/>
      <c r="T1600" s="111"/>
    </row>
    <row r="1601" spans="3:20" s="4" customFormat="1" x14ac:dyDescent="0.25">
      <c r="C1601" s="3"/>
      <c r="D1601" s="3"/>
      <c r="E1601" s="3"/>
      <c r="F1601" s="3"/>
      <c r="G1601" s="3"/>
      <c r="H1601" s="3"/>
      <c r="I1601" s="3"/>
      <c r="J1601" s="3"/>
      <c r="K1601" s="3"/>
      <c r="L1601" s="3"/>
      <c r="M1601" s="3"/>
      <c r="N1601" s="3"/>
      <c r="O1601" s="3"/>
      <c r="P1601" s="3"/>
      <c r="Q1601" s="3"/>
      <c r="R1601" s="111"/>
      <c r="S1601" s="111"/>
      <c r="T1601" s="111"/>
    </row>
    <row r="1602" spans="3:20" s="4" customFormat="1" x14ac:dyDescent="0.25">
      <c r="C1602" s="3"/>
      <c r="D1602" s="3"/>
      <c r="E1602" s="3"/>
      <c r="F1602" s="3"/>
      <c r="G1602" s="3"/>
      <c r="H1602" s="3"/>
      <c r="I1602" s="3"/>
      <c r="J1602" s="3"/>
      <c r="K1602" s="3"/>
      <c r="L1602" s="3"/>
      <c r="M1602" s="3"/>
      <c r="N1602" s="3"/>
      <c r="O1602" s="3"/>
      <c r="P1602" s="3"/>
      <c r="Q1602" s="3"/>
      <c r="R1602" s="111"/>
      <c r="S1602" s="111"/>
      <c r="T1602" s="111"/>
    </row>
    <row r="1603" spans="3:20" s="4" customFormat="1" x14ac:dyDescent="0.25">
      <c r="C1603" s="3"/>
      <c r="D1603" s="3"/>
      <c r="E1603" s="3"/>
      <c r="F1603" s="3"/>
      <c r="G1603" s="3"/>
      <c r="H1603" s="3"/>
      <c r="I1603" s="3"/>
      <c r="J1603" s="3"/>
      <c r="K1603" s="3"/>
      <c r="L1603" s="3"/>
      <c r="M1603" s="3"/>
      <c r="N1603" s="3"/>
      <c r="O1603" s="3"/>
      <c r="P1603" s="3"/>
      <c r="Q1603" s="3"/>
      <c r="R1603" s="111"/>
      <c r="S1603" s="111"/>
      <c r="T1603" s="111"/>
    </row>
    <row r="1604" spans="3:20" s="4" customFormat="1" x14ac:dyDescent="0.25">
      <c r="C1604" s="3"/>
      <c r="D1604" s="3"/>
      <c r="E1604" s="3"/>
      <c r="F1604" s="3"/>
      <c r="G1604" s="3"/>
      <c r="H1604" s="3"/>
      <c r="I1604" s="3"/>
      <c r="J1604" s="3"/>
      <c r="K1604" s="3"/>
      <c r="L1604" s="3"/>
      <c r="M1604" s="3"/>
      <c r="N1604" s="3"/>
      <c r="O1604" s="3"/>
      <c r="P1604" s="3"/>
      <c r="Q1604" s="3"/>
      <c r="R1604" s="111"/>
      <c r="S1604" s="111"/>
      <c r="T1604" s="111"/>
    </row>
    <row r="1605" spans="3:20" s="4" customFormat="1" x14ac:dyDescent="0.25">
      <c r="C1605" s="3"/>
      <c r="D1605" s="3"/>
      <c r="E1605" s="3"/>
      <c r="F1605" s="3"/>
      <c r="G1605" s="3"/>
      <c r="H1605" s="3"/>
      <c r="I1605" s="3"/>
      <c r="J1605" s="3"/>
      <c r="K1605" s="3"/>
      <c r="L1605" s="3"/>
      <c r="M1605" s="3"/>
      <c r="N1605" s="3"/>
      <c r="O1605" s="3"/>
      <c r="P1605" s="3"/>
      <c r="Q1605" s="3"/>
      <c r="R1605" s="111"/>
      <c r="S1605" s="111"/>
      <c r="T1605" s="111"/>
    </row>
    <row r="1606" spans="3:20" s="4" customFormat="1" x14ac:dyDescent="0.25">
      <c r="C1606" s="3"/>
      <c r="D1606" s="3"/>
      <c r="E1606" s="3"/>
      <c r="F1606" s="3"/>
      <c r="G1606" s="3"/>
      <c r="H1606" s="3"/>
      <c r="I1606" s="3"/>
      <c r="J1606" s="3"/>
      <c r="K1606" s="3"/>
      <c r="L1606" s="3"/>
      <c r="M1606" s="3"/>
      <c r="N1606" s="3"/>
      <c r="O1606" s="3"/>
      <c r="P1606" s="3"/>
      <c r="Q1606" s="3"/>
      <c r="R1606" s="111"/>
      <c r="S1606" s="111"/>
      <c r="T1606" s="111"/>
    </row>
    <row r="1607" spans="3:20" s="4" customFormat="1" x14ac:dyDescent="0.25">
      <c r="C1607" s="3"/>
      <c r="D1607" s="3"/>
      <c r="E1607" s="3"/>
      <c r="F1607" s="3"/>
      <c r="G1607" s="3"/>
      <c r="H1607" s="3"/>
      <c r="I1607" s="3"/>
      <c r="J1607" s="3"/>
      <c r="K1607" s="3"/>
      <c r="L1607" s="3"/>
      <c r="M1607" s="3"/>
      <c r="N1607" s="3"/>
      <c r="O1607" s="3"/>
      <c r="P1607" s="3"/>
      <c r="Q1607" s="3"/>
      <c r="R1607" s="111"/>
      <c r="S1607" s="111"/>
      <c r="T1607" s="111"/>
    </row>
    <row r="1608" spans="3:20" s="4" customFormat="1" x14ac:dyDescent="0.25">
      <c r="C1608" s="3"/>
      <c r="D1608" s="3"/>
      <c r="E1608" s="3"/>
      <c r="F1608" s="3"/>
      <c r="G1608" s="3"/>
      <c r="H1608" s="3"/>
      <c r="I1608" s="3"/>
      <c r="J1608" s="3"/>
      <c r="K1608" s="3"/>
      <c r="L1608" s="3"/>
      <c r="M1608" s="3"/>
      <c r="N1608" s="3"/>
      <c r="O1608" s="3"/>
      <c r="P1608" s="3"/>
      <c r="Q1608" s="3"/>
      <c r="R1608" s="111"/>
      <c r="S1608" s="111"/>
      <c r="T1608" s="111"/>
    </row>
    <row r="1609" spans="3:20" s="4" customFormat="1" x14ac:dyDescent="0.25">
      <c r="C1609" s="3"/>
      <c r="D1609" s="3"/>
      <c r="E1609" s="3"/>
      <c r="F1609" s="3"/>
      <c r="G1609" s="3"/>
      <c r="H1609" s="3"/>
      <c r="I1609" s="3"/>
      <c r="J1609" s="3"/>
      <c r="K1609" s="3"/>
      <c r="L1609" s="3"/>
      <c r="M1609" s="3"/>
      <c r="N1609" s="3"/>
      <c r="O1609" s="3"/>
      <c r="P1609" s="3"/>
      <c r="Q1609" s="3"/>
      <c r="R1609" s="111"/>
      <c r="S1609" s="111"/>
      <c r="T1609" s="111"/>
    </row>
    <row r="1610" spans="3:20" s="4" customFormat="1" x14ac:dyDescent="0.25">
      <c r="C1610" s="3"/>
      <c r="D1610" s="3"/>
      <c r="E1610" s="3"/>
      <c r="F1610" s="3"/>
      <c r="G1610" s="3"/>
      <c r="H1610" s="3"/>
      <c r="I1610" s="3"/>
      <c r="J1610" s="3"/>
      <c r="K1610" s="3"/>
      <c r="L1610" s="3"/>
      <c r="M1610" s="3"/>
      <c r="N1610" s="3"/>
      <c r="O1610" s="3"/>
      <c r="P1610" s="3"/>
      <c r="Q1610" s="3"/>
      <c r="R1610" s="111"/>
      <c r="S1610" s="111"/>
      <c r="T1610" s="111"/>
    </row>
    <row r="1611" spans="3:20" s="4" customFormat="1" x14ac:dyDescent="0.25">
      <c r="C1611" s="3"/>
      <c r="D1611" s="3"/>
      <c r="E1611" s="3"/>
      <c r="F1611" s="3"/>
      <c r="G1611" s="3"/>
      <c r="H1611" s="3"/>
      <c r="I1611" s="3"/>
      <c r="J1611" s="3"/>
      <c r="K1611" s="3"/>
      <c r="L1611" s="3"/>
      <c r="M1611" s="3"/>
      <c r="N1611" s="3"/>
      <c r="O1611" s="3"/>
      <c r="P1611" s="3"/>
      <c r="Q1611" s="3"/>
      <c r="R1611" s="111"/>
      <c r="S1611" s="111"/>
      <c r="T1611" s="111"/>
    </row>
    <row r="1612" spans="3:20" s="4" customFormat="1" x14ac:dyDescent="0.25">
      <c r="C1612" s="3"/>
      <c r="D1612" s="3"/>
      <c r="E1612" s="3"/>
      <c r="F1612" s="3"/>
      <c r="G1612" s="3"/>
      <c r="H1612" s="3"/>
      <c r="I1612" s="3"/>
      <c r="J1612" s="3"/>
      <c r="K1612" s="3"/>
      <c r="L1612" s="3"/>
      <c r="M1612" s="3"/>
      <c r="N1612" s="3"/>
      <c r="O1612" s="3"/>
      <c r="P1612" s="3"/>
      <c r="Q1612" s="3"/>
      <c r="R1612" s="111"/>
      <c r="S1612" s="111"/>
      <c r="T1612" s="111"/>
    </row>
    <row r="1613" spans="3:20" s="4" customFormat="1" x14ac:dyDescent="0.25">
      <c r="C1613" s="3"/>
      <c r="D1613" s="3"/>
      <c r="E1613" s="3"/>
      <c r="F1613" s="3"/>
      <c r="G1613" s="3"/>
      <c r="H1613" s="3"/>
      <c r="I1613" s="3"/>
      <c r="J1613" s="3"/>
      <c r="K1613" s="3"/>
      <c r="L1613" s="3"/>
      <c r="M1613" s="3"/>
      <c r="N1613" s="3"/>
      <c r="O1613" s="3"/>
      <c r="P1613" s="3"/>
      <c r="Q1613" s="3"/>
      <c r="R1613" s="111"/>
      <c r="S1613" s="111"/>
      <c r="T1613" s="111"/>
    </row>
    <row r="1614" spans="3:20" s="4" customFormat="1" x14ac:dyDescent="0.25">
      <c r="C1614" s="3"/>
      <c r="D1614" s="3"/>
      <c r="E1614" s="3"/>
      <c r="F1614" s="3"/>
      <c r="G1614" s="3"/>
      <c r="H1614" s="3"/>
      <c r="I1614" s="3"/>
      <c r="J1614" s="3"/>
      <c r="K1614" s="3"/>
      <c r="L1614" s="3"/>
      <c r="M1614" s="3"/>
      <c r="N1614" s="3"/>
      <c r="O1614" s="3"/>
      <c r="P1614" s="3"/>
      <c r="Q1614" s="3"/>
      <c r="R1614" s="111"/>
      <c r="S1614" s="111"/>
      <c r="T1614" s="111"/>
    </row>
    <row r="1615" spans="3:20" s="4" customFormat="1" x14ac:dyDescent="0.25">
      <c r="C1615" s="3"/>
      <c r="D1615" s="3"/>
      <c r="E1615" s="3"/>
      <c r="F1615" s="3"/>
      <c r="G1615" s="3"/>
      <c r="H1615" s="3"/>
      <c r="I1615" s="3"/>
      <c r="J1615" s="3"/>
      <c r="K1615" s="3"/>
      <c r="L1615" s="3"/>
      <c r="M1615" s="3"/>
      <c r="N1615" s="3"/>
      <c r="O1615" s="3"/>
      <c r="P1615" s="3"/>
      <c r="Q1615" s="3"/>
      <c r="R1615" s="111"/>
      <c r="S1615" s="111"/>
      <c r="T1615" s="111"/>
    </row>
    <row r="1616" spans="3:20" s="4" customFormat="1" x14ac:dyDescent="0.25">
      <c r="C1616" s="3"/>
      <c r="D1616" s="3"/>
      <c r="E1616" s="3"/>
      <c r="F1616" s="3"/>
      <c r="G1616" s="3"/>
      <c r="H1616" s="3"/>
      <c r="I1616" s="3"/>
      <c r="J1616" s="3"/>
      <c r="K1616" s="3"/>
      <c r="L1616" s="3"/>
      <c r="M1616" s="3"/>
      <c r="N1616" s="3"/>
      <c r="O1616" s="3"/>
      <c r="P1616" s="3"/>
      <c r="Q1616" s="3"/>
      <c r="R1616" s="111"/>
      <c r="S1616" s="111"/>
      <c r="T1616" s="111"/>
    </row>
    <row r="1617" spans="3:20" s="4" customFormat="1" x14ac:dyDescent="0.25">
      <c r="C1617" s="3"/>
      <c r="D1617" s="3"/>
      <c r="E1617" s="3"/>
      <c r="F1617" s="3"/>
      <c r="G1617" s="3"/>
      <c r="H1617" s="3"/>
      <c r="I1617" s="3"/>
      <c r="J1617" s="3"/>
      <c r="K1617" s="3"/>
      <c r="L1617" s="3"/>
      <c r="M1617" s="3"/>
      <c r="N1617" s="3"/>
      <c r="O1617" s="3"/>
      <c r="P1617" s="3"/>
      <c r="Q1617" s="3"/>
      <c r="R1617" s="111"/>
      <c r="S1617" s="111"/>
      <c r="T1617" s="111"/>
    </row>
    <row r="1618" spans="3:20" s="4" customFormat="1" x14ac:dyDescent="0.25">
      <c r="C1618" s="3"/>
      <c r="D1618" s="3"/>
      <c r="E1618" s="3"/>
      <c r="F1618" s="3"/>
      <c r="G1618" s="3"/>
      <c r="H1618" s="3"/>
      <c r="I1618" s="3"/>
      <c r="J1618" s="3"/>
      <c r="K1618" s="3"/>
      <c r="L1618" s="3"/>
      <c r="M1618" s="3"/>
      <c r="N1618" s="3"/>
      <c r="O1618" s="3"/>
      <c r="P1618" s="3"/>
      <c r="Q1618" s="3"/>
      <c r="R1618" s="111"/>
      <c r="S1618" s="111"/>
      <c r="T1618" s="111"/>
    </row>
    <row r="1619" spans="3:20" s="4" customFormat="1" x14ac:dyDescent="0.25">
      <c r="C1619" s="3"/>
      <c r="D1619" s="3"/>
      <c r="E1619" s="3"/>
      <c r="F1619" s="3"/>
      <c r="G1619" s="3"/>
      <c r="H1619" s="3"/>
      <c r="I1619" s="3"/>
      <c r="J1619" s="3"/>
      <c r="K1619" s="3"/>
      <c r="L1619" s="3"/>
      <c r="M1619" s="3"/>
      <c r="N1619" s="3"/>
      <c r="O1619" s="3"/>
      <c r="P1619" s="3"/>
      <c r="Q1619" s="3"/>
      <c r="R1619" s="111"/>
      <c r="S1619" s="111"/>
      <c r="T1619" s="111"/>
    </row>
    <row r="1620" spans="3:20" s="4" customFormat="1" x14ac:dyDescent="0.25">
      <c r="C1620" s="3"/>
      <c r="D1620" s="3"/>
      <c r="E1620" s="3"/>
      <c r="F1620" s="3"/>
      <c r="G1620" s="3"/>
      <c r="H1620" s="3"/>
      <c r="I1620" s="3"/>
      <c r="J1620" s="3"/>
      <c r="K1620" s="3"/>
      <c r="L1620" s="3"/>
      <c r="M1620" s="3"/>
      <c r="N1620" s="3"/>
      <c r="O1620" s="3"/>
      <c r="P1620" s="3"/>
      <c r="Q1620" s="3"/>
      <c r="R1620" s="111"/>
      <c r="S1620" s="111"/>
      <c r="T1620" s="111"/>
    </row>
    <row r="1621" spans="3:20" s="4" customFormat="1" x14ac:dyDescent="0.25">
      <c r="C1621" s="3"/>
      <c r="D1621" s="3"/>
      <c r="E1621" s="3"/>
      <c r="F1621" s="3"/>
      <c r="G1621" s="3"/>
      <c r="H1621" s="3"/>
      <c r="I1621" s="3"/>
      <c r="J1621" s="3"/>
      <c r="K1621" s="3"/>
      <c r="L1621" s="3"/>
      <c r="M1621" s="3"/>
      <c r="N1621" s="3"/>
      <c r="O1621" s="3"/>
      <c r="P1621" s="3"/>
      <c r="Q1621" s="3"/>
      <c r="R1621" s="111"/>
      <c r="S1621" s="111"/>
      <c r="T1621" s="111"/>
    </row>
    <row r="1622" spans="3:20" s="4" customFormat="1" x14ac:dyDescent="0.25">
      <c r="C1622" s="3"/>
      <c r="D1622" s="3"/>
      <c r="E1622" s="3"/>
      <c r="F1622" s="3"/>
      <c r="G1622" s="3"/>
      <c r="H1622" s="3"/>
      <c r="I1622" s="3"/>
      <c r="J1622" s="3"/>
      <c r="K1622" s="3"/>
      <c r="L1622" s="3"/>
      <c r="M1622" s="3"/>
      <c r="N1622" s="3"/>
      <c r="O1622" s="3"/>
      <c r="P1622" s="3"/>
      <c r="Q1622" s="3"/>
      <c r="R1622" s="111"/>
      <c r="S1622" s="111"/>
      <c r="T1622" s="111"/>
    </row>
    <row r="1623" spans="3:20" s="4" customFormat="1" x14ac:dyDescent="0.25">
      <c r="C1623" s="3"/>
      <c r="D1623" s="3"/>
      <c r="E1623" s="3"/>
      <c r="F1623" s="3"/>
      <c r="G1623" s="3"/>
      <c r="H1623" s="3"/>
      <c r="I1623" s="3"/>
      <c r="J1623" s="3"/>
      <c r="K1623" s="3"/>
      <c r="L1623" s="3"/>
      <c r="M1623" s="3"/>
      <c r="N1623" s="3"/>
      <c r="O1623" s="3"/>
      <c r="P1623" s="3"/>
      <c r="Q1623" s="3"/>
      <c r="R1623" s="111"/>
      <c r="S1623" s="111"/>
      <c r="T1623" s="111"/>
    </row>
    <row r="1624" spans="3:20" s="4" customFormat="1" x14ac:dyDescent="0.25">
      <c r="C1624" s="3"/>
      <c r="D1624" s="3"/>
      <c r="E1624" s="3"/>
      <c r="F1624" s="3"/>
      <c r="G1624" s="3"/>
      <c r="H1624" s="3"/>
      <c r="I1624" s="3"/>
      <c r="J1624" s="3"/>
      <c r="K1624" s="3"/>
      <c r="L1624" s="3"/>
      <c r="M1624" s="3"/>
      <c r="N1624" s="3"/>
      <c r="O1624" s="3"/>
      <c r="P1624" s="3"/>
      <c r="Q1624" s="3"/>
      <c r="R1624" s="111"/>
      <c r="S1624" s="111"/>
      <c r="T1624" s="111"/>
    </row>
    <row r="1625" spans="3:20" s="4" customFormat="1" x14ac:dyDescent="0.25">
      <c r="C1625" s="3"/>
      <c r="D1625" s="3"/>
      <c r="E1625" s="3"/>
      <c r="F1625" s="3"/>
      <c r="G1625" s="3"/>
      <c r="H1625" s="3"/>
      <c r="I1625" s="3"/>
      <c r="J1625" s="3"/>
      <c r="K1625" s="3"/>
      <c r="L1625" s="3"/>
      <c r="M1625" s="3"/>
      <c r="N1625" s="3"/>
      <c r="O1625" s="3"/>
      <c r="P1625" s="3"/>
      <c r="Q1625" s="3"/>
      <c r="R1625" s="111"/>
      <c r="S1625" s="111"/>
      <c r="T1625" s="111"/>
    </row>
    <row r="1626" spans="3:20" s="4" customFormat="1" x14ac:dyDescent="0.25">
      <c r="C1626" s="3"/>
      <c r="D1626" s="3"/>
      <c r="E1626" s="3"/>
      <c r="F1626" s="3"/>
      <c r="G1626" s="3"/>
      <c r="H1626" s="3"/>
      <c r="I1626" s="3"/>
      <c r="J1626" s="3"/>
      <c r="K1626" s="3"/>
      <c r="L1626" s="3"/>
      <c r="M1626" s="3"/>
      <c r="N1626" s="3"/>
      <c r="O1626" s="3"/>
      <c r="P1626" s="3"/>
      <c r="Q1626" s="3"/>
      <c r="R1626" s="111"/>
      <c r="S1626" s="111"/>
      <c r="T1626" s="111"/>
    </row>
    <row r="1627" spans="3:20" s="4" customFormat="1" x14ac:dyDescent="0.25">
      <c r="C1627" s="3"/>
      <c r="D1627" s="3"/>
      <c r="E1627" s="3"/>
      <c r="F1627" s="3"/>
      <c r="G1627" s="3"/>
      <c r="H1627" s="3"/>
      <c r="I1627" s="3"/>
      <c r="J1627" s="3"/>
      <c r="K1627" s="3"/>
      <c r="L1627" s="3"/>
      <c r="M1627" s="3"/>
      <c r="N1627" s="3"/>
      <c r="O1627" s="3"/>
      <c r="P1627" s="3"/>
      <c r="Q1627" s="3"/>
      <c r="R1627" s="111"/>
      <c r="S1627" s="111"/>
      <c r="T1627" s="111"/>
    </row>
    <row r="1628" spans="3:20" s="4" customFormat="1" x14ac:dyDescent="0.25">
      <c r="C1628" s="3"/>
      <c r="D1628" s="3"/>
      <c r="E1628" s="3"/>
      <c r="F1628" s="3"/>
      <c r="G1628" s="3"/>
      <c r="H1628" s="3"/>
      <c r="I1628" s="3"/>
      <c r="J1628" s="3"/>
      <c r="K1628" s="3"/>
      <c r="L1628" s="3"/>
      <c r="M1628" s="3"/>
      <c r="N1628" s="3"/>
      <c r="O1628" s="3"/>
      <c r="P1628" s="3"/>
      <c r="Q1628" s="3"/>
      <c r="R1628" s="111"/>
      <c r="S1628" s="111"/>
      <c r="T1628" s="111"/>
    </row>
    <row r="1629" spans="3:20" s="4" customFormat="1" x14ac:dyDescent="0.25">
      <c r="C1629" s="3"/>
      <c r="D1629" s="3"/>
      <c r="E1629" s="3"/>
      <c r="F1629" s="3"/>
      <c r="G1629" s="3"/>
      <c r="H1629" s="3"/>
      <c r="I1629" s="3"/>
      <c r="J1629" s="3"/>
      <c r="K1629" s="3"/>
      <c r="L1629" s="3"/>
      <c r="M1629" s="3"/>
      <c r="N1629" s="3"/>
      <c r="O1629" s="3"/>
      <c r="P1629" s="3"/>
      <c r="Q1629" s="3"/>
      <c r="R1629" s="111"/>
      <c r="S1629" s="111"/>
      <c r="T1629" s="111"/>
    </row>
    <row r="1630" spans="3:20" s="4" customFormat="1" x14ac:dyDescent="0.25">
      <c r="C1630" s="3"/>
      <c r="D1630" s="3"/>
      <c r="E1630" s="3"/>
      <c r="F1630" s="3"/>
      <c r="G1630" s="3"/>
      <c r="H1630" s="3"/>
      <c r="I1630" s="3"/>
      <c r="J1630" s="3"/>
      <c r="K1630" s="3"/>
      <c r="L1630" s="3"/>
      <c r="M1630" s="3"/>
      <c r="N1630" s="3"/>
      <c r="O1630" s="3"/>
      <c r="P1630" s="3"/>
      <c r="Q1630" s="3"/>
      <c r="R1630" s="111"/>
      <c r="S1630" s="111"/>
      <c r="T1630" s="111"/>
    </row>
    <row r="1631" spans="3:20" s="4" customFormat="1" x14ac:dyDescent="0.25">
      <c r="C1631" s="3"/>
      <c r="D1631" s="3"/>
      <c r="E1631" s="3"/>
      <c r="F1631" s="3"/>
      <c r="G1631" s="3"/>
      <c r="H1631" s="3"/>
      <c r="I1631" s="3"/>
      <c r="J1631" s="3"/>
      <c r="K1631" s="3"/>
      <c r="L1631" s="3"/>
      <c r="M1631" s="3"/>
      <c r="N1631" s="3"/>
      <c r="O1631" s="3"/>
      <c r="P1631" s="3"/>
      <c r="Q1631" s="3"/>
      <c r="R1631" s="111"/>
      <c r="S1631" s="111"/>
      <c r="T1631" s="111"/>
    </row>
    <row r="1632" spans="3:20" s="4" customFormat="1" x14ac:dyDescent="0.25">
      <c r="C1632" s="3"/>
      <c r="D1632" s="3"/>
      <c r="E1632" s="3"/>
      <c r="F1632" s="3"/>
      <c r="G1632" s="3"/>
      <c r="H1632" s="3"/>
      <c r="I1632" s="3"/>
      <c r="J1632" s="3"/>
      <c r="K1632" s="3"/>
      <c r="L1632" s="3"/>
      <c r="M1632" s="3"/>
      <c r="N1632" s="3"/>
      <c r="O1632" s="3"/>
      <c r="P1632" s="3"/>
      <c r="Q1632" s="3"/>
      <c r="R1632" s="111"/>
      <c r="S1632" s="111"/>
      <c r="T1632" s="111"/>
    </row>
    <row r="1633" spans="3:20" s="4" customFormat="1" x14ac:dyDescent="0.25">
      <c r="C1633" s="3"/>
      <c r="D1633" s="3"/>
      <c r="E1633" s="3"/>
      <c r="F1633" s="3"/>
      <c r="G1633" s="3"/>
      <c r="H1633" s="3"/>
      <c r="I1633" s="3"/>
      <c r="J1633" s="3"/>
      <c r="K1633" s="3"/>
      <c r="L1633" s="3"/>
      <c r="M1633" s="3"/>
      <c r="N1633" s="3"/>
      <c r="O1633" s="3"/>
      <c r="P1633" s="3"/>
      <c r="Q1633" s="3"/>
      <c r="R1633" s="111"/>
      <c r="S1633" s="111"/>
      <c r="T1633" s="111"/>
    </row>
    <row r="1634" spans="3:20" s="4" customFormat="1" x14ac:dyDescent="0.25">
      <c r="C1634" s="3"/>
      <c r="D1634" s="3"/>
      <c r="E1634" s="3"/>
      <c r="F1634" s="3"/>
      <c r="G1634" s="3"/>
      <c r="H1634" s="3"/>
      <c r="I1634" s="3"/>
      <c r="J1634" s="3"/>
      <c r="K1634" s="3"/>
      <c r="L1634" s="3"/>
      <c r="M1634" s="3"/>
      <c r="N1634" s="3"/>
      <c r="O1634" s="3"/>
      <c r="P1634" s="3"/>
      <c r="Q1634" s="3"/>
      <c r="R1634" s="111"/>
      <c r="S1634" s="111"/>
      <c r="T1634" s="111"/>
    </row>
    <row r="1635" spans="3:20" s="4" customFormat="1" x14ac:dyDescent="0.25">
      <c r="C1635" s="3"/>
      <c r="D1635" s="3"/>
      <c r="E1635" s="3"/>
      <c r="F1635" s="3"/>
      <c r="G1635" s="3"/>
      <c r="H1635" s="3"/>
      <c r="I1635" s="3"/>
      <c r="J1635" s="3"/>
      <c r="K1635" s="3"/>
      <c r="L1635" s="3"/>
      <c r="M1635" s="3"/>
      <c r="N1635" s="3"/>
      <c r="O1635" s="3"/>
      <c r="P1635" s="3"/>
      <c r="Q1635" s="3"/>
      <c r="R1635" s="111"/>
      <c r="S1635" s="111"/>
      <c r="T1635" s="111"/>
    </row>
    <row r="1636" spans="3:20" s="4" customFormat="1" x14ac:dyDescent="0.25">
      <c r="C1636" s="3"/>
      <c r="D1636" s="3"/>
      <c r="E1636" s="3"/>
      <c r="F1636" s="3"/>
      <c r="G1636" s="3"/>
      <c r="H1636" s="3"/>
      <c r="I1636" s="3"/>
      <c r="J1636" s="3"/>
      <c r="K1636" s="3"/>
      <c r="L1636" s="3"/>
      <c r="M1636" s="3"/>
      <c r="N1636" s="3"/>
      <c r="O1636" s="3"/>
      <c r="P1636" s="3"/>
      <c r="Q1636" s="3"/>
      <c r="R1636" s="111"/>
      <c r="S1636" s="111"/>
      <c r="T1636" s="111"/>
    </row>
    <row r="1637" spans="3:20" s="4" customFormat="1" x14ac:dyDescent="0.25">
      <c r="C1637" s="3"/>
      <c r="D1637" s="3"/>
      <c r="E1637" s="3"/>
      <c r="F1637" s="3"/>
      <c r="G1637" s="3"/>
      <c r="H1637" s="3"/>
      <c r="I1637" s="3"/>
      <c r="J1637" s="3"/>
      <c r="K1637" s="3"/>
      <c r="L1637" s="3"/>
      <c r="M1637" s="3"/>
      <c r="N1637" s="3"/>
      <c r="O1637" s="3"/>
      <c r="P1637" s="3"/>
      <c r="Q1637" s="3"/>
      <c r="R1637" s="111"/>
      <c r="S1637" s="111"/>
      <c r="T1637" s="111"/>
    </row>
    <row r="1638" spans="3:20" s="4" customFormat="1" x14ac:dyDescent="0.25">
      <c r="C1638" s="3"/>
      <c r="D1638" s="3"/>
      <c r="E1638" s="3"/>
      <c r="F1638" s="3"/>
      <c r="G1638" s="3"/>
      <c r="H1638" s="3"/>
      <c r="I1638" s="3"/>
      <c r="J1638" s="3"/>
      <c r="K1638" s="3"/>
      <c r="L1638" s="3"/>
      <c r="M1638" s="3"/>
      <c r="N1638" s="3"/>
      <c r="O1638" s="3"/>
      <c r="P1638" s="3"/>
      <c r="Q1638" s="3"/>
      <c r="R1638" s="111"/>
      <c r="S1638" s="111"/>
      <c r="T1638" s="111"/>
    </row>
    <row r="1639" spans="3:20" s="4" customFormat="1" x14ac:dyDescent="0.25">
      <c r="C1639" s="3"/>
      <c r="D1639" s="3"/>
      <c r="E1639" s="3"/>
      <c r="F1639" s="3"/>
      <c r="G1639" s="3"/>
      <c r="H1639" s="3"/>
      <c r="I1639" s="3"/>
      <c r="J1639" s="3"/>
      <c r="K1639" s="3"/>
      <c r="L1639" s="3"/>
      <c r="M1639" s="3"/>
      <c r="N1639" s="3"/>
      <c r="O1639" s="3"/>
      <c r="P1639" s="3"/>
      <c r="Q1639" s="3"/>
      <c r="R1639" s="111"/>
      <c r="S1639" s="111"/>
      <c r="T1639" s="111"/>
    </row>
    <row r="1640" spans="3:20" s="4" customFormat="1" x14ac:dyDescent="0.25">
      <c r="C1640" s="3"/>
      <c r="D1640" s="3"/>
      <c r="E1640" s="3"/>
      <c r="F1640" s="3"/>
      <c r="G1640" s="3"/>
      <c r="H1640" s="3"/>
      <c r="I1640" s="3"/>
      <c r="J1640" s="3"/>
      <c r="K1640" s="3"/>
      <c r="L1640" s="3"/>
      <c r="M1640" s="3"/>
      <c r="N1640" s="3"/>
      <c r="O1640" s="3"/>
      <c r="P1640" s="3"/>
      <c r="Q1640" s="3"/>
      <c r="R1640" s="111"/>
      <c r="S1640" s="111"/>
      <c r="T1640" s="111"/>
    </row>
    <row r="1641" spans="3:20" s="4" customFormat="1" x14ac:dyDescent="0.25">
      <c r="C1641" s="3"/>
      <c r="D1641" s="3"/>
      <c r="E1641" s="3"/>
      <c r="F1641" s="3"/>
      <c r="G1641" s="3"/>
      <c r="H1641" s="3"/>
      <c r="I1641" s="3"/>
      <c r="J1641" s="3"/>
      <c r="K1641" s="3"/>
      <c r="L1641" s="3"/>
      <c r="M1641" s="3"/>
      <c r="N1641" s="3"/>
      <c r="O1641" s="3"/>
      <c r="P1641" s="3"/>
      <c r="Q1641" s="3"/>
      <c r="R1641" s="111"/>
      <c r="S1641" s="111"/>
      <c r="T1641" s="111"/>
    </row>
    <row r="1642" spans="3:20" s="4" customFormat="1" x14ac:dyDescent="0.25">
      <c r="C1642" s="3"/>
      <c r="D1642" s="3"/>
      <c r="E1642" s="3"/>
      <c r="F1642" s="3"/>
      <c r="G1642" s="3"/>
      <c r="H1642" s="3"/>
      <c r="I1642" s="3"/>
      <c r="J1642" s="3"/>
      <c r="K1642" s="3"/>
      <c r="L1642" s="3"/>
      <c r="M1642" s="3"/>
      <c r="N1642" s="3"/>
      <c r="O1642" s="3"/>
      <c r="P1642" s="3"/>
      <c r="Q1642" s="3"/>
      <c r="R1642" s="111"/>
      <c r="S1642" s="111"/>
      <c r="T1642" s="111"/>
    </row>
    <row r="1643" spans="3:20" s="4" customFormat="1" x14ac:dyDescent="0.25">
      <c r="C1643" s="3"/>
      <c r="D1643" s="3"/>
      <c r="E1643" s="3"/>
      <c r="F1643" s="3"/>
      <c r="G1643" s="3"/>
      <c r="H1643" s="3"/>
      <c r="I1643" s="3"/>
      <c r="J1643" s="3"/>
      <c r="K1643" s="3"/>
      <c r="L1643" s="3"/>
      <c r="M1643" s="3"/>
      <c r="N1643" s="3"/>
      <c r="O1643" s="3"/>
      <c r="P1643" s="3"/>
      <c r="Q1643" s="3"/>
      <c r="R1643" s="111"/>
      <c r="S1643" s="111"/>
      <c r="T1643" s="111"/>
    </row>
    <row r="1644" spans="3:20" s="4" customFormat="1" x14ac:dyDescent="0.25">
      <c r="C1644" s="3"/>
      <c r="D1644" s="3"/>
      <c r="E1644" s="3"/>
      <c r="F1644" s="3"/>
      <c r="G1644" s="3"/>
      <c r="H1644" s="3"/>
      <c r="I1644" s="3"/>
      <c r="J1644" s="3"/>
      <c r="K1644" s="3"/>
      <c r="L1644" s="3"/>
      <c r="M1644" s="3"/>
      <c r="N1644" s="3"/>
      <c r="O1644" s="3"/>
      <c r="P1644" s="3"/>
      <c r="Q1644" s="3"/>
      <c r="R1644" s="111"/>
      <c r="S1644" s="111"/>
      <c r="T1644" s="111"/>
    </row>
    <row r="1645" spans="3:20" s="4" customFormat="1" x14ac:dyDescent="0.25">
      <c r="C1645" s="3"/>
      <c r="D1645" s="3"/>
      <c r="E1645" s="3"/>
      <c r="F1645" s="3"/>
      <c r="G1645" s="3"/>
      <c r="H1645" s="3"/>
      <c r="I1645" s="3"/>
      <c r="J1645" s="3"/>
      <c r="K1645" s="3"/>
      <c r="L1645" s="3"/>
      <c r="M1645" s="3"/>
      <c r="N1645" s="3"/>
      <c r="O1645" s="3"/>
      <c r="P1645" s="3"/>
      <c r="Q1645" s="3"/>
      <c r="R1645" s="111"/>
      <c r="S1645" s="111"/>
      <c r="T1645" s="111"/>
    </row>
    <row r="1646" spans="3:20" s="4" customFormat="1" x14ac:dyDescent="0.25">
      <c r="C1646" s="3"/>
      <c r="D1646" s="3"/>
      <c r="E1646" s="3"/>
      <c r="F1646" s="3"/>
      <c r="G1646" s="3"/>
      <c r="H1646" s="3"/>
      <c r="I1646" s="3"/>
      <c r="J1646" s="3"/>
      <c r="K1646" s="3"/>
      <c r="L1646" s="3"/>
      <c r="M1646" s="3"/>
      <c r="N1646" s="3"/>
      <c r="O1646" s="3"/>
      <c r="P1646" s="3"/>
      <c r="Q1646" s="3"/>
      <c r="R1646" s="111"/>
      <c r="S1646" s="111"/>
      <c r="T1646" s="111"/>
    </row>
    <row r="1647" spans="3:20" s="4" customFormat="1" x14ac:dyDescent="0.25">
      <c r="C1647" s="3"/>
      <c r="D1647" s="3"/>
      <c r="E1647" s="3"/>
      <c r="F1647" s="3"/>
      <c r="G1647" s="3"/>
      <c r="H1647" s="3"/>
      <c r="I1647" s="3"/>
      <c r="J1647" s="3"/>
      <c r="K1647" s="3"/>
      <c r="L1647" s="3"/>
      <c r="M1647" s="3"/>
      <c r="N1647" s="3"/>
      <c r="O1647" s="3"/>
      <c r="P1647" s="3"/>
      <c r="Q1647" s="3"/>
      <c r="R1647" s="111"/>
      <c r="S1647" s="111"/>
      <c r="T1647" s="111"/>
    </row>
    <row r="1648" spans="3:20" s="4" customFormat="1" x14ac:dyDescent="0.25">
      <c r="C1648" s="3"/>
      <c r="D1648" s="3"/>
      <c r="E1648" s="3"/>
      <c r="F1648" s="3"/>
      <c r="G1648" s="3"/>
      <c r="H1648" s="3"/>
      <c r="I1648" s="3"/>
      <c r="J1648" s="3"/>
      <c r="K1648" s="3"/>
      <c r="L1648" s="3"/>
      <c r="M1648" s="3"/>
      <c r="N1648" s="3"/>
      <c r="O1648" s="3"/>
      <c r="P1648" s="3"/>
      <c r="Q1648" s="3"/>
      <c r="R1648" s="111"/>
      <c r="S1648" s="111"/>
      <c r="T1648" s="111"/>
    </row>
    <row r="1649" spans="3:20" s="4" customFormat="1" x14ac:dyDescent="0.25">
      <c r="C1649" s="3"/>
      <c r="D1649" s="3"/>
      <c r="E1649" s="3"/>
      <c r="F1649" s="3"/>
      <c r="G1649" s="3"/>
      <c r="H1649" s="3"/>
      <c r="I1649" s="3"/>
      <c r="J1649" s="3"/>
      <c r="K1649" s="3"/>
      <c r="L1649" s="3"/>
      <c r="M1649" s="3"/>
      <c r="N1649" s="3"/>
      <c r="O1649" s="3"/>
      <c r="P1649" s="3"/>
      <c r="Q1649" s="3"/>
      <c r="R1649" s="111"/>
      <c r="S1649" s="111"/>
      <c r="T1649" s="111"/>
    </row>
    <row r="1650" spans="3:20" s="4" customFormat="1" x14ac:dyDescent="0.25">
      <c r="C1650" s="3"/>
      <c r="D1650" s="3"/>
      <c r="E1650" s="3"/>
      <c r="F1650" s="3"/>
      <c r="G1650" s="3"/>
      <c r="H1650" s="3"/>
      <c r="I1650" s="3"/>
      <c r="J1650" s="3"/>
      <c r="K1650" s="3"/>
      <c r="L1650" s="3"/>
      <c r="M1650" s="3"/>
      <c r="N1650" s="3"/>
      <c r="O1650" s="3"/>
      <c r="P1650" s="3"/>
      <c r="Q1650" s="3"/>
      <c r="R1650" s="111"/>
      <c r="S1650" s="111"/>
      <c r="T1650" s="111"/>
    </row>
    <row r="1651" spans="3:20" s="4" customFormat="1" x14ac:dyDescent="0.25">
      <c r="C1651" s="3"/>
      <c r="D1651" s="3"/>
      <c r="E1651" s="3"/>
      <c r="F1651" s="3"/>
      <c r="G1651" s="3"/>
      <c r="H1651" s="3"/>
      <c r="I1651" s="3"/>
      <c r="J1651" s="3"/>
      <c r="K1651" s="3"/>
      <c r="L1651" s="3"/>
      <c r="M1651" s="3"/>
      <c r="N1651" s="3"/>
      <c r="O1651" s="3"/>
      <c r="P1651" s="3"/>
      <c r="Q1651" s="3"/>
      <c r="R1651" s="111"/>
      <c r="S1651" s="111"/>
      <c r="T1651" s="111"/>
    </row>
    <row r="1652" spans="3:20" s="4" customFormat="1" x14ac:dyDescent="0.25">
      <c r="C1652" s="3"/>
      <c r="D1652" s="3"/>
      <c r="E1652" s="3"/>
      <c r="F1652" s="3"/>
      <c r="G1652" s="3"/>
      <c r="H1652" s="3"/>
      <c r="I1652" s="3"/>
      <c r="J1652" s="3"/>
      <c r="K1652" s="3"/>
      <c r="L1652" s="3"/>
      <c r="M1652" s="3"/>
      <c r="N1652" s="3"/>
      <c r="O1652" s="3"/>
      <c r="P1652" s="3"/>
      <c r="Q1652" s="3"/>
      <c r="R1652" s="111"/>
      <c r="S1652" s="111"/>
      <c r="T1652" s="111"/>
    </row>
    <row r="1653" spans="3:20" s="4" customFormat="1" x14ac:dyDescent="0.25">
      <c r="C1653" s="3"/>
      <c r="D1653" s="3"/>
      <c r="E1653" s="3"/>
      <c r="F1653" s="3"/>
      <c r="G1653" s="3"/>
      <c r="H1653" s="3"/>
      <c r="I1653" s="3"/>
      <c r="J1653" s="3"/>
      <c r="K1653" s="3"/>
      <c r="L1653" s="3"/>
      <c r="M1653" s="3"/>
      <c r="N1653" s="3"/>
      <c r="O1653" s="3"/>
      <c r="P1653" s="3"/>
      <c r="Q1653" s="3"/>
      <c r="R1653" s="111"/>
      <c r="S1653" s="111"/>
      <c r="T1653" s="111"/>
    </row>
    <row r="1654" spans="3:20" s="4" customFormat="1" x14ac:dyDescent="0.25">
      <c r="C1654" s="3"/>
      <c r="D1654" s="3"/>
      <c r="E1654" s="3"/>
      <c r="F1654" s="3"/>
      <c r="G1654" s="3"/>
      <c r="H1654" s="3"/>
      <c r="I1654" s="3"/>
      <c r="J1654" s="3"/>
      <c r="K1654" s="3"/>
      <c r="L1654" s="3"/>
      <c r="M1654" s="3"/>
      <c r="N1654" s="3"/>
      <c r="O1654" s="3"/>
      <c r="P1654" s="3"/>
      <c r="Q1654" s="3"/>
      <c r="R1654" s="111"/>
      <c r="S1654" s="111"/>
      <c r="T1654" s="111"/>
    </row>
    <row r="1655" spans="3:20" s="4" customFormat="1" x14ac:dyDescent="0.25">
      <c r="C1655" s="3"/>
      <c r="D1655" s="3"/>
      <c r="E1655" s="3"/>
      <c r="F1655" s="3"/>
      <c r="G1655" s="3"/>
      <c r="H1655" s="3"/>
      <c r="I1655" s="3"/>
      <c r="J1655" s="3"/>
      <c r="K1655" s="3"/>
      <c r="L1655" s="3"/>
      <c r="M1655" s="3"/>
      <c r="N1655" s="3"/>
      <c r="O1655" s="3"/>
      <c r="P1655" s="3"/>
      <c r="Q1655" s="3"/>
      <c r="R1655" s="111"/>
      <c r="S1655" s="111"/>
      <c r="T1655" s="111"/>
    </row>
    <row r="1656" spans="3:20" s="4" customFormat="1" x14ac:dyDescent="0.25">
      <c r="C1656" s="3"/>
      <c r="D1656" s="3"/>
      <c r="E1656" s="3"/>
      <c r="F1656" s="3"/>
      <c r="G1656" s="3"/>
      <c r="H1656" s="3"/>
      <c r="I1656" s="3"/>
      <c r="J1656" s="3"/>
      <c r="K1656" s="3"/>
      <c r="L1656" s="3"/>
      <c r="M1656" s="3"/>
      <c r="N1656" s="3"/>
      <c r="O1656" s="3"/>
      <c r="P1656" s="3"/>
      <c r="Q1656" s="3"/>
      <c r="R1656" s="111"/>
      <c r="S1656" s="111"/>
      <c r="T1656" s="111"/>
    </row>
    <row r="1657" spans="3:20" s="4" customFormat="1" x14ac:dyDescent="0.25">
      <c r="C1657" s="3"/>
      <c r="D1657" s="3"/>
      <c r="E1657" s="3"/>
      <c r="F1657" s="3"/>
      <c r="G1657" s="3"/>
      <c r="H1657" s="3"/>
      <c r="I1657" s="3"/>
      <c r="J1657" s="3"/>
      <c r="K1657" s="3"/>
      <c r="L1657" s="3"/>
      <c r="M1657" s="3"/>
      <c r="N1657" s="3"/>
      <c r="O1657" s="3"/>
      <c r="P1657" s="3"/>
      <c r="Q1657" s="3"/>
      <c r="R1657" s="111"/>
      <c r="S1657" s="111"/>
      <c r="T1657" s="111"/>
    </row>
    <row r="1658" spans="3:20" s="4" customFormat="1" x14ac:dyDescent="0.25">
      <c r="C1658" s="3"/>
      <c r="D1658" s="3"/>
      <c r="E1658" s="3"/>
      <c r="F1658" s="3"/>
      <c r="G1658" s="3"/>
      <c r="H1658" s="3"/>
      <c r="I1658" s="3"/>
      <c r="J1658" s="3"/>
      <c r="K1658" s="3"/>
      <c r="L1658" s="3"/>
      <c r="M1658" s="3"/>
      <c r="N1658" s="3"/>
      <c r="O1658" s="3"/>
      <c r="P1658" s="3"/>
      <c r="Q1658" s="3"/>
      <c r="R1658" s="111"/>
      <c r="S1658" s="111"/>
      <c r="T1658" s="111"/>
    </row>
    <row r="1659" spans="3:20" s="4" customFormat="1" x14ac:dyDescent="0.25">
      <c r="C1659" s="3"/>
      <c r="D1659" s="3"/>
      <c r="E1659" s="3"/>
      <c r="F1659" s="3"/>
      <c r="G1659" s="3"/>
      <c r="H1659" s="3"/>
      <c r="I1659" s="3"/>
      <c r="J1659" s="3"/>
      <c r="K1659" s="3"/>
      <c r="L1659" s="3"/>
      <c r="M1659" s="3"/>
      <c r="N1659" s="3"/>
      <c r="O1659" s="3"/>
      <c r="P1659" s="3"/>
      <c r="Q1659" s="3"/>
      <c r="R1659" s="111"/>
      <c r="S1659" s="111"/>
      <c r="T1659" s="111"/>
    </row>
    <row r="1660" spans="3:20" s="4" customFormat="1" x14ac:dyDescent="0.25">
      <c r="C1660" s="3"/>
      <c r="D1660" s="3"/>
      <c r="E1660" s="3"/>
      <c r="F1660" s="3"/>
      <c r="G1660" s="3"/>
      <c r="H1660" s="3"/>
      <c r="I1660" s="3"/>
      <c r="J1660" s="3"/>
      <c r="K1660" s="3"/>
      <c r="L1660" s="3"/>
      <c r="M1660" s="3"/>
      <c r="N1660" s="3"/>
      <c r="O1660" s="3"/>
      <c r="P1660" s="3"/>
      <c r="Q1660" s="3"/>
      <c r="R1660" s="111"/>
      <c r="S1660" s="111"/>
      <c r="T1660" s="111"/>
    </row>
    <row r="1661" spans="3:20" s="4" customFormat="1" x14ac:dyDescent="0.25">
      <c r="C1661" s="3"/>
      <c r="D1661" s="3"/>
      <c r="E1661" s="3"/>
      <c r="F1661" s="3"/>
      <c r="G1661" s="3"/>
      <c r="H1661" s="3"/>
      <c r="I1661" s="3"/>
      <c r="J1661" s="3"/>
      <c r="K1661" s="3"/>
      <c r="L1661" s="3"/>
      <c r="M1661" s="3"/>
      <c r="N1661" s="3"/>
      <c r="O1661" s="3"/>
      <c r="P1661" s="3"/>
      <c r="Q1661" s="3"/>
      <c r="R1661" s="111"/>
      <c r="S1661" s="111"/>
      <c r="T1661" s="111"/>
    </row>
    <row r="1662" spans="3:20" s="4" customFormat="1" x14ac:dyDescent="0.25">
      <c r="C1662" s="3"/>
      <c r="D1662" s="3"/>
      <c r="E1662" s="3"/>
      <c r="F1662" s="3"/>
      <c r="G1662" s="3"/>
      <c r="H1662" s="3"/>
      <c r="I1662" s="3"/>
      <c r="J1662" s="3"/>
      <c r="K1662" s="3"/>
      <c r="L1662" s="3"/>
      <c r="M1662" s="3"/>
      <c r="N1662" s="3"/>
      <c r="O1662" s="3"/>
      <c r="P1662" s="3"/>
      <c r="Q1662" s="3"/>
      <c r="R1662" s="111"/>
      <c r="S1662" s="111"/>
      <c r="T1662" s="111"/>
    </row>
    <row r="1663" spans="3:20" s="4" customFormat="1" x14ac:dyDescent="0.25">
      <c r="C1663" s="3"/>
      <c r="D1663" s="3"/>
      <c r="E1663" s="3"/>
      <c r="F1663" s="3"/>
      <c r="G1663" s="3"/>
      <c r="H1663" s="3"/>
      <c r="I1663" s="3"/>
      <c r="J1663" s="3"/>
      <c r="K1663" s="3"/>
      <c r="L1663" s="3"/>
      <c r="M1663" s="3"/>
      <c r="N1663" s="3"/>
      <c r="O1663" s="3"/>
      <c r="P1663" s="3"/>
      <c r="Q1663" s="3"/>
      <c r="R1663" s="111"/>
      <c r="S1663" s="111"/>
      <c r="T1663" s="111"/>
    </row>
    <row r="1664" spans="3:20" s="4" customFormat="1" x14ac:dyDescent="0.25">
      <c r="C1664" s="3"/>
      <c r="D1664" s="3"/>
      <c r="E1664" s="3"/>
      <c r="F1664" s="3"/>
      <c r="G1664" s="3"/>
      <c r="H1664" s="3"/>
      <c r="I1664" s="3"/>
      <c r="J1664" s="3"/>
      <c r="K1664" s="3"/>
      <c r="L1664" s="3"/>
      <c r="M1664" s="3"/>
      <c r="N1664" s="3"/>
      <c r="O1664" s="3"/>
      <c r="P1664" s="3"/>
      <c r="Q1664" s="3"/>
      <c r="R1664" s="111"/>
      <c r="S1664" s="111"/>
      <c r="T1664" s="111"/>
    </row>
    <row r="1665" spans="3:20" s="4" customFormat="1" x14ac:dyDescent="0.25">
      <c r="C1665" s="3"/>
      <c r="D1665" s="3"/>
      <c r="E1665" s="3"/>
      <c r="F1665" s="3"/>
      <c r="G1665" s="3"/>
      <c r="H1665" s="3"/>
      <c r="I1665" s="3"/>
      <c r="J1665" s="3"/>
      <c r="K1665" s="3"/>
      <c r="L1665" s="3"/>
      <c r="M1665" s="3"/>
      <c r="N1665" s="3"/>
      <c r="O1665" s="3"/>
      <c r="P1665" s="3"/>
      <c r="Q1665" s="3"/>
      <c r="R1665" s="111"/>
      <c r="S1665" s="111"/>
      <c r="T1665" s="111"/>
    </row>
    <row r="1666" spans="3:20" s="4" customFormat="1" x14ac:dyDescent="0.25">
      <c r="C1666" s="3"/>
      <c r="D1666" s="3"/>
      <c r="E1666" s="3"/>
      <c r="F1666" s="3"/>
      <c r="G1666" s="3"/>
      <c r="H1666" s="3"/>
      <c r="I1666" s="3"/>
      <c r="J1666" s="3"/>
      <c r="K1666" s="3"/>
      <c r="L1666" s="3"/>
      <c r="M1666" s="3"/>
      <c r="N1666" s="3"/>
      <c r="O1666" s="3"/>
      <c r="P1666" s="3"/>
      <c r="Q1666" s="3"/>
      <c r="R1666" s="111"/>
      <c r="S1666" s="111"/>
      <c r="T1666" s="111"/>
    </row>
    <row r="1667" spans="3:20" s="4" customFormat="1" x14ac:dyDescent="0.25">
      <c r="C1667" s="3"/>
      <c r="D1667" s="3"/>
      <c r="E1667" s="3"/>
      <c r="F1667" s="3"/>
      <c r="G1667" s="3"/>
      <c r="H1667" s="3"/>
      <c r="I1667" s="3"/>
      <c r="J1667" s="3"/>
      <c r="K1667" s="3"/>
      <c r="L1667" s="3"/>
      <c r="M1667" s="3"/>
      <c r="N1667" s="3"/>
      <c r="O1667" s="3"/>
      <c r="P1667" s="3"/>
      <c r="Q1667" s="3"/>
      <c r="R1667" s="111"/>
      <c r="S1667" s="111"/>
      <c r="T1667" s="111"/>
    </row>
    <row r="1668" spans="3:20" s="4" customFormat="1" x14ac:dyDescent="0.25">
      <c r="C1668" s="3"/>
      <c r="D1668" s="3"/>
      <c r="E1668" s="3"/>
      <c r="F1668" s="3"/>
      <c r="G1668" s="3"/>
      <c r="H1668" s="3"/>
      <c r="I1668" s="3"/>
      <c r="J1668" s="3"/>
      <c r="K1668" s="3"/>
      <c r="L1668" s="3"/>
      <c r="M1668" s="3"/>
      <c r="N1668" s="3"/>
      <c r="O1668" s="3"/>
      <c r="P1668" s="3"/>
      <c r="Q1668" s="3"/>
      <c r="R1668" s="111"/>
      <c r="S1668" s="111"/>
      <c r="T1668" s="111"/>
    </row>
    <row r="1669" spans="3:20" s="4" customFormat="1" x14ac:dyDescent="0.25">
      <c r="C1669" s="3"/>
      <c r="D1669" s="3"/>
      <c r="E1669" s="3"/>
      <c r="F1669" s="3"/>
      <c r="G1669" s="3"/>
      <c r="H1669" s="3"/>
      <c r="I1669" s="3"/>
      <c r="J1669" s="3"/>
      <c r="K1669" s="3"/>
      <c r="L1669" s="3"/>
      <c r="M1669" s="3"/>
      <c r="N1669" s="3"/>
      <c r="O1669" s="3"/>
      <c r="P1669" s="3"/>
      <c r="Q1669" s="3"/>
      <c r="R1669" s="111"/>
      <c r="S1669" s="111"/>
      <c r="T1669" s="111"/>
    </row>
    <row r="1670" spans="3:20" s="4" customFormat="1" x14ac:dyDescent="0.25">
      <c r="C1670" s="3"/>
      <c r="D1670" s="3"/>
      <c r="E1670" s="3"/>
      <c r="F1670" s="3"/>
      <c r="G1670" s="3"/>
      <c r="H1670" s="3"/>
      <c r="I1670" s="3"/>
      <c r="J1670" s="3"/>
      <c r="K1670" s="3"/>
      <c r="L1670" s="3"/>
      <c r="M1670" s="3"/>
      <c r="N1670" s="3"/>
      <c r="O1670" s="3"/>
      <c r="P1670" s="3"/>
      <c r="Q1670" s="3"/>
      <c r="R1670" s="111"/>
      <c r="S1670" s="111"/>
      <c r="T1670" s="111"/>
    </row>
    <row r="1671" spans="3:20" s="4" customFormat="1" x14ac:dyDescent="0.25">
      <c r="C1671" s="3"/>
      <c r="D1671" s="3"/>
      <c r="E1671" s="3"/>
      <c r="F1671" s="3"/>
      <c r="G1671" s="3"/>
      <c r="H1671" s="3"/>
      <c r="I1671" s="3"/>
      <c r="J1671" s="3"/>
      <c r="K1671" s="3"/>
      <c r="L1671" s="3"/>
      <c r="M1671" s="3"/>
      <c r="N1671" s="3"/>
      <c r="O1671" s="3"/>
      <c r="P1671" s="3"/>
      <c r="Q1671" s="3"/>
      <c r="R1671" s="111"/>
      <c r="S1671" s="111"/>
      <c r="T1671" s="111"/>
    </row>
    <row r="1672" spans="3:20" s="4" customFormat="1" x14ac:dyDescent="0.25">
      <c r="C1672" s="3"/>
      <c r="D1672" s="3"/>
      <c r="E1672" s="3"/>
      <c r="F1672" s="3"/>
      <c r="G1672" s="3"/>
      <c r="H1672" s="3"/>
      <c r="I1672" s="3"/>
      <c r="J1672" s="3"/>
      <c r="K1672" s="3"/>
      <c r="L1672" s="3"/>
      <c r="M1672" s="3"/>
      <c r="N1672" s="3"/>
      <c r="O1672" s="3"/>
      <c r="P1672" s="3"/>
      <c r="Q1672" s="3"/>
      <c r="R1672" s="111"/>
      <c r="S1672" s="111"/>
      <c r="T1672" s="111"/>
    </row>
    <row r="1673" spans="3:20" s="4" customFormat="1" x14ac:dyDescent="0.25">
      <c r="C1673" s="3"/>
      <c r="D1673" s="3"/>
      <c r="E1673" s="3"/>
      <c r="F1673" s="3"/>
      <c r="G1673" s="3"/>
      <c r="H1673" s="3"/>
      <c r="I1673" s="3"/>
      <c r="J1673" s="3"/>
      <c r="K1673" s="3"/>
      <c r="L1673" s="3"/>
      <c r="M1673" s="3"/>
      <c r="N1673" s="3"/>
      <c r="O1673" s="3"/>
      <c r="P1673" s="3"/>
      <c r="Q1673" s="3"/>
      <c r="R1673" s="111"/>
      <c r="S1673" s="111"/>
      <c r="T1673" s="111"/>
    </row>
    <row r="1674" spans="3:20" s="4" customFormat="1" x14ac:dyDescent="0.25">
      <c r="C1674" s="3"/>
      <c r="D1674" s="3"/>
      <c r="E1674" s="3"/>
      <c r="F1674" s="3"/>
      <c r="G1674" s="3"/>
      <c r="H1674" s="3"/>
      <c r="I1674" s="3"/>
      <c r="J1674" s="3"/>
      <c r="K1674" s="3"/>
      <c r="L1674" s="3"/>
      <c r="M1674" s="3"/>
      <c r="N1674" s="3"/>
      <c r="O1674" s="3"/>
      <c r="P1674" s="3"/>
      <c r="Q1674" s="3"/>
      <c r="R1674" s="111"/>
      <c r="S1674" s="111"/>
      <c r="T1674" s="111"/>
    </row>
    <row r="1675" spans="3:20" s="4" customFormat="1" x14ac:dyDescent="0.25">
      <c r="C1675" s="3"/>
      <c r="D1675" s="3"/>
      <c r="E1675" s="3"/>
      <c r="F1675" s="3"/>
      <c r="G1675" s="3"/>
      <c r="H1675" s="3"/>
      <c r="I1675" s="3"/>
      <c r="J1675" s="3"/>
      <c r="K1675" s="3"/>
      <c r="L1675" s="3"/>
      <c r="M1675" s="3"/>
      <c r="N1675" s="3"/>
      <c r="O1675" s="3"/>
      <c r="P1675" s="3"/>
      <c r="Q1675" s="3"/>
      <c r="R1675" s="111"/>
      <c r="S1675" s="111"/>
      <c r="T1675" s="111"/>
    </row>
    <row r="1676" spans="3:20" s="4" customFormat="1" x14ac:dyDescent="0.25">
      <c r="C1676" s="3"/>
      <c r="D1676" s="3"/>
      <c r="E1676" s="3"/>
      <c r="F1676" s="3"/>
      <c r="G1676" s="3"/>
      <c r="H1676" s="3"/>
      <c r="I1676" s="3"/>
      <c r="J1676" s="3"/>
      <c r="K1676" s="3"/>
      <c r="L1676" s="3"/>
      <c r="M1676" s="3"/>
      <c r="N1676" s="3"/>
      <c r="O1676" s="3"/>
      <c r="P1676" s="3"/>
      <c r="Q1676" s="3"/>
      <c r="R1676" s="111"/>
      <c r="S1676" s="111"/>
      <c r="T1676" s="111"/>
    </row>
    <row r="1677" spans="3:20" s="4" customFormat="1" x14ac:dyDescent="0.25">
      <c r="C1677" s="3"/>
      <c r="D1677" s="3"/>
      <c r="E1677" s="3"/>
      <c r="F1677" s="3"/>
      <c r="G1677" s="3"/>
      <c r="H1677" s="3"/>
      <c r="I1677" s="3"/>
      <c r="J1677" s="3"/>
      <c r="K1677" s="3"/>
      <c r="L1677" s="3"/>
      <c r="M1677" s="3"/>
      <c r="N1677" s="3"/>
      <c r="O1677" s="3"/>
      <c r="P1677" s="3"/>
      <c r="Q1677" s="3"/>
      <c r="R1677" s="111"/>
      <c r="S1677" s="111"/>
      <c r="T1677" s="111"/>
    </row>
    <row r="1678" spans="3:20" s="4" customFormat="1" x14ac:dyDescent="0.25">
      <c r="C1678" s="3"/>
      <c r="D1678" s="3"/>
      <c r="E1678" s="3"/>
      <c r="F1678" s="3"/>
      <c r="G1678" s="3"/>
      <c r="H1678" s="3"/>
      <c r="I1678" s="3"/>
      <c r="J1678" s="3"/>
      <c r="K1678" s="3"/>
      <c r="L1678" s="3"/>
      <c r="M1678" s="3"/>
      <c r="N1678" s="3"/>
      <c r="O1678" s="3"/>
      <c r="P1678" s="3"/>
      <c r="Q1678" s="3"/>
      <c r="R1678" s="111"/>
      <c r="S1678" s="111"/>
      <c r="T1678" s="111"/>
    </row>
    <row r="1679" spans="3:20" s="4" customFormat="1" x14ac:dyDescent="0.25">
      <c r="C1679" s="3"/>
      <c r="D1679" s="3"/>
      <c r="E1679" s="3"/>
      <c r="F1679" s="3"/>
      <c r="G1679" s="3"/>
      <c r="H1679" s="3"/>
      <c r="I1679" s="3"/>
      <c r="J1679" s="3"/>
      <c r="K1679" s="3"/>
      <c r="L1679" s="3"/>
      <c r="M1679" s="3"/>
      <c r="N1679" s="3"/>
      <c r="O1679" s="3"/>
      <c r="P1679" s="3"/>
      <c r="Q1679" s="3"/>
      <c r="R1679" s="111"/>
      <c r="S1679" s="111"/>
      <c r="T1679" s="111"/>
    </row>
    <row r="1680" spans="3:20" s="4" customFormat="1" x14ac:dyDescent="0.25">
      <c r="C1680" s="3"/>
      <c r="D1680" s="3"/>
      <c r="E1680" s="3"/>
      <c r="F1680" s="3"/>
      <c r="G1680" s="3"/>
      <c r="H1680" s="3"/>
      <c r="I1680" s="3"/>
      <c r="J1680" s="3"/>
      <c r="K1680" s="3"/>
      <c r="L1680" s="3"/>
      <c r="M1680" s="3"/>
      <c r="N1680" s="3"/>
      <c r="O1680" s="3"/>
      <c r="P1680" s="3"/>
      <c r="Q1680" s="3"/>
      <c r="R1680" s="111"/>
      <c r="S1680" s="111"/>
      <c r="T1680" s="111"/>
    </row>
    <row r="1681" spans="3:20" s="4" customFormat="1" x14ac:dyDescent="0.25">
      <c r="C1681" s="3"/>
      <c r="D1681" s="3"/>
      <c r="E1681" s="3"/>
      <c r="F1681" s="3"/>
      <c r="G1681" s="3"/>
      <c r="H1681" s="3"/>
      <c r="I1681" s="3"/>
      <c r="J1681" s="3"/>
      <c r="K1681" s="3"/>
      <c r="L1681" s="3"/>
      <c r="M1681" s="3"/>
      <c r="N1681" s="3"/>
      <c r="O1681" s="3"/>
      <c r="P1681" s="3"/>
      <c r="Q1681" s="3"/>
      <c r="R1681" s="111"/>
      <c r="S1681" s="111"/>
      <c r="T1681" s="111"/>
    </row>
    <row r="1682" spans="3:20" s="4" customFormat="1" x14ac:dyDescent="0.25">
      <c r="C1682" s="3"/>
      <c r="D1682" s="3"/>
      <c r="E1682" s="3"/>
      <c r="F1682" s="3"/>
      <c r="G1682" s="3"/>
      <c r="H1682" s="3"/>
      <c r="I1682" s="3"/>
      <c r="J1682" s="3"/>
      <c r="K1682" s="3"/>
      <c r="L1682" s="3"/>
      <c r="M1682" s="3"/>
      <c r="N1682" s="3"/>
      <c r="O1682" s="3"/>
      <c r="P1682" s="3"/>
      <c r="Q1682" s="3"/>
      <c r="R1682" s="111"/>
      <c r="S1682" s="111"/>
      <c r="T1682" s="111"/>
    </row>
    <row r="1683" spans="3:20" s="4" customFormat="1" x14ac:dyDescent="0.25">
      <c r="C1683" s="3"/>
      <c r="D1683" s="3"/>
      <c r="E1683" s="3"/>
      <c r="F1683" s="3"/>
      <c r="G1683" s="3"/>
      <c r="H1683" s="3"/>
      <c r="I1683" s="3"/>
      <c r="J1683" s="3"/>
      <c r="K1683" s="3"/>
      <c r="L1683" s="3"/>
      <c r="M1683" s="3"/>
      <c r="N1683" s="3"/>
      <c r="O1683" s="3"/>
      <c r="P1683" s="3"/>
      <c r="Q1683" s="3"/>
      <c r="R1683" s="111"/>
      <c r="S1683" s="111"/>
      <c r="T1683" s="111"/>
    </row>
    <row r="1684" spans="3:20" s="4" customFormat="1" x14ac:dyDescent="0.25">
      <c r="C1684" s="3"/>
      <c r="D1684" s="3"/>
      <c r="E1684" s="3"/>
      <c r="F1684" s="3"/>
      <c r="G1684" s="3"/>
      <c r="H1684" s="3"/>
      <c r="I1684" s="3"/>
      <c r="J1684" s="3"/>
      <c r="K1684" s="3"/>
      <c r="L1684" s="3"/>
      <c r="M1684" s="3"/>
      <c r="N1684" s="3"/>
      <c r="O1684" s="3"/>
      <c r="P1684" s="3"/>
      <c r="Q1684" s="3"/>
      <c r="R1684" s="111"/>
      <c r="S1684" s="111"/>
      <c r="T1684" s="111"/>
    </row>
    <row r="1685" spans="3:20" s="4" customFormat="1" x14ac:dyDescent="0.25">
      <c r="C1685" s="3"/>
      <c r="D1685" s="3"/>
      <c r="E1685" s="3"/>
      <c r="F1685" s="3"/>
      <c r="G1685" s="3"/>
      <c r="H1685" s="3"/>
      <c r="I1685" s="3"/>
      <c r="J1685" s="3"/>
      <c r="K1685" s="3"/>
      <c r="L1685" s="3"/>
      <c r="M1685" s="3"/>
      <c r="N1685" s="3"/>
      <c r="O1685" s="3"/>
      <c r="P1685" s="3"/>
      <c r="Q1685" s="3"/>
      <c r="R1685" s="111"/>
      <c r="S1685" s="111"/>
      <c r="T1685" s="111"/>
    </row>
    <row r="1686" spans="3:20" s="4" customFormat="1" x14ac:dyDescent="0.25">
      <c r="C1686" s="3"/>
      <c r="D1686" s="3"/>
      <c r="E1686" s="3"/>
      <c r="F1686" s="3"/>
      <c r="G1686" s="3"/>
      <c r="H1686" s="3"/>
      <c r="I1686" s="3"/>
      <c r="J1686" s="3"/>
      <c r="K1686" s="3"/>
      <c r="L1686" s="3"/>
      <c r="M1686" s="3"/>
      <c r="N1686" s="3"/>
      <c r="O1686" s="3"/>
      <c r="P1686" s="3"/>
      <c r="Q1686" s="3"/>
      <c r="R1686" s="111"/>
      <c r="S1686" s="111"/>
      <c r="T1686" s="111"/>
    </row>
    <row r="1687" spans="3:20" s="4" customFormat="1" x14ac:dyDescent="0.25">
      <c r="C1687" s="3"/>
      <c r="D1687" s="3"/>
      <c r="E1687" s="3"/>
      <c r="F1687" s="3"/>
      <c r="G1687" s="3"/>
      <c r="H1687" s="3"/>
      <c r="I1687" s="3"/>
      <c r="J1687" s="3"/>
      <c r="K1687" s="3"/>
      <c r="L1687" s="3"/>
      <c r="M1687" s="3"/>
      <c r="N1687" s="3"/>
      <c r="O1687" s="3"/>
      <c r="P1687" s="3"/>
      <c r="Q1687" s="3"/>
      <c r="R1687" s="111"/>
      <c r="S1687" s="111"/>
      <c r="T1687" s="111"/>
    </row>
    <row r="1688" spans="3:20" s="4" customFormat="1" x14ac:dyDescent="0.25">
      <c r="C1688" s="3"/>
      <c r="D1688" s="3"/>
      <c r="E1688" s="3"/>
      <c r="F1688" s="3"/>
      <c r="G1688" s="3"/>
      <c r="H1688" s="3"/>
      <c r="I1688" s="3"/>
      <c r="J1688" s="3"/>
      <c r="K1688" s="3"/>
      <c r="L1688" s="3"/>
      <c r="M1688" s="3"/>
      <c r="N1688" s="3"/>
      <c r="O1688" s="3"/>
      <c r="P1688" s="3"/>
      <c r="Q1688" s="3"/>
      <c r="R1688" s="111"/>
      <c r="S1688" s="111"/>
      <c r="T1688" s="111"/>
    </row>
    <row r="1689" spans="3:20" s="4" customFormat="1" x14ac:dyDescent="0.25">
      <c r="C1689" s="3"/>
      <c r="D1689" s="3"/>
      <c r="E1689" s="3"/>
      <c r="F1689" s="3"/>
      <c r="G1689" s="3"/>
      <c r="H1689" s="3"/>
      <c r="I1689" s="3"/>
      <c r="J1689" s="3"/>
      <c r="K1689" s="3"/>
      <c r="L1689" s="3"/>
      <c r="M1689" s="3"/>
      <c r="N1689" s="3"/>
      <c r="O1689" s="3"/>
      <c r="P1689" s="3"/>
      <c r="Q1689" s="3"/>
      <c r="R1689" s="111"/>
      <c r="S1689" s="111"/>
      <c r="T1689" s="111"/>
    </row>
    <row r="1690" spans="3:20" s="4" customFormat="1" x14ac:dyDescent="0.25">
      <c r="C1690" s="3"/>
      <c r="D1690" s="3"/>
      <c r="E1690" s="3"/>
      <c r="F1690" s="3"/>
      <c r="G1690" s="3"/>
      <c r="H1690" s="3"/>
      <c r="I1690" s="3"/>
      <c r="J1690" s="3"/>
      <c r="K1690" s="3"/>
      <c r="L1690" s="3"/>
      <c r="M1690" s="3"/>
      <c r="N1690" s="3"/>
      <c r="O1690" s="3"/>
      <c r="P1690" s="3"/>
      <c r="Q1690" s="3"/>
      <c r="R1690" s="111"/>
      <c r="S1690" s="111"/>
      <c r="T1690" s="111"/>
    </row>
    <row r="1691" spans="3:20" s="4" customFormat="1" x14ac:dyDescent="0.25">
      <c r="C1691" s="3"/>
      <c r="D1691" s="3"/>
      <c r="E1691" s="3"/>
      <c r="F1691" s="3"/>
      <c r="G1691" s="3"/>
      <c r="H1691" s="3"/>
      <c r="I1691" s="3"/>
      <c r="J1691" s="3"/>
      <c r="K1691" s="3"/>
      <c r="L1691" s="3"/>
      <c r="M1691" s="3"/>
      <c r="N1691" s="3"/>
      <c r="O1691" s="3"/>
      <c r="P1691" s="3"/>
      <c r="Q1691" s="3"/>
      <c r="R1691" s="111"/>
      <c r="S1691" s="111"/>
      <c r="T1691" s="111"/>
    </row>
    <row r="1692" spans="3:20" s="4" customFormat="1" x14ac:dyDescent="0.25">
      <c r="C1692" s="3"/>
      <c r="D1692" s="3"/>
      <c r="E1692" s="3"/>
      <c r="F1692" s="3"/>
      <c r="G1692" s="3"/>
      <c r="H1692" s="3"/>
      <c r="I1692" s="3"/>
      <c r="J1692" s="3"/>
      <c r="K1692" s="3"/>
      <c r="L1692" s="3"/>
      <c r="M1692" s="3"/>
      <c r="N1692" s="3"/>
      <c r="O1692" s="3"/>
      <c r="P1692" s="3"/>
      <c r="Q1692" s="3"/>
      <c r="R1692" s="111"/>
      <c r="S1692" s="111"/>
      <c r="T1692" s="111"/>
    </row>
    <row r="1693" spans="3:20" s="4" customFormat="1" x14ac:dyDescent="0.25">
      <c r="C1693" s="3"/>
      <c r="D1693" s="3"/>
      <c r="E1693" s="3"/>
      <c r="F1693" s="3"/>
      <c r="G1693" s="3"/>
      <c r="H1693" s="3"/>
      <c r="I1693" s="3"/>
      <c r="J1693" s="3"/>
      <c r="K1693" s="3"/>
      <c r="L1693" s="3"/>
      <c r="M1693" s="3"/>
      <c r="N1693" s="3"/>
      <c r="O1693" s="3"/>
      <c r="P1693" s="3"/>
      <c r="Q1693" s="3"/>
      <c r="R1693" s="111"/>
      <c r="S1693" s="111"/>
      <c r="T1693" s="111"/>
    </row>
    <row r="1694" spans="3:20" s="4" customFormat="1" x14ac:dyDescent="0.25">
      <c r="C1694" s="3"/>
      <c r="D1694" s="3"/>
      <c r="E1694" s="3"/>
      <c r="F1694" s="3"/>
      <c r="G1694" s="3"/>
      <c r="H1694" s="3"/>
      <c r="I1694" s="3"/>
      <c r="J1694" s="3"/>
      <c r="K1694" s="3"/>
      <c r="L1694" s="3"/>
      <c r="M1694" s="3"/>
      <c r="N1694" s="3"/>
      <c r="O1694" s="3"/>
      <c r="P1694" s="3"/>
      <c r="Q1694" s="3"/>
      <c r="R1694" s="111"/>
      <c r="S1694" s="111"/>
      <c r="T1694" s="111"/>
    </row>
    <row r="1695" spans="3:20" s="4" customFormat="1" x14ac:dyDescent="0.25">
      <c r="C1695" s="3"/>
      <c r="D1695" s="3"/>
      <c r="E1695" s="3"/>
      <c r="F1695" s="3"/>
      <c r="G1695" s="3"/>
      <c r="H1695" s="3"/>
      <c r="I1695" s="3"/>
      <c r="J1695" s="3"/>
      <c r="K1695" s="3"/>
      <c r="L1695" s="3"/>
      <c r="M1695" s="3"/>
      <c r="N1695" s="3"/>
      <c r="O1695" s="3"/>
      <c r="P1695" s="3"/>
      <c r="Q1695" s="3"/>
      <c r="R1695" s="111"/>
      <c r="S1695" s="111"/>
      <c r="T1695" s="111"/>
    </row>
    <row r="1696" spans="3:20" s="4" customFormat="1" x14ac:dyDescent="0.25">
      <c r="C1696" s="3"/>
      <c r="D1696" s="3"/>
      <c r="E1696" s="3"/>
      <c r="F1696" s="3"/>
      <c r="G1696" s="3"/>
      <c r="H1696" s="3"/>
      <c r="I1696" s="3"/>
      <c r="J1696" s="3"/>
      <c r="K1696" s="3"/>
      <c r="L1696" s="3"/>
      <c r="M1696" s="3"/>
      <c r="N1696" s="3"/>
      <c r="O1696" s="3"/>
      <c r="P1696" s="3"/>
      <c r="Q1696" s="3"/>
      <c r="R1696" s="111"/>
      <c r="S1696" s="111"/>
      <c r="T1696" s="111"/>
    </row>
    <row r="1697" spans="3:20" s="4" customFormat="1" x14ac:dyDescent="0.25">
      <c r="C1697" s="3"/>
      <c r="D1697" s="3"/>
      <c r="E1697" s="3"/>
      <c r="F1697" s="3"/>
      <c r="G1697" s="3"/>
      <c r="H1697" s="3"/>
      <c r="I1697" s="3"/>
      <c r="J1697" s="3"/>
      <c r="K1697" s="3"/>
      <c r="L1697" s="3"/>
      <c r="M1697" s="3"/>
      <c r="N1697" s="3"/>
      <c r="O1697" s="3"/>
      <c r="P1697" s="3"/>
      <c r="Q1697" s="3"/>
      <c r="R1697" s="111"/>
      <c r="S1697" s="111"/>
      <c r="T1697" s="111"/>
    </row>
    <row r="1698" spans="3:20" s="4" customFormat="1" x14ac:dyDescent="0.25">
      <c r="C1698" s="3"/>
      <c r="D1698" s="3"/>
      <c r="E1698" s="3"/>
      <c r="F1698" s="3"/>
      <c r="G1698" s="3"/>
      <c r="H1698" s="3"/>
      <c r="I1698" s="3"/>
      <c r="J1698" s="3"/>
      <c r="K1698" s="3"/>
      <c r="L1698" s="3"/>
      <c r="M1698" s="3"/>
      <c r="N1698" s="3"/>
      <c r="O1698" s="3"/>
      <c r="P1698" s="3"/>
      <c r="Q1698" s="3"/>
      <c r="R1698" s="111"/>
      <c r="S1698" s="111"/>
      <c r="T1698" s="111"/>
    </row>
    <row r="1699" spans="3:20" s="4" customFormat="1" x14ac:dyDescent="0.25">
      <c r="C1699" s="3"/>
      <c r="D1699" s="3"/>
      <c r="E1699" s="3"/>
      <c r="F1699" s="3"/>
      <c r="G1699" s="3"/>
      <c r="H1699" s="3"/>
      <c r="I1699" s="3"/>
      <c r="J1699" s="3"/>
      <c r="K1699" s="3"/>
      <c r="L1699" s="3"/>
      <c r="M1699" s="3"/>
      <c r="N1699" s="3"/>
      <c r="O1699" s="3"/>
      <c r="P1699" s="3"/>
      <c r="Q1699" s="3"/>
      <c r="R1699" s="111"/>
      <c r="S1699" s="111"/>
      <c r="T1699" s="111"/>
    </row>
    <row r="1700" spans="3:20" s="4" customFormat="1" x14ac:dyDescent="0.25">
      <c r="C1700" s="3"/>
      <c r="D1700" s="3"/>
      <c r="E1700" s="3"/>
      <c r="F1700" s="3"/>
      <c r="G1700" s="3"/>
      <c r="H1700" s="3"/>
      <c r="I1700" s="3"/>
      <c r="J1700" s="3"/>
      <c r="K1700" s="3"/>
      <c r="L1700" s="3"/>
      <c r="M1700" s="3"/>
      <c r="N1700" s="3"/>
      <c r="O1700" s="3"/>
      <c r="P1700" s="3"/>
      <c r="Q1700" s="3"/>
      <c r="R1700" s="111"/>
      <c r="S1700" s="111"/>
      <c r="T1700" s="111"/>
    </row>
    <row r="1701" spans="3:20" s="4" customFormat="1" x14ac:dyDescent="0.25">
      <c r="C1701" s="3"/>
      <c r="D1701" s="3"/>
      <c r="E1701" s="3"/>
      <c r="F1701" s="3"/>
      <c r="G1701" s="3"/>
      <c r="H1701" s="3"/>
      <c r="I1701" s="3"/>
      <c r="J1701" s="3"/>
      <c r="K1701" s="3"/>
      <c r="L1701" s="3"/>
      <c r="M1701" s="3"/>
      <c r="N1701" s="3"/>
      <c r="O1701" s="3"/>
      <c r="P1701" s="3"/>
      <c r="Q1701" s="3"/>
      <c r="R1701" s="111"/>
      <c r="S1701" s="111"/>
      <c r="T1701" s="111"/>
    </row>
    <row r="1702" spans="3:20" s="4" customFormat="1" x14ac:dyDescent="0.25">
      <c r="C1702" s="3"/>
      <c r="D1702" s="3"/>
      <c r="E1702" s="3"/>
      <c r="F1702" s="3"/>
      <c r="G1702" s="3"/>
      <c r="H1702" s="3"/>
      <c r="I1702" s="3"/>
      <c r="J1702" s="3"/>
      <c r="K1702" s="3"/>
      <c r="L1702" s="3"/>
      <c r="M1702" s="3"/>
      <c r="N1702" s="3"/>
      <c r="O1702" s="3"/>
      <c r="P1702" s="3"/>
      <c r="Q1702" s="3"/>
      <c r="R1702" s="111"/>
      <c r="S1702" s="111"/>
      <c r="T1702" s="111"/>
    </row>
    <row r="1703" spans="3:20" s="4" customFormat="1" x14ac:dyDescent="0.25">
      <c r="C1703" s="3"/>
      <c r="D1703" s="3"/>
      <c r="E1703" s="3"/>
      <c r="F1703" s="3"/>
      <c r="G1703" s="3"/>
      <c r="H1703" s="3"/>
      <c r="I1703" s="3"/>
      <c r="J1703" s="3"/>
      <c r="K1703" s="3"/>
      <c r="L1703" s="3"/>
      <c r="M1703" s="3"/>
      <c r="N1703" s="3"/>
      <c r="O1703" s="3"/>
      <c r="P1703" s="3"/>
      <c r="Q1703" s="3"/>
      <c r="R1703" s="111"/>
      <c r="S1703" s="111"/>
      <c r="T1703" s="111"/>
    </row>
    <row r="1704" spans="3:20" s="4" customFormat="1" x14ac:dyDescent="0.25">
      <c r="C1704" s="3"/>
      <c r="D1704" s="3"/>
      <c r="E1704" s="3"/>
      <c r="F1704" s="3"/>
      <c r="G1704" s="3"/>
      <c r="H1704" s="3"/>
      <c r="I1704" s="3"/>
      <c r="J1704" s="3"/>
      <c r="K1704" s="3"/>
      <c r="L1704" s="3"/>
      <c r="M1704" s="3"/>
      <c r="N1704" s="3"/>
      <c r="O1704" s="3"/>
      <c r="P1704" s="3"/>
      <c r="Q1704" s="3"/>
      <c r="R1704" s="111"/>
      <c r="S1704" s="111"/>
      <c r="T1704" s="111"/>
    </row>
    <row r="1705" spans="3:20" s="4" customFormat="1" x14ac:dyDescent="0.25">
      <c r="C1705" s="3"/>
      <c r="D1705" s="3"/>
      <c r="E1705" s="3"/>
      <c r="F1705" s="3"/>
      <c r="G1705" s="3"/>
      <c r="H1705" s="3"/>
      <c r="I1705" s="3"/>
      <c r="J1705" s="3"/>
      <c r="K1705" s="3"/>
      <c r="L1705" s="3"/>
      <c r="M1705" s="3"/>
      <c r="N1705" s="3"/>
      <c r="O1705" s="3"/>
      <c r="P1705" s="3"/>
      <c r="Q1705" s="3"/>
      <c r="R1705" s="111"/>
      <c r="S1705" s="111"/>
      <c r="T1705" s="111"/>
    </row>
    <row r="1706" spans="3:20" s="4" customFormat="1" x14ac:dyDescent="0.25">
      <c r="C1706" s="3"/>
      <c r="D1706" s="3"/>
      <c r="E1706" s="3"/>
      <c r="F1706" s="3"/>
      <c r="G1706" s="3"/>
      <c r="H1706" s="3"/>
      <c r="I1706" s="3"/>
      <c r="J1706" s="3"/>
      <c r="K1706" s="3"/>
      <c r="L1706" s="3"/>
      <c r="M1706" s="3"/>
      <c r="N1706" s="3"/>
      <c r="O1706" s="3"/>
      <c r="P1706" s="3"/>
      <c r="Q1706" s="3"/>
      <c r="R1706" s="111"/>
      <c r="S1706" s="111"/>
      <c r="T1706" s="111"/>
    </row>
    <row r="1707" spans="3:20" s="4" customFormat="1" x14ac:dyDescent="0.25">
      <c r="C1707" s="3"/>
      <c r="D1707" s="3"/>
      <c r="E1707" s="3"/>
      <c r="F1707" s="3"/>
      <c r="G1707" s="3"/>
      <c r="H1707" s="3"/>
      <c r="I1707" s="3"/>
      <c r="J1707" s="3"/>
      <c r="K1707" s="3"/>
      <c r="L1707" s="3"/>
      <c r="M1707" s="3"/>
      <c r="N1707" s="3"/>
      <c r="O1707" s="3"/>
      <c r="P1707" s="3"/>
      <c r="Q1707" s="3"/>
      <c r="R1707" s="111"/>
      <c r="S1707" s="111"/>
      <c r="T1707" s="111"/>
    </row>
    <row r="1708" spans="3:20" s="4" customFormat="1" x14ac:dyDescent="0.25">
      <c r="C1708" s="3"/>
      <c r="D1708" s="3"/>
      <c r="E1708" s="3"/>
      <c r="F1708" s="3"/>
      <c r="G1708" s="3"/>
      <c r="H1708" s="3"/>
      <c r="I1708" s="3"/>
      <c r="J1708" s="3"/>
      <c r="K1708" s="3"/>
      <c r="L1708" s="3"/>
      <c r="M1708" s="3"/>
      <c r="N1708" s="3"/>
      <c r="O1708" s="3"/>
      <c r="P1708" s="3"/>
      <c r="Q1708" s="3"/>
      <c r="R1708" s="111"/>
      <c r="S1708" s="111"/>
      <c r="T1708" s="111"/>
    </row>
    <row r="1709" spans="3:20" s="4" customFormat="1" x14ac:dyDescent="0.25">
      <c r="C1709" s="3"/>
      <c r="D1709" s="3"/>
      <c r="E1709" s="3"/>
      <c r="F1709" s="3"/>
      <c r="G1709" s="3"/>
      <c r="H1709" s="3"/>
      <c r="I1709" s="3"/>
      <c r="J1709" s="3"/>
      <c r="K1709" s="3"/>
      <c r="L1709" s="3"/>
      <c r="M1709" s="3"/>
      <c r="N1709" s="3"/>
      <c r="O1709" s="3"/>
      <c r="P1709" s="3"/>
      <c r="Q1709" s="3"/>
      <c r="R1709" s="111"/>
      <c r="S1709" s="111"/>
      <c r="T1709" s="111"/>
    </row>
    <row r="1710" spans="3:20" s="4" customFormat="1" x14ac:dyDescent="0.25">
      <c r="C1710" s="3"/>
      <c r="D1710" s="3"/>
      <c r="E1710" s="3"/>
      <c r="F1710" s="3"/>
      <c r="G1710" s="3"/>
      <c r="H1710" s="3"/>
      <c r="I1710" s="3"/>
      <c r="J1710" s="3"/>
      <c r="K1710" s="3"/>
      <c r="L1710" s="3"/>
      <c r="M1710" s="3"/>
      <c r="N1710" s="3"/>
      <c r="O1710" s="3"/>
      <c r="P1710" s="3"/>
      <c r="Q1710" s="3"/>
      <c r="R1710" s="111"/>
      <c r="S1710" s="111"/>
      <c r="T1710" s="111"/>
    </row>
    <row r="1711" spans="3:20" s="4" customFormat="1" x14ac:dyDescent="0.25">
      <c r="C1711" s="3"/>
      <c r="D1711" s="3"/>
      <c r="E1711" s="3"/>
      <c r="F1711" s="3"/>
      <c r="G1711" s="3"/>
      <c r="H1711" s="3"/>
      <c r="I1711" s="3"/>
      <c r="J1711" s="3"/>
      <c r="K1711" s="3"/>
      <c r="L1711" s="3"/>
      <c r="M1711" s="3"/>
      <c r="N1711" s="3"/>
      <c r="O1711" s="3"/>
      <c r="P1711" s="3"/>
      <c r="Q1711" s="3"/>
      <c r="R1711" s="111"/>
      <c r="S1711" s="111"/>
      <c r="T1711" s="111"/>
    </row>
    <row r="1712" spans="3:20" s="4" customFormat="1" x14ac:dyDescent="0.25">
      <c r="C1712" s="3"/>
      <c r="D1712" s="3"/>
      <c r="E1712" s="3"/>
      <c r="F1712" s="3"/>
      <c r="G1712" s="3"/>
      <c r="H1712" s="3"/>
      <c r="I1712" s="3"/>
      <c r="J1712" s="3"/>
      <c r="K1712" s="3"/>
      <c r="L1712" s="3"/>
      <c r="M1712" s="3"/>
      <c r="N1712" s="3"/>
      <c r="O1712" s="3"/>
      <c r="P1712" s="3"/>
      <c r="Q1712" s="3"/>
      <c r="R1712" s="111"/>
      <c r="S1712" s="111"/>
      <c r="T1712" s="111"/>
    </row>
    <row r="1713" spans="3:20" s="4" customFormat="1" x14ac:dyDescent="0.25">
      <c r="C1713" s="3"/>
      <c r="D1713" s="3"/>
      <c r="E1713" s="3"/>
      <c r="F1713" s="3"/>
      <c r="G1713" s="3"/>
      <c r="H1713" s="3"/>
      <c r="I1713" s="3"/>
      <c r="J1713" s="3"/>
      <c r="K1713" s="3"/>
      <c r="L1713" s="3"/>
      <c r="M1713" s="3"/>
      <c r="N1713" s="3"/>
      <c r="O1713" s="3"/>
      <c r="P1713" s="3"/>
      <c r="Q1713" s="3"/>
      <c r="R1713" s="111"/>
      <c r="S1713" s="111"/>
      <c r="T1713" s="111"/>
    </row>
    <row r="1714" spans="3:20" s="4" customFormat="1" x14ac:dyDescent="0.25">
      <c r="C1714" s="3"/>
      <c r="D1714" s="3"/>
      <c r="E1714" s="3"/>
      <c r="F1714" s="3"/>
      <c r="G1714" s="3"/>
      <c r="H1714" s="3"/>
      <c r="I1714" s="3"/>
      <c r="J1714" s="3"/>
      <c r="K1714" s="3"/>
      <c r="L1714" s="3"/>
      <c r="M1714" s="3"/>
      <c r="N1714" s="3"/>
      <c r="O1714" s="3"/>
      <c r="P1714" s="3"/>
      <c r="Q1714" s="3"/>
      <c r="R1714" s="111"/>
      <c r="S1714" s="111"/>
      <c r="T1714" s="111"/>
    </row>
    <row r="1715" spans="3:20" s="4" customFormat="1" x14ac:dyDescent="0.25">
      <c r="C1715" s="3"/>
      <c r="D1715" s="3"/>
      <c r="E1715" s="3"/>
      <c r="F1715" s="3"/>
      <c r="G1715" s="3"/>
      <c r="H1715" s="3"/>
      <c r="I1715" s="3"/>
      <c r="J1715" s="3"/>
      <c r="K1715" s="3"/>
      <c r="L1715" s="3"/>
      <c r="M1715" s="3"/>
      <c r="N1715" s="3"/>
      <c r="O1715" s="3"/>
      <c r="P1715" s="3"/>
      <c r="Q1715" s="3"/>
      <c r="R1715" s="111"/>
      <c r="S1715" s="111"/>
      <c r="T1715" s="111"/>
    </row>
    <row r="1716" spans="3:20" s="4" customFormat="1" x14ac:dyDescent="0.25">
      <c r="C1716" s="3"/>
      <c r="D1716" s="3"/>
      <c r="E1716" s="3"/>
      <c r="F1716" s="3"/>
      <c r="G1716" s="3"/>
      <c r="H1716" s="3"/>
      <c r="I1716" s="3"/>
      <c r="J1716" s="3"/>
      <c r="K1716" s="3"/>
      <c r="L1716" s="3"/>
      <c r="M1716" s="3"/>
      <c r="N1716" s="3"/>
      <c r="O1716" s="3"/>
      <c r="P1716" s="3"/>
      <c r="Q1716" s="3"/>
      <c r="R1716" s="111"/>
      <c r="S1716" s="111"/>
      <c r="T1716" s="111"/>
    </row>
    <row r="1717" spans="3:20" s="4" customFormat="1" x14ac:dyDescent="0.25">
      <c r="C1717" s="3"/>
      <c r="D1717" s="3"/>
      <c r="E1717" s="3"/>
      <c r="F1717" s="3"/>
      <c r="G1717" s="3"/>
      <c r="H1717" s="3"/>
      <c r="I1717" s="3"/>
      <c r="J1717" s="3"/>
      <c r="K1717" s="3"/>
      <c r="L1717" s="3"/>
      <c r="M1717" s="3"/>
      <c r="N1717" s="3"/>
      <c r="O1717" s="3"/>
      <c r="P1717" s="3"/>
      <c r="Q1717" s="3"/>
      <c r="R1717" s="111"/>
      <c r="S1717" s="111"/>
      <c r="T1717" s="111"/>
    </row>
    <row r="1718" spans="3:20" s="4" customFormat="1" x14ac:dyDescent="0.25">
      <c r="C1718" s="3"/>
      <c r="D1718" s="3"/>
      <c r="E1718" s="3"/>
      <c r="F1718" s="3"/>
      <c r="G1718" s="3"/>
      <c r="H1718" s="3"/>
      <c r="I1718" s="3"/>
      <c r="J1718" s="3"/>
      <c r="K1718" s="3"/>
      <c r="L1718" s="3"/>
      <c r="M1718" s="3"/>
      <c r="N1718" s="3"/>
      <c r="O1718" s="3"/>
      <c r="P1718" s="3"/>
      <c r="Q1718" s="3"/>
      <c r="R1718" s="111"/>
      <c r="S1718" s="111"/>
      <c r="T1718" s="111"/>
    </row>
    <row r="1719" spans="3:20" s="4" customFormat="1" x14ac:dyDescent="0.25">
      <c r="C1719" s="3"/>
      <c r="D1719" s="3"/>
      <c r="E1719" s="3"/>
      <c r="F1719" s="3"/>
      <c r="G1719" s="3"/>
      <c r="H1719" s="3"/>
      <c r="I1719" s="3"/>
      <c r="J1719" s="3"/>
      <c r="K1719" s="3"/>
      <c r="L1719" s="3"/>
      <c r="M1719" s="3"/>
      <c r="N1719" s="3"/>
      <c r="O1719" s="3"/>
      <c r="P1719" s="3"/>
      <c r="Q1719" s="3"/>
      <c r="R1719" s="111"/>
      <c r="S1719" s="111"/>
      <c r="T1719" s="111"/>
    </row>
    <row r="1720" spans="3:20" s="4" customFormat="1" x14ac:dyDescent="0.25">
      <c r="C1720" s="3"/>
      <c r="D1720" s="3"/>
      <c r="E1720" s="3"/>
      <c r="F1720" s="3"/>
      <c r="G1720" s="3"/>
      <c r="H1720" s="3"/>
      <c r="I1720" s="3"/>
      <c r="J1720" s="3"/>
      <c r="K1720" s="3"/>
      <c r="L1720" s="3"/>
      <c r="M1720" s="3"/>
      <c r="N1720" s="3"/>
      <c r="O1720" s="3"/>
      <c r="P1720" s="3"/>
      <c r="Q1720" s="3"/>
      <c r="R1720" s="111"/>
      <c r="S1720" s="111"/>
      <c r="T1720" s="111"/>
    </row>
    <row r="1721" spans="3:20" s="4" customFormat="1" x14ac:dyDescent="0.25">
      <c r="C1721" s="3"/>
      <c r="D1721" s="3"/>
      <c r="E1721" s="3"/>
      <c r="F1721" s="3"/>
      <c r="G1721" s="3"/>
      <c r="H1721" s="3"/>
      <c r="I1721" s="3"/>
      <c r="J1721" s="3"/>
      <c r="K1721" s="3"/>
      <c r="L1721" s="3"/>
      <c r="M1721" s="3"/>
      <c r="N1721" s="3"/>
      <c r="O1721" s="3"/>
      <c r="P1721" s="3"/>
      <c r="Q1721" s="3"/>
      <c r="R1721" s="111"/>
      <c r="S1721" s="111"/>
      <c r="T1721" s="111"/>
    </row>
    <row r="1722" spans="3:20" s="4" customFormat="1" x14ac:dyDescent="0.25">
      <c r="C1722" s="3"/>
      <c r="D1722" s="3"/>
      <c r="E1722" s="3"/>
      <c r="F1722" s="3"/>
      <c r="G1722" s="3"/>
      <c r="H1722" s="3"/>
      <c r="I1722" s="3"/>
      <c r="J1722" s="3"/>
      <c r="K1722" s="3"/>
      <c r="L1722" s="3"/>
      <c r="M1722" s="3"/>
      <c r="N1722" s="3"/>
      <c r="O1722" s="3"/>
      <c r="P1722" s="3"/>
      <c r="Q1722" s="3"/>
      <c r="R1722" s="111"/>
      <c r="S1722" s="111"/>
      <c r="T1722" s="111"/>
    </row>
    <row r="1723" spans="3:20" s="4" customFormat="1" x14ac:dyDescent="0.25">
      <c r="C1723" s="3"/>
      <c r="D1723" s="3"/>
      <c r="E1723" s="3"/>
      <c r="F1723" s="3"/>
      <c r="G1723" s="3"/>
      <c r="H1723" s="3"/>
      <c r="I1723" s="3"/>
      <c r="J1723" s="3"/>
      <c r="K1723" s="3"/>
      <c r="L1723" s="3"/>
      <c r="M1723" s="3"/>
      <c r="N1723" s="3"/>
      <c r="O1723" s="3"/>
      <c r="P1723" s="3"/>
      <c r="Q1723" s="3"/>
      <c r="R1723" s="111"/>
      <c r="S1723" s="111"/>
      <c r="T1723" s="111"/>
    </row>
    <row r="1724" spans="3:20" s="4" customFormat="1" x14ac:dyDescent="0.25">
      <c r="C1724" s="3"/>
      <c r="D1724" s="3"/>
      <c r="E1724" s="3"/>
      <c r="F1724" s="3"/>
      <c r="G1724" s="3"/>
      <c r="H1724" s="3"/>
      <c r="I1724" s="3"/>
      <c r="J1724" s="3"/>
      <c r="K1724" s="3"/>
      <c r="L1724" s="3"/>
      <c r="M1724" s="3"/>
      <c r="N1724" s="3"/>
      <c r="O1724" s="3"/>
      <c r="P1724" s="3"/>
      <c r="Q1724" s="3"/>
      <c r="R1724" s="111"/>
      <c r="S1724" s="111"/>
      <c r="T1724" s="111"/>
    </row>
    <row r="1725" spans="3:20" s="4" customFormat="1" x14ac:dyDescent="0.25">
      <c r="C1725" s="3"/>
      <c r="D1725" s="3"/>
      <c r="E1725" s="3"/>
      <c r="F1725" s="3"/>
      <c r="G1725" s="3"/>
      <c r="H1725" s="3"/>
      <c r="I1725" s="3"/>
      <c r="J1725" s="3"/>
      <c r="K1725" s="3"/>
      <c r="L1725" s="3"/>
      <c r="M1725" s="3"/>
      <c r="N1725" s="3"/>
      <c r="O1725" s="3"/>
      <c r="P1725" s="3"/>
      <c r="Q1725" s="3"/>
      <c r="R1725" s="111"/>
      <c r="S1725" s="111"/>
      <c r="T1725" s="111"/>
    </row>
    <row r="1726" spans="3:20" s="4" customFormat="1" x14ac:dyDescent="0.25">
      <c r="C1726" s="3"/>
      <c r="D1726" s="3"/>
      <c r="E1726" s="3"/>
      <c r="F1726" s="3"/>
      <c r="G1726" s="3"/>
      <c r="H1726" s="3"/>
      <c r="I1726" s="3"/>
      <c r="J1726" s="3"/>
      <c r="K1726" s="3"/>
      <c r="L1726" s="3"/>
      <c r="M1726" s="3"/>
      <c r="N1726" s="3"/>
      <c r="O1726" s="3"/>
      <c r="P1726" s="3"/>
      <c r="Q1726" s="3"/>
      <c r="R1726" s="111"/>
      <c r="S1726" s="111"/>
      <c r="T1726" s="111"/>
    </row>
    <row r="1727" spans="3:20" s="4" customFormat="1" x14ac:dyDescent="0.25">
      <c r="C1727" s="3"/>
      <c r="D1727" s="3"/>
      <c r="E1727" s="3"/>
      <c r="F1727" s="3"/>
      <c r="G1727" s="3"/>
      <c r="H1727" s="3"/>
      <c r="I1727" s="3"/>
      <c r="J1727" s="3"/>
      <c r="K1727" s="3"/>
      <c r="L1727" s="3"/>
      <c r="M1727" s="3"/>
      <c r="N1727" s="3"/>
      <c r="O1727" s="3"/>
      <c r="P1727" s="3"/>
      <c r="Q1727" s="3"/>
      <c r="R1727" s="111"/>
      <c r="S1727" s="111"/>
      <c r="T1727" s="111"/>
    </row>
    <row r="1728" spans="3:20" s="4" customFormat="1" x14ac:dyDescent="0.25">
      <c r="C1728" s="3"/>
      <c r="D1728" s="3"/>
      <c r="E1728" s="3"/>
      <c r="F1728" s="3"/>
      <c r="G1728" s="3"/>
      <c r="H1728" s="3"/>
      <c r="I1728" s="3"/>
      <c r="J1728" s="3"/>
      <c r="K1728" s="3"/>
      <c r="L1728" s="3"/>
      <c r="M1728" s="3"/>
      <c r="N1728" s="3"/>
      <c r="O1728" s="3"/>
      <c r="P1728" s="3"/>
      <c r="Q1728" s="3"/>
      <c r="R1728" s="111"/>
      <c r="S1728" s="111"/>
      <c r="T1728" s="111"/>
    </row>
    <row r="1729" spans="3:20" s="4" customFormat="1" x14ac:dyDescent="0.25">
      <c r="C1729" s="3"/>
      <c r="D1729" s="3"/>
      <c r="E1729" s="3"/>
      <c r="F1729" s="3"/>
      <c r="G1729" s="3"/>
      <c r="H1729" s="3"/>
      <c r="I1729" s="3"/>
      <c r="J1729" s="3"/>
      <c r="K1729" s="3"/>
      <c r="L1729" s="3"/>
      <c r="M1729" s="3"/>
      <c r="N1729" s="3"/>
      <c r="O1729" s="3"/>
      <c r="P1729" s="3"/>
      <c r="Q1729" s="3"/>
      <c r="R1729" s="111"/>
      <c r="S1729" s="111"/>
      <c r="T1729" s="111"/>
    </row>
    <row r="1730" spans="3:20" s="4" customFormat="1" x14ac:dyDescent="0.25">
      <c r="C1730" s="3"/>
      <c r="D1730" s="3"/>
      <c r="E1730" s="3"/>
      <c r="F1730" s="3"/>
      <c r="G1730" s="3"/>
      <c r="H1730" s="3"/>
      <c r="I1730" s="3"/>
      <c r="J1730" s="3"/>
      <c r="K1730" s="3"/>
      <c r="L1730" s="3"/>
      <c r="M1730" s="3"/>
      <c r="N1730" s="3"/>
      <c r="O1730" s="3"/>
      <c r="P1730" s="3"/>
      <c r="Q1730" s="3"/>
      <c r="R1730" s="111"/>
      <c r="S1730" s="111"/>
      <c r="T1730" s="111"/>
    </row>
    <row r="1731" spans="3:20" s="4" customFormat="1" x14ac:dyDescent="0.25">
      <c r="C1731" s="3"/>
      <c r="D1731" s="3"/>
      <c r="E1731" s="3"/>
      <c r="F1731" s="3"/>
      <c r="G1731" s="3"/>
      <c r="H1731" s="3"/>
      <c r="I1731" s="3"/>
      <c r="J1731" s="3"/>
      <c r="K1731" s="3"/>
      <c r="L1731" s="3"/>
      <c r="M1731" s="3"/>
      <c r="N1731" s="3"/>
      <c r="O1731" s="3"/>
      <c r="P1731" s="3"/>
      <c r="Q1731" s="3"/>
      <c r="R1731" s="111"/>
      <c r="S1731" s="111"/>
      <c r="T1731" s="111"/>
    </row>
    <row r="1732" spans="3:20" s="4" customFormat="1" x14ac:dyDescent="0.25">
      <c r="C1732" s="3"/>
      <c r="D1732" s="3"/>
      <c r="E1732" s="3"/>
      <c r="F1732" s="3"/>
      <c r="G1732" s="3"/>
      <c r="H1732" s="3"/>
      <c r="I1732" s="3"/>
      <c r="J1732" s="3"/>
      <c r="K1732" s="3"/>
      <c r="L1732" s="3"/>
      <c r="M1732" s="3"/>
      <c r="N1732" s="3"/>
      <c r="O1732" s="3"/>
      <c r="P1732" s="3"/>
      <c r="Q1732" s="3"/>
      <c r="R1732" s="111"/>
      <c r="S1732" s="111"/>
      <c r="T1732" s="111"/>
    </row>
    <row r="1733" spans="3:20" s="4" customFormat="1" x14ac:dyDescent="0.25">
      <c r="C1733" s="3"/>
      <c r="D1733" s="3"/>
      <c r="E1733" s="3"/>
      <c r="F1733" s="3"/>
      <c r="G1733" s="3"/>
      <c r="H1733" s="3"/>
      <c r="I1733" s="3"/>
      <c r="J1733" s="3"/>
      <c r="K1733" s="3"/>
      <c r="L1733" s="3"/>
      <c r="M1733" s="3"/>
      <c r="N1733" s="3"/>
      <c r="O1733" s="3"/>
      <c r="P1733" s="3"/>
      <c r="Q1733" s="3"/>
      <c r="R1733" s="111"/>
      <c r="S1733" s="111"/>
      <c r="T1733" s="111"/>
    </row>
    <row r="1734" spans="3:20" s="4" customFormat="1" x14ac:dyDescent="0.25">
      <c r="C1734" s="3"/>
      <c r="D1734" s="3"/>
      <c r="E1734" s="3"/>
      <c r="F1734" s="3"/>
      <c r="G1734" s="3"/>
      <c r="H1734" s="3"/>
      <c r="I1734" s="3"/>
      <c r="J1734" s="3"/>
      <c r="K1734" s="3"/>
      <c r="L1734" s="3"/>
      <c r="M1734" s="3"/>
      <c r="N1734" s="3"/>
      <c r="O1734" s="3"/>
      <c r="P1734" s="3"/>
      <c r="Q1734" s="3"/>
      <c r="R1734" s="111"/>
      <c r="S1734" s="111"/>
      <c r="T1734" s="111"/>
    </row>
    <row r="1735" spans="3:20" s="4" customFormat="1" x14ac:dyDescent="0.25">
      <c r="C1735" s="3"/>
      <c r="D1735" s="3"/>
      <c r="E1735" s="3"/>
      <c r="F1735" s="3"/>
      <c r="G1735" s="3"/>
      <c r="H1735" s="3"/>
      <c r="I1735" s="3"/>
      <c r="J1735" s="3"/>
      <c r="K1735" s="3"/>
      <c r="L1735" s="3"/>
      <c r="M1735" s="3"/>
      <c r="N1735" s="3"/>
      <c r="O1735" s="3"/>
      <c r="P1735" s="3"/>
      <c r="Q1735" s="3"/>
      <c r="R1735" s="111"/>
      <c r="S1735" s="111"/>
      <c r="T1735" s="111"/>
    </row>
    <row r="1736" spans="3:20" s="4" customFormat="1" x14ac:dyDescent="0.25">
      <c r="C1736" s="3"/>
      <c r="D1736" s="3"/>
      <c r="E1736" s="3"/>
      <c r="F1736" s="3"/>
      <c r="G1736" s="3"/>
      <c r="H1736" s="3"/>
      <c r="I1736" s="3"/>
      <c r="J1736" s="3"/>
      <c r="K1736" s="3"/>
      <c r="L1736" s="3"/>
      <c r="M1736" s="3"/>
      <c r="N1736" s="3"/>
      <c r="O1736" s="3"/>
      <c r="P1736" s="3"/>
      <c r="Q1736" s="3"/>
      <c r="R1736" s="111"/>
      <c r="S1736" s="111"/>
      <c r="T1736" s="111"/>
    </row>
    <row r="1737" spans="3:20" s="4" customFormat="1" x14ac:dyDescent="0.25">
      <c r="C1737" s="3"/>
      <c r="D1737" s="3"/>
      <c r="E1737" s="3"/>
      <c r="F1737" s="3"/>
      <c r="G1737" s="3"/>
      <c r="H1737" s="3"/>
      <c r="I1737" s="3"/>
      <c r="J1737" s="3"/>
      <c r="K1737" s="3"/>
      <c r="L1737" s="3"/>
      <c r="M1737" s="3"/>
      <c r="N1737" s="3"/>
      <c r="O1737" s="3"/>
      <c r="P1737" s="3"/>
      <c r="Q1737" s="3"/>
      <c r="R1737" s="111"/>
      <c r="S1737" s="111"/>
      <c r="T1737" s="111"/>
    </row>
    <row r="1738" spans="3:20" s="4" customFormat="1" x14ac:dyDescent="0.25">
      <c r="C1738" s="3"/>
      <c r="D1738" s="3"/>
      <c r="E1738" s="3"/>
      <c r="F1738" s="3"/>
      <c r="G1738" s="3"/>
      <c r="H1738" s="3"/>
      <c r="I1738" s="3"/>
      <c r="J1738" s="3"/>
      <c r="K1738" s="3"/>
      <c r="L1738" s="3"/>
      <c r="M1738" s="3"/>
      <c r="N1738" s="3"/>
      <c r="O1738" s="3"/>
      <c r="P1738" s="3"/>
      <c r="Q1738" s="3"/>
      <c r="R1738" s="111"/>
      <c r="S1738" s="111"/>
      <c r="T1738" s="111"/>
    </row>
    <row r="1739" spans="3:20" s="4" customFormat="1" x14ac:dyDescent="0.25">
      <c r="C1739" s="3"/>
      <c r="D1739" s="3"/>
      <c r="E1739" s="3"/>
      <c r="F1739" s="3"/>
      <c r="G1739" s="3"/>
      <c r="H1739" s="3"/>
      <c r="I1739" s="3"/>
      <c r="J1739" s="3"/>
      <c r="K1739" s="3"/>
      <c r="L1739" s="3"/>
      <c r="M1739" s="3"/>
      <c r="N1739" s="3"/>
      <c r="O1739" s="3"/>
      <c r="P1739" s="3"/>
      <c r="Q1739" s="3"/>
      <c r="R1739" s="111"/>
      <c r="S1739" s="111"/>
      <c r="T1739" s="111"/>
    </row>
    <row r="1740" spans="3:20" s="4" customFormat="1" x14ac:dyDescent="0.25">
      <c r="C1740" s="3"/>
      <c r="D1740" s="3"/>
      <c r="E1740" s="3"/>
      <c r="F1740" s="3"/>
      <c r="G1740" s="3"/>
      <c r="H1740" s="3"/>
      <c r="I1740" s="3"/>
      <c r="J1740" s="3"/>
      <c r="K1740" s="3"/>
      <c r="L1740" s="3"/>
      <c r="M1740" s="3"/>
      <c r="N1740" s="3"/>
      <c r="O1740" s="3"/>
      <c r="P1740" s="3"/>
      <c r="Q1740" s="3"/>
      <c r="R1740" s="111"/>
      <c r="S1740" s="111"/>
      <c r="T1740" s="111"/>
    </row>
    <row r="1741" spans="3:20" s="4" customFormat="1" x14ac:dyDescent="0.25">
      <c r="C1741" s="3"/>
      <c r="D1741" s="3"/>
      <c r="E1741" s="3"/>
      <c r="F1741" s="3"/>
      <c r="G1741" s="3"/>
      <c r="H1741" s="3"/>
      <c r="I1741" s="3"/>
      <c r="J1741" s="3"/>
      <c r="K1741" s="3"/>
      <c r="L1741" s="3"/>
      <c r="M1741" s="3"/>
      <c r="N1741" s="3"/>
      <c r="O1741" s="3"/>
      <c r="P1741" s="3"/>
      <c r="Q1741" s="3"/>
      <c r="R1741" s="111"/>
      <c r="S1741" s="111"/>
      <c r="T1741" s="111"/>
    </row>
    <row r="1742" spans="3:20" s="4" customFormat="1" x14ac:dyDescent="0.25">
      <c r="C1742" s="3"/>
      <c r="D1742" s="3"/>
      <c r="E1742" s="3"/>
      <c r="F1742" s="3"/>
      <c r="G1742" s="3"/>
      <c r="H1742" s="3"/>
      <c r="I1742" s="3"/>
      <c r="J1742" s="3"/>
      <c r="K1742" s="3"/>
      <c r="L1742" s="3"/>
      <c r="M1742" s="3"/>
      <c r="N1742" s="3"/>
      <c r="O1742" s="3"/>
      <c r="P1742" s="3"/>
      <c r="Q1742" s="3"/>
      <c r="R1742" s="111"/>
      <c r="S1742" s="111"/>
      <c r="T1742" s="111"/>
    </row>
    <row r="1743" spans="3:20" s="4" customFormat="1" x14ac:dyDescent="0.25">
      <c r="C1743" s="3"/>
      <c r="D1743" s="3"/>
      <c r="E1743" s="3"/>
      <c r="F1743" s="3"/>
      <c r="G1743" s="3"/>
      <c r="H1743" s="3"/>
      <c r="I1743" s="3"/>
      <c r="J1743" s="3"/>
      <c r="K1743" s="3"/>
      <c r="L1743" s="3"/>
      <c r="M1743" s="3"/>
      <c r="N1743" s="3"/>
      <c r="O1743" s="3"/>
      <c r="P1743" s="3"/>
      <c r="Q1743" s="3"/>
      <c r="R1743" s="111"/>
      <c r="S1743" s="111"/>
      <c r="T1743" s="111"/>
    </row>
    <row r="1744" spans="3:20" s="4" customFormat="1" x14ac:dyDescent="0.25">
      <c r="C1744" s="3"/>
      <c r="D1744" s="3"/>
      <c r="E1744" s="3"/>
      <c r="F1744" s="3"/>
      <c r="G1744" s="3"/>
      <c r="H1744" s="3"/>
      <c r="I1744" s="3"/>
      <c r="J1744" s="3"/>
      <c r="K1744" s="3"/>
      <c r="L1744" s="3"/>
      <c r="M1744" s="3"/>
      <c r="N1744" s="3"/>
      <c r="O1744" s="3"/>
      <c r="P1744" s="3"/>
      <c r="Q1744" s="3"/>
      <c r="R1744" s="111"/>
      <c r="S1744" s="111"/>
      <c r="T1744" s="111"/>
    </row>
    <row r="1745" spans="3:20" s="4" customFormat="1" x14ac:dyDescent="0.25">
      <c r="C1745" s="3"/>
      <c r="D1745" s="3"/>
      <c r="E1745" s="3"/>
      <c r="F1745" s="3"/>
      <c r="G1745" s="3"/>
      <c r="H1745" s="3"/>
      <c r="I1745" s="3"/>
      <c r="J1745" s="3"/>
      <c r="K1745" s="3"/>
      <c r="L1745" s="3"/>
      <c r="M1745" s="3"/>
      <c r="N1745" s="3"/>
      <c r="O1745" s="3"/>
      <c r="P1745" s="3"/>
      <c r="Q1745" s="3"/>
      <c r="R1745" s="111"/>
      <c r="S1745" s="111"/>
      <c r="T1745" s="111"/>
    </row>
    <row r="1746" spans="3:20" s="4" customFormat="1" x14ac:dyDescent="0.25">
      <c r="C1746" s="3"/>
      <c r="D1746" s="3"/>
      <c r="E1746" s="3"/>
      <c r="F1746" s="3"/>
      <c r="G1746" s="3"/>
      <c r="H1746" s="3"/>
      <c r="I1746" s="3"/>
      <c r="J1746" s="3"/>
      <c r="K1746" s="3"/>
      <c r="L1746" s="3"/>
      <c r="M1746" s="3"/>
      <c r="N1746" s="3"/>
      <c r="O1746" s="3"/>
      <c r="P1746" s="3"/>
      <c r="Q1746" s="3"/>
      <c r="R1746" s="111"/>
      <c r="S1746" s="111"/>
      <c r="T1746" s="111"/>
    </row>
    <row r="1747" spans="3:20" s="4" customFormat="1" x14ac:dyDescent="0.25">
      <c r="C1747" s="3"/>
      <c r="D1747" s="3"/>
      <c r="E1747" s="3"/>
      <c r="F1747" s="3"/>
      <c r="G1747" s="3"/>
      <c r="H1747" s="3"/>
      <c r="I1747" s="3"/>
      <c r="J1747" s="3"/>
      <c r="K1747" s="3"/>
      <c r="L1747" s="3"/>
      <c r="M1747" s="3"/>
      <c r="N1747" s="3"/>
      <c r="O1747" s="3"/>
      <c r="P1747" s="3"/>
      <c r="Q1747" s="3"/>
      <c r="R1747" s="111"/>
      <c r="S1747" s="111"/>
      <c r="T1747" s="111"/>
    </row>
    <row r="1748" spans="3:20" s="4" customFormat="1" x14ac:dyDescent="0.25">
      <c r="C1748" s="3"/>
      <c r="D1748" s="3"/>
      <c r="E1748" s="3"/>
      <c r="F1748" s="3"/>
      <c r="G1748" s="3"/>
      <c r="H1748" s="3"/>
      <c r="I1748" s="3"/>
      <c r="J1748" s="3"/>
      <c r="K1748" s="3"/>
      <c r="L1748" s="3"/>
      <c r="M1748" s="3"/>
      <c r="N1748" s="3"/>
      <c r="O1748" s="3"/>
      <c r="P1748" s="3"/>
      <c r="Q1748" s="3"/>
      <c r="R1748" s="111"/>
      <c r="S1748" s="111"/>
      <c r="T1748" s="111"/>
    </row>
    <row r="1749" spans="3:20" s="4" customFormat="1" x14ac:dyDescent="0.25">
      <c r="C1749" s="3"/>
      <c r="D1749" s="3"/>
      <c r="E1749" s="3"/>
      <c r="F1749" s="3"/>
      <c r="G1749" s="3"/>
      <c r="H1749" s="3"/>
      <c r="I1749" s="3"/>
      <c r="J1749" s="3"/>
      <c r="K1749" s="3"/>
      <c r="L1749" s="3"/>
      <c r="M1749" s="3"/>
      <c r="N1749" s="3"/>
      <c r="O1749" s="3"/>
      <c r="P1749" s="3"/>
      <c r="Q1749" s="3"/>
      <c r="R1749" s="111"/>
      <c r="S1749" s="111"/>
      <c r="T1749" s="111"/>
    </row>
    <row r="1750" spans="3:20" s="4" customFormat="1" x14ac:dyDescent="0.25">
      <c r="C1750" s="3"/>
      <c r="D1750" s="3"/>
      <c r="E1750" s="3"/>
      <c r="F1750" s="3"/>
      <c r="G1750" s="3"/>
      <c r="H1750" s="3"/>
      <c r="I1750" s="3"/>
      <c r="J1750" s="3"/>
      <c r="K1750" s="3"/>
      <c r="L1750" s="3"/>
      <c r="M1750" s="3"/>
      <c r="N1750" s="3"/>
      <c r="O1750" s="3"/>
      <c r="P1750" s="3"/>
      <c r="Q1750" s="3"/>
      <c r="R1750" s="111"/>
      <c r="S1750" s="111"/>
      <c r="T1750" s="111"/>
    </row>
    <row r="1751" spans="3:20" s="4" customFormat="1" x14ac:dyDescent="0.25">
      <c r="C1751" s="3"/>
      <c r="D1751" s="3"/>
      <c r="E1751" s="3"/>
      <c r="F1751" s="3"/>
      <c r="G1751" s="3"/>
      <c r="H1751" s="3"/>
      <c r="I1751" s="3"/>
      <c r="J1751" s="3"/>
      <c r="K1751" s="3"/>
      <c r="L1751" s="3"/>
      <c r="M1751" s="3"/>
      <c r="N1751" s="3"/>
      <c r="O1751" s="3"/>
      <c r="P1751" s="3"/>
      <c r="Q1751" s="3"/>
      <c r="R1751" s="111"/>
      <c r="S1751" s="111"/>
      <c r="T1751" s="111"/>
    </row>
    <row r="1752" spans="3:20" s="4" customFormat="1" x14ac:dyDescent="0.25">
      <c r="C1752" s="3"/>
      <c r="D1752" s="3"/>
      <c r="E1752" s="3"/>
      <c r="F1752" s="3"/>
      <c r="G1752" s="3"/>
      <c r="H1752" s="3"/>
      <c r="I1752" s="3"/>
      <c r="J1752" s="3"/>
      <c r="K1752" s="3"/>
      <c r="L1752" s="3"/>
      <c r="M1752" s="3"/>
      <c r="N1752" s="3"/>
      <c r="O1752" s="3"/>
      <c r="P1752" s="3"/>
      <c r="Q1752" s="3"/>
      <c r="R1752" s="111"/>
      <c r="S1752" s="111"/>
      <c r="T1752" s="111"/>
    </row>
    <row r="1753" spans="3:20" s="4" customFormat="1" x14ac:dyDescent="0.25">
      <c r="C1753" s="3"/>
      <c r="D1753" s="3"/>
      <c r="E1753" s="3"/>
      <c r="F1753" s="3"/>
      <c r="G1753" s="3"/>
      <c r="H1753" s="3"/>
      <c r="I1753" s="3"/>
      <c r="J1753" s="3"/>
      <c r="K1753" s="3"/>
      <c r="L1753" s="3"/>
      <c r="M1753" s="3"/>
      <c r="N1753" s="3"/>
      <c r="O1753" s="3"/>
      <c r="P1753" s="3"/>
      <c r="Q1753" s="3"/>
      <c r="R1753" s="111"/>
      <c r="S1753" s="111"/>
      <c r="T1753" s="111"/>
    </row>
    <row r="1754" spans="3:20" s="4" customFormat="1" x14ac:dyDescent="0.25">
      <c r="C1754" s="3"/>
      <c r="D1754" s="3"/>
      <c r="E1754" s="3"/>
      <c r="F1754" s="3"/>
      <c r="G1754" s="3"/>
      <c r="H1754" s="3"/>
      <c r="I1754" s="3"/>
      <c r="J1754" s="3"/>
      <c r="K1754" s="3"/>
      <c r="L1754" s="3"/>
      <c r="M1754" s="3"/>
      <c r="N1754" s="3"/>
      <c r="O1754" s="3"/>
      <c r="P1754" s="3"/>
      <c r="Q1754" s="3"/>
      <c r="R1754" s="111"/>
      <c r="S1754" s="111"/>
      <c r="T1754" s="111"/>
    </row>
    <row r="1755" spans="3:20" s="4" customFormat="1" x14ac:dyDescent="0.25">
      <c r="C1755" s="3"/>
      <c r="D1755" s="3"/>
      <c r="E1755" s="3"/>
      <c r="F1755" s="3"/>
      <c r="G1755" s="3"/>
      <c r="H1755" s="3"/>
      <c r="I1755" s="3"/>
      <c r="J1755" s="3"/>
      <c r="K1755" s="3"/>
      <c r="L1755" s="3"/>
      <c r="M1755" s="3"/>
      <c r="N1755" s="3"/>
      <c r="O1755" s="3"/>
      <c r="P1755" s="3"/>
      <c r="Q1755" s="3"/>
      <c r="R1755" s="111"/>
      <c r="S1755" s="111"/>
      <c r="T1755" s="111"/>
    </row>
    <row r="1756" spans="3:20" s="4" customFormat="1" x14ac:dyDescent="0.25">
      <c r="C1756" s="3"/>
      <c r="D1756" s="3"/>
      <c r="E1756" s="3"/>
      <c r="F1756" s="3"/>
      <c r="G1756" s="3"/>
      <c r="H1756" s="3"/>
      <c r="I1756" s="3"/>
      <c r="J1756" s="3"/>
      <c r="K1756" s="3"/>
      <c r="L1756" s="3"/>
      <c r="M1756" s="3"/>
      <c r="N1756" s="3"/>
      <c r="O1756" s="3"/>
      <c r="P1756" s="3"/>
      <c r="Q1756" s="3"/>
      <c r="R1756" s="111"/>
      <c r="S1756" s="111"/>
      <c r="T1756" s="111"/>
    </row>
    <row r="1757" spans="3:20" s="4" customFormat="1" x14ac:dyDescent="0.25">
      <c r="C1757" s="3"/>
      <c r="D1757" s="3"/>
      <c r="E1757" s="3"/>
      <c r="F1757" s="3"/>
      <c r="G1757" s="3"/>
      <c r="H1757" s="3"/>
      <c r="I1757" s="3"/>
      <c r="J1757" s="3"/>
      <c r="K1757" s="3"/>
      <c r="L1757" s="3"/>
      <c r="M1757" s="3"/>
      <c r="N1757" s="3"/>
      <c r="O1757" s="3"/>
      <c r="P1757" s="3"/>
      <c r="Q1757" s="3"/>
      <c r="R1757" s="111"/>
      <c r="S1757" s="111"/>
      <c r="T1757" s="111"/>
    </row>
    <row r="1758" spans="3:20" s="4" customFormat="1" x14ac:dyDescent="0.25">
      <c r="C1758" s="3"/>
      <c r="D1758" s="3"/>
      <c r="E1758" s="3"/>
      <c r="F1758" s="3"/>
      <c r="G1758" s="3"/>
      <c r="H1758" s="3"/>
      <c r="I1758" s="3"/>
      <c r="J1758" s="3"/>
      <c r="K1758" s="3"/>
      <c r="L1758" s="3"/>
      <c r="M1758" s="3"/>
      <c r="N1758" s="3"/>
      <c r="O1758" s="3"/>
      <c r="P1758" s="3"/>
      <c r="Q1758" s="3"/>
      <c r="R1758" s="111"/>
      <c r="S1758" s="111"/>
      <c r="T1758" s="111"/>
    </row>
    <row r="1759" spans="3:20" s="4" customFormat="1" x14ac:dyDescent="0.25">
      <c r="C1759" s="3"/>
      <c r="D1759" s="3"/>
      <c r="E1759" s="3"/>
      <c r="F1759" s="3"/>
      <c r="G1759" s="3"/>
      <c r="H1759" s="3"/>
      <c r="I1759" s="3"/>
      <c r="J1759" s="3"/>
      <c r="K1759" s="3"/>
      <c r="L1759" s="3"/>
      <c r="M1759" s="3"/>
      <c r="N1759" s="3"/>
      <c r="O1759" s="3"/>
      <c r="P1759" s="3"/>
      <c r="Q1759" s="3"/>
      <c r="R1759" s="111"/>
      <c r="S1759" s="111"/>
      <c r="T1759" s="111"/>
    </row>
    <row r="1760" spans="3:20" s="4" customFormat="1" x14ac:dyDescent="0.25">
      <c r="C1760" s="3"/>
      <c r="D1760" s="3"/>
      <c r="E1760" s="3"/>
      <c r="F1760" s="3"/>
      <c r="G1760" s="3"/>
      <c r="H1760" s="3"/>
      <c r="I1760" s="3"/>
      <c r="J1760" s="3"/>
      <c r="K1760" s="3"/>
      <c r="L1760" s="3"/>
      <c r="M1760" s="3"/>
      <c r="N1760" s="3"/>
      <c r="O1760" s="3"/>
      <c r="P1760" s="3"/>
      <c r="Q1760" s="3"/>
      <c r="R1760" s="111"/>
      <c r="S1760" s="111"/>
      <c r="T1760" s="111"/>
    </row>
    <row r="1761" spans="3:20" s="4" customFormat="1" x14ac:dyDescent="0.25">
      <c r="C1761" s="3"/>
      <c r="D1761" s="3"/>
      <c r="E1761" s="3"/>
      <c r="F1761" s="3"/>
      <c r="G1761" s="3"/>
      <c r="H1761" s="3"/>
      <c r="I1761" s="3"/>
      <c r="J1761" s="3"/>
      <c r="K1761" s="3"/>
      <c r="L1761" s="3"/>
      <c r="M1761" s="3"/>
      <c r="N1761" s="3"/>
      <c r="O1761" s="3"/>
      <c r="P1761" s="3"/>
      <c r="Q1761" s="3"/>
      <c r="R1761" s="111"/>
      <c r="S1761" s="111"/>
      <c r="T1761" s="111"/>
    </row>
    <row r="1762" spans="3:20" s="4" customFormat="1" x14ac:dyDescent="0.25">
      <c r="C1762" s="3"/>
      <c r="D1762" s="3"/>
      <c r="E1762" s="3"/>
      <c r="F1762" s="3"/>
      <c r="G1762" s="3"/>
      <c r="H1762" s="3"/>
      <c r="I1762" s="3"/>
      <c r="J1762" s="3"/>
      <c r="K1762" s="3"/>
      <c r="L1762" s="3"/>
      <c r="M1762" s="3"/>
      <c r="N1762" s="3"/>
      <c r="O1762" s="3"/>
      <c r="P1762" s="3"/>
      <c r="Q1762" s="3"/>
      <c r="R1762" s="111"/>
      <c r="S1762" s="111"/>
      <c r="T1762" s="111"/>
    </row>
    <row r="1763" spans="3:20" s="4" customFormat="1" x14ac:dyDescent="0.25">
      <c r="C1763" s="3"/>
      <c r="D1763" s="3"/>
      <c r="E1763" s="3"/>
      <c r="F1763" s="3"/>
      <c r="G1763" s="3"/>
      <c r="H1763" s="3"/>
      <c r="I1763" s="3"/>
      <c r="J1763" s="3"/>
      <c r="K1763" s="3"/>
      <c r="L1763" s="3"/>
      <c r="M1763" s="3"/>
      <c r="N1763" s="3"/>
      <c r="O1763" s="3"/>
      <c r="P1763" s="3"/>
      <c r="Q1763" s="3"/>
      <c r="R1763" s="111"/>
      <c r="S1763" s="111"/>
      <c r="T1763" s="111"/>
    </row>
    <row r="1764" spans="3:20" s="4" customFormat="1" x14ac:dyDescent="0.25">
      <c r="C1764" s="3"/>
      <c r="D1764" s="3"/>
      <c r="E1764" s="3"/>
      <c r="F1764" s="3"/>
      <c r="G1764" s="3"/>
      <c r="H1764" s="3"/>
      <c r="I1764" s="3"/>
      <c r="J1764" s="3"/>
      <c r="K1764" s="3"/>
      <c r="L1764" s="3"/>
      <c r="M1764" s="3"/>
      <c r="N1764" s="3"/>
      <c r="O1764" s="3"/>
      <c r="P1764" s="3"/>
      <c r="Q1764" s="3"/>
      <c r="R1764" s="111"/>
      <c r="S1764" s="111"/>
      <c r="T1764" s="111"/>
    </row>
    <row r="1765" spans="3:20" s="4" customFormat="1" x14ac:dyDescent="0.25">
      <c r="C1765" s="3"/>
      <c r="D1765" s="3"/>
      <c r="E1765" s="3"/>
      <c r="F1765" s="3"/>
      <c r="G1765" s="3"/>
      <c r="H1765" s="3"/>
      <c r="I1765" s="3"/>
      <c r="J1765" s="3"/>
      <c r="K1765" s="3"/>
      <c r="L1765" s="3"/>
      <c r="M1765" s="3"/>
      <c r="N1765" s="3"/>
      <c r="O1765" s="3"/>
      <c r="P1765" s="3"/>
      <c r="Q1765" s="3"/>
      <c r="R1765" s="111"/>
      <c r="S1765" s="111"/>
      <c r="T1765" s="111"/>
    </row>
    <row r="1766" spans="3:20" s="4" customFormat="1" x14ac:dyDescent="0.25">
      <c r="C1766" s="3"/>
      <c r="D1766" s="3"/>
      <c r="E1766" s="3"/>
      <c r="F1766" s="3"/>
      <c r="G1766" s="3"/>
      <c r="H1766" s="3"/>
      <c r="I1766" s="3"/>
      <c r="J1766" s="3"/>
      <c r="K1766" s="3"/>
      <c r="L1766" s="3"/>
      <c r="M1766" s="3"/>
      <c r="N1766" s="3"/>
      <c r="O1766" s="3"/>
      <c r="P1766" s="3"/>
      <c r="Q1766" s="3"/>
      <c r="R1766" s="111"/>
      <c r="S1766" s="111"/>
      <c r="T1766" s="111"/>
    </row>
    <row r="1767" spans="3:20" s="4" customFormat="1" x14ac:dyDescent="0.25">
      <c r="C1767" s="3"/>
      <c r="D1767" s="3"/>
      <c r="E1767" s="3"/>
      <c r="F1767" s="3"/>
      <c r="G1767" s="3"/>
      <c r="H1767" s="3"/>
      <c r="I1767" s="3"/>
      <c r="J1767" s="3"/>
      <c r="K1767" s="3"/>
      <c r="L1767" s="3"/>
      <c r="M1767" s="3"/>
      <c r="N1767" s="3"/>
      <c r="O1767" s="3"/>
      <c r="P1767" s="3"/>
      <c r="Q1767" s="3"/>
      <c r="R1767" s="111"/>
      <c r="S1767" s="111"/>
      <c r="T1767" s="111"/>
    </row>
    <row r="1768" spans="3:20" s="4" customFormat="1" x14ac:dyDescent="0.25">
      <c r="C1768" s="3"/>
      <c r="D1768" s="3"/>
      <c r="E1768" s="3"/>
      <c r="F1768" s="3"/>
      <c r="G1768" s="3"/>
      <c r="H1768" s="3"/>
      <c r="I1768" s="3"/>
      <c r="J1768" s="3"/>
      <c r="K1768" s="3"/>
      <c r="L1768" s="3"/>
      <c r="M1768" s="3"/>
      <c r="N1768" s="3"/>
      <c r="O1768" s="3"/>
      <c r="P1768" s="3"/>
      <c r="Q1768" s="3"/>
      <c r="R1768" s="111"/>
      <c r="S1768" s="111"/>
      <c r="T1768" s="111"/>
    </row>
    <row r="1769" spans="3:20" s="4" customFormat="1" x14ac:dyDescent="0.25">
      <c r="C1769" s="3"/>
      <c r="D1769" s="3"/>
      <c r="E1769" s="3"/>
      <c r="F1769" s="3"/>
      <c r="G1769" s="3"/>
      <c r="H1769" s="3"/>
      <c r="I1769" s="3"/>
      <c r="J1769" s="3"/>
      <c r="K1769" s="3"/>
      <c r="L1769" s="3"/>
      <c r="M1769" s="3"/>
      <c r="N1769" s="3"/>
      <c r="O1769" s="3"/>
      <c r="P1769" s="3"/>
      <c r="Q1769" s="3"/>
      <c r="R1769" s="111"/>
      <c r="S1769" s="111"/>
      <c r="T1769" s="111"/>
    </row>
    <row r="1770" spans="3:20" s="4" customFormat="1" x14ac:dyDescent="0.25">
      <c r="C1770" s="3"/>
      <c r="D1770" s="3"/>
      <c r="E1770" s="3"/>
      <c r="F1770" s="3"/>
      <c r="G1770" s="3"/>
      <c r="H1770" s="3"/>
      <c r="I1770" s="3"/>
      <c r="J1770" s="3"/>
      <c r="K1770" s="3"/>
      <c r="L1770" s="3"/>
      <c r="M1770" s="3"/>
      <c r="N1770" s="3"/>
      <c r="O1770" s="3"/>
      <c r="P1770" s="3"/>
      <c r="Q1770" s="3"/>
      <c r="R1770" s="111"/>
      <c r="S1770" s="111"/>
      <c r="T1770" s="111"/>
    </row>
    <row r="1771" spans="3:20" s="4" customFormat="1" x14ac:dyDescent="0.25">
      <c r="C1771" s="3"/>
      <c r="D1771" s="3"/>
      <c r="E1771" s="3"/>
      <c r="F1771" s="3"/>
      <c r="G1771" s="3"/>
      <c r="H1771" s="3"/>
      <c r="I1771" s="3"/>
      <c r="J1771" s="3"/>
      <c r="K1771" s="3"/>
      <c r="L1771" s="3"/>
      <c r="M1771" s="3"/>
      <c r="N1771" s="3"/>
      <c r="O1771" s="3"/>
      <c r="P1771" s="3"/>
      <c r="Q1771" s="3"/>
      <c r="R1771" s="111"/>
      <c r="S1771" s="111"/>
      <c r="T1771" s="111"/>
    </row>
    <row r="1772" spans="3:20" s="4" customFormat="1" x14ac:dyDescent="0.25">
      <c r="C1772" s="3"/>
      <c r="D1772" s="3"/>
      <c r="E1772" s="3"/>
      <c r="F1772" s="3"/>
      <c r="G1772" s="3"/>
      <c r="H1772" s="3"/>
      <c r="I1772" s="3"/>
      <c r="J1772" s="3"/>
      <c r="K1772" s="3"/>
      <c r="L1772" s="3"/>
      <c r="M1772" s="3"/>
      <c r="N1772" s="3"/>
      <c r="O1772" s="3"/>
      <c r="P1772" s="3"/>
      <c r="Q1772" s="3"/>
      <c r="R1772" s="111"/>
      <c r="S1772" s="111"/>
      <c r="T1772" s="111"/>
    </row>
    <row r="1773" spans="3:20" s="4" customFormat="1" x14ac:dyDescent="0.25">
      <c r="C1773" s="3"/>
      <c r="D1773" s="3"/>
      <c r="E1773" s="3"/>
      <c r="F1773" s="3"/>
      <c r="G1773" s="3"/>
      <c r="H1773" s="3"/>
      <c r="I1773" s="3"/>
      <c r="J1773" s="3"/>
      <c r="K1773" s="3"/>
      <c r="L1773" s="3"/>
      <c r="M1773" s="3"/>
      <c r="N1773" s="3"/>
      <c r="O1773" s="3"/>
      <c r="P1773" s="3"/>
      <c r="Q1773" s="3"/>
      <c r="R1773" s="111"/>
      <c r="S1773" s="111"/>
      <c r="T1773" s="111"/>
    </row>
    <row r="1774" spans="3:20" s="4" customFormat="1" x14ac:dyDescent="0.25">
      <c r="C1774" s="3"/>
      <c r="D1774" s="3"/>
      <c r="E1774" s="3"/>
      <c r="F1774" s="3"/>
      <c r="G1774" s="3"/>
      <c r="H1774" s="3"/>
      <c r="I1774" s="3"/>
      <c r="J1774" s="3"/>
      <c r="K1774" s="3"/>
      <c r="L1774" s="3"/>
      <c r="M1774" s="3"/>
      <c r="N1774" s="3"/>
      <c r="O1774" s="3"/>
      <c r="P1774" s="3"/>
      <c r="Q1774" s="3"/>
      <c r="R1774" s="111"/>
      <c r="S1774" s="111"/>
      <c r="T1774" s="111"/>
    </row>
    <row r="1775" spans="3:20" s="4" customFormat="1" x14ac:dyDescent="0.25">
      <c r="C1775" s="3"/>
      <c r="D1775" s="3"/>
      <c r="E1775" s="3"/>
      <c r="F1775" s="3"/>
      <c r="G1775" s="3"/>
      <c r="H1775" s="3"/>
      <c r="I1775" s="3"/>
      <c r="J1775" s="3"/>
      <c r="K1775" s="3"/>
      <c r="L1775" s="3"/>
      <c r="M1775" s="3"/>
      <c r="N1775" s="3"/>
      <c r="O1775" s="3"/>
      <c r="P1775" s="3"/>
      <c r="Q1775" s="3"/>
      <c r="R1775" s="111"/>
      <c r="S1775" s="111"/>
      <c r="T1775" s="111"/>
    </row>
    <row r="1776" spans="3:20" s="4" customFormat="1" x14ac:dyDescent="0.25">
      <c r="C1776" s="3"/>
      <c r="D1776" s="3"/>
      <c r="E1776" s="3"/>
      <c r="F1776" s="3"/>
      <c r="G1776" s="3"/>
      <c r="H1776" s="3"/>
      <c r="I1776" s="3"/>
      <c r="J1776" s="3"/>
      <c r="K1776" s="3"/>
      <c r="L1776" s="3"/>
      <c r="M1776" s="3"/>
      <c r="N1776" s="3"/>
      <c r="O1776" s="3"/>
      <c r="P1776" s="3"/>
      <c r="Q1776" s="3"/>
      <c r="R1776" s="111"/>
      <c r="S1776" s="111"/>
      <c r="T1776" s="111"/>
    </row>
    <row r="1777" spans="3:20" s="4" customFormat="1" x14ac:dyDescent="0.25">
      <c r="C1777" s="3"/>
      <c r="D1777" s="3"/>
      <c r="E1777" s="3"/>
      <c r="F1777" s="3"/>
      <c r="G1777" s="3"/>
      <c r="H1777" s="3"/>
      <c r="I1777" s="3"/>
      <c r="J1777" s="3"/>
      <c r="K1777" s="3"/>
      <c r="L1777" s="3"/>
      <c r="M1777" s="3"/>
      <c r="N1777" s="3"/>
      <c r="O1777" s="3"/>
      <c r="P1777" s="3"/>
      <c r="Q1777" s="3"/>
      <c r="R1777" s="111"/>
      <c r="S1777" s="111"/>
      <c r="T1777" s="111"/>
    </row>
    <row r="1778" spans="3:20" s="4" customFormat="1" x14ac:dyDescent="0.25">
      <c r="C1778" s="3"/>
      <c r="D1778" s="3"/>
      <c r="E1778" s="3"/>
      <c r="F1778" s="3"/>
      <c r="G1778" s="3"/>
      <c r="H1778" s="3"/>
      <c r="I1778" s="3"/>
      <c r="J1778" s="3"/>
      <c r="K1778" s="3"/>
      <c r="L1778" s="3"/>
      <c r="M1778" s="3"/>
      <c r="N1778" s="3"/>
      <c r="O1778" s="3"/>
      <c r="P1778" s="3"/>
      <c r="Q1778" s="3"/>
      <c r="R1778" s="111"/>
      <c r="S1778" s="111"/>
      <c r="T1778" s="111"/>
    </row>
    <row r="1779" spans="3:20" s="4" customFormat="1" x14ac:dyDescent="0.25">
      <c r="C1779" s="3"/>
      <c r="D1779" s="3"/>
      <c r="E1779" s="3"/>
      <c r="F1779" s="3"/>
      <c r="G1779" s="3"/>
      <c r="H1779" s="3"/>
      <c r="I1779" s="3"/>
      <c r="J1779" s="3"/>
      <c r="K1779" s="3"/>
      <c r="L1779" s="3"/>
      <c r="M1779" s="3"/>
      <c r="N1779" s="3"/>
      <c r="O1779" s="3"/>
      <c r="P1779" s="3"/>
      <c r="Q1779" s="3"/>
      <c r="R1779" s="111"/>
      <c r="S1779" s="111"/>
      <c r="T1779" s="111"/>
    </row>
    <row r="1780" spans="3:20" s="4" customFormat="1" x14ac:dyDescent="0.25">
      <c r="C1780" s="3"/>
      <c r="D1780" s="3"/>
      <c r="E1780" s="3"/>
      <c r="F1780" s="3"/>
      <c r="G1780" s="3"/>
      <c r="H1780" s="3"/>
      <c r="I1780" s="3"/>
      <c r="J1780" s="3"/>
      <c r="K1780" s="3"/>
      <c r="L1780" s="3"/>
      <c r="M1780" s="3"/>
      <c r="N1780" s="3"/>
      <c r="O1780" s="3"/>
      <c r="P1780" s="3"/>
      <c r="Q1780" s="3"/>
      <c r="R1780" s="111"/>
      <c r="S1780" s="111"/>
      <c r="T1780" s="111"/>
    </row>
    <row r="1781" spans="3:20" s="4" customFormat="1" x14ac:dyDescent="0.25">
      <c r="C1781" s="3"/>
      <c r="D1781" s="3"/>
      <c r="E1781" s="3"/>
      <c r="F1781" s="3"/>
      <c r="G1781" s="3"/>
      <c r="H1781" s="3"/>
      <c r="I1781" s="3"/>
      <c r="J1781" s="3"/>
      <c r="K1781" s="3"/>
      <c r="L1781" s="3"/>
      <c r="M1781" s="3"/>
      <c r="N1781" s="3"/>
      <c r="O1781" s="3"/>
      <c r="P1781" s="3"/>
      <c r="Q1781" s="3"/>
      <c r="R1781" s="111"/>
      <c r="S1781" s="111"/>
      <c r="T1781" s="111"/>
    </row>
    <row r="1782" spans="3:20" s="4" customFormat="1" x14ac:dyDescent="0.25">
      <c r="C1782" s="3"/>
      <c r="D1782" s="3"/>
      <c r="E1782" s="3"/>
      <c r="F1782" s="3"/>
      <c r="G1782" s="3"/>
      <c r="H1782" s="3"/>
      <c r="I1782" s="3"/>
      <c r="J1782" s="3"/>
      <c r="K1782" s="3"/>
      <c r="L1782" s="3"/>
      <c r="M1782" s="3"/>
      <c r="N1782" s="3"/>
      <c r="O1782" s="3"/>
      <c r="P1782" s="3"/>
      <c r="Q1782" s="3"/>
      <c r="R1782" s="111"/>
      <c r="S1782" s="111"/>
      <c r="T1782" s="111"/>
    </row>
    <row r="1783" spans="3:20" s="4" customFormat="1" x14ac:dyDescent="0.25">
      <c r="C1783" s="3"/>
      <c r="D1783" s="3"/>
      <c r="E1783" s="3"/>
      <c r="F1783" s="3"/>
      <c r="G1783" s="3"/>
      <c r="H1783" s="3"/>
      <c r="I1783" s="3"/>
      <c r="J1783" s="3"/>
      <c r="K1783" s="3"/>
      <c r="L1783" s="3"/>
      <c r="M1783" s="3"/>
      <c r="N1783" s="3"/>
      <c r="O1783" s="3"/>
      <c r="P1783" s="3"/>
      <c r="Q1783" s="3"/>
      <c r="R1783" s="111"/>
      <c r="S1783" s="111"/>
      <c r="T1783" s="111"/>
    </row>
    <row r="1784" spans="3:20" s="4" customFormat="1" x14ac:dyDescent="0.25">
      <c r="C1784" s="3"/>
      <c r="D1784" s="3"/>
      <c r="E1784" s="3"/>
      <c r="F1784" s="3"/>
      <c r="G1784" s="3"/>
      <c r="H1784" s="3"/>
      <c r="I1784" s="3"/>
      <c r="J1784" s="3"/>
      <c r="K1784" s="3"/>
      <c r="L1784" s="3"/>
      <c r="M1784" s="3"/>
      <c r="N1784" s="3"/>
      <c r="O1784" s="3"/>
      <c r="P1784" s="3"/>
      <c r="Q1784" s="3"/>
      <c r="R1784" s="111"/>
      <c r="S1784" s="111"/>
      <c r="T1784" s="111"/>
    </row>
    <row r="1785" spans="3:20" s="4" customFormat="1" x14ac:dyDescent="0.25">
      <c r="C1785" s="3"/>
      <c r="D1785" s="3"/>
      <c r="E1785" s="3"/>
      <c r="F1785" s="3"/>
      <c r="G1785" s="3"/>
      <c r="H1785" s="3"/>
      <c r="I1785" s="3"/>
      <c r="J1785" s="3"/>
      <c r="K1785" s="3"/>
      <c r="L1785" s="3"/>
      <c r="M1785" s="3"/>
      <c r="N1785" s="3"/>
      <c r="O1785" s="3"/>
      <c r="P1785" s="3"/>
      <c r="Q1785" s="3"/>
      <c r="R1785" s="111"/>
      <c r="S1785" s="111"/>
      <c r="T1785" s="111"/>
    </row>
    <row r="1786" spans="3:20" s="4" customFormat="1" x14ac:dyDescent="0.25">
      <c r="C1786" s="3"/>
      <c r="D1786" s="3"/>
      <c r="E1786" s="3"/>
      <c r="F1786" s="3"/>
      <c r="G1786" s="3"/>
      <c r="H1786" s="3"/>
      <c r="I1786" s="3"/>
      <c r="J1786" s="3"/>
      <c r="K1786" s="3"/>
      <c r="L1786" s="3"/>
      <c r="M1786" s="3"/>
      <c r="N1786" s="3"/>
      <c r="O1786" s="3"/>
      <c r="P1786" s="3"/>
      <c r="Q1786" s="3"/>
      <c r="R1786" s="111"/>
      <c r="S1786" s="111"/>
      <c r="T1786" s="111"/>
    </row>
    <row r="1787" spans="3:20" s="4" customFormat="1" x14ac:dyDescent="0.25">
      <c r="C1787" s="3"/>
      <c r="D1787" s="3"/>
      <c r="E1787" s="3"/>
      <c r="F1787" s="3"/>
      <c r="G1787" s="3"/>
      <c r="H1787" s="3"/>
      <c r="I1787" s="3"/>
      <c r="J1787" s="3"/>
      <c r="K1787" s="3"/>
      <c r="L1787" s="3"/>
      <c r="M1787" s="3"/>
      <c r="N1787" s="3"/>
      <c r="O1787" s="3"/>
      <c r="P1787" s="3"/>
      <c r="Q1787" s="3"/>
      <c r="R1787" s="111"/>
      <c r="S1787" s="111"/>
      <c r="T1787" s="111"/>
    </row>
    <row r="1788" spans="3:20" s="4" customFormat="1" x14ac:dyDescent="0.25">
      <c r="C1788" s="3"/>
      <c r="D1788" s="3"/>
      <c r="E1788" s="3"/>
      <c r="F1788" s="3"/>
      <c r="G1788" s="3"/>
      <c r="H1788" s="3"/>
      <c r="I1788" s="3"/>
      <c r="J1788" s="3"/>
      <c r="K1788" s="3"/>
      <c r="L1788" s="3"/>
      <c r="M1788" s="3"/>
      <c r="N1788" s="3"/>
      <c r="O1788" s="3"/>
      <c r="P1788" s="3"/>
      <c r="Q1788" s="3"/>
      <c r="R1788" s="111"/>
      <c r="S1788" s="111"/>
      <c r="T1788" s="111"/>
    </row>
    <row r="1789" spans="3:20" s="4" customFormat="1" x14ac:dyDescent="0.25">
      <c r="C1789" s="3"/>
      <c r="D1789" s="3"/>
      <c r="E1789" s="3"/>
      <c r="F1789" s="3"/>
      <c r="G1789" s="3"/>
      <c r="H1789" s="3"/>
      <c r="I1789" s="3"/>
      <c r="J1789" s="3"/>
      <c r="K1789" s="3"/>
      <c r="L1789" s="3"/>
      <c r="M1789" s="3"/>
      <c r="N1789" s="3"/>
      <c r="O1789" s="3"/>
      <c r="P1789" s="3"/>
      <c r="Q1789" s="3"/>
      <c r="R1789" s="111"/>
      <c r="S1789" s="111"/>
      <c r="T1789" s="111"/>
    </row>
    <row r="1790" spans="3:20" s="4" customFormat="1" x14ac:dyDescent="0.25">
      <c r="C1790" s="3"/>
      <c r="D1790" s="3"/>
      <c r="E1790" s="3"/>
      <c r="F1790" s="3"/>
      <c r="G1790" s="3"/>
      <c r="H1790" s="3"/>
      <c r="I1790" s="3"/>
      <c r="J1790" s="3"/>
      <c r="K1790" s="3"/>
      <c r="L1790" s="3"/>
      <c r="M1790" s="3"/>
      <c r="N1790" s="3"/>
      <c r="O1790" s="3"/>
      <c r="P1790" s="3"/>
      <c r="Q1790" s="3"/>
      <c r="R1790" s="111"/>
      <c r="S1790" s="111"/>
      <c r="T1790" s="111"/>
    </row>
    <row r="1791" spans="3:20" s="4" customFormat="1" x14ac:dyDescent="0.25">
      <c r="C1791" s="3"/>
      <c r="D1791" s="3"/>
      <c r="E1791" s="3"/>
      <c r="F1791" s="3"/>
      <c r="G1791" s="3"/>
      <c r="H1791" s="3"/>
      <c r="I1791" s="3"/>
      <c r="J1791" s="3"/>
      <c r="K1791" s="3"/>
      <c r="L1791" s="3"/>
      <c r="M1791" s="3"/>
      <c r="N1791" s="3"/>
      <c r="O1791" s="3"/>
      <c r="P1791" s="3"/>
      <c r="Q1791" s="3"/>
      <c r="R1791" s="111"/>
      <c r="S1791" s="111"/>
      <c r="T1791" s="111"/>
    </row>
    <row r="1792" spans="3:20" s="4" customFormat="1" x14ac:dyDescent="0.25">
      <c r="C1792" s="3"/>
      <c r="D1792" s="3"/>
      <c r="E1792" s="3"/>
      <c r="F1792" s="3"/>
      <c r="G1792" s="3"/>
      <c r="H1792" s="3"/>
      <c r="I1792" s="3"/>
      <c r="J1792" s="3"/>
      <c r="K1792" s="3"/>
      <c r="L1792" s="3"/>
      <c r="M1792" s="3"/>
      <c r="N1792" s="3"/>
      <c r="O1792" s="3"/>
      <c r="P1792" s="3"/>
      <c r="Q1792" s="3"/>
      <c r="R1792" s="111"/>
      <c r="S1792" s="111"/>
      <c r="T1792" s="111"/>
    </row>
    <row r="1793" spans="3:20" s="4" customFormat="1" x14ac:dyDescent="0.25">
      <c r="C1793" s="3"/>
      <c r="D1793" s="3"/>
      <c r="E1793" s="3"/>
      <c r="F1793" s="3"/>
      <c r="G1793" s="3"/>
      <c r="H1793" s="3"/>
      <c r="I1793" s="3"/>
      <c r="J1793" s="3"/>
      <c r="K1793" s="3"/>
      <c r="L1793" s="3"/>
      <c r="M1793" s="3"/>
      <c r="N1793" s="3"/>
      <c r="O1793" s="3"/>
      <c r="P1793" s="3"/>
      <c r="Q1793" s="3"/>
      <c r="R1793" s="111"/>
      <c r="S1793" s="111"/>
      <c r="T1793" s="111"/>
    </row>
    <row r="1794" spans="3:20" s="4" customFormat="1" x14ac:dyDescent="0.25">
      <c r="C1794" s="3"/>
      <c r="D1794" s="3"/>
      <c r="E1794" s="3"/>
      <c r="F1794" s="3"/>
      <c r="G1794" s="3"/>
      <c r="H1794" s="3"/>
      <c r="I1794" s="3"/>
      <c r="J1794" s="3"/>
      <c r="K1794" s="3"/>
      <c r="L1794" s="3"/>
      <c r="M1794" s="3"/>
      <c r="N1794" s="3"/>
      <c r="O1794" s="3"/>
      <c r="P1794" s="3"/>
      <c r="Q1794" s="3"/>
      <c r="R1794" s="111"/>
      <c r="S1794" s="111"/>
      <c r="T1794" s="111"/>
    </row>
    <row r="1795" spans="3:20" s="4" customFormat="1" x14ac:dyDescent="0.25">
      <c r="C1795" s="3"/>
      <c r="D1795" s="3"/>
      <c r="E1795" s="3"/>
      <c r="F1795" s="3"/>
      <c r="G1795" s="3"/>
      <c r="H1795" s="3"/>
      <c r="I1795" s="3"/>
      <c r="J1795" s="3"/>
      <c r="K1795" s="3"/>
      <c r="L1795" s="3"/>
      <c r="M1795" s="3"/>
      <c r="N1795" s="3"/>
      <c r="O1795" s="3"/>
      <c r="P1795" s="3"/>
      <c r="Q1795" s="3"/>
      <c r="R1795" s="111"/>
      <c r="S1795" s="111"/>
      <c r="T1795" s="111"/>
    </row>
    <row r="1796" spans="3:20" s="4" customFormat="1" x14ac:dyDescent="0.25">
      <c r="C1796" s="3"/>
      <c r="D1796" s="3"/>
      <c r="E1796" s="3"/>
      <c r="F1796" s="3"/>
      <c r="G1796" s="3"/>
      <c r="H1796" s="3"/>
      <c r="I1796" s="3"/>
      <c r="J1796" s="3"/>
      <c r="K1796" s="3"/>
      <c r="L1796" s="3"/>
      <c r="M1796" s="3"/>
      <c r="N1796" s="3"/>
      <c r="O1796" s="3"/>
      <c r="P1796" s="3"/>
      <c r="Q1796" s="3"/>
      <c r="R1796" s="111"/>
      <c r="S1796" s="111"/>
      <c r="T1796" s="111"/>
    </row>
    <row r="1797" spans="3:20" s="4" customFormat="1" x14ac:dyDescent="0.25">
      <c r="C1797" s="3"/>
      <c r="D1797" s="3"/>
      <c r="E1797" s="3"/>
      <c r="F1797" s="3"/>
      <c r="G1797" s="3"/>
      <c r="H1797" s="3"/>
      <c r="I1797" s="3"/>
      <c r="J1797" s="3"/>
      <c r="K1797" s="3"/>
      <c r="L1797" s="3"/>
      <c r="M1797" s="3"/>
      <c r="N1797" s="3"/>
      <c r="O1797" s="3"/>
      <c r="P1797" s="3"/>
      <c r="Q1797" s="3"/>
      <c r="R1797" s="111"/>
      <c r="S1797" s="111"/>
      <c r="T1797" s="111"/>
    </row>
    <row r="1798" spans="3:20" s="4" customFormat="1" x14ac:dyDescent="0.25">
      <c r="C1798" s="3"/>
      <c r="D1798" s="3"/>
      <c r="E1798" s="3"/>
      <c r="F1798" s="3"/>
      <c r="G1798" s="3"/>
      <c r="H1798" s="3"/>
      <c r="I1798" s="3"/>
      <c r="J1798" s="3"/>
      <c r="K1798" s="3"/>
      <c r="L1798" s="3"/>
      <c r="M1798" s="3"/>
      <c r="N1798" s="3"/>
      <c r="O1798" s="3"/>
      <c r="P1798" s="3"/>
      <c r="Q1798" s="3"/>
      <c r="R1798" s="111"/>
      <c r="S1798" s="111"/>
      <c r="T1798" s="111"/>
    </row>
    <row r="1799" spans="3:20" s="4" customFormat="1" x14ac:dyDescent="0.25">
      <c r="C1799" s="3"/>
      <c r="D1799" s="3"/>
      <c r="E1799" s="3"/>
      <c r="F1799" s="3"/>
      <c r="G1799" s="3"/>
      <c r="H1799" s="3"/>
      <c r="I1799" s="3"/>
      <c r="J1799" s="3"/>
      <c r="K1799" s="3"/>
      <c r="L1799" s="3"/>
      <c r="M1799" s="3"/>
      <c r="N1799" s="3"/>
      <c r="O1799" s="3"/>
      <c r="P1799" s="3"/>
      <c r="Q1799" s="3"/>
      <c r="R1799" s="111"/>
      <c r="S1799" s="111"/>
      <c r="T1799" s="111"/>
    </row>
    <row r="1800" spans="3:20" s="4" customFormat="1" x14ac:dyDescent="0.25">
      <c r="C1800" s="3"/>
      <c r="D1800" s="3"/>
      <c r="E1800" s="3"/>
      <c r="F1800" s="3"/>
      <c r="G1800" s="3"/>
      <c r="H1800" s="3"/>
      <c r="I1800" s="3"/>
      <c r="J1800" s="3"/>
      <c r="K1800" s="3"/>
      <c r="L1800" s="3"/>
      <c r="M1800" s="3"/>
      <c r="N1800" s="3"/>
      <c r="O1800" s="3"/>
      <c r="P1800" s="3"/>
      <c r="Q1800" s="3"/>
      <c r="R1800" s="111"/>
      <c r="S1800" s="111"/>
      <c r="T1800" s="111"/>
    </row>
    <row r="1801" spans="3:20" s="4" customFormat="1" x14ac:dyDescent="0.25">
      <c r="C1801" s="3"/>
      <c r="D1801" s="3"/>
      <c r="E1801" s="3"/>
      <c r="F1801" s="3"/>
      <c r="G1801" s="3"/>
      <c r="H1801" s="3"/>
      <c r="I1801" s="3"/>
      <c r="J1801" s="3"/>
      <c r="K1801" s="3"/>
      <c r="L1801" s="3"/>
      <c r="M1801" s="3"/>
      <c r="N1801" s="3"/>
      <c r="O1801" s="3"/>
      <c r="P1801" s="3"/>
      <c r="Q1801" s="3"/>
      <c r="R1801" s="111"/>
      <c r="S1801" s="111"/>
      <c r="T1801" s="111"/>
    </row>
    <row r="1802" spans="3:20" s="4" customFormat="1" x14ac:dyDescent="0.25">
      <c r="C1802" s="3"/>
      <c r="D1802" s="3"/>
      <c r="E1802" s="3"/>
      <c r="F1802" s="3"/>
      <c r="G1802" s="3"/>
      <c r="H1802" s="3"/>
      <c r="I1802" s="3"/>
      <c r="J1802" s="3"/>
      <c r="K1802" s="3"/>
      <c r="L1802" s="3"/>
      <c r="M1802" s="3"/>
      <c r="N1802" s="3"/>
      <c r="O1802" s="3"/>
      <c r="P1802" s="3"/>
      <c r="Q1802" s="3"/>
      <c r="R1802" s="111"/>
      <c r="S1802" s="111"/>
      <c r="T1802" s="111"/>
    </row>
    <row r="1803" spans="3:20" s="4" customFormat="1" x14ac:dyDescent="0.25">
      <c r="C1803" s="3"/>
      <c r="D1803" s="3"/>
      <c r="E1803" s="3"/>
      <c r="F1803" s="3"/>
      <c r="G1803" s="3"/>
      <c r="H1803" s="3"/>
      <c r="I1803" s="3"/>
      <c r="J1803" s="3"/>
      <c r="K1803" s="3"/>
      <c r="L1803" s="3"/>
      <c r="M1803" s="3"/>
      <c r="N1803" s="3"/>
      <c r="O1803" s="3"/>
      <c r="P1803" s="3"/>
      <c r="Q1803" s="3"/>
      <c r="R1803" s="111"/>
      <c r="S1803" s="111"/>
      <c r="T1803" s="111"/>
    </row>
    <row r="1804" spans="3:20" s="4" customFormat="1" x14ac:dyDescent="0.25">
      <c r="C1804" s="3"/>
      <c r="D1804" s="3"/>
      <c r="E1804" s="3"/>
      <c r="F1804" s="3"/>
      <c r="G1804" s="3"/>
      <c r="H1804" s="3"/>
      <c r="I1804" s="3"/>
      <c r="J1804" s="3"/>
      <c r="K1804" s="3"/>
      <c r="L1804" s="3"/>
      <c r="M1804" s="3"/>
      <c r="N1804" s="3"/>
      <c r="O1804" s="3"/>
      <c r="P1804" s="3"/>
      <c r="Q1804" s="3"/>
      <c r="R1804" s="111"/>
      <c r="S1804" s="111"/>
      <c r="T1804" s="111"/>
    </row>
    <row r="1805" spans="3:20" s="4" customFormat="1" x14ac:dyDescent="0.25">
      <c r="C1805" s="3"/>
      <c r="D1805" s="3"/>
      <c r="E1805" s="3"/>
      <c r="F1805" s="3"/>
      <c r="G1805" s="3"/>
      <c r="H1805" s="3"/>
      <c r="I1805" s="3"/>
      <c r="J1805" s="3"/>
      <c r="K1805" s="3"/>
      <c r="L1805" s="3"/>
      <c r="M1805" s="3"/>
      <c r="N1805" s="3"/>
      <c r="O1805" s="3"/>
      <c r="P1805" s="3"/>
      <c r="Q1805" s="3"/>
      <c r="R1805" s="111"/>
      <c r="S1805" s="111"/>
      <c r="T1805" s="111"/>
    </row>
    <row r="1806" spans="3:20" s="4" customFormat="1" x14ac:dyDescent="0.25">
      <c r="C1806" s="3"/>
      <c r="D1806" s="3"/>
      <c r="E1806" s="3"/>
      <c r="F1806" s="3"/>
      <c r="G1806" s="3"/>
      <c r="H1806" s="3"/>
      <c r="I1806" s="3"/>
      <c r="J1806" s="3"/>
      <c r="K1806" s="3"/>
      <c r="L1806" s="3"/>
      <c r="M1806" s="3"/>
      <c r="N1806" s="3"/>
      <c r="O1806" s="3"/>
      <c r="P1806" s="3"/>
      <c r="Q1806" s="3"/>
      <c r="R1806" s="111"/>
      <c r="S1806" s="111"/>
      <c r="T1806" s="111"/>
    </row>
    <row r="1807" spans="3:20" s="4" customFormat="1" x14ac:dyDescent="0.25">
      <c r="C1807" s="3"/>
      <c r="D1807" s="3"/>
      <c r="E1807" s="3"/>
      <c r="F1807" s="3"/>
      <c r="G1807" s="3"/>
      <c r="H1807" s="3"/>
      <c r="I1807" s="3"/>
      <c r="J1807" s="3"/>
      <c r="K1807" s="3"/>
      <c r="L1807" s="3"/>
      <c r="M1807" s="3"/>
      <c r="N1807" s="3"/>
      <c r="O1807" s="3"/>
      <c r="P1807" s="3"/>
      <c r="Q1807" s="3"/>
      <c r="R1807" s="111"/>
      <c r="S1807" s="111"/>
      <c r="T1807" s="111"/>
    </row>
    <row r="1808" spans="3:20" s="4" customFormat="1" x14ac:dyDescent="0.25">
      <c r="C1808" s="3"/>
      <c r="D1808" s="3"/>
      <c r="E1808" s="3"/>
      <c r="F1808" s="3"/>
      <c r="G1808" s="3"/>
      <c r="H1808" s="3"/>
      <c r="I1808" s="3"/>
      <c r="J1808" s="3"/>
      <c r="K1808" s="3"/>
      <c r="L1808" s="3"/>
      <c r="M1808" s="3"/>
      <c r="N1808" s="3"/>
      <c r="O1808" s="3"/>
      <c r="P1808" s="3"/>
      <c r="Q1808" s="3"/>
      <c r="R1808" s="111"/>
      <c r="S1808" s="111"/>
      <c r="T1808" s="111"/>
    </row>
    <row r="1809" spans="3:20" s="4" customFormat="1" x14ac:dyDescent="0.25">
      <c r="C1809" s="3"/>
      <c r="D1809" s="3"/>
      <c r="E1809" s="3"/>
      <c r="F1809" s="3"/>
      <c r="G1809" s="3"/>
      <c r="H1809" s="3"/>
      <c r="I1809" s="3"/>
      <c r="J1809" s="3"/>
      <c r="K1809" s="3"/>
      <c r="L1809" s="3"/>
      <c r="M1809" s="3"/>
      <c r="N1809" s="3"/>
      <c r="O1809" s="3"/>
      <c r="P1809" s="3"/>
      <c r="Q1809" s="3"/>
      <c r="R1809" s="111"/>
      <c r="S1809" s="111"/>
      <c r="T1809" s="111"/>
    </row>
    <row r="1810" spans="3:20" s="4" customFormat="1" x14ac:dyDescent="0.25">
      <c r="C1810" s="3"/>
      <c r="D1810" s="3"/>
      <c r="E1810" s="3"/>
      <c r="F1810" s="3"/>
      <c r="G1810" s="3"/>
      <c r="H1810" s="3"/>
      <c r="I1810" s="3"/>
      <c r="J1810" s="3"/>
      <c r="K1810" s="3"/>
      <c r="L1810" s="3"/>
      <c r="M1810" s="3"/>
      <c r="N1810" s="3"/>
      <c r="O1810" s="3"/>
      <c r="P1810" s="3"/>
      <c r="Q1810" s="3"/>
      <c r="R1810" s="111"/>
      <c r="S1810" s="111"/>
      <c r="T1810" s="111"/>
    </row>
    <row r="1811" spans="3:20" s="4" customFormat="1" x14ac:dyDescent="0.25">
      <c r="C1811" s="3"/>
      <c r="D1811" s="3"/>
      <c r="E1811" s="3"/>
      <c r="F1811" s="3"/>
      <c r="G1811" s="3"/>
      <c r="H1811" s="3"/>
      <c r="I1811" s="3"/>
      <c r="J1811" s="3"/>
      <c r="K1811" s="3"/>
      <c r="L1811" s="3"/>
      <c r="M1811" s="3"/>
      <c r="N1811" s="3"/>
      <c r="O1811" s="3"/>
      <c r="P1811" s="3"/>
      <c r="Q1811" s="3"/>
      <c r="R1811" s="111"/>
      <c r="S1811" s="111"/>
      <c r="T1811" s="111"/>
    </row>
    <row r="1812" spans="3:20" s="4" customFormat="1" x14ac:dyDescent="0.25">
      <c r="C1812" s="3"/>
      <c r="D1812" s="3"/>
      <c r="E1812" s="3"/>
      <c r="F1812" s="3"/>
      <c r="G1812" s="3"/>
      <c r="H1812" s="3"/>
      <c r="I1812" s="3"/>
      <c r="J1812" s="3"/>
      <c r="K1812" s="3"/>
      <c r="L1812" s="3"/>
      <c r="M1812" s="3"/>
      <c r="N1812" s="3"/>
      <c r="O1812" s="3"/>
      <c r="P1812" s="3"/>
      <c r="Q1812" s="3"/>
      <c r="R1812" s="111"/>
      <c r="S1812" s="111"/>
      <c r="T1812" s="111"/>
    </row>
    <row r="1813" spans="3:20" s="4" customFormat="1" x14ac:dyDescent="0.25">
      <c r="C1813" s="3"/>
      <c r="D1813" s="3"/>
      <c r="E1813" s="3"/>
      <c r="F1813" s="3"/>
      <c r="G1813" s="3"/>
      <c r="H1813" s="3"/>
      <c r="I1813" s="3"/>
      <c r="J1813" s="3"/>
      <c r="K1813" s="3"/>
      <c r="L1813" s="3"/>
      <c r="M1813" s="3"/>
      <c r="N1813" s="3"/>
      <c r="O1813" s="3"/>
      <c r="P1813" s="3"/>
      <c r="Q1813" s="3"/>
      <c r="R1813" s="111"/>
      <c r="S1813" s="111"/>
      <c r="T1813" s="111"/>
    </row>
    <row r="1814" spans="3:20" s="4" customFormat="1" x14ac:dyDescent="0.25">
      <c r="C1814" s="3"/>
      <c r="D1814" s="3"/>
      <c r="E1814" s="3"/>
      <c r="F1814" s="3"/>
      <c r="G1814" s="3"/>
      <c r="H1814" s="3"/>
      <c r="I1814" s="3"/>
      <c r="J1814" s="3"/>
      <c r="K1814" s="3"/>
      <c r="L1814" s="3"/>
      <c r="M1814" s="3"/>
      <c r="N1814" s="3"/>
      <c r="O1814" s="3"/>
      <c r="P1814" s="3"/>
      <c r="Q1814" s="3"/>
      <c r="R1814" s="111"/>
      <c r="S1814" s="111"/>
      <c r="T1814" s="111"/>
    </row>
    <row r="1815" spans="3:20" s="4" customFormat="1" x14ac:dyDescent="0.25">
      <c r="C1815" s="3"/>
      <c r="D1815" s="3"/>
      <c r="E1815" s="3"/>
      <c r="F1815" s="3"/>
      <c r="G1815" s="3"/>
      <c r="H1815" s="3"/>
      <c r="I1815" s="3"/>
      <c r="J1815" s="3"/>
      <c r="K1815" s="3"/>
      <c r="L1815" s="3"/>
      <c r="M1815" s="3"/>
      <c r="N1815" s="3"/>
      <c r="O1815" s="3"/>
      <c r="P1815" s="3"/>
      <c r="Q1815" s="3"/>
      <c r="R1815" s="111"/>
      <c r="S1815" s="111"/>
      <c r="T1815" s="111"/>
    </row>
    <row r="1816" spans="3:20" s="4" customFormat="1" x14ac:dyDescent="0.25">
      <c r="C1816" s="3"/>
      <c r="D1816" s="3"/>
      <c r="E1816" s="3"/>
      <c r="F1816" s="3"/>
      <c r="G1816" s="3"/>
      <c r="H1816" s="3"/>
      <c r="I1816" s="3"/>
      <c r="J1816" s="3"/>
      <c r="K1816" s="3"/>
      <c r="L1816" s="3"/>
      <c r="M1816" s="3"/>
      <c r="N1816" s="3"/>
      <c r="O1816" s="3"/>
      <c r="P1816" s="3"/>
      <c r="Q1816" s="3"/>
      <c r="R1816" s="111"/>
      <c r="S1816" s="111"/>
      <c r="T1816" s="111"/>
    </row>
    <row r="1817" spans="3:20" s="4" customFormat="1" x14ac:dyDescent="0.25">
      <c r="C1817" s="3"/>
      <c r="D1817" s="3"/>
      <c r="E1817" s="3"/>
      <c r="F1817" s="3"/>
      <c r="G1817" s="3"/>
      <c r="H1817" s="3"/>
      <c r="I1817" s="3"/>
      <c r="J1817" s="3"/>
      <c r="K1817" s="3"/>
      <c r="L1817" s="3"/>
      <c r="M1817" s="3"/>
      <c r="N1817" s="3"/>
      <c r="O1817" s="3"/>
      <c r="P1817" s="3"/>
      <c r="Q1817" s="3"/>
      <c r="R1817" s="111"/>
      <c r="S1817" s="111"/>
      <c r="T1817" s="111"/>
    </row>
    <row r="1818" spans="3:20" s="4" customFormat="1" x14ac:dyDescent="0.25">
      <c r="C1818" s="3"/>
      <c r="D1818" s="3"/>
      <c r="E1818" s="3"/>
      <c r="F1818" s="3"/>
      <c r="G1818" s="3"/>
      <c r="H1818" s="3"/>
      <c r="I1818" s="3"/>
      <c r="J1818" s="3"/>
      <c r="K1818" s="3"/>
      <c r="L1818" s="3"/>
      <c r="M1818" s="3"/>
      <c r="N1818" s="3"/>
      <c r="O1818" s="3"/>
      <c r="P1818" s="3"/>
      <c r="Q1818" s="3"/>
      <c r="R1818" s="111"/>
      <c r="S1818" s="111"/>
      <c r="T1818" s="111"/>
    </row>
    <row r="1819" spans="3:20" s="4" customFormat="1" x14ac:dyDescent="0.25">
      <c r="C1819" s="3"/>
      <c r="D1819" s="3"/>
      <c r="E1819" s="3"/>
      <c r="F1819" s="3"/>
      <c r="G1819" s="3"/>
      <c r="H1819" s="3"/>
      <c r="I1819" s="3"/>
      <c r="J1819" s="3"/>
      <c r="K1819" s="3"/>
      <c r="L1819" s="3"/>
      <c r="M1819" s="3"/>
      <c r="N1819" s="3"/>
      <c r="O1819" s="3"/>
      <c r="P1819" s="3"/>
      <c r="Q1819" s="3"/>
      <c r="R1819" s="111"/>
      <c r="S1819" s="111"/>
      <c r="T1819" s="111"/>
    </row>
    <row r="1820" spans="3:20" s="4" customFormat="1" x14ac:dyDescent="0.25">
      <c r="C1820" s="3"/>
      <c r="D1820" s="3"/>
      <c r="E1820" s="3"/>
      <c r="F1820" s="3"/>
      <c r="G1820" s="3"/>
      <c r="H1820" s="3"/>
      <c r="I1820" s="3"/>
      <c r="J1820" s="3"/>
      <c r="K1820" s="3"/>
      <c r="L1820" s="3"/>
      <c r="M1820" s="3"/>
      <c r="N1820" s="3"/>
      <c r="O1820" s="3"/>
      <c r="P1820" s="3"/>
      <c r="Q1820" s="3"/>
      <c r="R1820" s="111"/>
      <c r="S1820" s="111"/>
      <c r="T1820" s="111"/>
    </row>
    <row r="1821" spans="3:20" s="4" customFormat="1" x14ac:dyDescent="0.25">
      <c r="C1821" s="3"/>
      <c r="D1821" s="3"/>
      <c r="E1821" s="3"/>
      <c r="F1821" s="3"/>
      <c r="G1821" s="3"/>
      <c r="H1821" s="3"/>
      <c r="I1821" s="3"/>
      <c r="J1821" s="3"/>
      <c r="K1821" s="3"/>
      <c r="L1821" s="3"/>
      <c r="M1821" s="3"/>
      <c r="N1821" s="3"/>
      <c r="O1821" s="3"/>
      <c r="P1821" s="3"/>
      <c r="Q1821" s="3"/>
      <c r="R1821" s="111"/>
      <c r="S1821" s="111"/>
      <c r="T1821" s="111"/>
    </row>
    <row r="1822" spans="3:20" s="4" customFormat="1" x14ac:dyDescent="0.25">
      <c r="C1822" s="3"/>
      <c r="D1822" s="3"/>
      <c r="E1822" s="3"/>
      <c r="F1822" s="3"/>
      <c r="G1822" s="3"/>
      <c r="H1822" s="3"/>
      <c r="I1822" s="3"/>
      <c r="J1822" s="3"/>
      <c r="K1822" s="3"/>
      <c r="L1822" s="3"/>
      <c r="M1822" s="3"/>
      <c r="N1822" s="3"/>
      <c r="O1822" s="3"/>
      <c r="P1822" s="3"/>
      <c r="Q1822" s="3"/>
      <c r="R1822" s="111"/>
      <c r="S1822" s="111"/>
      <c r="T1822" s="111"/>
    </row>
    <row r="1823" spans="3:20" s="4" customFormat="1" x14ac:dyDescent="0.25">
      <c r="C1823" s="3"/>
      <c r="D1823" s="3"/>
      <c r="E1823" s="3"/>
      <c r="F1823" s="3"/>
      <c r="G1823" s="3"/>
      <c r="H1823" s="3"/>
      <c r="I1823" s="3"/>
      <c r="J1823" s="3"/>
      <c r="K1823" s="3"/>
      <c r="L1823" s="3"/>
      <c r="M1823" s="3"/>
      <c r="N1823" s="3"/>
      <c r="O1823" s="3"/>
      <c r="P1823" s="3"/>
      <c r="Q1823" s="3"/>
      <c r="R1823" s="111"/>
      <c r="S1823" s="111"/>
      <c r="T1823" s="111"/>
    </row>
    <row r="1824" spans="3:20" s="4" customFormat="1" x14ac:dyDescent="0.25">
      <c r="C1824" s="3"/>
      <c r="D1824" s="3"/>
      <c r="E1824" s="3"/>
      <c r="F1824" s="3"/>
      <c r="G1824" s="3"/>
      <c r="H1824" s="3"/>
      <c r="I1824" s="3"/>
      <c r="J1824" s="3"/>
      <c r="K1824" s="3"/>
      <c r="L1824" s="3"/>
      <c r="M1824" s="3"/>
      <c r="N1824" s="3"/>
      <c r="O1824" s="3"/>
      <c r="P1824" s="3"/>
      <c r="Q1824" s="3"/>
      <c r="R1824" s="111"/>
      <c r="S1824" s="111"/>
      <c r="T1824" s="111"/>
    </row>
    <row r="1825" spans="3:20" s="4" customFormat="1" x14ac:dyDescent="0.25">
      <c r="C1825" s="3"/>
      <c r="D1825" s="3"/>
      <c r="E1825" s="3"/>
      <c r="F1825" s="3"/>
      <c r="G1825" s="3"/>
      <c r="H1825" s="3"/>
      <c r="I1825" s="3"/>
      <c r="J1825" s="3"/>
      <c r="K1825" s="3"/>
      <c r="L1825" s="3"/>
      <c r="M1825" s="3"/>
      <c r="N1825" s="3"/>
      <c r="O1825" s="3"/>
      <c r="P1825" s="3"/>
      <c r="Q1825" s="3"/>
      <c r="R1825" s="111"/>
      <c r="S1825" s="111"/>
      <c r="T1825" s="111"/>
    </row>
    <row r="1826" spans="3:20" s="4" customFormat="1" x14ac:dyDescent="0.25">
      <c r="C1826" s="3"/>
      <c r="D1826" s="3"/>
      <c r="E1826" s="3"/>
      <c r="F1826" s="3"/>
      <c r="G1826" s="3"/>
      <c r="H1826" s="3"/>
      <c r="I1826" s="3"/>
      <c r="J1826" s="3"/>
      <c r="K1826" s="3"/>
      <c r="L1826" s="3"/>
      <c r="M1826" s="3"/>
      <c r="N1826" s="3"/>
      <c r="O1826" s="3"/>
      <c r="P1826" s="3"/>
      <c r="Q1826" s="3"/>
      <c r="R1826" s="111"/>
      <c r="S1826" s="111"/>
      <c r="T1826" s="111"/>
    </row>
    <row r="1827" spans="3:20" s="4" customFormat="1" x14ac:dyDescent="0.25">
      <c r="C1827" s="3"/>
      <c r="D1827" s="3"/>
      <c r="E1827" s="3"/>
      <c r="F1827" s="3"/>
      <c r="G1827" s="3"/>
      <c r="H1827" s="3"/>
      <c r="I1827" s="3"/>
      <c r="J1827" s="3"/>
      <c r="K1827" s="3"/>
      <c r="L1827" s="3"/>
      <c r="M1827" s="3"/>
      <c r="N1827" s="3"/>
      <c r="O1827" s="3"/>
      <c r="P1827" s="3"/>
      <c r="Q1827" s="3"/>
      <c r="R1827" s="111"/>
      <c r="S1827" s="111"/>
      <c r="T1827" s="111"/>
    </row>
    <row r="1828" spans="3:20" s="4" customFormat="1" x14ac:dyDescent="0.25">
      <c r="C1828" s="3"/>
      <c r="D1828" s="3"/>
      <c r="E1828" s="3"/>
      <c r="F1828" s="3"/>
      <c r="G1828" s="3"/>
      <c r="H1828" s="3"/>
      <c r="I1828" s="3"/>
      <c r="J1828" s="3"/>
      <c r="K1828" s="3"/>
      <c r="L1828" s="3"/>
      <c r="M1828" s="3"/>
      <c r="N1828" s="3"/>
      <c r="O1828" s="3"/>
      <c r="P1828" s="3"/>
      <c r="Q1828" s="3"/>
      <c r="R1828" s="111"/>
      <c r="S1828" s="111"/>
      <c r="T1828" s="111"/>
    </row>
    <row r="1829" spans="3:20" s="4" customFormat="1" x14ac:dyDescent="0.25">
      <c r="C1829" s="3"/>
      <c r="D1829" s="3"/>
      <c r="E1829" s="3"/>
      <c r="F1829" s="3"/>
      <c r="G1829" s="3"/>
      <c r="H1829" s="3"/>
      <c r="I1829" s="3"/>
      <c r="J1829" s="3"/>
      <c r="K1829" s="3"/>
      <c r="L1829" s="3"/>
      <c r="M1829" s="3"/>
      <c r="N1829" s="3"/>
      <c r="O1829" s="3"/>
      <c r="P1829" s="3"/>
      <c r="Q1829" s="3"/>
      <c r="R1829" s="111"/>
      <c r="S1829" s="111"/>
      <c r="T1829" s="111"/>
    </row>
    <row r="1830" spans="3:20" s="4" customFormat="1" x14ac:dyDescent="0.25">
      <c r="C1830" s="3"/>
      <c r="D1830" s="3"/>
      <c r="E1830" s="3"/>
      <c r="F1830" s="3"/>
      <c r="G1830" s="3"/>
      <c r="H1830" s="3"/>
      <c r="I1830" s="3"/>
      <c r="J1830" s="3"/>
      <c r="K1830" s="3"/>
      <c r="L1830" s="3"/>
      <c r="M1830" s="3"/>
      <c r="N1830" s="3"/>
      <c r="O1830" s="3"/>
      <c r="P1830" s="3"/>
      <c r="Q1830" s="3"/>
      <c r="R1830" s="111"/>
      <c r="S1830" s="111"/>
      <c r="T1830" s="111"/>
    </row>
    <row r="1831" spans="3:20" s="4" customFormat="1" x14ac:dyDescent="0.25">
      <c r="C1831" s="3"/>
      <c r="D1831" s="3"/>
      <c r="E1831" s="3"/>
      <c r="F1831" s="3"/>
      <c r="G1831" s="3"/>
      <c r="H1831" s="3"/>
      <c r="I1831" s="3"/>
      <c r="J1831" s="3"/>
      <c r="K1831" s="3"/>
      <c r="L1831" s="3"/>
      <c r="M1831" s="3"/>
      <c r="N1831" s="3"/>
      <c r="O1831" s="3"/>
      <c r="P1831" s="3"/>
      <c r="Q1831" s="3"/>
      <c r="R1831" s="111"/>
      <c r="S1831" s="111"/>
      <c r="T1831" s="111"/>
    </row>
    <row r="1832" spans="3:20" s="4" customFormat="1" x14ac:dyDescent="0.25">
      <c r="C1832" s="3"/>
      <c r="D1832" s="3"/>
      <c r="E1832" s="3"/>
      <c r="F1832" s="3"/>
      <c r="G1832" s="3"/>
      <c r="H1832" s="3"/>
      <c r="I1832" s="3"/>
      <c r="J1832" s="3"/>
      <c r="K1832" s="3"/>
      <c r="L1832" s="3"/>
      <c r="M1832" s="3"/>
      <c r="N1832" s="3"/>
      <c r="O1832" s="3"/>
      <c r="P1832" s="3"/>
      <c r="Q1832" s="3"/>
      <c r="R1832" s="111"/>
      <c r="S1832" s="111"/>
      <c r="T1832" s="111"/>
    </row>
    <row r="1833" spans="3:20" s="4" customFormat="1" x14ac:dyDescent="0.25">
      <c r="C1833" s="3"/>
      <c r="D1833" s="3"/>
      <c r="E1833" s="3"/>
      <c r="F1833" s="3"/>
      <c r="G1833" s="3"/>
      <c r="H1833" s="3"/>
      <c r="I1833" s="3"/>
      <c r="J1833" s="3"/>
      <c r="K1833" s="3"/>
      <c r="L1833" s="3"/>
      <c r="M1833" s="3"/>
      <c r="N1833" s="3"/>
      <c r="O1833" s="3"/>
      <c r="P1833" s="3"/>
      <c r="Q1833" s="3"/>
      <c r="R1833" s="111"/>
      <c r="S1833" s="111"/>
      <c r="T1833" s="111"/>
    </row>
    <row r="1834" spans="3:20" s="4" customFormat="1" x14ac:dyDescent="0.25">
      <c r="C1834" s="3"/>
      <c r="D1834" s="3"/>
      <c r="E1834" s="3"/>
      <c r="F1834" s="3"/>
      <c r="G1834" s="3"/>
      <c r="H1834" s="3"/>
      <c r="I1834" s="3"/>
      <c r="J1834" s="3"/>
      <c r="K1834" s="3"/>
      <c r="L1834" s="3"/>
      <c r="M1834" s="3"/>
      <c r="N1834" s="3"/>
      <c r="O1834" s="3"/>
      <c r="P1834" s="3"/>
      <c r="Q1834" s="3"/>
      <c r="R1834" s="111"/>
      <c r="S1834" s="111"/>
      <c r="T1834" s="111"/>
    </row>
    <row r="1835" spans="3:20" s="4" customFormat="1" x14ac:dyDescent="0.25">
      <c r="C1835" s="3"/>
      <c r="D1835" s="3"/>
      <c r="E1835" s="3"/>
      <c r="F1835" s="3"/>
      <c r="G1835" s="3"/>
      <c r="H1835" s="3"/>
      <c r="I1835" s="3"/>
      <c r="J1835" s="3"/>
      <c r="K1835" s="3"/>
      <c r="L1835" s="3"/>
      <c r="M1835" s="3"/>
      <c r="N1835" s="3"/>
      <c r="O1835" s="3"/>
      <c r="P1835" s="3"/>
      <c r="Q1835" s="3"/>
      <c r="R1835" s="111"/>
      <c r="S1835" s="111"/>
      <c r="T1835" s="111"/>
    </row>
    <row r="1836" spans="3:20" s="4" customFormat="1" x14ac:dyDescent="0.25">
      <c r="C1836" s="3"/>
      <c r="D1836" s="3"/>
      <c r="E1836" s="3"/>
      <c r="F1836" s="3"/>
      <c r="G1836" s="3"/>
      <c r="H1836" s="3"/>
      <c r="I1836" s="3"/>
      <c r="J1836" s="3"/>
      <c r="K1836" s="3"/>
      <c r="L1836" s="3"/>
      <c r="M1836" s="3"/>
      <c r="N1836" s="3"/>
      <c r="O1836" s="3"/>
      <c r="P1836" s="3"/>
      <c r="Q1836" s="3"/>
      <c r="R1836" s="111"/>
      <c r="S1836" s="111"/>
      <c r="T1836" s="111"/>
    </row>
    <row r="1837" spans="3:20" s="4" customFormat="1" x14ac:dyDescent="0.25">
      <c r="C1837" s="3"/>
      <c r="D1837" s="3"/>
      <c r="E1837" s="3"/>
      <c r="F1837" s="3"/>
      <c r="G1837" s="3"/>
      <c r="H1837" s="3"/>
      <c r="I1837" s="3"/>
      <c r="J1837" s="3"/>
      <c r="K1837" s="3"/>
      <c r="L1837" s="3"/>
      <c r="M1837" s="3"/>
      <c r="N1837" s="3"/>
      <c r="O1837" s="3"/>
      <c r="P1837" s="3"/>
      <c r="Q1837" s="3"/>
      <c r="R1837" s="111"/>
      <c r="S1837" s="111"/>
      <c r="T1837" s="111"/>
    </row>
    <row r="1838" spans="3:20" s="4" customFormat="1" x14ac:dyDescent="0.25">
      <c r="C1838" s="3"/>
      <c r="D1838" s="3"/>
      <c r="E1838" s="3"/>
      <c r="F1838" s="3"/>
      <c r="G1838" s="3"/>
      <c r="H1838" s="3"/>
      <c r="I1838" s="3"/>
      <c r="J1838" s="3"/>
      <c r="K1838" s="3"/>
      <c r="L1838" s="3"/>
      <c r="M1838" s="3"/>
      <c r="N1838" s="3"/>
      <c r="O1838" s="3"/>
      <c r="P1838" s="3"/>
      <c r="Q1838" s="3"/>
      <c r="R1838" s="111"/>
      <c r="S1838" s="111"/>
      <c r="T1838" s="111"/>
    </row>
    <row r="1839" spans="3:20" s="4" customFormat="1" x14ac:dyDescent="0.25">
      <c r="C1839" s="3"/>
      <c r="D1839" s="3"/>
      <c r="E1839" s="3"/>
      <c r="F1839" s="3"/>
      <c r="G1839" s="3"/>
      <c r="H1839" s="3"/>
      <c r="I1839" s="3"/>
      <c r="J1839" s="3"/>
      <c r="K1839" s="3"/>
      <c r="L1839" s="3"/>
      <c r="M1839" s="3"/>
      <c r="N1839" s="3"/>
      <c r="O1839" s="3"/>
      <c r="P1839" s="3"/>
      <c r="Q1839" s="3"/>
      <c r="R1839" s="111"/>
      <c r="S1839" s="111"/>
      <c r="T1839" s="111"/>
    </row>
    <row r="1840" spans="3:20" s="4" customFormat="1" x14ac:dyDescent="0.25">
      <c r="C1840" s="3"/>
      <c r="D1840" s="3"/>
      <c r="E1840" s="3"/>
      <c r="F1840" s="3"/>
      <c r="G1840" s="3"/>
      <c r="H1840" s="3"/>
      <c r="I1840" s="3"/>
      <c r="J1840" s="3"/>
      <c r="K1840" s="3"/>
      <c r="L1840" s="3"/>
      <c r="M1840" s="3"/>
      <c r="N1840" s="3"/>
      <c r="O1840" s="3"/>
      <c r="P1840" s="3"/>
      <c r="Q1840" s="3"/>
      <c r="R1840" s="111"/>
      <c r="S1840" s="111"/>
      <c r="T1840" s="111"/>
    </row>
    <row r="1841" spans="3:20" s="4" customFormat="1" x14ac:dyDescent="0.25">
      <c r="C1841" s="3"/>
      <c r="D1841" s="3"/>
      <c r="E1841" s="3"/>
      <c r="F1841" s="3"/>
      <c r="G1841" s="3"/>
      <c r="H1841" s="3"/>
      <c r="I1841" s="3"/>
      <c r="J1841" s="3"/>
      <c r="K1841" s="3"/>
      <c r="L1841" s="3"/>
      <c r="M1841" s="3"/>
      <c r="N1841" s="3"/>
      <c r="O1841" s="3"/>
      <c r="P1841" s="3"/>
      <c r="Q1841" s="3"/>
      <c r="R1841" s="111"/>
      <c r="S1841" s="111"/>
      <c r="T1841" s="111"/>
    </row>
    <row r="1842" spans="3:20" s="4" customFormat="1" x14ac:dyDescent="0.25">
      <c r="C1842" s="3"/>
      <c r="D1842" s="3"/>
      <c r="E1842" s="3"/>
      <c r="F1842" s="3"/>
      <c r="G1842" s="3"/>
      <c r="H1842" s="3"/>
      <c r="I1842" s="3"/>
      <c r="J1842" s="3"/>
      <c r="K1842" s="3"/>
      <c r="L1842" s="3"/>
      <c r="M1842" s="3"/>
      <c r="N1842" s="3"/>
      <c r="O1842" s="3"/>
      <c r="P1842" s="3"/>
      <c r="Q1842" s="3"/>
      <c r="R1842" s="111"/>
      <c r="S1842" s="111"/>
      <c r="T1842" s="111"/>
    </row>
    <row r="1843" spans="3:20" s="4" customFormat="1" x14ac:dyDescent="0.25">
      <c r="C1843" s="3"/>
      <c r="D1843" s="3"/>
      <c r="E1843" s="3"/>
      <c r="F1843" s="3"/>
      <c r="G1843" s="3"/>
      <c r="H1843" s="3"/>
      <c r="I1843" s="3"/>
      <c r="J1843" s="3"/>
      <c r="K1843" s="3"/>
      <c r="L1843" s="3"/>
      <c r="M1843" s="3"/>
      <c r="N1843" s="3"/>
      <c r="O1843" s="3"/>
      <c r="P1843" s="3"/>
      <c r="Q1843" s="3"/>
      <c r="R1843" s="111"/>
      <c r="S1843" s="111"/>
      <c r="T1843" s="111"/>
    </row>
    <row r="1844" spans="3:20" s="4" customFormat="1" x14ac:dyDescent="0.25">
      <c r="C1844" s="3"/>
      <c r="D1844" s="3"/>
      <c r="E1844" s="3"/>
      <c r="F1844" s="3"/>
      <c r="G1844" s="3"/>
      <c r="H1844" s="3"/>
      <c r="I1844" s="3"/>
      <c r="J1844" s="3"/>
      <c r="K1844" s="3"/>
      <c r="L1844" s="3"/>
      <c r="M1844" s="3"/>
      <c r="N1844" s="3"/>
      <c r="O1844" s="3"/>
      <c r="P1844" s="3"/>
      <c r="Q1844" s="3"/>
      <c r="R1844" s="111"/>
      <c r="S1844" s="111"/>
      <c r="T1844" s="111"/>
    </row>
    <row r="1845" spans="3:20" s="4" customFormat="1" x14ac:dyDescent="0.25">
      <c r="C1845" s="3"/>
      <c r="D1845" s="3"/>
      <c r="E1845" s="3"/>
      <c r="F1845" s="3"/>
      <c r="G1845" s="3"/>
      <c r="H1845" s="3"/>
      <c r="I1845" s="3"/>
      <c r="J1845" s="3"/>
      <c r="K1845" s="3"/>
      <c r="L1845" s="3"/>
      <c r="M1845" s="3"/>
      <c r="N1845" s="3"/>
      <c r="O1845" s="3"/>
      <c r="P1845" s="3"/>
      <c r="Q1845" s="3"/>
      <c r="R1845" s="111"/>
      <c r="S1845" s="111"/>
      <c r="T1845" s="111"/>
    </row>
    <row r="1846" spans="3:20" s="4" customFormat="1" x14ac:dyDescent="0.25">
      <c r="C1846" s="3"/>
      <c r="D1846" s="3"/>
      <c r="E1846" s="3"/>
      <c r="F1846" s="3"/>
      <c r="G1846" s="3"/>
      <c r="H1846" s="3"/>
      <c r="I1846" s="3"/>
      <c r="J1846" s="3"/>
      <c r="K1846" s="3"/>
      <c r="L1846" s="3"/>
      <c r="M1846" s="3"/>
      <c r="N1846" s="3"/>
      <c r="O1846" s="3"/>
      <c r="P1846" s="3"/>
      <c r="Q1846" s="3"/>
      <c r="R1846" s="111"/>
      <c r="S1846" s="111"/>
      <c r="T1846" s="111"/>
    </row>
    <row r="1847" spans="3:20" s="4" customFormat="1" x14ac:dyDescent="0.25">
      <c r="C1847" s="3"/>
      <c r="D1847" s="3"/>
      <c r="E1847" s="3"/>
      <c r="F1847" s="3"/>
      <c r="G1847" s="3"/>
      <c r="H1847" s="3"/>
      <c r="I1847" s="3"/>
      <c r="J1847" s="3"/>
      <c r="K1847" s="3"/>
      <c r="L1847" s="3"/>
      <c r="M1847" s="3"/>
      <c r="N1847" s="3"/>
      <c r="O1847" s="3"/>
      <c r="P1847" s="3"/>
      <c r="Q1847" s="3"/>
      <c r="R1847" s="111"/>
      <c r="S1847" s="111"/>
      <c r="T1847" s="111"/>
    </row>
    <row r="1848" spans="3:20" s="4" customFormat="1" x14ac:dyDescent="0.25">
      <c r="C1848" s="3"/>
      <c r="D1848" s="3"/>
      <c r="E1848" s="3"/>
      <c r="F1848" s="3"/>
      <c r="G1848" s="3"/>
      <c r="H1848" s="3"/>
      <c r="I1848" s="3"/>
      <c r="J1848" s="3"/>
      <c r="K1848" s="3"/>
      <c r="L1848" s="3"/>
      <c r="M1848" s="3"/>
      <c r="N1848" s="3"/>
      <c r="O1848" s="3"/>
      <c r="P1848" s="3"/>
      <c r="Q1848" s="3"/>
      <c r="R1848" s="111"/>
      <c r="S1848" s="111"/>
      <c r="T1848" s="111"/>
    </row>
    <row r="1849" spans="3:20" s="4" customFormat="1" x14ac:dyDescent="0.25">
      <c r="C1849" s="3"/>
      <c r="D1849" s="3"/>
      <c r="E1849" s="3"/>
      <c r="F1849" s="3"/>
      <c r="G1849" s="3"/>
      <c r="H1849" s="3"/>
      <c r="I1849" s="3"/>
      <c r="J1849" s="3"/>
      <c r="K1849" s="3"/>
      <c r="L1849" s="3"/>
      <c r="M1849" s="3"/>
      <c r="N1849" s="3"/>
      <c r="O1849" s="3"/>
      <c r="P1849" s="3"/>
      <c r="Q1849" s="3"/>
      <c r="R1849" s="111"/>
      <c r="S1849" s="111"/>
      <c r="T1849" s="111"/>
    </row>
    <row r="1850" spans="3:20" s="4" customFormat="1" x14ac:dyDescent="0.25">
      <c r="C1850" s="3"/>
      <c r="D1850" s="3"/>
      <c r="E1850" s="3"/>
      <c r="F1850" s="3"/>
      <c r="G1850" s="3"/>
      <c r="H1850" s="3"/>
      <c r="I1850" s="3"/>
      <c r="J1850" s="3"/>
      <c r="K1850" s="3"/>
      <c r="L1850" s="3"/>
      <c r="M1850" s="3"/>
      <c r="N1850" s="3"/>
      <c r="O1850" s="3"/>
      <c r="P1850" s="3"/>
      <c r="Q1850" s="3"/>
      <c r="R1850" s="111"/>
      <c r="S1850" s="111"/>
      <c r="T1850" s="111"/>
    </row>
    <row r="1851" spans="3:20" s="4" customFormat="1" x14ac:dyDescent="0.25">
      <c r="C1851" s="3"/>
      <c r="D1851" s="3"/>
      <c r="E1851" s="3"/>
      <c r="F1851" s="3"/>
      <c r="G1851" s="3"/>
      <c r="H1851" s="3"/>
      <c r="I1851" s="3"/>
      <c r="J1851" s="3"/>
      <c r="K1851" s="3"/>
      <c r="L1851" s="3"/>
      <c r="M1851" s="3"/>
      <c r="N1851" s="3"/>
      <c r="O1851" s="3"/>
      <c r="P1851" s="3"/>
      <c r="Q1851" s="3"/>
      <c r="R1851" s="111"/>
      <c r="S1851" s="111"/>
      <c r="T1851" s="111"/>
    </row>
    <row r="1852" spans="3:20" s="4" customFormat="1" x14ac:dyDescent="0.25">
      <c r="C1852" s="3"/>
      <c r="D1852" s="3"/>
      <c r="E1852" s="3"/>
      <c r="F1852" s="3"/>
      <c r="G1852" s="3"/>
      <c r="H1852" s="3"/>
      <c r="I1852" s="3"/>
      <c r="J1852" s="3"/>
      <c r="K1852" s="3"/>
      <c r="L1852" s="3"/>
      <c r="M1852" s="3"/>
      <c r="N1852" s="3"/>
      <c r="O1852" s="3"/>
      <c r="P1852" s="3"/>
      <c r="Q1852" s="3"/>
      <c r="R1852" s="111"/>
      <c r="S1852" s="111"/>
      <c r="T1852" s="111"/>
    </row>
    <row r="1853" spans="3:20" s="4" customFormat="1" x14ac:dyDescent="0.25">
      <c r="C1853" s="3"/>
      <c r="D1853" s="3"/>
      <c r="E1853" s="3"/>
      <c r="F1853" s="3"/>
      <c r="G1853" s="3"/>
      <c r="H1853" s="3"/>
      <c r="I1853" s="3"/>
      <c r="J1853" s="3"/>
      <c r="K1853" s="3"/>
      <c r="L1853" s="3"/>
      <c r="M1853" s="3"/>
      <c r="N1853" s="3"/>
      <c r="O1853" s="3"/>
      <c r="P1853" s="3"/>
      <c r="Q1853" s="3"/>
      <c r="R1853" s="111"/>
      <c r="S1853" s="111"/>
      <c r="T1853" s="111"/>
    </row>
    <row r="1854" spans="3:20" s="4" customFormat="1" x14ac:dyDescent="0.25">
      <c r="C1854" s="3"/>
      <c r="D1854" s="3"/>
      <c r="E1854" s="3"/>
      <c r="F1854" s="3"/>
      <c r="G1854" s="3"/>
      <c r="H1854" s="3"/>
      <c r="I1854" s="3"/>
      <c r="J1854" s="3"/>
      <c r="K1854" s="3"/>
      <c r="L1854" s="3"/>
      <c r="M1854" s="3"/>
      <c r="N1854" s="3"/>
      <c r="O1854" s="3"/>
      <c r="P1854" s="3"/>
      <c r="Q1854" s="3"/>
      <c r="R1854" s="111"/>
      <c r="S1854" s="111"/>
      <c r="T1854" s="111"/>
    </row>
    <row r="1855" spans="3:20" s="4" customFormat="1" x14ac:dyDescent="0.25">
      <c r="C1855" s="3"/>
      <c r="D1855" s="3"/>
      <c r="E1855" s="3"/>
      <c r="F1855" s="3"/>
      <c r="G1855" s="3"/>
      <c r="H1855" s="3"/>
      <c r="I1855" s="3"/>
      <c r="J1855" s="3"/>
      <c r="K1855" s="3"/>
      <c r="L1855" s="3"/>
      <c r="M1855" s="3"/>
      <c r="N1855" s="3"/>
      <c r="O1855" s="3"/>
      <c r="P1855" s="3"/>
      <c r="Q1855" s="3"/>
      <c r="R1855" s="111"/>
      <c r="S1855" s="111"/>
      <c r="T1855" s="111"/>
    </row>
    <row r="1856" spans="3:20" s="4" customFormat="1" x14ac:dyDescent="0.25">
      <c r="C1856" s="3"/>
      <c r="D1856" s="3"/>
      <c r="E1856" s="3"/>
      <c r="F1856" s="3"/>
      <c r="G1856" s="3"/>
      <c r="H1856" s="3"/>
      <c r="I1856" s="3"/>
      <c r="J1856" s="3"/>
      <c r="K1856" s="3"/>
      <c r="L1856" s="3"/>
      <c r="M1856" s="3"/>
      <c r="N1856" s="3"/>
      <c r="O1856" s="3"/>
      <c r="P1856" s="3"/>
      <c r="Q1856" s="3"/>
      <c r="R1856" s="111"/>
      <c r="S1856" s="111"/>
      <c r="T1856" s="111"/>
    </row>
    <row r="1857" spans="3:20" s="4" customFormat="1" x14ac:dyDescent="0.25">
      <c r="C1857" s="3"/>
      <c r="D1857" s="3"/>
      <c r="E1857" s="3"/>
      <c r="F1857" s="3"/>
      <c r="G1857" s="3"/>
      <c r="H1857" s="3"/>
      <c r="I1857" s="3"/>
      <c r="J1857" s="3"/>
      <c r="K1857" s="3"/>
      <c r="L1857" s="3"/>
      <c r="M1857" s="3"/>
      <c r="N1857" s="3"/>
      <c r="O1857" s="3"/>
      <c r="P1857" s="3"/>
      <c r="Q1857" s="3"/>
      <c r="R1857" s="111"/>
      <c r="S1857" s="111"/>
      <c r="T1857" s="111"/>
    </row>
    <row r="1858" spans="3:20" s="4" customFormat="1" x14ac:dyDescent="0.25">
      <c r="C1858" s="3"/>
      <c r="D1858" s="3"/>
      <c r="E1858" s="3"/>
      <c r="F1858" s="3"/>
      <c r="G1858" s="3"/>
      <c r="H1858" s="3"/>
      <c r="I1858" s="3"/>
      <c r="J1858" s="3"/>
      <c r="K1858" s="3"/>
      <c r="L1858" s="3"/>
      <c r="M1858" s="3"/>
      <c r="N1858" s="3"/>
      <c r="O1858" s="3"/>
      <c r="P1858" s="3"/>
      <c r="Q1858" s="3"/>
      <c r="R1858" s="111"/>
      <c r="S1858" s="111"/>
      <c r="T1858" s="111"/>
    </row>
    <row r="1859" spans="3:20" s="4" customFormat="1" x14ac:dyDescent="0.25">
      <c r="C1859" s="3"/>
      <c r="D1859" s="3"/>
      <c r="E1859" s="3"/>
      <c r="F1859" s="3"/>
      <c r="G1859" s="3"/>
      <c r="H1859" s="3"/>
      <c r="I1859" s="3"/>
      <c r="J1859" s="3"/>
      <c r="K1859" s="3"/>
      <c r="L1859" s="3"/>
      <c r="M1859" s="3"/>
      <c r="N1859" s="3"/>
      <c r="O1859" s="3"/>
      <c r="P1859" s="3"/>
      <c r="Q1859" s="3"/>
      <c r="R1859" s="111"/>
      <c r="S1859" s="111"/>
      <c r="T1859" s="111"/>
    </row>
    <row r="1860" spans="3:20" s="4" customFormat="1" x14ac:dyDescent="0.25">
      <c r="C1860" s="3"/>
      <c r="D1860" s="3"/>
      <c r="E1860" s="3"/>
      <c r="F1860" s="3"/>
      <c r="G1860" s="3"/>
      <c r="H1860" s="3"/>
      <c r="I1860" s="3"/>
      <c r="J1860" s="3"/>
      <c r="K1860" s="3"/>
      <c r="L1860" s="3"/>
      <c r="M1860" s="3"/>
      <c r="N1860" s="3"/>
      <c r="O1860" s="3"/>
      <c r="P1860" s="3"/>
      <c r="Q1860" s="3"/>
      <c r="R1860" s="111"/>
      <c r="S1860" s="111"/>
      <c r="T1860" s="111"/>
    </row>
    <row r="1861" spans="3:20" s="4" customFormat="1" x14ac:dyDescent="0.25">
      <c r="C1861" s="3"/>
      <c r="D1861" s="3"/>
      <c r="E1861" s="3"/>
      <c r="F1861" s="3"/>
      <c r="G1861" s="3"/>
      <c r="H1861" s="3"/>
      <c r="I1861" s="3"/>
      <c r="J1861" s="3"/>
      <c r="K1861" s="3"/>
      <c r="L1861" s="3"/>
      <c r="M1861" s="3"/>
      <c r="N1861" s="3"/>
      <c r="O1861" s="3"/>
      <c r="P1861" s="3"/>
      <c r="Q1861" s="3"/>
      <c r="R1861" s="111"/>
      <c r="S1861" s="111"/>
      <c r="T1861" s="111"/>
    </row>
    <row r="1862" spans="3:20" s="4" customFormat="1" x14ac:dyDescent="0.25">
      <c r="C1862" s="3"/>
      <c r="D1862" s="3"/>
      <c r="E1862" s="3"/>
      <c r="F1862" s="3"/>
      <c r="G1862" s="3"/>
      <c r="H1862" s="3"/>
      <c r="I1862" s="3"/>
      <c r="J1862" s="3"/>
      <c r="K1862" s="3"/>
      <c r="L1862" s="3"/>
      <c r="M1862" s="3"/>
      <c r="N1862" s="3"/>
      <c r="O1862" s="3"/>
      <c r="P1862" s="3"/>
      <c r="Q1862" s="3"/>
      <c r="R1862" s="111"/>
      <c r="S1862" s="111"/>
      <c r="T1862" s="111"/>
    </row>
    <row r="1863" spans="3:20" s="4" customFormat="1" x14ac:dyDescent="0.25">
      <c r="C1863" s="3"/>
      <c r="D1863" s="3"/>
      <c r="E1863" s="3"/>
      <c r="F1863" s="3"/>
      <c r="G1863" s="3"/>
      <c r="H1863" s="3"/>
      <c r="I1863" s="3"/>
      <c r="J1863" s="3"/>
      <c r="K1863" s="3"/>
      <c r="L1863" s="3"/>
      <c r="M1863" s="3"/>
      <c r="N1863" s="3"/>
      <c r="O1863" s="3"/>
      <c r="P1863" s="3"/>
      <c r="Q1863" s="3"/>
      <c r="R1863" s="111"/>
      <c r="S1863" s="111"/>
      <c r="T1863" s="111"/>
    </row>
    <row r="1864" spans="3:20" s="4" customFormat="1" x14ac:dyDescent="0.25">
      <c r="C1864" s="3"/>
      <c r="D1864" s="3"/>
      <c r="E1864" s="3"/>
      <c r="F1864" s="3"/>
      <c r="G1864" s="3"/>
      <c r="H1864" s="3"/>
      <c r="I1864" s="3"/>
      <c r="J1864" s="3"/>
      <c r="K1864" s="3"/>
      <c r="L1864" s="3"/>
      <c r="M1864" s="3"/>
      <c r="N1864" s="3"/>
      <c r="O1864" s="3"/>
      <c r="P1864" s="3"/>
      <c r="Q1864" s="3"/>
      <c r="R1864" s="111"/>
      <c r="S1864" s="111"/>
      <c r="T1864" s="111"/>
    </row>
    <row r="1865" spans="3:20" s="4" customFormat="1" x14ac:dyDescent="0.25">
      <c r="C1865" s="3"/>
      <c r="D1865" s="3"/>
      <c r="E1865" s="3"/>
      <c r="F1865" s="3"/>
      <c r="G1865" s="3"/>
      <c r="H1865" s="3"/>
      <c r="I1865" s="3"/>
      <c r="J1865" s="3"/>
      <c r="K1865" s="3"/>
      <c r="L1865" s="3"/>
      <c r="M1865" s="3"/>
      <c r="N1865" s="3"/>
      <c r="O1865" s="3"/>
      <c r="P1865" s="3"/>
      <c r="Q1865" s="3"/>
      <c r="R1865" s="111"/>
      <c r="S1865" s="111"/>
      <c r="T1865" s="111"/>
    </row>
    <row r="1866" spans="3:20" s="4" customFormat="1" x14ac:dyDescent="0.25">
      <c r="C1866" s="3"/>
      <c r="D1866" s="3"/>
      <c r="E1866" s="3"/>
      <c r="F1866" s="3"/>
      <c r="G1866" s="3"/>
      <c r="H1866" s="3"/>
      <c r="I1866" s="3"/>
      <c r="J1866" s="3"/>
      <c r="K1866" s="3"/>
      <c r="L1866" s="3"/>
      <c r="M1866" s="3"/>
      <c r="N1866" s="3"/>
      <c r="O1866" s="3"/>
      <c r="P1866" s="3"/>
      <c r="Q1866" s="3"/>
      <c r="R1866" s="111"/>
      <c r="S1866" s="111"/>
      <c r="T1866" s="111"/>
    </row>
    <row r="1867" spans="3:20" s="4" customFormat="1" x14ac:dyDescent="0.25">
      <c r="C1867" s="3"/>
      <c r="D1867" s="3"/>
      <c r="E1867" s="3"/>
      <c r="F1867" s="3"/>
      <c r="G1867" s="3"/>
      <c r="H1867" s="3"/>
      <c r="I1867" s="3"/>
      <c r="J1867" s="3"/>
      <c r="K1867" s="3"/>
      <c r="L1867" s="3"/>
      <c r="M1867" s="3"/>
      <c r="N1867" s="3"/>
      <c r="O1867" s="3"/>
      <c r="P1867" s="3"/>
      <c r="Q1867" s="3"/>
      <c r="R1867" s="111"/>
      <c r="S1867" s="111"/>
      <c r="T1867" s="111"/>
    </row>
    <row r="1868" spans="3:20" s="4" customFormat="1" x14ac:dyDescent="0.25">
      <c r="C1868" s="3"/>
      <c r="D1868" s="3"/>
      <c r="E1868" s="3"/>
      <c r="F1868" s="3"/>
      <c r="G1868" s="3"/>
      <c r="H1868" s="3"/>
      <c r="I1868" s="3"/>
      <c r="J1868" s="3"/>
      <c r="K1868" s="3"/>
      <c r="L1868" s="3"/>
      <c r="M1868" s="3"/>
      <c r="N1868" s="3"/>
      <c r="O1868" s="3"/>
      <c r="P1868" s="3"/>
      <c r="Q1868" s="3"/>
      <c r="R1868" s="111"/>
      <c r="S1868" s="111"/>
      <c r="T1868" s="111"/>
    </row>
    <row r="1869" spans="3:20" s="4" customFormat="1" x14ac:dyDescent="0.25">
      <c r="C1869" s="3"/>
      <c r="D1869" s="3"/>
      <c r="E1869" s="3"/>
      <c r="F1869" s="3"/>
      <c r="G1869" s="3"/>
      <c r="H1869" s="3"/>
      <c r="I1869" s="3"/>
      <c r="J1869" s="3"/>
      <c r="K1869" s="3"/>
      <c r="L1869" s="3"/>
      <c r="M1869" s="3"/>
      <c r="N1869" s="3"/>
      <c r="O1869" s="3"/>
      <c r="P1869" s="3"/>
      <c r="Q1869" s="3"/>
      <c r="R1869" s="111"/>
      <c r="S1869" s="111"/>
      <c r="T1869" s="111"/>
    </row>
    <row r="1870" spans="3:20" s="4" customFormat="1" x14ac:dyDescent="0.25">
      <c r="C1870" s="3"/>
      <c r="D1870" s="3"/>
      <c r="E1870" s="3"/>
      <c r="F1870" s="3"/>
      <c r="G1870" s="3"/>
      <c r="H1870" s="3"/>
      <c r="I1870" s="3"/>
      <c r="J1870" s="3"/>
      <c r="K1870" s="3"/>
      <c r="L1870" s="3"/>
      <c r="M1870" s="3"/>
      <c r="N1870" s="3"/>
      <c r="O1870" s="3"/>
      <c r="P1870" s="3"/>
      <c r="Q1870" s="3"/>
      <c r="R1870" s="111"/>
      <c r="S1870" s="111"/>
      <c r="T1870" s="111"/>
    </row>
    <row r="1871" spans="3:20" s="4" customFormat="1" x14ac:dyDescent="0.25">
      <c r="C1871" s="3"/>
      <c r="D1871" s="3"/>
      <c r="E1871" s="3"/>
      <c r="F1871" s="3"/>
      <c r="G1871" s="3"/>
      <c r="H1871" s="3"/>
      <c r="I1871" s="3"/>
      <c r="J1871" s="3"/>
      <c r="K1871" s="3"/>
      <c r="L1871" s="3"/>
      <c r="M1871" s="3"/>
      <c r="N1871" s="3"/>
      <c r="O1871" s="3"/>
      <c r="P1871" s="3"/>
      <c r="Q1871" s="3"/>
      <c r="R1871" s="111"/>
      <c r="S1871" s="111"/>
      <c r="T1871" s="111"/>
    </row>
    <row r="1872" spans="3:20" s="4" customFormat="1" x14ac:dyDescent="0.25">
      <c r="C1872" s="3"/>
      <c r="D1872" s="3"/>
      <c r="E1872" s="3"/>
      <c r="F1872" s="3"/>
      <c r="G1872" s="3"/>
      <c r="H1872" s="3"/>
      <c r="I1872" s="3"/>
      <c r="J1872" s="3"/>
      <c r="K1872" s="3"/>
      <c r="L1872" s="3"/>
      <c r="M1872" s="3"/>
      <c r="N1872" s="3"/>
      <c r="O1872" s="3"/>
      <c r="P1872" s="3"/>
      <c r="Q1872" s="3"/>
      <c r="R1872" s="111"/>
      <c r="S1872" s="111"/>
      <c r="T1872" s="111"/>
    </row>
    <row r="1873" spans="3:20" s="4" customFormat="1" x14ac:dyDescent="0.25">
      <c r="C1873" s="3"/>
      <c r="D1873" s="3"/>
      <c r="E1873" s="3"/>
      <c r="F1873" s="3"/>
      <c r="G1873" s="3"/>
      <c r="H1873" s="3"/>
      <c r="I1873" s="3"/>
      <c r="J1873" s="3"/>
      <c r="K1873" s="3"/>
      <c r="L1873" s="3"/>
      <c r="M1873" s="3"/>
      <c r="N1873" s="3"/>
      <c r="O1873" s="3"/>
      <c r="P1873" s="3"/>
      <c r="Q1873" s="3"/>
      <c r="R1873" s="111"/>
      <c r="S1873" s="111"/>
      <c r="T1873" s="111"/>
    </row>
    <row r="1874" spans="3:20" s="4" customFormat="1" x14ac:dyDescent="0.25">
      <c r="C1874" s="3"/>
      <c r="D1874" s="3"/>
      <c r="E1874" s="3"/>
      <c r="F1874" s="3"/>
      <c r="G1874" s="3"/>
      <c r="H1874" s="3"/>
      <c r="I1874" s="3"/>
      <c r="J1874" s="3"/>
      <c r="K1874" s="3"/>
      <c r="L1874" s="3"/>
      <c r="M1874" s="3"/>
      <c r="N1874" s="3"/>
      <c r="O1874" s="3"/>
      <c r="P1874" s="3"/>
      <c r="Q1874" s="3"/>
      <c r="R1874" s="111"/>
      <c r="S1874" s="111"/>
      <c r="T1874" s="111"/>
    </row>
    <row r="1875" spans="3:20" s="4" customFormat="1" x14ac:dyDescent="0.25">
      <c r="C1875" s="3"/>
      <c r="D1875" s="3"/>
      <c r="E1875" s="3"/>
      <c r="F1875" s="3"/>
      <c r="G1875" s="3"/>
      <c r="H1875" s="3"/>
      <c r="I1875" s="3"/>
      <c r="J1875" s="3"/>
      <c r="K1875" s="3"/>
      <c r="L1875" s="3"/>
      <c r="M1875" s="3"/>
      <c r="N1875" s="3"/>
      <c r="O1875" s="3"/>
      <c r="P1875" s="3"/>
      <c r="Q1875" s="3"/>
      <c r="R1875" s="111"/>
      <c r="S1875" s="111"/>
      <c r="T1875" s="111"/>
    </row>
    <row r="1876" spans="3:20" s="4" customFormat="1" x14ac:dyDescent="0.25">
      <c r="C1876" s="3"/>
      <c r="D1876" s="3"/>
      <c r="E1876" s="3"/>
      <c r="F1876" s="3"/>
      <c r="G1876" s="3"/>
      <c r="H1876" s="3"/>
      <c r="I1876" s="3"/>
      <c r="J1876" s="3"/>
      <c r="K1876" s="3"/>
      <c r="L1876" s="3"/>
      <c r="M1876" s="3"/>
      <c r="N1876" s="3"/>
      <c r="O1876" s="3"/>
      <c r="P1876" s="3"/>
      <c r="Q1876" s="3"/>
      <c r="R1876" s="111"/>
      <c r="S1876" s="111"/>
      <c r="T1876" s="111"/>
    </row>
    <row r="1877" spans="3:20" s="4" customFormat="1" x14ac:dyDescent="0.25">
      <c r="C1877" s="3"/>
      <c r="D1877" s="3"/>
      <c r="E1877" s="3"/>
      <c r="F1877" s="3"/>
      <c r="G1877" s="3"/>
      <c r="H1877" s="3"/>
      <c r="I1877" s="3"/>
      <c r="J1877" s="3"/>
      <c r="K1877" s="3"/>
      <c r="L1877" s="3"/>
      <c r="M1877" s="3"/>
      <c r="N1877" s="3"/>
      <c r="O1877" s="3"/>
      <c r="P1877" s="3"/>
      <c r="Q1877" s="3"/>
      <c r="R1877" s="111"/>
      <c r="S1877" s="111"/>
      <c r="T1877" s="111"/>
    </row>
    <row r="1878" spans="3:20" s="4" customFormat="1" x14ac:dyDescent="0.25">
      <c r="C1878" s="3"/>
      <c r="D1878" s="3"/>
      <c r="E1878" s="3"/>
      <c r="F1878" s="3"/>
      <c r="G1878" s="3"/>
      <c r="H1878" s="3"/>
      <c r="I1878" s="3"/>
      <c r="J1878" s="3"/>
      <c r="K1878" s="3"/>
      <c r="L1878" s="3"/>
      <c r="M1878" s="3"/>
      <c r="N1878" s="3"/>
      <c r="O1878" s="3"/>
      <c r="P1878" s="3"/>
      <c r="Q1878" s="3"/>
      <c r="R1878" s="111"/>
      <c r="S1878" s="111"/>
      <c r="T1878" s="111"/>
    </row>
    <row r="1879" spans="3:20" s="4" customFormat="1" x14ac:dyDescent="0.25">
      <c r="C1879" s="3"/>
      <c r="D1879" s="3"/>
      <c r="E1879" s="3"/>
      <c r="F1879" s="3"/>
      <c r="G1879" s="3"/>
      <c r="H1879" s="3"/>
      <c r="I1879" s="3"/>
      <c r="J1879" s="3"/>
      <c r="K1879" s="3"/>
      <c r="L1879" s="3"/>
      <c r="M1879" s="3"/>
      <c r="N1879" s="3"/>
      <c r="O1879" s="3"/>
      <c r="P1879" s="3"/>
      <c r="Q1879" s="3"/>
      <c r="R1879" s="111"/>
      <c r="S1879" s="111"/>
      <c r="T1879" s="111"/>
    </row>
    <row r="1880" spans="3:20" s="4" customFormat="1" x14ac:dyDescent="0.25">
      <c r="C1880" s="3"/>
      <c r="D1880" s="3"/>
      <c r="E1880" s="3"/>
      <c r="F1880" s="3"/>
      <c r="G1880" s="3"/>
      <c r="H1880" s="3"/>
      <c r="I1880" s="3"/>
      <c r="J1880" s="3"/>
      <c r="K1880" s="3"/>
      <c r="L1880" s="3"/>
      <c r="M1880" s="3"/>
      <c r="N1880" s="3"/>
      <c r="O1880" s="3"/>
      <c r="P1880" s="3"/>
      <c r="Q1880" s="3"/>
      <c r="R1880" s="111"/>
      <c r="S1880" s="111"/>
      <c r="T1880" s="111"/>
    </row>
    <row r="1881" spans="3:20" s="4" customFormat="1" x14ac:dyDescent="0.25">
      <c r="C1881" s="3"/>
      <c r="D1881" s="3"/>
      <c r="E1881" s="3"/>
      <c r="F1881" s="3"/>
      <c r="G1881" s="3"/>
      <c r="H1881" s="3"/>
      <c r="I1881" s="3"/>
      <c r="J1881" s="3"/>
      <c r="K1881" s="3"/>
      <c r="L1881" s="3"/>
      <c r="M1881" s="3"/>
      <c r="N1881" s="3"/>
      <c r="O1881" s="3"/>
      <c r="P1881" s="3"/>
      <c r="Q1881" s="3"/>
      <c r="R1881" s="111"/>
      <c r="S1881" s="111"/>
      <c r="T1881" s="111"/>
    </row>
    <row r="1882" spans="3:20" s="4" customFormat="1" x14ac:dyDescent="0.25">
      <c r="C1882" s="3"/>
      <c r="D1882" s="3"/>
      <c r="E1882" s="3"/>
      <c r="F1882" s="3"/>
      <c r="G1882" s="3"/>
      <c r="H1882" s="3"/>
      <c r="I1882" s="3"/>
      <c r="J1882" s="3"/>
      <c r="K1882" s="3"/>
      <c r="L1882" s="3"/>
      <c r="M1882" s="3"/>
      <c r="N1882" s="3"/>
      <c r="O1882" s="3"/>
      <c r="P1882" s="3"/>
      <c r="Q1882" s="3"/>
      <c r="R1882" s="111"/>
      <c r="S1882" s="111"/>
      <c r="T1882" s="111"/>
    </row>
    <row r="1883" spans="3:20" s="4" customFormat="1" x14ac:dyDescent="0.25">
      <c r="C1883" s="3"/>
      <c r="D1883" s="3"/>
      <c r="E1883" s="3"/>
      <c r="F1883" s="3"/>
      <c r="G1883" s="3"/>
      <c r="H1883" s="3"/>
      <c r="I1883" s="3"/>
      <c r="J1883" s="3"/>
      <c r="K1883" s="3"/>
      <c r="L1883" s="3"/>
      <c r="M1883" s="3"/>
      <c r="N1883" s="3"/>
      <c r="O1883" s="3"/>
      <c r="P1883" s="3"/>
      <c r="Q1883" s="3"/>
      <c r="R1883" s="111"/>
      <c r="S1883" s="111"/>
      <c r="T1883" s="111"/>
    </row>
    <row r="1884" spans="3:20" s="4" customFormat="1" x14ac:dyDescent="0.25">
      <c r="C1884" s="3"/>
      <c r="D1884" s="3"/>
      <c r="E1884" s="3"/>
      <c r="F1884" s="3"/>
      <c r="G1884" s="3"/>
      <c r="H1884" s="3"/>
      <c r="I1884" s="3"/>
      <c r="J1884" s="3"/>
      <c r="K1884" s="3"/>
      <c r="L1884" s="3"/>
      <c r="M1884" s="3"/>
      <c r="N1884" s="3"/>
      <c r="O1884" s="3"/>
      <c r="P1884" s="3"/>
      <c r="Q1884" s="3"/>
      <c r="R1884" s="111"/>
      <c r="S1884" s="111"/>
      <c r="T1884" s="111"/>
    </row>
    <row r="1885" spans="3:20" s="4" customFormat="1" x14ac:dyDescent="0.25">
      <c r="C1885" s="3"/>
      <c r="D1885" s="3"/>
      <c r="E1885" s="3"/>
      <c r="F1885" s="3"/>
      <c r="G1885" s="3"/>
      <c r="H1885" s="3"/>
      <c r="I1885" s="3"/>
      <c r="J1885" s="3"/>
      <c r="K1885" s="3"/>
      <c r="L1885" s="3"/>
      <c r="M1885" s="3"/>
      <c r="N1885" s="3"/>
      <c r="O1885" s="3"/>
      <c r="P1885" s="3"/>
      <c r="Q1885" s="3"/>
      <c r="R1885" s="111"/>
      <c r="S1885" s="111"/>
      <c r="T1885" s="111"/>
    </row>
    <row r="1886" spans="3:20" s="4" customFormat="1" x14ac:dyDescent="0.25">
      <c r="C1886" s="3"/>
      <c r="D1886" s="3"/>
      <c r="E1886" s="3"/>
      <c r="F1886" s="3"/>
      <c r="G1886" s="3"/>
      <c r="H1886" s="3"/>
      <c r="I1886" s="3"/>
      <c r="J1886" s="3"/>
      <c r="K1886" s="3"/>
      <c r="L1886" s="3"/>
      <c r="M1886" s="3"/>
      <c r="N1886" s="3"/>
      <c r="O1886" s="3"/>
      <c r="P1886" s="3"/>
      <c r="Q1886" s="3"/>
      <c r="R1886" s="111"/>
      <c r="S1886" s="111"/>
      <c r="T1886" s="111"/>
    </row>
    <row r="1887" spans="3:20" s="4" customFormat="1" x14ac:dyDescent="0.25">
      <c r="C1887" s="3"/>
      <c r="D1887" s="3"/>
      <c r="E1887" s="3"/>
      <c r="F1887" s="3"/>
      <c r="G1887" s="3"/>
      <c r="H1887" s="3"/>
      <c r="I1887" s="3"/>
      <c r="J1887" s="3"/>
      <c r="K1887" s="3"/>
      <c r="L1887" s="3"/>
      <c r="M1887" s="3"/>
      <c r="N1887" s="3"/>
      <c r="O1887" s="3"/>
      <c r="P1887" s="3"/>
      <c r="Q1887" s="3"/>
      <c r="R1887" s="111"/>
      <c r="S1887" s="111"/>
      <c r="T1887" s="111"/>
    </row>
    <row r="1888" spans="3:20" s="4" customFormat="1" x14ac:dyDescent="0.25">
      <c r="C1888" s="3"/>
      <c r="D1888" s="3"/>
      <c r="E1888" s="3"/>
      <c r="F1888" s="3"/>
      <c r="G1888" s="3"/>
      <c r="H1888" s="3"/>
      <c r="I1888" s="3"/>
      <c r="J1888" s="3"/>
      <c r="K1888" s="3"/>
      <c r="L1888" s="3"/>
      <c r="M1888" s="3"/>
      <c r="N1888" s="3"/>
      <c r="O1888" s="3"/>
      <c r="P1888" s="3"/>
      <c r="Q1888" s="3"/>
      <c r="R1888" s="111"/>
      <c r="S1888" s="111"/>
      <c r="T1888" s="111"/>
    </row>
    <row r="1889" spans="3:20" s="4" customFormat="1" x14ac:dyDescent="0.25">
      <c r="C1889" s="3"/>
      <c r="D1889" s="3"/>
      <c r="E1889" s="3"/>
      <c r="F1889" s="3"/>
      <c r="G1889" s="3"/>
      <c r="H1889" s="3"/>
      <c r="I1889" s="3"/>
      <c r="J1889" s="3"/>
      <c r="K1889" s="3"/>
      <c r="L1889" s="3"/>
      <c r="M1889" s="3"/>
      <c r="N1889" s="3"/>
      <c r="O1889" s="3"/>
      <c r="P1889" s="3"/>
      <c r="Q1889" s="3"/>
      <c r="R1889" s="111"/>
      <c r="S1889" s="111"/>
      <c r="T1889" s="111"/>
    </row>
    <row r="1890" spans="3:20" s="4" customFormat="1" x14ac:dyDescent="0.25">
      <c r="C1890" s="3"/>
      <c r="D1890" s="3"/>
      <c r="E1890" s="3"/>
      <c r="F1890" s="3"/>
      <c r="G1890" s="3"/>
      <c r="H1890" s="3"/>
      <c r="I1890" s="3"/>
      <c r="J1890" s="3"/>
      <c r="K1890" s="3"/>
      <c r="L1890" s="3"/>
      <c r="M1890" s="3"/>
      <c r="N1890" s="3"/>
      <c r="O1890" s="3"/>
      <c r="P1890" s="3"/>
      <c r="Q1890" s="3"/>
      <c r="R1890" s="111"/>
      <c r="S1890" s="111"/>
      <c r="T1890" s="111"/>
    </row>
    <row r="1891" spans="3:20" s="4" customFormat="1" x14ac:dyDescent="0.25">
      <c r="C1891" s="3"/>
      <c r="D1891" s="3"/>
      <c r="E1891" s="3"/>
      <c r="F1891" s="3"/>
      <c r="G1891" s="3"/>
      <c r="H1891" s="3"/>
      <c r="I1891" s="3"/>
      <c r="J1891" s="3"/>
      <c r="K1891" s="3"/>
      <c r="L1891" s="3"/>
      <c r="M1891" s="3"/>
      <c r="N1891" s="3"/>
      <c r="O1891" s="3"/>
      <c r="P1891" s="3"/>
      <c r="Q1891" s="3"/>
      <c r="R1891" s="111"/>
      <c r="S1891" s="111"/>
      <c r="T1891" s="111"/>
    </row>
    <row r="1892" spans="3:20" s="4" customFormat="1" x14ac:dyDescent="0.25">
      <c r="C1892" s="3"/>
      <c r="D1892" s="3"/>
      <c r="E1892" s="3"/>
      <c r="F1892" s="3"/>
      <c r="G1892" s="3"/>
      <c r="H1892" s="3"/>
      <c r="I1892" s="3"/>
      <c r="J1892" s="3"/>
      <c r="K1892" s="3"/>
      <c r="L1892" s="3"/>
      <c r="M1892" s="3"/>
      <c r="N1892" s="3"/>
      <c r="O1892" s="3"/>
      <c r="P1892" s="3"/>
      <c r="Q1892" s="3"/>
      <c r="R1892" s="111"/>
      <c r="S1892" s="111"/>
      <c r="T1892" s="111"/>
    </row>
    <row r="1893" spans="3:20" s="4" customFormat="1" x14ac:dyDescent="0.25">
      <c r="C1893" s="3"/>
      <c r="D1893" s="3"/>
      <c r="E1893" s="3"/>
      <c r="F1893" s="3"/>
      <c r="G1893" s="3"/>
      <c r="H1893" s="3"/>
      <c r="I1893" s="3"/>
      <c r="J1893" s="3"/>
      <c r="K1893" s="3"/>
      <c r="L1893" s="3"/>
      <c r="M1893" s="3"/>
      <c r="N1893" s="3"/>
      <c r="O1893" s="3"/>
      <c r="P1893" s="3"/>
      <c r="Q1893" s="3"/>
      <c r="R1893" s="111"/>
      <c r="S1893" s="111"/>
      <c r="T1893" s="111"/>
    </row>
    <row r="1894" spans="3:20" s="4" customFormat="1" x14ac:dyDescent="0.25">
      <c r="C1894" s="3"/>
      <c r="D1894" s="3"/>
      <c r="E1894" s="3"/>
      <c r="F1894" s="3"/>
      <c r="G1894" s="3"/>
      <c r="H1894" s="3"/>
      <c r="I1894" s="3"/>
      <c r="J1894" s="3"/>
      <c r="K1894" s="3"/>
      <c r="L1894" s="3"/>
      <c r="M1894" s="3"/>
      <c r="N1894" s="3"/>
      <c r="O1894" s="3"/>
      <c r="P1894" s="3"/>
      <c r="Q1894" s="3"/>
      <c r="R1894" s="111"/>
      <c r="S1894" s="111"/>
      <c r="T1894" s="111"/>
    </row>
    <row r="1895" spans="3:20" s="4" customFormat="1" x14ac:dyDescent="0.25">
      <c r="C1895" s="3"/>
      <c r="D1895" s="3"/>
      <c r="E1895" s="3"/>
      <c r="F1895" s="3"/>
      <c r="G1895" s="3"/>
      <c r="H1895" s="3"/>
      <c r="I1895" s="3"/>
      <c r="J1895" s="3"/>
      <c r="K1895" s="3"/>
      <c r="L1895" s="3"/>
      <c r="M1895" s="3"/>
      <c r="N1895" s="3"/>
      <c r="O1895" s="3"/>
      <c r="P1895" s="3"/>
      <c r="Q1895" s="3"/>
      <c r="R1895" s="111"/>
      <c r="S1895" s="111"/>
      <c r="T1895" s="111"/>
    </row>
    <row r="1896" spans="3:20" s="4" customFormat="1" x14ac:dyDescent="0.25">
      <c r="C1896" s="3"/>
      <c r="D1896" s="3"/>
      <c r="E1896" s="3"/>
      <c r="F1896" s="3"/>
      <c r="G1896" s="3"/>
      <c r="H1896" s="3"/>
      <c r="I1896" s="3"/>
      <c r="J1896" s="3"/>
      <c r="K1896" s="3"/>
      <c r="L1896" s="3"/>
      <c r="M1896" s="3"/>
      <c r="N1896" s="3"/>
      <c r="O1896" s="3"/>
      <c r="P1896" s="3"/>
      <c r="Q1896" s="3"/>
      <c r="R1896" s="111"/>
      <c r="S1896" s="111"/>
      <c r="T1896" s="111"/>
    </row>
    <row r="1897" spans="3:20" s="4" customFormat="1" x14ac:dyDescent="0.25">
      <c r="C1897" s="3"/>
      <c r="D1897" s="3"/>
      <c r="E1897" s="3"/>
      <c r="F1897" s="3"/>
      <c r="G1897" s="3"/>
      <c r="H1897" s="3"/>
      <c r="I1897" s="3"/>
      <c r="J1897" s="3"/>
      <c r="K1897" s="3"/>
      <c r="L1897" s="3"/>
      <c r="M1897" s="3"/>
      <c r="N1897" s="3"/>
      <c r="O1897" s="3"/>
      <c r="P1897" s="3"/>
      <c r="Q1897" s="3"/>
      <c r="R1897" s="111"/>
      <c r="S1897" s="111"/>
      <c r="T1897" s="111"/>
    </row>
    <row r="1898" spans="3:20" s="4" customFormat="1" x14ac:dyDescent="0.25">
      <c r="C1898" s="3"/>
      <c r="D1898" s="3"/>
      <c r="E1898" s="3"/>
      <c r="F1898" s="3"/>
      <c r="G1898" s="3"/>
      <c r="H1898" s="3"/>
      <c r="I1898" s="3"/>
      <c r="J1898" s="3"/>
      <c r="K1898" s="3"/>
      <c r="L1898" s="3"/>
      <c r="M1898" s="3"/>
      <c r="N1898" s="3"/>
      <c r="O1898" s="3"/>
      <c r="P1898" s="3"/>
      <c r="Q1898" s="3"/>
      <c r="R1898" s="111"/>
      <c r="S1898" s="111"/>
      <c r="T1898" s="111"/>
    </row>
    <row r="1899" spans="3:20" s="4" customFormat="1" x14ac:dyDescent="0.25">
      <c r="C1899" s="3"/>
      <c r="D1899" s="3"/>
      <c r="E1899" s="3"/>
      <c r="F1899" s="3"/>
      <c r="G1899" s="3"/>
      <c r="H1899" s="3"/>
      <c r="I1899" s="3"/>
      <c r="J1899" s="3"/>
      <c r="K1899" s="3"/>
      <c r="L1899" s="3"/>
      <c r="M1899" s="3"/>
      <c r="N1899" s="3"/>
      <c r="O1899" s="3"/>
      <c r="P1899" s="3"/>
      <c r="Q1899" s="3"/>
      <c r="R1899" s="111"/>
      <c r="S1899" s="111"/>
      <c r="T1899" s="111"/>
    </row>
    <row r="1900" spans="3:20" s="4" customFormat="1" x14ac:dyDescent="0.25">
      <c r="C1900" s="3"/>
      <c r="D1900" s="3"/>
      <c r="E1900" s="3"/>
      <c r="F1900" s="3"/>
      <c r="G1900" s="3"/>
      <c r="H1900" s="3"/>
      <c r="I1900" s="3"/>
      <c r="J1900" s="3"/>
      <c r="K1900" s="3"/>
      <c r="L1900" s="3"/>
      <c r="M1900" s="3"/>
      <c r="N1900" s="3"/>
      <c r="O1900" s="3"/>
      <c r="P1900" s="3"/>
      <c r="Q1900" s="3"/>
      <c r="R1900" s="111"/>
      <c r="S1900" s="111"/>
      <c r="T1900" s="111"/>
    </row>
    <row r="1901" spans="3:20" s="4" customFormat="1" x14ac:dyDescent="0.25">
      <c r="C1901" s="3"/>
      <c r="D1901" s="3"/>
      <c r="E1901" s="3"/>
      <c r="F1901" s="3"/>
      <c r="G1901" s="3"/>
      <c r="H1901" s="3"/>
      <c r="I1901" s="3"/>
      <c r="J1901" s="3"/>
      <c r="K1901" s="3"/>
      <c r="L1901" s="3"/>
      <c r="M1901" s="3"/>
      <c r="N1901" s="3"/>
      <c r="O1901" s="3"/>
      <c r="P1901" s="3"/>
      <c r="Q1901" s="3"/>
      <c r="R1901" s="111"/>
      <c r="S1901" s="111"/>
      <c r="T1901" s="111"/>
    </row>
    <row r="1902" spans="3:20" s="4" customFormat="1" x14ac:dyDescent="0.25">
      <c r="C1902" s="3"/>
      <c r="D1902" s="3"/>
      <c r="E1902" s="3"/>
      <c r="F1902" s="3"/>
      <c r="G1902" s="3"/>
      <c r="H1902" s="3"/>
      <c r="I1902" s="3"/>
      <c r="J1902" s="3"/>
      <c r="K1902" s="3"/>
      <c r="L1902" s="3"/>
      <c r="M1902" s="3"/>
      <c r="N1902" s="3"/>
      <c r="O1902" s="3"/>
      <c r="P1902" s="3"/>
      <c r="Q1902" s="3"/>
      <c r="R1902" s="111"/>
      <c r="S1902" s="111"/>
      <c r="T1902" s="111"/>
    </row>
    <row r="1903" spans="3:20" s="4" customFormat="1" x14ac:dyDescent="0.25">
      <c r="C1903" s="3"/>
      <c r="D1903" s="3"/>
      <c r="E1903" s="3"/>
      <c r="F1903" s="3"/>
      <c r="G1903" s="3"/>
      <c r="H1903" s="3"/>
      <c r="I1903" s="3"/>
      <c r="J1903" s="3"/>
      <c r="K1903" s="3"/>
      <c r="L1903" s="3"/>
      <c r="M1903" s="3"/>
      <c r="N1903" s="3"/>
      <c r="O1903" s="3"/>
      <c r="P1903" s="3"/>
      <c r="Q1903" s="3"/>
      <c r="R1903" s="111"/>
      <c r="S1903" s="111"/>
      <c r="T1903" s="111"/>
    </row>
    <row r="1904" spans="3:20" s="4" customFormat="1" x14ac:dyDescent="0.25">
      <c r="C1904" s="3"/>
      <c r="D1904" s="3"/>
      <c r="E1904" s="3"/>
      <c r="F1904" s="3"/>
      <c r="G1904" s="3"/>
      <c r="H1904" s="3"/>
      <c r="I1904" s="3"/>
      <c r="J1904" s="3"/>
      <c r="K1904" s="3"/>
      <c r="L1904" s="3"/>
      <c r="M1904" s="3"/>
      <c r="N1904" s="3"/>
      <c r="O1904" s="3"/>
      <c r="P1904" s="3"/>
      <c r="Q1904" s="3"/>
      <c r="R1904" s="111"/>
      <c r="S1904" s="111"/>
      <c r="T1904" s="111"/>
    </row>
    <row r="1905" spans="3:20" s="4" customFormat="1" x14ac:dyDescent="0.25">
      <c r="C1905" s="3"/>
      <c r="D1905" s="3"/>
      <c r="E1905" s="3"/>
      <c r="F1905" s="3"/>
      <c r="G1905" s="3"/>
      <c r="H1905" s="3"/>
      <c r="I1905" s="3"/>
      <c r="J1905" s="3"/>
      <c r="K1905" s="3"/>
      <c r="L1905" s="3"/>
      <c r="M1905" s="3"/>
      <c r="N1905" s="3"/>
      <c r="O1905" s="3"/>
      <c r="P1905" s="3"/>
      <c r="Q1905" s="3"/>
      <c r="R1905" s="111"/>
      <c r="S1905" s="111"/>
      <c r="T1905" s="111"/>
    </row>
    <row r="1906" spans="3:20" s="4" customFormat="1" x14ac:dyDescent="0.25">
      <c r="C1906" s="3"/>
      <c r="D1906" s="3"/>
      <c r="E1906" s="3"/>
      <c r="F1906" s="3"/>
      <c r="G1906" s="3"/>
      <c r="H1906" s="3"/>
      <c r="I1906" s="3"/>
      <c r="J1906" s="3"/>
      <c r="K1906" s="3"/>
      <c r="L1906" s="3"/>
      <c r="M1906" s="3"/>
      <c r="N1906" s="3"/>
      <c r="O1906" s="3"/>
      <c r="P1906" s="3"/>
      <c r="Q1906" s="3"/>
      <c r="R1906" s="111"/>
      <c r="S1906" s="111"/>
      <c r="T1906" s="111"/>
    </row>
    <row r="1907" spans="3:20" s="4" customFormat="1" x14ac:dyDescent="0.25">
      <c r="C1907" s="3"/>
      <c r="D1907" s="3"/>
      <c r="E1907" s="3"/>
      <c r="F1907" s="3"/>
      <c r="G1907" s="3"/>
      <c r="H1907" s="3"/>
      <c r="I1907" s="3"/>
      <c r="J1907" s="3"/>
      <c r="K1907" s="3"/>
      <c r="L1907" s="3"/>
      <c r="M1907" s="3"/>
      <c r="N1907" s="3"/>
      <c r="O1907" s="3"/>
      <c r="P1907" s="3"/>
      <c r="Q1907" s="3"/>
      <c r="R1907" s="111"/>
      <c r="S1907" s="111"/>
      <c r="T1907" s="111"/>
    </row>
    <row r="1908" spans="3:20" s="4" customFormat="1" x14ac:dyDescent="0.25">
      <c r="C1908" s="3"/>
      <c r="D1908" s="3"/>
      <c r="E1908" s="3"/>
      <c r="F1908" s="3"/>
      <c r="G1908" s="3"/>
      <c r="H1908" s="3"/>
      <c r="I1908" s="3"/>
      <c r="J1908" s="3"/>
      <c r="K1908" s="3"/>
      <c r="L1908" s="3"/>
      <c r="M1908" s="3"/>
      <c r="N1908" s="3"/>
      <c r="O1908" s="3"/>
      <c r="P1908" s="3"/>
      <c r="Q1908" s="3"/>
      <c r="R1908" s="111"/>
      <c r="S1908" s="111"/>
      <c r="T1908" s="111"/>
    </row>
    <row r="1909" spans="3:20" s="4" customFormat="1" x14ac:dyDescent="0.25">
      <c r="C1909" s="3"/>
      <c r="D1909" s="3"/>
      <c r="E1909" s="3"/>
      <c r="F1909" s="3"/>
      <c r="G1909" s="3"/>
      <c r="H1909" s="3"/>
      <c r="I1909" s="3"/>
      <c r="J1909" s="3"/>
      <c r="K1909" s="3"/>
      <c r="L1909" s="3"/>
      <c r="M1909" s="3"/>
      <c r="N1909" s="3"/>
      <c r="O1909" s="3"/>
      <c r="P1909" s="3"/>
      <c r="Q1909" s="3"/>
      <c r="R1909" s="111"/>
      <c r="S1909" s="111"/>
      <c r="T1909" s="111"/>
    </row>
    <row r="1910" spans="3:20" s="4" customFormat="1" x14ac:dyDescent="0.25">
      <c r="C1910" s="3"/>
      <c r="D1910" s="3"/>
      <c r="E1910" s="3"/>
      <c r="F1910" s="3"/>
      <c r="G1910" s="3"/>
      <c r="H1910" s="3"/>
      <c r="I1910" s="3"/>
      <c r="J1910" s="3"/>
      <c r="K1910" s="3"/>
      <c r="L1910" s="3"/>
      <c r="M1910" s="3"/>
      <c r="N1910" s="3"/>
      <c r="O1910" s="3"/>
      <c r="P1910" s="3"/>
      <c r="Q1910" s="3"/>
      <c r="R1910" s="111"/>
      <c r="S1910" s="111"/>
      <c r="T1910" s="111"/>
    </row>
    <row r="1911" spans="3:20" s="4" customFormat="1" x14ac:dyDescent="0.25">
      <c r="C1911" s="3"/>
      <c r="D1911" s="3"/>
      <c r="E1911" s="3"/>
      <c r="F1911" s="3"/>
      <c r="G1911" s="3"/>
      <c r="H1911" s="3"/>
      <c r="I1911" s="3"/>
      <c r="J1911" s="3"/>
      <c r="K1911" s="3"/>
      <c r="L1911" s="3"/>
      <c r="M1911" s="3"/>
      <c r="N1911" s="3"/>
      <c r="O1911" s="3"/>
      <c r="P1911" s="3"/>
      <c r="Q1911" s="3"/>
      <c r="R1911" s="111"/>
      <c r="S1911" s="111"/>
      <c r="T1911" s="111"/>
    </row>
    <row r="1912" spans="3:20" s="4" customFormat="1" x14ac:dyDescent="0.25">
      <c r="C1912" s="3"/>
      <c r="D1912" s="3"/>
      <c r="E1912" s="3"/>
      <c r="F1912" s="3"/>
      <c r="G1912" s="3"/>
      <c r="H1912" s="3"/>
      <c r="I1912" s="3"/>
      <c r="J1912" s="3"/>
      <c r="K1912" s="3"/>
      <c r="L1912" s="3"/>
      <c r="M1912" s="3"/>
      <c r="N1912" s="3"/>
      <c r="O1912" s="3"/>
      <c r="P1912" s="3"/>
      <c r="Q1912" s="3"/>
      <c r="R1912" s="111"/>
      <c r="S1912" s="111"/>
      <c r="T1912" s="111"/>
    </row>
    <row r="1913" spans="3:20" s="4" customFormat="1" x14ac:dyDescent="0.25">
      <c r="C1913" s="3"/>
      <c r="D1913" s="3"/>
      <c r="E1913" s="3"/>
      <c r="F1913" s="3"/>
      <c r="G1913" s="3"/>
      <c r="H1913" s="3"/>
      <c r="I1913" s="3"/>
      <c r="J1913" s="3"/>
      <c r="K1913" s="3"/>
      <c r="L1913" s="3"/>
      <c r="M1913" s="3"/>
      <c r="N1913" s="3"/>
      <c r="O1913" s="3"/>
      <c r="P1913" s="3"/>
      <c r="Q1913" s="3"/>
      <c r="R1913" s="111"/>
      <c r="S1913" s="111"/>
      <c r="T1913" s="111"/>
    </row>
    <row r="1914" spans="3:20" s="4" customFormat="1" x14ac:dyDescent="0.25">
      <c r="C1914" s="3"/>
      <c r="D1914" s="3"/>
      <c r="E1914" s="3"/>
      <c r="F1914" s="3"/>
      <c r="G1914" s="3"/>
      <c r="H1914" s="3"/>
      <c r="I1914" s="3"/>
      <c r="J1914" s="3"/>
      <c r="K1914" s="3"/>
      <c r="L1914" s="3"/>
      <c r="M1914" s="3"/>
      <c r="N1914" s="3"/>
      <c r="O1914" s="3"/>
      <c r="P1914" s="3"/>
      <c r="Q1914" s="3"/>
      <c r="R1914" s="111"/>
      <c r="S1914" s="111"/>
      <c r="T1914" s="111"/>
    </row>
    <row r="1915" spans="3:20" s="4" customFormat="1" x14ac:dyDescent="0.25">
      <c r="C1915" s="3"/>
      <c r="D1915" s="3"/>
      <c r="E1915" s="3"/>
      <c r="F1915" s="3"/>
      <c r="G1915" s="3"/>
      <c r="H1915" s="3"/>
      <c r="I1915" s="3"/>
      <c r="J1915" s="3"/>
      <c r="K1915" s="3"/>
      <c r="L1915" s="3"/>
      <c r="M1915" s="3"/>
      <c r="N1915" s="3"/>
      <c r="O1915" s="3"/>
      <c r="P1915" s="3"/>
      <c r="Q1915" s="3"/>
      <c r="R1915" s="111"/>
      <c r="S1915" s="111"/>
      <c r="T1915" s="111"/>
    </row>
    <row r="1916" spans="3:20" s="4" customFormat="1" x14ac:dyDescent="0.25">
      <c r="C1916" s="3"/>
      <c r="D1916" s="3"/>
      <c r="E1916" s="3"/>
      <c r="F1916" s="3"/>
      <c r="G1916" s="3"/>
      <c r="H1916" s="3"/>
      <c r="I1916" s="3"/>
      <c r="J1916" s="3"/>
      <c r="K1916" s="3"/>
      <c r="L1916" s="3"/>
      <c r="M1916" s="3"/>
      <c r="N1916" s="3"/>
      <c r="O1916" s="3"/>
      <c r="P1916" s="3"/>
      <c r="Q1916" s="3"/>
      <c r="R1916" s="111"/>
      <c r="S1916" s="111"/>
      <c r="T1916" s="111"/>
    </row>
    <row r="1917" spans="3:20" s="4" customFormat="1" x14ac:dyDescent="0.25">
      <c r="C1917" s="3"/>
      <c r="D1917" s="3"/>
      <c r="E1917" s="3"/>
      <c r="F1917" s="3"/>
      <c r="G1917" s="3"/>
      <c r="H1917" s="3"/>
      <c r="I1917" s="3"/>
      <c r="J1917" s="3"/>
      <c r="K1917" s="3"/>
      <c r="L1917" s="3"/>
      <c r="M1917" s="3"/>
      <c r="N1917" s="3"/>
      <c r="O1917" s="3"/>
      <c r="P1917" s="3"/>
      <c r="Q1917" s="3"/>
      <c r="R1917" s="111"/>
      <c r="S1917" s="111"/>
      <c r="T1917" s="111"/>
    </row>
    <row r="1918" spans="3:20" s="4" customFormat="1" x14ac:dyDescent="0.25">
      <c r="C1918" s="3"/>
      <c r="D1918" s="3"/>
      <c r="E1918" s="3"/>
      <c r="F1918" s="3"/>
      <c r="G1918" s="3"/>
      <c r="H1918" s="3"/>
      <c r="I1918" s="3"/>
      <c r="J1918" s="3"/>
      <c r="K1918" s="3"/>
      <c r="L1918" s="3"/>
      <c r="M1918" s="3"/>
      <c r="N1918" s="3"/>
      <c r="O1918" s="3"/>
      <c r="P1918" s="3"/>
      <c r="Q1918" s="3"/>
      <c r="R1918" s="111"/>
      <c r="S1918" s="111"/>
      <c r="T1918" s="111"/>
    </row>
    <row r="1919" spans="3:20" s="4" customFormat="1" x14ac:dyDescent="0.25">
      <c r="C1919" s="3"/>
      <c r="D1919" s="3"/>
      <c r="E1919" s="3"/>
      <c r="F1919" s="3"/>
      <c r="G1919" s="3"/>
      <c r="H1919" s="3"/>
      <c r="I1919" s="3"/>
      <c r="J1919" s="3"/>
      <c r="K1919" s="3"/>
      <c r="L1919" s="3"/>
      <c r="M1919" s="3"/>
      <c r="N1919" s="3"/>
      <c r="O1919" s="3"/>
      <c r="P1919" s="3"/>
      <c r="Q1919" s="3"/>
      <c r="R1919" s="111"/>
      <c r="S1919" s="111"/>
      <c r="T1919" s="111"/>
    </row>
    <row r="1920" spans="3:20" s="4" customFormat="1" x14ac:dyDescent="0.25">
      <c r="C1920" s="3"/>
      <c r="D1920" s="3"/>
      <c r="E1920" s="3"/>
      <c r="F1920" s="3"/>
      <c r="G1920" s="3"/>
      <c r="H1920" s="3"/>
      <c r="I1920" s="3"/>
      <c r="J1920" s="3"/>
      <c r="K1920" s="3"/>
      <c r="L1920" s="3"/>
      <c r="M1920" s="3"/>
      <c r="N1920" s="3"/>
      <c r="O1920" s="3"/>
      <c r="P1920" s="3"/>
      <c r="Q1920" s="3"/>
      <c r="R1920" s="111"/>
      <c r="S1920" s="111"/>
      <c r="T1920" s="111"/>
    </row>
    <row r="1921" spans="3:20" s="4" customFormat="1" x14ac:dyDescent="0.25">
      <c r="C1921" s="3"/>
      <c r="D1921" s="3"/>
      <c r="E1921" s="3"/>
      <c r="F1921" s="3"/>
      <c r="G1921" s="3"/>
      <c r="H1921" s="3"/>
      <c r="I1921" s="3"/>
      <c r="J1921" s="3"/>
      <c r="K1921" s="3"/>
      <c r="L1921" s="3"/>
      <c r="M1921" s="3"/>
      <c r="N1921" s="3"/>
      <c r="O1921" s="3"/>
      <c r="P1921" s="3"/>
      <c r="Q1921" s="3"/>
      <c r="R1921" s="111"/>
      <c r="S1921" s="111"/>
      <c r="T1921" s="111"/>
    </row>
    <row r="1922" spans="3:20" s="4" customFormat="1" x14ac:dyDescent="0.25">
      <c r="C1922" s="3"/>
      <c r="D1922" s="3"/>
      <c r="E1922" s="3"/>
      <c r="F1922" s="3"/>
      <c r="G1922" s="3"/>
      <c r="H1922" s="3"/>
      <c r="I1922" s="3"/>
      <c r="J1922" s="3"/>
      <c r="K1922" s="3"/>
      <c r="L1922" s="3"/>
      <c r="M1922" s="3"/>
      <c r="N1922" s="3"/>
      <c r="O1922" s="3"/>
      <c r="P1922" s="3"/>
      <c r="Q1922" s="3"/>
      <c r="R1922" s="111"/>
      <c r="S1922" s="111"/>
      <c r="T1922" s="111"/>
    </row>
    <row r="1923" spans="3:20" s="4" customFormat="1" x14ac:dyDescent="0.25">
      <c r="C1923" s="3"/>
      <c r="D1923" s="3"/>
      <c r="E1923" s="3"/>
      <c r="F1923" s="3"/>
      <c r="G1923" s="3"/>
      <c r="H1923" s="3"/>
      <c r="I1923" s="3"/>
      <c r="J1923" s="3"/>
      <c r="K1923" s="3"/>
      <c r="L1923" s="3"/>
      <c r="M1923" s="3"/>
      <c r="N1923" s="3"/>
      <c r="O1923" s="3"/>
      <c r="P1923" s="3"/>
      <c r="Q1923" s="3"/>
      <c r="R1923" s="111"/>
      <c r="S1923" s="111"/>
      <c r="T1923" s="111"/>
    </row>
    <row r="1924" spans="3:20" s="4" customFormat="1" x14ac:dyDescent="0.25">
      <c r="C1924" s="3"/>
      <c r="D1924" s="3"/>
      <c r="E1924" s="3"/>
      <c r="F1924" s="3"/>
      <c r="G1924" s="3"/>
      <c r="H1924" s="3"/>
      <c r="I1924" s="3"/>
      <c r="J1924" s="3"/>
      <c r="K1924" s="3"/>
      <c r="L1924" s="3"/>
      <c r="M1924" s="3"/>
      <c r="N1924" s="3"/>
      <c r="O1924" s="3"/>
      <c r="P1924" s="3"/>
      <c r="Q1924" s="3"/>
      <c r="R1924" s="111"/>
      <c r="S1924" s="111"/>
      <c r="T1924" s="111"/>
    </row>
    <row r="1925" spans="3:20" s="4" customFormat="1" x14ac:dyDescent="0.25">
      <c r="C1925" s="3"/>
      <c r="D1925" s="3"/>
      <c r="E1925" s="3"/>
      <c r="F1925" s="3"/>
      <c r="G1925" s="3"/>
      <c r="H1925" s="3"/>
      <c r="I1925" s="3"/>
      <c r="J1925" s="3"/>
      <c r="K1925" s="3"/>
      <c r="L1925" s="3"/>
      <c r="M1925" s="3"/>
      <c r="N1925" s="3"/>
      <c r="O1925" s="3"/>
      <c r="P1925" s="3"/>
      <c r="Q1925" s="3"/>
      <c r="R1925" s="111"/>
      <c r="S1925" s="111"/>
      <c r="T1925" s="111"/>
    </row>
    <row r="1926" spans="3:20" s="4" customFormat="1" x14ac:dyDescent="0.25">
      <c r="C1926" s="3"/>
      <c r="D1926" s="3"/>
      <c r="E1926" s="3"/>
      <c r="F1926" s="3"/>
      <c r="G1926" s="3"/>
      <c r="H1926" s="3"/>
      <c r="I1926" s="3"/>
      <c r="J1926" s="3"/>
      <c r="K1926" s="3"/>
      <c r="L1926" s="3"/>
      <c r="M1926" s="3"/>
      <c r="N1926" s="3"/>
      <c r="O1926" s="3"/>
      <c r="P1926" s="3"/>
      <c r="Q1926" s="3"/>
      <c r="R1926" s="111"/>
      <c r="S1926" s="111"/>
      <c r="T1926" s="111"/>
    </row>
    <row r="1927" spans="3:20" s="4" customFormat="1" x14ac:dyDescent="0.25">
      <c r="C1927" s="3"/>
      <c r="D1927" s="3"/>
      <c r="E1927" s="3"/>
      <c r="F1927" s="3"/>
      <c r="G1927" s="3"/>
      <c r="H1927" s="3"/>
      <c r="I1927" s="3"/>
      <c r="J1927" s="3"/>
      <c r="K1927" s="3"/>
      <c r="L1927" s="3"/>
      <c r="M1927" s="3"/>
      <c r="N1927" s="3"/>
      <c r="O1927" s="3"/>
      <c r="P1927" s="3"/>
      <c r="Q1927" s="3"/>
      <c r="R1927" s="111"/>
      <c r="S1927" s="111"/>
      <c r="T1927" s="111"/>
    </row>
    <row r="1928" spans="3:20" s="4" customFormat="1" x14ac:dyDescent="0.25">
      <c r="C1928" s="3"/>
      <c r="D1928" s="3"/>
      <c r="E1928" s="3"/>
      <c r="F1928" s="3"/>
      <c r="G1928" s="3"/>
      <c r="H1928" s="3"/>
      <c r="I1928" s="3"/>
      <c r="J1928" s="3"/>
      <c r="K1928" s="3"/>
      <c r="L1928" s="3"/>
      <c r="M1928" s="3"/>
      <c r="N1928" s="3"/>
      <c r="O1928" s="3"/>
      <c r="P1928" s="3"/>
      <c r="Q1928" s="3"/>
      <c r="R1928" s="111"/>
      <c r="S1928" s="111"/>
      <c r="T1928" s="111"/>
    </row>
    <row r="1929" spans="3:20" s="4" customFormat="1" x14ac:dyDescent="0.25">
      <c r="C1929" s="3"/>
      <c r="D1929" s="3"/>
      <c r="E1929" s="3"/>
      <c r="F1929" s="3"/>
      <c r="G1929" s="3"/>
      <c r="H1929" s="3"/>
      <c r="I1929" s="3"/>
      <c r="J1929" s="3"/>
      <c r="K1929" s="3"/>
      <c r="L1929" s="3"/>
      <c r="M1929" s="3"/>
      <c r="N1929" s="3"/>
      <c r="O1929" s="3"/>
      <c r="P1929" s="3"/>
      <c r="Q1929" s="3"/>
      <c r="R1929" s="111"/>
      <c r="S1929" s="111"/>
      <c r="T1929" s="111"/>
    </row>
    <row r="1930" spans="3:20" s="4" customFormat="1" x14ac:dyDescent="0.25">
      <c r="C1930" s="3"/>
      <c r="D1930" s="3"/>
      <c r="E1930" s="3"/>
      <c r="F1930" s="3"/>
      <c r="G1930" s="3"/>
      <c r="H1930" s="3"/>
      <c r="I1930" s="3"/>
      <c r="J1930" s="3"/>
      <c r="K1930" s="3"/>
      <c r="L1930" s="3"/>
      <c r="M1930" s="3"/>
      <c r="N1930" s="3"/>
      <c r="O1930" s="3"/>
      <c r="P1930" s="3"/>
      <c r="Q1930" s="3"/>
      <c r="R1930" s="111"/>
      <c r="S1930" s="111"/>
      <c r="T1930" s="111"/>
    </row>
    <row r="1931" spans="3:20" s="4" customFormat="1" x14ac:dyDescent="0.25">
      <c r="C1931" s="3"/>
      <c r="D1931" s="3"/>
      <c r="E1931" s="3"/>
      <c r="F1931" s="3"/>
      <c r="G1931" s="3"/>
      <c r="H1931" s="3"/>
      <c r="I1931" s="3"/>
      <c r="J1931" s="3"/>
      <c r="K1931" s="3"/>
      <c r="L1931" s="3"/>
      <c r="M1931" s="3"/>
      <c r="N1931" s="3"/>
      <c r="O1931" s="3"/>
      <c r="P1931" s="3"/>
      <c r="Q1931" s="3"/>
      <c r="R1931" s="111"/>
      <c r="S1931" s="111"/>
      <c r="T1931" s="111"/>
    </row>
    <row r="1932" spans="3:20" s="4" customFormat="1" x14ac:dyDescent="0.25">
      <c r="C1932" s="3"/>
      <c r="D1932" s="3"/>
      <c r="E1932" s="3"/>
      <c r="F1932" s="3"/>
      <c r="G1932" s="3"/>
      <c r="H1932" s="3"/>
      <c r="I1932" s="3"/>
      <c r="J1932" s="3"/>
      <c r="K1932" s="3"/>
      <c r="L1932" s="3"/>
      <c r="M1932" s="3"/>
      <c r="N1932" s="3"/>
      <c r="O1932" s="3"/>
      <c r="P1932" s="3"/>
      <c r="Q1932" s="3"/>
      <c r="R1932" s="111"/>
      <c r="S1932" s="111"/>
      <c r="T1932" s="111"/>
    </row>
    <row r="1933" spans="3:20" s="4" customFormat="1" x14ac:dyDescent="0.25">
      <c r="C1933" s="3"/>
      <c r="D1933" s="3"/>
      <c r="E1933" s="3"/>
      <c r="F1933" s="3"/>
      <c r="G1933" s="3"/>
      <c r="H1933" s="3"/>
      <c r="I1933" s="3"/>
      <c r="J1933" s="3"/>
      <c r="K1933" s="3"/>
      <c r="L1933" s="3"/>
      <c r="M1933" s="3"/>
      <c r="N1933" s="3"/>
      <c r="O1933" s="3"/>
      <c r="P1933" s="3"/>
      <c r="Q1933" s="3"/>
      <c r="R1933" s="111"/>
      <c r="S1933" s="111"/>
      <c r="T1933" s="111"/>
    </row>
    <row r="1934" spans="3:20" s="4" customFormat="1" x14ac:dyDescent="0.25">
      <c r="C1934" s="3"/>
      <c r="D1934" s="3"/>
      <c r="E1934" s="3"/>
      <c r="F1934" s="3"/>
      <c r="G1934" s="3"/>
      <c r="H1934" s="3"/>
      <c r="I1934" s="3"/>
      <c r="J1934" s="3"/>
      <c r="K1934" s="3"/>
      <c r="L1934" s="3"/>
      <c r="M1934" s="3"/>
      <c r="N1934" s="3"/>
      <c r="O1934" s="3"/>
      <c r="P1934" s="3"/>
      <c r="Q1934" s="3"/>
      <c r="R1934" s="111"/>
      <c r="S1934" s="111"/>
      <c r="T1934" s="111"/>
    </row>
    <row r="1935" spans="3:20" s="4" customFormat="1" x14ac:dyDescent="0.25">
      <c r="C1935" s="3"/>
      <c r="D1935" s="3"/>
      <c r="E1935" s="3"/>
      <c r="F1935" s="3"/>
      <c r="G1935" s="3"/>
      <c r="H1935" s="3"/>
      <c r="I1935" s="3"/>
      <c r="J1935" s="3"/>
      <c r="K1935" s="3"/>
      <c r="L1935" s="3"/>
      <c r="M1935" s="3"/>
      <c r="N1935" s="3"/>
      <c r="O1935" s="3"/>
      <c r="P1935" s="3"/>
      <c r="Q1935" s="3"/>
      <c r="R1935" s="111"/>
      <c r="S1935" s="111"/>
      <c r="T1935" s="111"/>
    </row>
    <row r="1936" spans="3:20" s="4" customFormat="1" x14ac:dyDescent="0.25">
      <c r="C1936" s="3"/>
      <c r="D1936" s="3"/>
      <c r="E1936" s="3"/>
      <c r="F1936" s="3"/>
      <c r="G1936" s="3"/>
      <c r="H1936" s="3"/>
      <c r="I1936" s="3"/>
      <c r="J1936" s="3"/>
      <c r="K1936" s="3"/>
      <c r="L1936" s="3"/>
      <c r="M1936" s="3"/>
      <c r="N1936" s="3"/>
      <c r="O1936" s="3"/>
      <c r="P1936" s="3"/>
      <c r="Q1936" s="3"/>
      <c r="R1936" s="111"/>
      <c r="S1936" s="111"/>
      <c r="T1936" s="111"/>
    </row>
    <row r="1937" spans="3:20" s="4" customFormat="1" x14ac:dyDescent="0.25">
      <c r="C1937" s="3"/>
      <c r="D1937" s="3"/>
      <c r="E1937" s="3"/>
      <c r="F1937" s="3"/>
      <c r="G1937" s="3"/>
      <c r="H1937" s="3"/>
      <c r="I1937" s="3"/>
      <c r="J1937" s="3"/>
      <c r="K1937" s="3"/>
      <c r="L1937" s="3"/>
      <c r="M1937" s="3"/>
      <c r="N1937" s="3"/>
      <c r="O1937" s="3"/>
      <c r="P1937" s="3"/>
      <c r="Q1937" s="3"/>
      <c r="R1937" s="111"/>
      <c r="S1937" s="111"/>
      <c r="T1937" s="111"/>
    </row>
    <row r="1938" spans="3:20" s="4" customFormat="1" x14ac:dyDescent="0.25">
      <c r="C1938" s="3"/>
      <c r="D1938" s="3"/>
      <c r="E1938" s="3"/>
      <c r="F1938" s="3"/>
      <c r="G1938" s="3"/>
      <c r="H1938" s="3"/>
      <c r="I1938" s="3"/>
      <c r="J1938" s="3"/>
      <c r="K1938" s="3"/>
      <c r="L1938" s="3"/>
      <c r="M1938" s="3"/>
      <c r="N1938" s="3"/>
      <c r="O1938" s="3"/>
      <c r="P1938" s="3"/>
      <c r="Q1938" s="3"/>
      <c r="R1938" s="111"/>
      <c r="S1938" s="111"/>
      <c r="T1938" s="111"/>
    </row>
    <row r="1939" spans="3:20" s="4" customFormat="1" x14ac:dyDescent="0.25">
      <c r="C1939" s="3"/>
      <c r="D1939" s="3"/>
      <c r="E1939" s="3"/>
      <c r="F1939" s="3"/>
      <c r="G1939" s="3"/>
      <c r="H1939" s="3"/>
      <c r="I1939" s="3"/>
      <c r="J1939" s="3"/>
      <c r="K1939" s="3"/>
      <c r="L1939" s="3"/>
      <c r="M1939" s="3"/>
      <c r="N1939" s="3"/>
      <c r="O1939" s="3"/>
      <c r="P1939" s="3"/>
      <c r="Q1939" s="3"/>
      <c r="R1939" s="111"/>
      <c r="S1939" s="111"/>
      <c r="T1939" s="111"/>
    </row>
    <row r="1940" spans="3:20" s="4" customFormat="1" x14ac:dyDescent="0.25">
      <c r="C1940" s="3"/>
      <c r="D1940" s="3"/>
      <c r="E1940" s="3"/>
      <c r="F1940" s="3"/>
      <c r="G1940" s="3"/>
      <c r="H1940" s="3"/>
      <c r="I1940" s="3"/>
      <c r="J1940" s="3"/>
      <c r="K1940" s="3"/>
      <c r="L1940" s="3"/>
      <c r="M1940" s="3"/>
      <c r="N1940" s="3"/>
      <c r="O1940" s="3"/>
      <c r="P1940" s="3"/>
      <c r="Q1940" s="3"/>
      <c r="R1940" s="111"/>
      <c r="S1940" s="111"/>
      <c r="T1940" s="111"/>
    </row>
    <row r="1941" spans="3:20" s="4" customFormat="1" x14ac:dyDescent="0.25">
      <c r="C1941" s="3"/>
      <c r="D1941" s="3"/>
      <c r="E1941" s="3"/>
      <c r="F1941" s="3"/>
      <c r="G1941" s="3"/>
      <c r="H1941" s="3"/>
      <c r="I1941" s="3"/>
      <c r="J1941" s="3"/>
      <c r="K1941" s="3"/>
      <c r="L1941" s="3"/>
      <c r="M1941" s="3"/>
      <c r="N1941" s="3"/>
      <c r="O1941" s="3"/>
      <c r="P1941" s="3"/>
      <c r="Q1941" s="3"/>
      <c r="R1941" s="111"/>
      <c r="S1941" s="111"/>
      <c r="T1941" s="111"/>
    </row>
    <row r="1942" spans="3:20" s="4" customFormat="1" x14ac:dyDescent="0.25">
      <c r="C1942" s="3"/>
      <c r="D1942" s="3"/>
      <c r="E1942" s="3"/>
      <c r="F1942" s="3"/>
      <c r="G1942" s="3"/>
      <c r="H1942" s="3"/>
      <c r="I1942" s="3"/>
      <c r="J1942" s="3"/>
      <c r="K1942" s="3"/>
      <c r="L1942" s="3"/>
      <c r="M1942" s="3"/>
      <c r="N1942" s="3"/>
      <c r="O1942" s="3"/>
      <c r="P1942" s="3"/>
      <c r="Q1942" s="3"/>
      <c r="R1942" s="111"/>
      <c r="S1942" s="111"/>
      <c r="T1942" s="111"/>
    </row>
    <row r="1943" spans="3:20" s="4" customFormat="1" x14ac:dyDescent="0.25">
      <c r="C1943" s="3"/>
      <c r="D1943" s="3"/>
      <c r="E1943" s="3"/>
      <c r="F1943" s="3"/>
      <c r="G1943" s="3"/>
      <c r="H1943" s="3"/>
      <c r="I1943" s="3"/>
      <c r="J1943" s="3"/>
      <c r="K1943" s="3"/>
      <c r="L1943" s="3"/>
      <c r="M1943" s="3"/>
      <c r="N1943" s="3"/>
      <c r="O1943" s="3"/>
      <c r="P1943" s="3"/>
      <c r="Q1943" s="3"/>
      <c r="R1943" s="111"/>
      <c r="S1943" s="111"/>
      <c r="T1943" s="111"/>
    </row>
    <row r="1944" spans="3:20" s="4" customFormat="1" x14ac:dyDescent="0.25">
      <c r="C1944" s="3"/>
      <c r="D1944" s="3"/>
      <c r="E1944" s="3"/>
      <c r="F1944" s="3"/>
      <c r="G1944" s="3"/>
      <c r="H1944" s="3"/>
      <c r="I1944" s="3"/>
      <c r="J1944" s="3"/>
      <c r="K1944" s="3"/>
      <c r="L1944" s="3"/>
      <c r="M1944" s="3"/>
      <c r="N1944" s="3"/>
      <c r="O1944" s="3"/>
      <c r="P1944" s="3"/>
      <c r="Q1944" s="3"/>
      <c r="R1944" s="111"/>
      <c r="S1944" s="111"/>
      <c r="T1944" s="111"/>
    </row>
    <row r="1945" spans="3:20" s="4" customFormat="1" x14ac:dyDescent="0.25">
      <c r="C1945" s="3"/>
      <c r="D1945" s="3"/>
      <c r="E1945" s="3"/>
      <c r="F1945" s="3"/>
      <c r="G1945" s="3"/>
      <c r="H1945" s="3"/>
      <c r="I1945" s="3"/>
      <c r="J1945" s="3"/>
      <c r="K1945" s="3"/>
      <c r="L1945" s="3"/>
      <c r="M1945" s="3"/>
      <c r="N1945" s="3"/>
      <c r="O1945" s="3"/>
      <c r="P1945" s="3"/>
      <c r="Q1945" s="3"/>
      <c r="R1945" s="111"/>
      <c r="S1945" s="111"/>
      <c r="T1945" s="111"/>
    </row>
    <row r="1946" spans="3:20" s="4" customFormat="1" x14ac:dyDescent="0.25">
      <c r="C1946" s="3"/>
      <c r="D1946" s="3"/>
      <c r="E1946" s="3"/>
      <c r="F1946" s="3"/>
      <c r="G1946" s="3"/>
      <c r="H1946" s="3"/>
      <c r="I1946" s="3"/>
      <c r="J1946" s="3"/>
      <c r="K1946" s="3"/>
      <c r="L1946" s="3"/>
      <c r="M1946" s="3"/>
      <c r="N1946" s="3"/>
      <c r="O1946" s="3"/>
      <c r="P1946" s="3"/>
      <c r="Q1946" s="3"/>
      <c r="R1946" s="111"/>
      <c r="S1946" s="111"/>
      <c r="T1946" s="111"/>
    </row>
    <row r="1947" spans="3:20" s="4" customFormat="1" x14ac:dyDescent="0.25">
      <c r="C1947" s="3"/>
      <c r="D1947" s="3"/>
      <c r="E1947" s="3"/>
      <c r="F1947" s="3"/>
      <c r="G1947" s="3"/>
      <c r="H1947" s="3"/>
      <c r="I1947" s="3"/>
      <c r="J1947" s="3"/>
      <c r="K1947" s="3"/>
      <c r="L1947" s="3"/>
      <c r="M1947" s="3"/>
      <c r="N1947" s="3"/>
      <c r="O1947" s="3"/>
      <c r="P1947" s="3"/>
      <c r="Q1947" s="3"/>
      <c r="R1947" s="111"/>
      <c r="S1947" s="111"/>
      <c r="T1947" s="111"/>
    </row>
    <row r="1948" spans="3:20" s="4" customFormat="1" x14ac:dyDescent="0.25">
      <c r="C1948" s="3"/>
      <c r="D1948" s="3"/>
      <c r="E1948" s="3"/>
      <c r="F1948" s="3"/>
      <c r="G1948" s="3"/>
      <c r="H1948" s="3"/>
      <c r="I1948" s="3"/>
      <c r="J1948" s="3"/>
      <c r="K1948" s="3"/>
      <c r="L1948" s="3"/>
      <c r="M1948" s="3"/>
      <c r="N1948" s="3"/>
      <c r="O1948" s="3"/>
      <c r="P1948" s="3"/>
      <c r="Q1948" s="3"/>
      <c r="R1948" s="111"/>
      <c r="S1948" s="111"/>
      <c r="T1948" s="111"/>
    </row>
    <row r="1949" spans="3:20" s="4" customFormat="1" x14ac:dyDescent="0.25">
      <c r="C1949" s="3"/>
      <c r="D1949" s="3"/>
      <c r="E1949" s="3"/>
      <c r="F1949" s="3"/>
      <c r="G1949" s="3"/>
      <c r="H1949" s="3"/>
      <c r="I1949" s="3"/>
      <c r="J1949" s="3"/>
      <c r="K1949" s="3"/>
      <c r="L1949" s="3"/>
      <c r="M1949" s="3"/>
      <c r="N1949" s="3"/>
      <c r="O1949" s="3"/>
      <c r="P1949" s="3"/>
      <c r="Q1949" s="3"/>
      <c r="R1949" s="111"/>
      <c r="S1949" s="111"/>
      <c r="T1949" s="111"/>
    </row>
    <row r="1950" spans="3:20" s="4" customFormat="1" x14ac:dyDescent="0.25">
      <c r="C1950" s="3"/>
      <c r="D1950" s="3"/>
      <c r="E1950" s="3"/>
      <c r="F1950" s="3"/>
      <c r="G1950" s="3"/>
      <c r="H1950" s="3"/>
      <c r="I1950" s="3"/>
      <c r="J1950" s="3"/>
      <c r="K1950" s="3"/>
      <c r="L1950" s="3"/>
      <c r="M1950" s="3"/>
      <c r="N1950" s="3"/>
      <c r="O1950" s="3"/>
      <c r="P1950" s="3"/>
      <c r="Q1950" s="3"/>
      <c r="R1950" s="111"/>
      <c r="S1950" s="111"/>
      <c r="T1950" s="111"/>
    </row>
    <row r="1951" spans="3:20" s="4" customFormat="1" x14ac:dyDescent="0.25">
      <c r="C1951" s="3"/>
      <c r="D1951" s="3"/>
      <c r="E1951" s="3"/>
      <c r="F1951" s="3"/>
      <c r="G1951" s="3"/>
      <c r="H1951" s="3"/>
      <c r="I1951" s="3"/>
      <c r="J1951" s="3"/>
      <c r="K1951" s="3"/>
      <c r="L1951" s="3"/>
      <c r="M1951" s="3"/>
      <c r="N1951" s="3"/>
      <c r="O1951" s="3"/>
      <c r="P1951" s="3"/>
      <c r="Q1951" s="3"/>
      <c r="R1951" s="111"/>
      <c r="S1951" s="111"/>
      <c r="T1951" s="111"/>
    </row>
    <row r="1952" spans="3:20" s="4" customFormat="1" x14ac:dyDescent="0.25">
      <c r="C1952" s="3"/>
      <c r="D1952" s="3"/>
      <c r="E1952" s="3"/>
      <c r="F1952" s="3"/>
      <c r="G1952" s="3"/>
      <c r="H1952" s="3"/>
      <c r="I1952" s="3"/>
      <c r="J1952" s="3"/>
      <c r="K1952" s="3"/>
      <c r="L1952" s="3"/>
      <c r="M1952" s="3"/>
      <c r="N1952" s="3"/>
      <c r="O1952" s="3"/>
      <c r="P1952" s="3"/>
      <c r="Q1952" s="3"/>
      <c r="R1952" s="111"/>
      <c r="S1952" s="111"/>
      <c r="T1952" s="111"/>
    </row>
    <row r="1953" spans="3:20" s="4" customFormat="1" x14ac:dyDescent="0.25">
      <c r="C1953" s="3"/>
      <c r="D1953" s="3"/>
      <c r="E1953" s="3"/>
      <c r="F1953" s="3"/>
      <c r="G1953" s="3"/>
      <c r="H1953" s="3"/>
      <c r="I1953" s="3"/>
      <c r="J1953" s="3"/>
      <c r="K1953" s="3"/>
      <c r="L1953" s="3"/>
      <c r="M1953" s="3"/>
      <c r="N1953" s="3"/>
      <c r="O1953" s="3"/>
      <c r="P1953" s="3"/>
      <c r="Q1953" s="3"/>
      <c r="R1953" s="111"/>
      <c r="S1953" s="111"/>
      <c r="T1953" s="111"/>
    </row>
    <row r="1954" spans="3:20" s="4" customFormat="1" x14ac:dyDescent="0.25">
      <c r="C1954" s="3"/>
      <c r="D1954" s="3"/>
      <c r="E1954" s="3"/>
      <c r="F1954" s="3"/>
      <c r="G1954" s="3"/>
      <c r="H1954" s="3"/>
      <c r="I1954" s="3"/>
      <c r="J1954" s="3"/>
      <c r="K1954" s="3"/>
      <c r="L1954" s="3"/>
      <c r="M1954" s="3"/>
      <c r="N1954" s="3"/>
      <c r="O1954" s="3"/>
      <c r="P1954" s="3"/>
      <c r="Q1954" s="3"/>
      <c r="R1954" s="111"/>
      <c r="S1954" s="111"/>
      <c r="T1954" s="111"/>
    </row>
    <row r="1955" spans="3:20" s="4" customFormat="1" x14ac:dyDescent="0.25">
      <c r="C1955" s="3"/>
      <c r="D1955" s="3"/>
      <c r="E1955" s="3"/>
      <c r="F1955" s="3"/>
      <c r="G1955" s="3"/>
      <c r="H1955" s="3"/>
      <c r="I1955" s="3"/>
      <c r="J1955" s="3"/>
      <c r="K1955" s="3"/>
      <c r="L1955" s="3"/>
      <c r="M1955" s="3"/>
      <c r="N1955" s="3"/>
      <c r="O1955" s="3"/>
      <c r="P1955" s="3"/>
      <c r="Q1955" s="3"/>
      <c r="R1955" s="111"/>
      <c r="S1955" s="111"/>
      <c r="T1955" s="111"/>
    </row>
    <row r="1956" spans="3:20" s="4" customFormat="1" x14ac:dyDescent="0.25">
      <c r="C1956" s="3"/>
      <c r="D1956" s="3"/>
      <c r="E1956" s="3"/>
      <c r="F1956" s="3"/>
      <c r="G1956" s="3"/>
      <c r="H1956" s="3"/>
      <c r="I1956" s="3"/>
      <c r="J1956" s="3"/>
      <c r="K1956" s="3"/>
      <c r="L1956" s="3"/>
      <c r="M1956" s="3"/>
      <c r="N1956" s="3"/>
      <c r="O1956" s="3"/>
      <c r="P1956" s="3"/>
      <c r="Q1956" s="3"/>
      <c r="R1956" s="111"/>
      <c r="S1956" s="111"/>
      <c r="T1956" s="111"/>
    </row>
    <row r="1957" spans="3:20" s="4" customFormat="1" x14ac:dyDescent="0.25">
      <c r="C1957" s="3"/>
      <c r="D1957" s="3"/>
      <c r="E1957" s="3"/>
      <c r="F1957" s="3"/>
      <c r="G1957" s="3"/>
      <c r="H1957" s="3"/>
      <c r="I1957" s="3"/>
      <c r="J1957" s="3"/>
      <c r="K1957" s="3"/>
      <c r="L1957" s="3"/>
      <c r="M1957" s="3"/>
      <c r="N1957" s="3"/>
      <c r="O1957" s="3"/>
      <c r="P1957" s="3"/>
      <c r="Q1957" s="3"/>
      <c r="R1957" s="111"/>
      <c r="S1957" s="111"/>
      <c r="T1957" s="111"/>
    </row>
    <row r="1958" spans="3:20" s="4" customFormat="1" x14ac:dyDescent="0.25">
      <c r="C1958" s="3"/>
      <c r="D1958" s="3"/>
      <c r="E1958" s="3"/>
      <c r="F1958" s="3"/>
      <c r="G1958" s="3"/>
      <c r="H1958" s="3"/>
      <c r="I1958" s="3"/>
      <c r="J1958" s="3"/>
      <c r="K1958" s="3"/>
      <c r="L1958" s="3"/>
      <c r="M1958" s="3"/>
      <c r="N1958" s="3"/>
      <c r="O1958" s="3"/>
      <c r="P1958" s="3"/>
      <c r="Q1958" s="3"/>
      <c r="R1958" s="111"/>
      <c r="S1958" s="111"/>
      <c r="T1958" s="111"/>
    </row>
    <row r="1959" spans="3:20" s="4" customFormat="1" x14ac:dyDescent="0.25">
      <c r="C1959" s="3"/>
      <c r="D1959" s="3"/>
      <c r="E1959" s="3"/>
      <c r="F1959" s="3"/>
      <c r="G1959" s="3"/>
      <c r="H1959" s="3"/>
      <c r="I1959" s="3"/>
      <c r="J1959" s="3"/>
      <c r="K1959" s="3"/>
      <c r="L1959" s="3"/>
      <c r="M1959" s="3"/>
      <c r="N1959" s="3"/>
      <c r="O1959" s="3"/>
      <c r="P1959" s="3"/>
      <c r="Q1959" s="3"/>
      <c r="R1959" s="111"/>
      <c r="S1959" s="111"/>
      <c r="T1959" s="111"/>
    </row>
    <row r="1960" spans="3:20" s="4" customFormat="1" x14ac:dyDescent="0.25">
      <c r="C1960" s="3"/>
      <c r="D1960" s="3"/>
      <c r="E1960" s="3"/>
      <c r="F1960" s="3"/>
      <c r="G1960" s="3"/>
      <c r="H1960" s="3"/>
      <c r="I1960" s="3"/>
      <c r="J1960" s="3"/>
      <c r="K1960" s="3"/>
      <c r="L1960" s="3"/>
      <c r="M1960" s="3"/>
      <c r="N1960" s="3"/>
      <c r="O1960" s="3"/>
      <c r="P1960" s="3"/>
      <c r="Q1960" s="3"/>
      <c r="R1960" s="111"/>
      <c r="S1960" s="111"/>
      <c r="T1960" s="111"/>
    </row>
    <row r="1961" spans="3:20" s="4" customFormat="1" x14ac:dyDescent="0.25">
      <c r="C1961" s="3"/>
      <c r="D1961" s="3"/>
      <c r="E1961" s="3"/>
      <c r="F1961" s="3"/>
      <c r="G1961" s="3"/>
      <c r="H1961" s="3"/>
      <c r="I1961" s="3"/>
      <c r="J1961" s="3"/>
      <c r="K1961" s="3"/>
      <c r="L1961" s="3"/>
      <c r="M1961" s="3"/>
      <c r="N1961" s="3"/>
      <c r="O1961" s="3"/>
      <c r="P1961" s="3"/>
      <c r="Q1961" s="3"/>
      <c r="R1961" s="111"/>
      <c r="S1961" s="111"/>
      <c r="T1961" s="111"/>
    </row>
    <row r="1962" spans="3:20" s="4" customFormat="1" x14ac:dyDescent="0.25">
      <c r="C1962" s="3"/>
      <c r="D1962" s="3"/>
      <c r="E1962" s="3"/>
      <c r="F1962" s="3"/>
      <c r="G1962" s="3"/>
      <c r="H1962" s="3"/>
      <c r="I1962" s="3"/>
      <c r="J1962" s="3"/>
      <c r="K1962" s="3"/>
      <c r="L1962" s="3"/>
      <c r="M1962" s="3"/>
      <c r="N1962" s="3"/>
      <c r="O1962" s="3"/>
      <c r="P1962" s="3"/>
      <c r="Q1962" s="3"/>
      <c r="R1962" s="111"/>
      <c r="S1962" s="111"/>
      <c r="T1962" s="111"/>
    </row>
    <row r="1963" spans="3:20" s="4" customFormat="1" x14ac:dyDescent="0.25">
      <c r="C1963" s="3"/>
      <c r="D1963" s="3"/>
      <c r="E1963" s="3"/>
      <c r="F1963" s="3"/>
      <c r="G1963" s="3"/>
      <c r="H1963" s="3"/>
      <c r="I1963" s="3"/>
      <c r="J1963" s="3"/>
      <c r="K1963" s="3"/>
      <c r="L1963" s="3"/>
      <c r="M1963" s="3"/>
      <c r="N1963" s="3"/>
      <c r="O1963" s="3"/>
      <c r="P1963" s="3"/>
      <c r="Q1963" s="3"/>
      <c r="R1963" s="111"/>
      <c r="S1963" s="111"/>
      <c r="T1963" s="111"/>
    </row>
    <row r="1964" spans="3:20" s="4" customFormat="1" x14ac:dyDescent="0.25">
      <c r="C1964" s="3"/>
      <c r="D1964" s="3"/>
      <c r="E1964" s="3"/>
      <c r="F1964" s="3"/>
      <c r="G1964" s="3"/>
      <c r="H1964" s="3"/>
      <c r="I1964" s="3"/>
      <c r="J1964" s="3"/>
      <c r="K1964" s="3"/>
      <c r="L1964" s="3"/>
      <c r="M1964" s="3"/>
      <c r="N1964" s="3"/>
      <c r="O1964" s="3"/>
      <c r="P1964" s="3"/>
      <c r="Q1964" s="3"/>
      <c r="R1964" s="111"/>
      <c r="S1964" s="111"/>
      <c r="T1964" s="111"/>
    </row>
    <row r="1965" spans="3:20" s="4" customFormat="1" x14ac:dyDescent="0.25">
      <c r="C1965" s="3"/>
      <c r="D1965" s="3"/>
      <c r="E1965" s="3"/>
      <c r="F1965" s="3"/>
      <c r="G1965" s="3"/>
      <c r="H1965" s="3"/>
      <c r="I1965" s="3"/>
      <c r="J1965" s="3"/>
      <c r="K1965" s="3"/>
      <c r="L1965" s="3"/>
      <c r="M1965" s="3"/>
      <c r="N1965" s="3"/>
      <c r="O1965" s="3"/>
      <c r="P1965" s="3"/>
      <c r="Q1965" s="3"/>
      <c r="R1965" s="111"/>
      <c r="S1965" s="111"/>
      <c r="T1965" s="111"/>
    </row>
    <row r="1966" spans="3:20" s="4" customFormat="1" x14ac:dyDescent="0.25">
      <c r="C1966" s="3"/>
      <c r="D1966" s="3"/>
      <c r="E1966" s="3"/>
      <c r="F1966" s="3"/>
      <c r="G1966" s="3"/>
      <c r="H1966" s="3"/>
      <c r="I1966" s="3"/>
      <c r="J1966" s="3"/>
      <c r="K1966" s="3"/>
      <c r="L1966" s="3"/>
      <c r="M1966" s="3"/>
      <c r="N1966" s="3"/>
      <c r="O1966" s="3"/>
      <c r="P1966" s="3"/>
      <c r="Q1966" s="3"/>
      <c r="R1966" s="111"/>
      <c r="S1966" s="111"/>
      <c r="T1966" s="111"/>
    </row>
    <row r="1967" spans="3:20" s="4" customFormat="1" x14ac:dyDescent="0.25">
      <c r="C1967" s="3"/>
      <c r="D1967" s="3"/>
      <c r="E1967" s="3"/>
      <c r="F1967" s="3"/>
      <c r="G1967" s="3"/>
      <c r="H1967" s="3"/>
      <c r="I1967" s="3"/>
      <c r="J1967" s="3"/>
      <c r="K1967" s="3"/>
      <c r="L1967" s="3"/>
      <c r="M1967" s="3"/>
      <c r="N1967" s="3"/>
      <c r="O1967" s="3"/>
      <c r="P1967" s="3"/>
      <c r="Q1967" s="3"/>
      <c r="R1967" s="111"/>
      <c r="S1967" s="111"/>
      <c r="T1967" s="111"/>
    </row>
    <row r="1968" spans="3:20" s="4" customFormat="1" x14ac:dyDescent="0.25">
      <c r="C1968" s="3"/>
      <c r="D1968" s="3"/>
      <c r="E1968" s="3"/>
      <c r="F1968" s="3"/>
      <c r="G1968" s="3"/>
      <c r="H1968" s="3"/>
      <c r="I1968" s="3"/>
      <c r="J1968" s="3"/>
      <c r="K1968" s="3"/>
      <c r="L1968" s="3"/>
      <c r="M1968" s="3"/>
      <c r="N1968" s="3"/>
      <c r="O1968" s="3"/>
      <c r="P1968" s="3"/>
      <c r="Q1968" s="3"/>
      <c r="R1968" s="111"/>
      <c r="S1968" s="111"/>
      <c r="T1968" s="111"/>
    </row>
    <row r="1969" spans="3:20" s="4" customFormat="1" x14ac:dyDescent="0.25">
      <c r="C1969" s="3"/>
      <c r="D1969" s="3"/>
      <c r="E1969" s="3"/>
      <c r="F1969" s="3"/>
      <c r="G1969" s="3"/>
      <c r="H1969" s="3"/>
      <c r="I1969" s="3"/>
      <c r="J1969" s="3"/>
      <c r="K1969" s="3"/>
      <c r="L1969" s="3"/>
      <c r="M1969" s="3"/>
      <c r="N1969" s="3"/>
      <c r="O1969" s="3"/>
      <c r="P1969" s="3"/>
      <c r="Q1969" s="3"/>
      <c r="R1969" s="111"/>
      <c r="S1969" s="111"/>
      <c r="T1969" s="111"/>
    </row>
    <row r="1970" spans="3:20" s="4" customFormat="1" x14ac:dyDescent="0.25">
      <c r="C1970" s="3"/>
      <c r="D1970" s="3"/>
      <c r="E1970" s="3"/>
      <c r="F1970" s="3"/>
      <c r="G1970" s="3"/>
      <c r="H1970" s="3"/>
      <c r="I1970" s="3"/>
      <c r="J1970" s="3"/>
      <c r="K1970" s="3"/>
      <c r="L1970" s="3"/>
      <c r="M1970" s="3"/>
      <c r="N1970" s="3"/>
      <c r="O1970" s="3"/>
      <c r="P1970" s="3"/>
      <c r="Q1970" s="3"/>
      <c r="R1970" s="111"/>
      <c r="S1970" s="111"/>
      <c r="T1970" s="111"/>
    </row>
    <row r="1971" spans="3:20" s="4" customFormat="1" x14ac:dyDescent="0.25">
      <c r="C1971" s="3"/>
      <c r="D1971" s="3"/>
      <c r="E1971" s="3"/>
      <c r="F1971" s="3"/>
      <c r="G1971" s="3"/>
      <c r="H1971" s="3"/>
      <c r="I1971" s="3"/>
      <c r="J1971" s="3"/>
      <c r="K1971" s="3"/>
      <c r="L1971" s="3"/>
      <c r="M1971" s="3"/>
      <c r="N1971" s="3"/>
      <c r="O1971" s="3"/>
      <c r="P1971" s="3"/>
      <c r="Q1971" s="3"/>
      <c r="R1971" s="111"/>
      <c r="S1971" s="111"/>
      <c r="T1971" s="111"/>
    </row>
    <row r="1972" spans="3:20" s="4" customFormat="1" x14ac:dyDescent="0.25">
      <c r="C1972" s="3"/>
      <c r="D1972" s="3"/>
      <c r="E1972" s="3"/>
      <c r="F1972" s="3"/>
      <c r="G1972" s="3"/>
      <c r="H1972" s="3"/>
      <c r="I1972" s="3"/>
      <c r="J1972" s="3"/>
      <c r="K1972" s="3"/>
      <c r="L1972" s="3"/>
      <c r="M1972" s="3"/>
      <c r="N1972" s="3"/>
      <c r="O1972" s="3"/>
      <c r="P1972" s="3"/>
      <c r="Q1972" s="3"/>
      <c r="R1972" s="111"/>
      <c r="S1972" s="111"/>
      <c r="T1972" s="111"/>
    </row>
    <row r="1973" spans="3:20" s="4" customFormat="1" x14ac:dyDescent="0.25">
      <c r="C1973" s="3"/>
      <c r="D1973" s="3"/>
      <c r="E1973" s="3"/>
      <c r="F1973" s="3"/>
      <c r="G1973" s="3"/>
      <c r="H1973" s="3"/>
      <c r="I1973" s="3"/>
      <c r="J1973" s="3"/>
      <c r="K1973" s="3"/>
      <c r="L1973" s="3"/>
      <c r="M1973" s="3"/>
      <c r="N1973" s="3"/>
      <c r="O1973" s="3"/>
      <c r="P1973" s="3"/>
      <c r="Q1973" s="3"/>
      <c r="R1973" s="111"/>
      <c r="S1973" s="111"/>
      <c r="T1973" s="111"/>
    </row>
    <row r="1974" spans="3:20" s="4" customFormat="1" x14ac:dyDescent="0.25">
      <c r="C1974" s="3"/>
      <c r="D1974" s="3"/>
      <c r="E1974" s="3"/>
      <c r="F1974" s="3"/>
      <c r="G1974" s="3"/>
      <c r="H1974" s="3"/>
      <c r="I1974" s="3"/>
      <c r="J1974" s="3"/>
      <c r="K1974" s="3"/>
      <c r="L1974" s="3"/>
      <c r="M1974" s="3"/>
      <c r="N1974" s="3"/>
      <c r="O1974" s="3"/>
      <c r="P1974" s="3"/>
      <c r="Q1974" s="3"/>
      <c r="R1974" s="111"/>
      <c r="S1974" s="111"/>
      <c r="T1974" s="111"/>
    </row>
    <row r="1975" spans="3:20" s="4" customFormat="1" x14ac:dyDescent="0.25">
      <c r="C1975" s="3"/>
      <c r="D1975" s="3"/>
      <c r="E1975" s="3"/>
      <c r="F1975" s="3"/>
      <c r="G1975" s="3"/>
      <c r="H1975" s="3"/>
      <c r="I1975" s="3"/>
      <c r="J1975" s="3"/>
      <c r="K1975" s="3"/>
      <c r="L1975" s="3"/>
      <c r="M1975" s="3"/>
      <c r="N1975" s="3"/>
      <c r="O1975" s="3"/>
      <c r="P1975" s="3"/>
      <c r="Q1975" s="3"/>
      <c r="R1975" s="111"/>
      <c r="S1975" s="111"/>
      <c r="T1975" s="111"/>
    </row>
    <row r="1976" spans="3:20" s="4" customFormat="1" x14ac:dyDescent="0.25">
      <c r="C1976" s="3"/>
      <c r="D1976" s="3"/>
      <c r="E1976" s="3"/>
      <c r="F1976" s="3"/>
      <c r="G1976" s="3"/>
      <c r="H1976" s="3"/>
      <c r="I1976" s="3"/>
      <c r="J1976" s="3"/>
      <c r="K1976" s="3"/>
      <c r="L1976" s="3"/>
      <c r="M1976" s="3"/>
      <c r="N1976" s="3"/>
      <c r="O1976" s="3"/>
      <c r="P1976" s="3"/>
      <c r="Q1976" s="3"/>
      <c r="R1976" s="111"/>
      <c r="S1976" s="111"/>
      <c r="T1976" s="111"/>
    </row>
    <row r="1977" spans="3:20" s="4" customFormat="1" x14ac:dyDescent="0.25">
      <c r="C1977" s="3"/>
      <c r="D1977" s="3"/>
      <c r="E1977" s="3"/>
      <c r="F1977" s="3"/>
      <c r="G1977" s="3"/>
      <c r="H1977" s="3"/>
      <c r="I1977" s="3"/>
      <c r="J1977" s="3"/>
      <c r="K1977" s="3"/>
      <c r="L1977" s="3"/>
      <c r="M1977" s="3"/>
      <c r="N1977" s="3"/>
      <c r="O1977" s="3"/>
      <c r="P1977" s="3"/>
      <c r="Q1977" s="3"/>
      <c r="R1977" s="111"/>
      <c r="S1977" s="111"/>
      <c r="T1977" s="111"/>
    </row>
    <row r="1978" spans="3:20" s="4" customFormat="1" x14ac:dyDescent="0.25">
      <c r="C1978" s="3"/>
      <c r="D1978" s="3"/>
      <c r="E1978" s="3"/>
      <c r="F1978" s="3"/>
      <c r="G1978" s="3"/>
      <c r="H1978" s="3"/>
      <c r="I1978" s="3"/>
      <c r="J1978" s="3"/>
      <c r="K1978" s="3"/>
      <c r="L1978" s="3"/>
      <c r="M1978" s="3"/>
      <c r="N1978" s="3"/>
      <c r="O1978" s="3"/>
      <c r="P1978" s="3"/>
      <c r="Q1978" s="3"/>
      <c r="R1978" s="111"/>
      <c r="S1978" s="111"/>
      <c r="T1978" s="111"/>
    </row>
    <row r="1979" spans="3:20" s="4" customFormat="1" x14ac:dyDescent="0.25">
      <c r="C1979" s="3"/>
      <c r="D1979" s="3"/>
      <c r="E1979" s="3"/>
      <c r="F1979" s="3"/>
      <c r="G1979" s="3"/>
      <c r="H1979" s="3"/>
      <c r="I1979" s="3"/>
      <c r="J1979" s="3"/>
      <c r="K1979" s="3"/>
      <c r="L1979" s="3"/>
      <c r="M1979" s="3"/>
      <c r="N1979" s="3"/>
      <c r="O1979" s="3"/>
      <c r="P1979" s="3"/>
      <c r="Q1979" s="3"/>
      <c r="R1979" s="111"/>
      <c r="S1979" s="111"/>
      <c r="T1979" s="111"/>
    </row>
    <row r="1980" spans="3:20" s="4" customFormat="1" x14ac:dyDescent="0.25">
      <c r="C1980" s="3"/>
      <c r="D1980" s="3"/>
      <c r="E1980" s="3"/>
      <c r="F1980" s="3"/>
      <c r="G1980" s="3"/>
      <c r="H1980" s="3"/>
      <c r="I1980" s="3"/>
      <c r="J1980" s="3"/>
      <c r="K1980" s="3"/>
      <c r="L1980" s="3"/>
      <c r="M1980" s="3"/>
      <c r="N1980" s="3"/>
      <c r="O1980" s="3"/>
      <c r="P1980" s="3"/>
      <c r="Q1980" s="3"/>
      <c r="R1980" s="111"/>
      <c r="S1980" s="111"/>
      <c r="T1980" s="111"/>
    </row>
    <row r="1981" spans="3:20" s="4" customFormat="1" x14ac:dyDescent="0.25">
      <c r="C1981" s="3"/>
      <c r="D1981" s="3"/>
      <c r="E1981" s="3"/>
      <c r="F1981" s="3"/>
      <c r="G1981" s="3"/>
      <c r="H1981" s="3"/>
      <c r="I1981" s="3"/>
      <c r="J1981" s="3"/>
      <c r="K1981" s="3"/>
      <c r="L1981" s="3"/>
      <c r="M1981" s="3"/>
      <c r="N1981" s="3"/>
      <c r="O1981" s="3"/>
      <c r="P1981" s="3"/>
      <c r="Q1981" s="3"/>
      <c r="R1981" s="111"/>
      <c r="S1981" s="111"/>
      <c r="T1981" s="111"/>
    </row>
    <row r="1982" spans="3:20" s="4" customFormat="1" x14ac:dyDescent="0.25">
      <c r="C1982" s="3"/>
      <c r="D1982" s="3"/>
      <c r="E1982" s="3"/>
      <c r="F1982" s="3"/>
      <c r="G1982" s="3"/>
      <c r="H1982" s="3"/>
      <c r="I1982" s="3"/>
      <c r="J1982" s="3"/>
      <c r="K1982" s="3"/>
      <c r="L1982" s="3"/>
      <c r="M1982" s="3"/>
      <c r="N1982" s="3"/>
      <c r="O1982" s="3"/>
      <c r="P1982" s="3"/>
      <c r="Q1982" s="3"/>
      <c r="R1982" s="111"/>
      <c r="S1982" s="111"/>
      <c r="T1982" s="111"/>
    </row>
    <row r="1983" spans="3:20" s="4" customFormat="1" x14ac:dyDescent="0.25">
      <c r="C1983" s="3"/>
      <c r="D1983" s="3"/>
      <c r="E1983" s="3"/>
      <c r="F1983" s="3"/>
      <c r="G1983" s="3"/>
      <c r="H1983" s="3"/>
      <c r="I1983" s="3"/>
      <c r="J1983" s="3"/>
      <c r="K1983" s="3"/>
      <c r="L1983" s="3"/>
      <c r="M1983" s="3"/>
      <c r="N1983" s="3"/>
      <c r="O1983" s="3"/>
      <c r="P1983" s="3"/>
      <c r="Q1983" s="3"/>
      <c r="R1983" s="111"/>
      <c r="S1983" s="111"/>
      <c r="T1983" s="111"/>
    </row>
    <row r="1984" spans="3:20" s="4" customFormat="1" x14ac:dyDescent="0.25">
      <c r="C1984" s="3"/>
      <c r="D1984" s="3"/>
      <c r="E1984" s="3"/>
      <c r="F1984" s="3"/>
      <c r="G1984" s="3"/>
      <c r="H1984" s="3"/>
      <c r="I1984" s="3"/>
      <c r="J1984" s="3"/>
      <c r="K1984" s="3"/>
      <c r="L1984" s="3"/>
      <c r="M1984" s="3"/>
      <c r="N1984" s="3"/>
      <c r="O1984" s="3"/>
      <c r="P1984" s="3"/>
      <c r="Q1984" s="3"/>
      <c r="R1984" s="111"/>
      <c r="S1984" s="111"/>
      <c r="T1984" s="111"/>
    </row>
    <row r="1985" spans="3:20" s="4" customFormat="1" x14ac:dyDescent="0.25">
      <c r="C1985" s="3"/>
      <c r="D1985" s="3"/>
      <c r="E1985" s="3"/>
      <c r="F1985" s="3"/>
      <c r="G1985" s="3"/>
      <c r="H1985" s="3"/>
      <c r="I1985" s="3"/>
      <c r="J1985" s="3"/>
      <c r="K1985" s="3"/>
      <c r="L1985" s="3"/>
      <c r="M1985" s="3"/>
      <c r="N1985" s="3"/>
      <c r="O1985" s="3"/>
      <c r="P1985" s="3"/>
      <c r="Q1985" s="3"/>
      <c r="R1985" s="111"/>
      <c r="S1985" s="111"/>
      <c r="T1985" s="111"/>
    </row>
    <row r="1986" spans="3:20" s="4" customFormat="1" x14ac:dyDescent="0.25">
      <c r="C1986" s="3"/>
      <c r="D1986" s="3"/>
      <c r="E1986" s="3"/>
      <c r="F1986" s="3"/>
      <c r="G1986" s="3"/>
      <c r="H1986" s="3"/>
      <c r="I1986" s="3"/>
      <c r="J1986" s="3"/>
      <c r="K1986" s="3"/>
      <c r="L1986" s="3"/>
      <c r="M1986" s="3"/>
      <c r="N1986" s="3"/>
      <c r="O1986" s="3"/>
      <c r="P1986" s="3"/>
      <c r="Q1986" s="3"/>
      <c r="R1986" s="111"/>
      <c r="S1986" s="111"/>
      <c r="T1986" s="111"/>
    </row>
    <row r="1987" spans="3:20" s="4" customFormat="1" x14ac:dyDescent="0.25">
      <c r="C1987" s="3"/>
      <c r="D1987" s="3"/>
      <c r="E1987" s="3"/>
      <c r="F1987" s="3"/>
      <c r="G1987" s="3"/>
      <c r="H1987" s="3"/>
      <c r="I1987" s="3"/>
      <c r="J1987" s="3"/>
      <c r="K1987" s="3"/>
      <c r="L1987" s="3"/>
      <c r="M1987" s="3"/>
      <c r="N1987" s="3"/>
      <c r="O1987" s="3"/>
      <c r="P1987" s="3"/>
      <c r="Q1987" s="3"/>
      <c r="R1987" s="111"/>
      <c r="S1987" s="111"/>
      <c r="T1987" s="111"/>
    </row>
    <row r="1988" spans="3:20" s="4" customFormat="1" x14ac:dyDescent="0.25">
      <c r="C1988" s="3"/>
      <c r="D1988" s="3"/>
      <c r="E1988" s="3"/>
      <c r="F1988" s="3"/>
      <c r="G1988" s="3"/>
      <c r="H1988" s="3"/>
      <c r="I1988" s="3"/>
      <c r="J1988" s="3"/>
      <c r="K1988" s="3"/>
      <c r="L1988" s="3"/>
      <c r="M1988" s="3"/>
      <c r="N1988" s="3"/>
      <c r="O1988" s="3"/>
      <c r="P1988" s="3"/>
      <c r="Q1988" s="3"/>
      <c r="R1988" s="111"/>
      <c r="S1988" s="111"/>
      <c r="T1988" s="111"/>
    </row>
    <row r="1989" spans="3:20" s="4" customFormat="1" x14ac:dyDescent="0.25">
      <c r="C1989" s="3"/>
      <c r="D1989" s="3"/>
      <c r="E1989" s="3"/>
      <c r="F1989" s="3"/>
      <c r="G1989" s="3"/>
      <c r="H1989" s="3"/>
      <c r="I1989" s="3"/>
      <c r="J1989" s="3"/>
      <c r="K1989" s="3"/>
      <c r="L1989" s="3"/>
      <c r="M1989" s="3"/>
      <c r="N1989" s="3"/>
      <c r="O1989" s="3"/>
      <c r="P1989" s="3"/>
      <c r="Q1989" s="3"/>
      <c r="R1989" s="111"/>
      <c r="S1989" s="111"/>
      <c r="T1989" s="111"/>
    </row>
    <row r="1990" spans="3:20" s="4" customFormat="1" x14ac:dyDescent="0.25">
      <c r="C1990" s="3"/>
      <c r="D1990" s="3"/>
      <c r="E1990" s="3"/>
      <c r="F1990" s="3"/>
      <c r="G1990" s="3"/>
      <c r="H1990" s="3"/>
      <c r="I1990" s="3"/>
      <c r="J1990" s="3"/>
      <c r="K1990" s="3"/>
      <c r="L1990" s="3"/>
      <c r="M1990" s="3"/>
      <c r="N1990" s="3"/>
      <c r="O1990" s="3"/>
      <c r="P1990" s="3"/>
      <c r="Q1990" s="3"/>
      <c r="R1990" s="111"/>
      <c r="S1990" s="111"/>
      <c r="T1990" s="111"/>
    </row>
    <row r="1991" spans="3:20" s="4" customFormat="1" x14ac:dyDescent="0.25">
      <c r="C1991" s="3"/>
      <c r="D1991" s="3"/>
      <c r="E1991" s="3"/>
      <c r="F1991" s="3"/>
      <c r="G1991" s="3"/>
      <c r="H1991" s="3"/>
      <c r="I1991" s="3"/>
      <c r="J1991" s="3"/>
      <c r="K1991" s="3"/>
      <c r="L1991" s="3"/>
      <c r="M1991" s="3"/>
      <c r="N1991" s="3"/>
      <c r="O1991" s="3"/>
      <c r="P1991" s="3"/>
      <c r="Q1991" s="3"/>
      <c r="R1991" s="111"/>
      <c r="S1991" s="111"/>
      <c r="T1991" s="111"/>
    </row>
    <row r="1992" spans="3:20" s="4" customFormat="1" x14ac:dyDescent="0.25">
      <c r="C1992" s="3"/>
      <c r="D1992" s="3"/>
      <c r="E1992" s="3"/>
      <c r="F1992" s="3"/>
      <c r="G1992" s="3"/>
      <c r="H1992" s="3"/>
      <c r="I1992" s="3"/>
      <c r="J1992" s="3"/>
      <c r="K1992" s="3"/>
      <c r="L1992" s="3"/>
      <c r="M1992" s="3"/>
      <c r="N1992" s="3"/>
      <c r="O1992" s="3"/>
      <c r="P1992" s="3"/>
      <c r="Q1992" s="3"/>
      <c r="R1992" s="111"/>
      <c r="S1992" s="111"/>
      <c r="T1992" s="111"/>
    </row>
    <row r="1993" spans="3:20" s="4" customFormat="1" x14ac:dyDescent="0.25">
      <c r="C1993" s="3"/>
      <c r="D1993" s="3"/>
      <c r="E1993" s="3"/>
      <c r="F1993" s="3"/>
      <c r="G1993" s="3"/>
      <c r="H1993" s="3"/>
      <c r="I1993" s="3"/>
      <c r="J1993" s="3"/>
      <c r="K1993" s="3"/>
      <c r="L1993" s="3"/>
      <c r="M1993" s="3"/>
      <c r="N1993" s="3"/>
      <c r="O1993" s="3"/>
      <c r="P1993" s="3"/>
      <c r="Q1993" s="3"/>
      <c r="R1993" s="111"/>
      <c r="S1993" s="111"/>
      <c r="T1993" s="111"/>
    </row>
    <row r="1994" spans="3:20" s="4" customFormat="1" x14ac:dyDescent="0.25">
      <c r="C1994" s="3"/>
      <c r="D1994" s="3"/>
      <c r="E1994" s="3"/>
      <c r="F1994" s="3"/>
      <c r="G1994" s="3"/>
      <c r="H1994" s="3"/>
      <c r="I1994" s="3"/>
      <c r="J1994" s="3"/>
      <c r="K1994" s="3"/>
      <c r="L1994" s="3"/>
      <c r="M1994" s="3"/>
      <c r="N1994" s="3"/>
      <c r="O1994" s="3"/>
      <c r="P1994" s="3"/>
      <c r="Q1994" s="3"/>
      <c r="R1994" s="111"/>
      <c r="S1994" s="111"/>
      <c r="T1994" s="111"/>
    </row>
    <row r="1995" spans="3:20" s="4" customFormat="1" x14ac:dyDescent="0.25">
      <c r="C1995" s="3"/>
      <c r="D1995" s="3"/>
      <c r="E1995" s="3"/>
      <c r="F1995" s="3"/>
      <c r="G1995" s="3"/>
      <c r="H1995" s="3"/>
      <c r="I1995" s="3"/>
      <c r="J1995" s="3"/>
      <c r="K1995" s="3"/>
      <c r="L1995" s="3"/>
      <c r="M1995" s="3"/>
      <c r="N1995" s="3"/>
      <c r="O1995" s="3"/>
      <c r="P1995" s="3"/>
      <c r="Q1995" s="3"/>
      <c r="R1995" s="111"/>
      <c r="S1995" s="111"/>
      <c r="T1995" s="111"/>
    </row>
    <row r="1996" spans="3:20" s="4" customFormat="1" x14ac:dyDescent="0.25">
      <c r="C1996" s="3"/>
      <c r="D1996" s="3"/>
      <c r="E1996" s="3"/>
      <c r="F1996" s="3"/>
      <c r="G1996" s="3"/>
      <c r="H1996" s="3"/>
      <c r="I1996" s="3"/>
      <c r="J1996" s="3"/>
      <c r="K1996" s="3"/>
      <c r="L1996" s="3"/>
      <c r="M1996" s="3"/>
      <c r="N1996" s="3"/>
      <c r="O1996" s="3"/>
      <c r="P1996" s="3"/>
      <c r="Q1996" s="3"/>
      <c r="R1996" s="111"/>
      <c r="S1996" s="111"/>
      <c r="T1996" s="111"/>
    </row>
    <row r="1997" spans="3:20" s="4" customFormat="1" x14ac:dyDescent="0.25">
      <c r="C1997" s="3"/>
      <c r="D1997" s="3"/>
      <c r="E1997" s="3"/>
      <c r="F1997" s="3"/>
      <c r="G1997" s="3"/>
      <c r="H1997" s="3"/>
      <c r="I1997" s="3"/>
      <c r="J1997" s="3"/>
      <c r="K1997" s="3"/>
      <c r="L1997" s="3"/>
      <c r="M1997" s="3"/>
      <c r="N1997" s="3"/>
      <c r="O1997" s="3"/>
      <c r="P1997" s="3"/>
      <c r="Q1997" s="3"/>
      <c r="R1997" s="111"/>
      <c r="S1997" s="111"/>
      <c r="T1997" s="111"/>
    </row>
    <row r="1998" spans="3:20" s="4" customFormat="1" x14ac:dyDescent="0.25">
      <c r="C1998" s="3"/>
      <c r="D1998" s="3"/>
      <c r="E1998" s="3"/>
      <c r="F1998" s="3"/>
      <c r="G1998" s="3"/>
      <c r="H1998" s="3"/>
      <c r="I1998" s="3"/>
      <c r="J1998" s="3"/>
      <c r="K1998" s="3"/>
      <c r="L1998" s="3"/>
      <c r="M1998" s="3"/>
      <c r="N1998" s="3"/>
      <c r="O1998" s="3"/>
      <c r="P1998" s="3"/>
      <c r="Q1998" s="3"/>
      <c r="R1998" s="111"/>
      <c r="S1998" s="111"/>
      <c r="T1998" s="111"/>
    </row>
    <row r="1999" spans="3:20" s="4" customFormat="1" x14ac:dyDescent="0.25">
      <c r="C1999" s="3"/>
      <c r="D1999" s="3"/>
      <c r="E1999" s="3"/>
      <c r="F1999" s="3"/>
      <c r="G1999" s="3"/>
      <c r="H1999" s="3"/>
      <c r="I1999" s="3"/>
      <c r="J1999" s="3"/>
      <c r="K1999" s="3"/>
      <c r="L1999" s="3"/>
      <c r="M1999" s="3"/>
      <c r="N1999" s="3"/>
      <c r="O1999" s="3"/>
      <c r="P1999" s="3"/>
      <c r="Q1999" s="3"/>
      <c r="R1999" s="111"/>
      <c r="S1999" s="111"/>
      <c r="T1999" s="111"/>
    </row>
    <row r="2000" spans="3:20" s="4" customFormat="1" x14ac:dyDescent="0.25">
      <c r="C2000" s="3"/>
      <c r="D2000" s="3"/>
      <c r="E2000" s="3"/>
      <c r="F2000" s="3"/>
      <c r="G2000" s="3"/>
      <c r="H2000" s="3"/>
      <c r="I2000" s="3"/>
      <c r="J2000" s="3"/>
      <c r="K2000" s="3"/>
      <c r="L2000" s="3"/>
      <c r="M2000" s="3"/>
      <c r="N2000" s="3"/>
      <c r="O2000" s="3"/>
      <c r="P2000" s="3"/>
      <c r="Q2000" s="3"/>
      <c r="R2000" s="111"/>
      <c r="S2000" s="111"/>
      <c r="T2000" s="111"/>
    </row>
    <row r="2001" spans="3:20" s="4" customFormat="1" x14ac:dyDescent="0.25">
      <c r="C2001" s="3"/>
      <c r="D2001" s="3"/>
      <c r="E2001" s="3"/>
      <c r="F2001" s="3"/>
      <c r="G2001" s="3"/>
      <c r="H2001" s="3"/>
      <c r="I2001" s="3"/>
      <c r="J2001" s="3"/>
      <c r="K2001" s="3"/>
      <c r="L2001" s="3"/>
      <c r="M2001" s="3"/>
      <c r="N2001" s="3"/>
      <c r="O2001" s="3"/>
      <c r="P2001" s="3"/>
      <c r="Q2001" s="3"/>
      <c r="R2001" s="111"/>
      <c r="S2001" s="111"/>
      <c r="T2001" s="111"/>
    </row>
    <row r="2002" spans="3:20" s="4" customFormat="1" x14ac:dyDescent="0.25">
      <c r="C2002" s="3"/>
      <c r="D2002" s="3"/>
      <c r="E2002" s="3"/>
      <c r="F2002" s="3"/>
      <c r="G2002" s="3"/>
      <c r="H2002" s="3"/>
      <c r="I2002" s="3"/>
      <c r="J2002" s="3"/>
      <c r="K2002" s="3"/>
      <c r="L2002" s="3"/>
      <c r="M2002" s="3"/>
      <c r="N2002" s="3"/>
      <c r="O2002" s="3"/>
      <c r="P2002" s="3"/>
      <c r="Q2002" s="3"/>
      <c r="R2002" s="111"/>
      <c r="S2002" s="111"/>
      <c r="T2002" s="111"/>
    </row>
    <row r="2003" spans="3:20" s="4" customFormat="1" x14ac:dyDescent="0.25">
      <c r="C2003" s="3"/>
      <c r="D2003" s="3"/>
      <c r="E2003" s="3"/>
      <c r="F2003" s="3"/>
      <c r="G2003" s="3"/>
      <c r="H2003" s="3"/>
      <c r="I2003" s="3"/>
      <c r="J2003" s="3"/>
      <c r="K2003" s="3"/>
      <c r="L2003" s="3"/>
      <c r="M2003" s="3"/>
      <c r="N2003" s="3"/>
      <c r="O2003" s="3"/>
      <c r="P2003" s="3"/>
      <c r="Q2003" s="3"/>
      <c r="R2003" s="111"/>
      <c r="S2003" s="111"/>
      <c r="T2003" s="111"/>
    </row>
    <row r="2004" spans="3:20" s="4" customFormat="1" x14ac:dyDescent="0.25">
      <c r="C2004" s="3"/>
      <c r="D2004" s="3"/>
      <c r="E2004" s="3"/>
      <c r="F2004" s="3"/>
      <c r="G2004" s="3"/>
      <c r="H2004" s="3"/>
      <c r="I2004" s="3"/>
      <c r="J2004" s="3"/>
      <c r="K2004" s="3"/>
      <c r="L2004" s="3"/>
      <c r="M2004" s="3"/>
      <c r="N2004" s="3"/>
      <c r="O2004" s="3"/>
      <c r="P2004" s="3"/>
      <c r="Q2004" s="3"/>
      <c r="R2004" s="111"/>
      <c r="S2004" s="111"/>
      <c r="T2004" s="111"/>
    </row>
    <row r="2005" spans="3:20" s="4" customFormat="1" x14ac:dyDescent="0.25">
      <c r="C2005" s="3"/>
      <c r="D2005" s="3"/>
      <c r="E2005" s="3"/>
      <c r="F2005" s="3"/>
      <c r="G2005" s="3"/>
      <c r="H2005" s="3"/>
      <c r="I2005" s="3"/>
      <c r="J2005" s="3"/>
      <c r="K2005" s="3"/>
      <c r="L2005" s="3"/>
      <c r="M2005" s="3"/>
      <c r="N2005" s="3"/>
      <c r="O2005" s="3"/>
      <c r="P2005" s="3"/>
      <c r="Q2005" s="3"/>
      <c r="R2005" s="111"/>
      <c r="S2005" s="111"/>
      <c r="T2005" s="111"/>
    </row>
    <row r="2006" spans="3:20" s="4" customFormat="1" x14ac:dyDescent="0.25">
      <c r="C2006" s="3"/>
      <c r="D2006" s="3"/>
      <c r="E2006" s="3"/>
      <c r="F2006" s="3"/>
      <c r="G2006" s="3"/>
      <c r="H2006" s="3"/>
      <c r="I2006" s="3"/>
      <c r="J2006" s="3"/>
      <c r="K2006" s="3"/>
      <c r="L2006" s="3"/>
      <c r="M2006" s="3"/>
      <c r="N2006" s="3"/>
      <c r="O2006" s="3"/>
      <c r="P2006" s="3"/>
      <c r="Q2006" s="3"/>
      <c r="R2006" s="111"/>
      <c r="S2006" s="111"/>
      <c r="T2006" s="111"/>
    </row>
    <row r="2007" spans="3:20" s="4" customFormat="1" x14ac:dyDescent="0.25">
      <c r="C2007" s="3"/>
      <c r="D2007" s="3"/>
      <c r="E2007" s="3"/>
      <c r="F2007" s="3"/>
      <c r="G2007" s="3"/>
      <c r="H2007" s="3"/>
      <c r="I2007" s="3"/>
      <c r="J2007" s="3"/>
      <c r="K2007" s="3"/>
      <c r="L2007" s="3"/>
      <c r="M2007" s="3"/>
      <c r="N2007" s="3"/>
      <c r="O2007" s="3"/>
      <c r="P2007" s="3"/>
      <c r="Q2007" s="3"/>
      <c r="R2007" s="111"/>
      <c r="S2007" s="111"/>
      <c r="T2007" s="111"/>
    </row>
    <row r="2008" spans="3:20" s="4" customFormat="1" x14ac:dyDescent="0.25">
      <c r="C2008" s="3"/>
      <c r="D2008" s="3"/>
      <c r="E2008" s="3"/>
      <c r="F2008" s="3"/>
      <c r="G2008" s="3"/>
      <c r="H2008" s="3"/>
      <c r="I2008" s="3"/>
      <c r="J2008" s="3"/>
      <c r="K2008" s="3"/>
      <c r="L2008" s="3"/>
      <c r="M2008" s="3"/>
      <c r="N2008" s="3"/>
      <c r="O2008" s="3"/>
      <c r="P2008" s="3"/>
      <c r="Q2008" s="3"/>
      <c r="R2008" s="111"/>
      <c r="S2008" s="111"/>
      <c r="T2008" s="111"/>
    </row>
    <row r="2009" spans="3:20" s="4" customFormat="1" x14ac:dyDescent="0.25">
      <c r="C2009" s="3"/>
      <c r="D2009" s="3"/>
      <c r="E2009" s="3"/>
      <c r="F2009" s="3"/>
      <c r="G2009" s="3"/>
      <c r="H2009" s="3"/>
      <c r="I2009" s="3"/>
      <c r="J2009" s="3"/>
      <c r="K2009" s="3"/>
      <c r="L2009" s="3"/>
      <c r="M2009" s="3"/>
      <c r="N2009" s="3"/>
      <c r="O2009" s="3"/>
      <c r="P2009" s="3"/>
      <c r="Q2009" s="3"/>
      <c r="R2009" s="111"/>
      <c r="S2009" s="111"/>
      <c r="T2009" s="111"/>
    </row>
    <row r="2010" spans="3:20" s="4" customFormat="1" x14ac:dyDescent="0.25">
      <c r="C2010" s="3"/>
      <c r="D2010" s="3"/>
      <c r="E2010" s="3"/>
      <c r="F2010" s="3"/>
      <c r="G2010" s="3"/>
      <c r="H2010" s="3"/>
      <c r="I2010" s="3"/>
      <c r="J2010" s="3"/>
      <c r="K2010" s="3"/>
      <c r="L2010" s="3"/>
      <c r="M2010" s="3"/>
      <c r="N2010" s="3"/>
      <c r="O2010" s="3"/>
      <c r="P2010" s="3"/>
      <c r="Q2010" s="3"/>
      <c r="R2010" s="111"/>
      <c r="S2010" s="111"/>
      <c r="T2010" s="111"/>
    </row>
    <row r="2011" spans="3:20" s="4" customFormat="1" x14ac:dyDescent="0.25">
      <c r="C2011" s="3"/>
      <c r="D2011" s="3"/>
      <c r="E2011" s="3"/>
      <c r="F2011" s="3"/>
      <c r="G2011" s="3"/>
      <c r="H2011" s="3"/>
      <c r="I2011" s="3"/>
      <c r="J2011" s="3"/>
      <c r="K2011" s="3"/>
      <c r="L2011" s="3"/>
      <c r="M2011" s="3"/>
      <c r="N2011" s="3"/>
      <c r="O2011" s="3"/>
      <c r="P2011" s="3"/>
      <c r="Q2011" s="3"/>
      <c r="R2011" s="111"/>
      <c r="S2011" s="111"/>
      <c r="T2011" s="111"/>
    </row>
    <row r="2012" spans="3:20" s="4" customFormat="1" x14ac:dyDescent="0.25">
      <c r="C2012" s="3"/>
      <c r="D2012" s="3"/>
      <c r="E2012" s="3"/>
      <c r="F2012" s="3"/>
      <c r="G2012" s="3"/>
      <c r="H2012" s="3"/>
      <c r="I2012" s="3"/>
      <c r="J2012" s="3"/>
      <c r="K2012" s="3"/>
      <c r="L2012" s="3"/>
      <c r="M2012" s="3"/>
      <c r="N2012" s="3"/>
      <c r="O2012" s="3"/>
      <c r="P2012" s="3"/>
      <c r="Q2012" s="3"/>
      <c r="R2012" s="111"/>
      <c r="S2012" s="111"/>
      <c r="T2012" s="111"/>
    </row>
    <row r="2013" spans="3:20" s="4" customFormat="1" x14ac:dyDescent="0.25">
      <c r="C2013" s="3"/>
      <c r="D2013" s="3"/>
      <c r="E2013" s="3"/>
      <c r="F2013" s="3"/>
      <c r="G2013" s="3"/>
      <c r="H2013" s="3"/>
      <c r="I2013" s="3"/>
      <c r="J2013" s="3"/>
      <c r="K2013" s="3"/>
      <c r="L2013" s="3"/>
      <c r="M2013" s="3"/>
      <c r="N2013" s="3"/>
      <c r="O2013" s="3"/>
      <c r="P2013" s="3"/>
      <c r="Q2013" s="3"/>
      <c r="R2013" s="111"/>
      <c r="S2013" s="111"/>
      <c r="T2013" s="111"/>
    </row>
    <row r="2014" spans="3:20" s="4" customFormat="1" x14ac:dyDescent="0.25">
      <c r="C2014" s="3"/>
      <c r="D2014" s="3"/>
      <c r="E2014" s="3"/>
      <c r="F2014" s="3"/>
      <c r="G2014" s="3"/>
      <c r="H2014" s="3"/>
      <c r="I2014" s="3"/>
      <c r="J2014" s="3"/>
      <c r="K2014" s="3"/>
      <c r="L2014" s="3"/>
      <c r="M2014" s="3"/>
      <c r="N2014" s="3"/>
      <c r="O2014" s="3"/>
      <c r="P2014" s="3"/>
      <c r="Q2014" s="3"/>
      <c r="R2014" s="111"/>
      <c r="S2014" s="111"/>
      <c r="T2014" s="111"/>
    </row>
    <row r="2015" spans="3:20" s="4" customFormat="1" x14ac:dyDescent="0.25">
      <c r="C2015" s="3"/>
      <c r="D2015" s="3"/>
      <c r="E2015" s="3"/>
      <c r="F2015" s="3"/>
      <c r="G2015" s="3"/>
      <c r="H2015" s="3"/>
      <c r="I2015" s="3"/>
      <c r="J2015" s="3"/>
      <c r="K2015" s="3"/>
      <c r="L2015" s="3"/>
      <c r="M2015" s="3"/>
      <c r="N2015" s="3"/>
      <c r="O2015" s="3"/>
      <c r="P2015" s="3"/>
      <c r="Q2015" s="3"/>
      <c r="R2015" s="111"/>
      <c r="S2015" s="111"/>
      <c r="T2015" s="111"/>
    </row>
    <row r="2016" spans="3:20" s="4" customFormat="1" x14ac:dyDescent="0.25">
      <c r="C2016" s="3"/>
      <c r="D2016" s="3"/>
      <c r="E2016" s="3"/>
      <c r="F2016" s="3"/>
      <c r="G2016" s="3"/>
      <c r="H2016" s="3"/>
      <c r="I2016" s="3"/>
      <c r="J2016" s="3"/>
      <c r="K2016" s="3"/>
      <c r="L2016" s="3"/>
      <c r="M2016" s="3"/>
      <c r="N2016" s="3"/>
      <c r="O2016" s="3"/>
      <c r="P2016" s="3"/>
      <c r="Q2016" s="3"/>
      <c r="R2016" s="111"/>
      <c r="S2016" s="111"/>
      <c r="T2016" s="111"/>
    </row>
    <row r="2017" spans="3:20" s="4" customFormat="1" x14ac:dyDescent="0.25">
      <c r="C2017" s="3"/>
      <c r="D2017" s="3"/>
      <c r="E2017" s="3"/>
      <c r="F2017" s="3"/>
      <c r="G2017" s="3"/>
      <c r="H2017" s="3"/>
      <c r="I2017" s="3"/>
      <c r="J2017" s="3"/>
      <c r="K2017" s="3"/>
      <c r="L2017" s="3"/>
      <c r="M2017" s="3"/>
      <c r="N2017" s="3"/>
      <c r="O2017" s="3"/>
      <c r="P2017" s="3"/>
      <c r="Q2017" s="3"/>
      <c r="R2017" s="111"/>
      <c r="S2017" s="111"/>
      <c r="T2017" s="111"/>
    </row>
    <row r="2018" spans="3:20" s="4" customFormat="1" x14ac:dyDescent="0.25">
      <c r="C2018" s="3"/>
      <c r="D2018" s="3"/>
      <c r="E2018" s="3"/>
      <c r="F2018" s="3"/>
      <c r="G2018" s="3"/>
      <c r="H2018" s="3"/>
      <c r="I2018" s="3"/>
      <c r="J2018" s="3"/>
      <c r="K2018" s="3"/>
      <c r="L2018" s="3"/>
      <c r="M2018" s="3"/>
      <c r="N2018" s="3"/>
      <c r="O2018" s="3"/>
      <c r="P2018" s="3"/>
      <c r="Q2018" s="3"/>
      <c r="R2018" s="111"/>
      <c r="S2018" s="111"/>
      <c r="T2018" s="111"/>
    </row>
    <row r="2019" spans="3:20" s="4" customFormat="1" x14ac:dyDescent="0.25">
      <c r="C2019" s="3"/>
      <c r="D2019" s="3"/>
      <c r="E2019" s="3"/>
      <c r="F2019" s="3"/>
      <c r="G2019" s="3"/>
      <c r="H2019" s="3"/>
      <c r="I2019" s="3"/>
      <c r="J2019" s="3"/>
      <c r="K2019" s="3"/>
      <c r="L2019" s="3"/>
      <c r="M2019" s="3"/>
      <c r="N2019" s="3"/>
      <c r="O2019" s="3"/>
      <c r="P2019" s="3"/>
      <c r="Q2019" s="3"/>
      <c r="R2019" s="111"/>
      <c r="S2019" s="111"/>
      <c r="T2019" s="111"/>
    </row>
    <row r="2020" spans="3:20" s="4" customFormat="1" x14ac:dyDescent="0.25">
      <c r="C2020" s="3"/>
      <c r="D2020" s="3"/>
      <c r="E2020" s="3"/>
      <c r="F2020" s="3"/>
      <c r="G2020" s="3"/>
      <c r="H2020" s="3"/>
      <c r="I2020" s="3"/>
      <c r="J2020" s="3"/>
      <c r="K2020" s="3"/>
      <c r="L2020" s="3"/>
      <c r="M2020" s="3"/>
      <c r="N2020" s="3"/>
      <c r="O2020" s="3"/>
      <c r="P2020" s="3"/>
      <c r="Q2020" s="3"/>
      <c r="R2020" s="111"/>
      <c r="S2020" s="111"/>
      <c r="T2020" s="111"/>
    </row>
    <row r="2021" spans="3:20" s="4" customFormat="1" x14ac:dyDescent="0.25">
      <c r="C2021" s="3"/>
      <c r="D2021" s="3"/>
      <c r="E2021" s="3"/>
      <c r="F2021" s="3"/>
      <c r="G2021" s="3"/>
      <c r="H2021" s="3"/>
      <c r="I2021" s="3"/>
      <c r="J2021" s="3"/>
      <c r="K2021" s="3"/>
      <c r="L2021" s="3"/>
      <c r="M2021" s="3"/>
      <c r="N2021" s="3"/>
      <c r="O2021" s="3"/>
      <c r="P2021" s="3"/>
      <c r="Q2021" s="3"/>
      <c r="R2021" s="111"/>
      <c r="S2021" s="111"/>
      <c r="T2021" s="111"/>
    </row>
    <row r="2022" spans="3:20" s="4" customFormat="1" x14ac:dyDescent="0.25">
      <c r="C2022" s="3"/>
      <c r="D2022" s="3"/>
      <c r="E2022" s="3"/>
      <c r="F2022" s="3"/>
      <c r="G2022" s="3"/>
      <c r="H2022" s="3"/>
      <c r="I2022" s="3"/>
      <c r="J2022" s="3"/>
      <c r="K2022" s="3"/>
      <c r="L2022" s="3"/>
      <c r="M2022" s="3"/>
      <c r="N2022" s="3"/>
      <c r="O2022" s="3"/>
      <c r="P2022" s="3"/>
      <c r="Q2022" s="3"/>
      <c r="R2022" s="111"/>
      <c r="S2022" s="111"/>
      <c r="T2022" s="111"/>
    </row>
    <row r="2023" spans="3:20" s="4" customFormat="1" x14ac:dyDescent="0.25">
      <c r="C2023" s="3"/>
      <c r="D2023" s="3"/>
      <c r="E2023" s="3"/>
      <c r="F2023" s="3"/>
      <c r="G2023" s="3"/>
      <c r="H2023" s="3"/>
      <c r="I2023" s="3"/>
      <c r="J2023" s="3"/>
      <c r="K2023" s="3"/>
      <c r="L2023" s="3"/>
      <c r="M2023" s="3"/>
      <c r="N2023" s="3"/>
      <c r="O2023" s="3"/>
      <c r="P2023" s="3"/>
      <c r="Q2023" s="3"/>
      <c r="R2023" s="111"/>
      <c r="S2023" s="111"/>
      <c r="T2023" s="111"/>
    </row>
    <row r="2024" spans="3:20" s="4" customFormat="1" x14ac:dyDescent="0.25">
      <c r="C2024" s="3"/>
      <c r="D2024" s="3"/>
      <c r="E2024" s="3"/>
      <c r="F2024" s="3"/>
      <c r="G2024" s="3"/>
      <c r="H2024" s="3"/>
      <c r="I2024" s="3"/>
      <c r="J2024" s="3"/>
      <c r="K2024" s="3"/>
      <c r="L2024" s="3"/>
      <c r="M2024" s="3"/>
      <c r="N2024" s="3"/>
      <c r="O2024" s="3"/>
      <c r="P2024" s="3"/>
      <c r="Q2024" s="3"/>
      <c r="R2024" s="111"/>
      <c r="S2024" s="111"/>
      <c r="T2024" s="111"/>
    </row>
    <row r="2025" spans="3:20" s="4" customFormat="1" x14ac:dyDescent="0.25">
      <c r="C2025" s="3"/>
      <c r="D2025" s="3"/>
      <c r="E2025" s="3"/>
      <c r="F2025" s="3"/>
      <c r="G2025" s="3"/>
      <c r="H2025" s="3"/>
      <c r="I2025" s="3"/>
      <c r="J2025" s="3"/>
      <c r="K2025" s="3"/>
      <c r="L2025" s="3"/>
      <c r="M2025" s="3"/>
      <c r="N2025" s="3"/>
      <c r="O2025" s="3"/>
      <c r="P2025" s="3"/>
      <c r="Q2025" s="3"/>
      <c r="R2025" s="111"/>
      <c r="S2025" s="111"/>
      <c r="T2025" s="111"/>
    </row>
    <row r="2026" spans="3:20" s="4" customFormat="1" x14ac:dyDescent="0.25">
      <c r="C2026" s="3"/>
      <c r="D2026" s="3"/>
      <c r="E2026" s="3"/>
      <c r="F2026" s="3"/>
      <c r="G2026" s="3"/>
      <c r="H2026" s="3"/>
      <c r="I2026" s="3"/>
      <c r="J2026" s="3"/>
      <c r="K2026" s="3"/>
      <c r="L2026" s="3"/>
      <c r="M2026" s="3"/>
      <c r="N2026" s="3"/>
      <c r="O2026" s="3"/>
      <c r="P2026" s="3"/>
      <c r="Q2026" s="3"/>
      <c r="R2026" s="111"/>
      <c r="S2026" s="111"/>
      <c r="T2026" s="111"/>
    </row>
    <row r="2027" spans="3:20" s="4" customFormat="1" x14ac:dyDescent="0.25">
      <c r="C2027" s="3"/>
      <c r="D2027" s="3"/>
      <c r="E2027" s="3"/>
      <c r="F2027" s="3"/>
      <c r="G2027" s="3"/>
      <c r="H2027" s="3"/>
      <c r="I2027" s="3"/>
      <c r="J2027" s="3"/>
      <c r="K2027" s="3"/>
      <c r="L2027" s="3"/>
      <c r="M2027" s="3"/>
      <c r="N2027" s="3"/>
      <c r="O2027" s="3"/>
      <c r="P2027" s="3"/>
      <c r="Q2027" s="3"/>
      <c r="R2027" s="111"/>
      <c r="S2027" s="111"/>
      <c r="T2027" s="111"/>
    </row>
    <row r="2028" spans="3:20" s="4" customFormat="1" x14ac:dyDescent="0.25">
      <c r="C2028" s="3"/>
      <c r="D2028" s="3"/>
      <c r="E2028" s="3"/>
      <c r="F2028" s="3"/>
      <c r="G2028" s="3"/>
      <c r="H2028" s="3"/>
      <c r="I2028" s="3"/>
      <c r="J2028" s="3"/>
      <c r="K2028" s="3"/>
      <c r="L2028" s="3"/>
      <c r="M2028" s="3"/>
      <c r="N2028" s="3"/>
      <c r="O2028" s="3"/>
      <c r="P2028" s="3"/>
      <c r="Q2028" s="3"/>
      <c r="R2028" s="111"/>
      <c r="S2028" s="111"/>
      <c r="T2028" s="111"/>
    </row>
    <row r="2029" spans="3:20" s="4" customFormat="1" x14ac:dyDescent="0.25">
      <c r="C2029" s="3"/>
      <c r="D2029" s="3"/>
      <c r="E2029" s="3"/>
      <c r="F2029" s="3"/>
      <c r="G2029" s="3"/>
      <c r="H2029" s="3"/>
      <c r="I2029" s="3"/>
      <c r="J2029" s="3"/>
      <c r="K2029" s="3"/>
      <c r="L2029" s="3"/>
      <c r="M2029" s="3"/>
      <c r="N2029" s="3"/>
      <c r="O2029" s="3"/>
      <c r="P2029" s="3"/>
      <c r="Q2029" s="3"/>
      <c r="R2029" s="111"/>
      <c r="S2029" s="111"/>
      <c r="T2029" s="111"/>
    </row>
    <row r="2030" spans="3:20" s="4" customFormat="1" x14ac:dyDescent="0.25">
      <c r="C2030" s="3"/>
      <c r="D2030" s="3"/>
      <c r="E2030" s="3"/>
      <c r="F2030" s="3"/>
      <c r="G2030" s="3"/>
      <c r="H2030" s="3"/>
      <c r="I2030" s="3"/>
      <c r="J2030" s="3"/>
      <c r="K2030" s="3"/>
      <c r="L2030" s="3"/>
      <c r="M2030" s="3"/>
      <c r="N2030" s="3"/>
      <c r="O2030" s="3"/>
      <c r="P2030" s="3"/>
      <c r="Q2030" s="3"/>
      <c r="R2030" s="111"/>
      <c r="S2030" s="111"/>
      <c r="T2030" s="111"/>
    </row>
    <row r="2031" spans="3:20" s="4" customFormat="1" x14ac:dyDescent="0.25">
      <c r="C2031" s="3"/>
      <c r="D2031" s="3"/>
      <c r="E2031" s="3"/>
      <c r="F2031" s="3"/>
      <c r="G2031" s="3"/>
      <c r="H2031" s="3"/>
      <c r="I2031" s="3"/>
      <c r="J2031" s="3"/>
      <c r="K2031" s="3"/>
      <c r="L2031" s="3"/>
      <c r="M2031" s="3"/>
      <c r="N2031" s="3"/>
      <c r="O2031" s="3"/>
      <c r="P2031" s="3"/>
      <c r="Q2031" s="3"/>
      <c r="R2031" s="111"/>
      <c r="S2031" s="111"/>
      <c r="T2031" s="111"/>
    </row>
    <row r="2032" spans="3:20" s="4" customFormat="1" x14ac:dyDescent="0.25">
      <c r="C2032" s="3"/>
      <c r="D2032" s="3"/>
      <c r="E2032" s="3"/>
      <c r="F2032" s="3"/>
      <c r="G2032" s="3"/>
      <c r="H2032" s="3"/>
      <c r="I2032" s="3"/>
      <c r="J2032" s="3"/>
      <c r="K2032" s="3"/>
      <c r="L2032" s="3"/>
      <c r="M2032" s="3"/>
      <c r="N2032" s="3"/>
      <c r="O2032" s="3"/>
      <c r="P2032" s="3"/>
      <c r="Q2032" s="3"/>
      <c r="R2032" s="111"/>
      <c r="S2032" s="111"/>
      <c r="T2032" s="111"/>
    </row>
    <row r="2033" spans="3:20" s="4" customFormat="1" x14ac:dyDescent="0.25">
      <c r="C2033" s="3"/>
      <c r="D2033" s="3"/>
      <c r="E2033" s="3"/>
      <c r="F2033" s="3"/>
      <c r="G2033" s="3"/>
      <c r="H2033" s="3"/>
      <c r="I2033" s="3"/>
      <c r="J2033" s="3"/>
      <c r="K2033" s="3"/>
      <c r="L2033" s="3"/>
      <c r="M2033" s="3"/>
      <c r="N2033" s="3"/>
      <c r="O2033" s="3"/>
      <c r="P2033" s="3"/>
      <c r="Q2033" s="3"/>
      <c r="R2033" s="111"/>
      <c r="S2033" s="111"/>
      <c r="T2033" s="111"/>
    </row>
    <row r="2034" spans="3:20" s="4" customFormat="1" x14ac:dyDescent="0.25">
      <c r="C2034" s="3"/>
      <c r="D2034" s="3"/>
      <c r="E2034" s="3"/>
      <c r="F2034" s="3"/>
      <c r="G2034" s="3"/>
      <c r="H2034" s="3"/>
      <c r="I2034" s="3"/>
      <c r="J2034" s="3"/>
      <c r="K2034" s="3"/>
      <c r="L2034" s="3"/>
      <c r="M2034" s="3"/>
      <c r="N2034" s="3"/>
      <c r="O2034" s="3"/>
      <c r="P2034" s="3"/>
      <c r="Q2034" s="3"/>
      <c r="R2034" s="111"/>
      <c r="S2034" s="111"/>
      <c r="T2034" s="111"/>
    </row>
    <row r="2035" spans="3:20" s="4" customFormat="1" x14ac:dyDescent="0.25">
      <c r="C2035" s="3"/>
      <c r="D2035" s="3"/>
      <c r="E2035" s="3"/>
      <c r="F2035" s="3"/>
      <c r="G2035" s="3"/>
      <c r="H2035" s="3"/>
      <c r="I2035" s="3"/>
      <c r="J2035" s="3"/>
      <c r="K2035" s="3"/>
      <c r="L2035" s="3"/>
      <c r="M2035" s="3"/>
      <c r="N2035" s="3"/>
      <c r="O2035" s="3"/>
      <c r="P2035" s="3"/>
      <c r="Q2035" s="3"/>
      <c r="R2035" s="111"/>
      <c r="S2035" s="111"/>
      <c r="T2035" s="111"/>
    </row>
    <row r="2036" spans="3:20" s="4" customFormat="1" x14ac:dyDescent="0.25">
      <c r="C2036" s="3"/>
      <c r="D2036" s="3"/>
      <c r="E2036" s="3"/>
      <c r="F2036" s="3"/>
      <c r="G2036" s="3"/>
      <c r="H2036" s="3"/>
      <c r="I2036" s="3"/>
      <c r="J2036" s="3"/>
      <c r="K2036" s="3"/>
      <c r="L2036" s="3"/>
      <c r="M2036" s="3"/>
      <c r="N2036" s="3"/>
      <c r="O2036" s="3"/>
      <c r="P2036" s="3"/>
      <c r="Q2036" s="3"/>
      <c r="R2036" s="111"/>
      <c r="S2036" s="111"/>
      <c r="T2036" s="111"/>
    </row>
    <row r="2037" spans="3:20" s="4" customFormat="1" x14ac:dyDescent="0.25">
      <c r="C2037" s="3"/>
      <c r="D2037" s="3"/>
      <c r="E2037" s="3"/>
      <c r="F2037" s="3"/>
      <c r="G2037" s="3"/>
      <c r="H2037" s="3"/>
      <c r="I2037" s="3"/>
      <c r="J2037" s="3"/>
      <c r="K2037" s="3"/>
      <c r="L2037" s="3"/>
      <c r="M2037" s="3"/>
      <c r="N2037" s="3"/>
      <c r="O2037" s="3"/>
      <c r="P2037" s="3"/>
      <c r="Q2037" s="3"/>
      <c r="R2037" s="111"/>
      <c r="S2037" s="111"/>
      <c r="T2037" s="111"/>
    </row>
    <row r="2038" spans="3:20" s="4" customFormat="1" x14ac:dyDescent="0.25">
      <c r="C2038" s="3"/>
      <c r="D2038" s="3"/>
      <c r="E2038" s="3"/>
      <c r="F2038" s="3"/>
      <c r="G2038" s="3"/>
      <c r="H2038" s="3"/>
      <c r="I2038" s="3"/>
      <c r="J2038" s="3"/>
      <c r="K2038" s="3"/>
      <c r="L2038" s="3"/>
      <c r="M2038" s="3"/>
      <c r="N2038" s="3"/>
      <c r="O2038" s="3"/>
      <c r="P2038" s="3"/>
      <c r="Q2038" s="3"/>
      <c r="R2038" s="111"/>
      <c r="S2038" s="111"/>
      <c r="T2038" s="111"/>
    </row>
    <row r="2039" spans="3:20" s="4" customFormat="1" x14ac:dyDescent="0.25">
      <c r="C2039" s="3"/>
      <c r="D2039" s="3"/>
      <c r="E2039" s="3"/>
      <c r="F2039" s="3"/>
      <c r="G2039" s="3"/>
      <c r="H2039" s="3"/>
      <c r="I2039" s="3"/>
      <c r="J2039" s="3"/>
      <c r="K2039" s="3"/>
      <c r="L2039" s="3"/>
      <c r="M2039" s="3"/>
      <c r="N2039" s="3"/>
      <c r="O2039" s="3"/>
      <c r="P2039" s="3"/>
      <c r="Q2039" s="3"/>
      <c r="R2039" s="111"/>
      <c r="S2039" s="111"/>
      <c r="T2039" s="111"/>
    </row>
    <row r="2040" spans="3:20" s="4" customFormat="1" x14ac:dyDescent="0.25">
      <c r="C2040" s="3"/>
      <c r="D2040" s="3"/>
      <c r="E2040" s="3"/>
      <c r="F2040" s="3"/>
      <c r="G2040" s="3"/>
      <c r="H2040" s="3"/>
      <c r="I2040" s="3"/>
      <c r="J2040" s="3"/>
      <c r="K2040" s="3"/>
      <c r="L2040" s="3"/>
      <c r="M2040" s="3"/>
      <c r="N2040" s="3"/>
      <c r="O2040" s="3"/>
      <c r="P2040" s="3"/>
      <c r="Q2040" s="3"/>
      <c r="R2040" s="111"/>
      <c r="S2040" s="111"/>
      <c r="T2040" s="111"/>
    </row>
    <row r="2041" spans="3:20" s="4" customFormat="1" x14ac:dyDescent="0.25">
      <c r="C2041" s="3"/>
      <c r="D2041" s="3"/>
      <c r="E2041" s="3"/>
      <c r="F2041" s="3"/>
      <c r="G2041" s="3"/>
      <c r="H2041" s="3"/>
      <c r="I2041" s="3"/>
      <c r="J2041" s="3"/>
      <c r="K2041" s="3"/>
      <c r="L2041" s="3"/>
      <c r="M2041" s="3"/>
      <c r="N2041" s="3"/>
      <c r="O2041" s="3"/>
      <c r="P2041" s="3"/>
      <c r="Q2041" s="3"/>
      <c r="R2041" s="111"/>
      <c r="S2041" s="111"/>
      <c r="T2041" s="111"/>
    </row>
    <row r="2042" spans="3:20" s="4" customFormat="1" x14ac:dyDescent="0.25">
      <c r="C2042" s="3"/>
      <c r="D2042" s="3"/>
      <c r="E2042" s="3"/>
      <c r="F2042" s="3"/>
      <c r="G2042" s="3"/>
      <c r="H2042" s="3"/>
      <c r="I2042" s="3"/>
      <c r="J2042" s="3"/>
      <c r="K2042" s="3"/>
      <c r="L2042" s="3"/>
      <c r="M2042" s="3"/>
      <c r="N2042" s="3"/>
      <c r="O2042" s="3"/>
      <c r="P2042" s="3"/>
      <c r="Q2042" s="3"/>
      <c r="R2042" s="111"/>
      <c r="S2042" s="111"/>
      <c r="T2042" s="111"/>
    </row>
    <row r="2043" spans="3:20" s="4" customFormat="1" x14ac:dyDescent="0.25">
      <c r="C2043" s="3"/>
      <c r="D2043" s="3"/>
      <c r="E2043" s="3"/>
      <c r="F2043" s="3"/>
      <c r="G2043" s="3"/>
      <c r="H2043" s="3"/>
      <c r="I2043" s="3"/>
      <c r="J2043" s="3"/>
      <c r="K2043" s="3"/>
      <c r="L2043" s="3"/>
      <c r="M2043" s="3"/>
      <c r="N2043" s="3"/>
      <c r="O2043" s="3"/>
      <c r="P2043" s="3"/>
      <c r="Q2043" s="3"/>
      <c r="R2043" s="111"/>
      <c r="S2043" s="111"/>
      <c r="T2043" s="111"/>
    </row>
    <row r="2044" spans="3:20" s="4" customFormat="1" x14ac:dyDescent="0.25">
      <c r="C2044" s="3"/>
      <c r="D2044" s="3"/>
      <c r="E2044" s="3"/>
      <c r="F2044" s="3"/>
      <c r="G2044" s="3"/>
      <c r="H2044" s="3"/>
      <c r="I2044" s="3"/>
      <c r="J2044" s="3"/>
      <c r="K2044" s="3"/>
      <c r="L2044" s="3"/>
      <c r="M2044" s="3"/>
      <c r="N2044" s="3"/>
      <c r="O2044" s="3"/>
      <c r="P2044" s="3"/>
      <c r="Q2044" s="3"/>
      <c r="R2044" s="111"/>
      <c r="S2044" s="111"/>
      <c r="T2044" s="111"/>
    </row>
    <row r="2045" spans="3:20" s="4" customFormat="1" x14ac:dyDescent="0.25">
      <c r="C2045" s="3"/>
      <c r="D2045" s="3"/>
      <c r="E2045" s="3"/>
      <c r="F2045" s="3"/>
      <c r="G2045" s="3"/>
      <c r="H2045" s="3"/>
      <c r="I2045" s="3"/>
      <c r="J2045" s="3"/>
      <c r="K2045" s="3"/>
      <c r="L2045" s="3"/>
      <c r="M2045" s="3"/>
      <c r="N2045" s="3"/>
      <c r="O2045" s="3"/>
      <c r="P2045" s="3"/>
      <c r="Q2045" s="3"/>
      <c r="R2045" s="111"/>
      <c r="S2045" s="111"/>
      <c r="T2045" s="111"/>
    </row>
    <row r="2046" spans="3:20" s="4" customFormat="1" x14ac:dyDescent="0.25">
      <c r="C2046" s="3"/>
      <c r="D2046" s="3"/>
      <c r="E2046" s="3"/>
      <c r="F2046" s="3"/>
      <c r="G2046" s="3"/>
      <c r="H2046" s="3"/>
      <c r="I2046" s="3"/>
      <c r="J2046" s="3"/>
      <c r="K2046" s="3"/>
      <c r="L2046" s="3"/>
      <c r="M2046" s="3"/>
      <c r="N2046" s="3"/>
      <c r="O2046" s="3"/>
      <c r="P2046" s="3"/>
      <c r="Q2046" s="3"/>
      <c r="R2046" s="111"/>
      <c r="S2046" s="111"/>
      <c r="T2046" s="111"/>
    </row>
    <row r="2047" spans="3:20" s="4" customFormat="1" x14ac:dyDescent="0.25">
      <c r="C2047" s="3"/>
      <c r="D2047" s="3"/>
      <c r="E2047" s="3"/>
      <c r="F2047" s="3"/>
      <c r="G2047" s="3"/>
      <c r="H2047" s="3"/>
      <c r="I2047" s="3"/>
      <c r="J2047" s="3"/>
      <c r="K2047" s="3"/>
      <c r="L2047" s="3"/>
      <c r="M2047" s="3"/>
      <c r="N2047" s="3"/>
      <c r="O2047" s="3"/>
      <c r="P2047" s="3"/>
      <c r="Q2047" s="3"/>
      <c r="R2047" s="111"/>
      <c r="S2047" s="111"/>
      <c r="T2047" s="111"/>
    </row>
    <row r="2048" spans="3:20" s="4" customFormat="1" x14ac:dyDescent="0.25">
      <c r="C2048" s="3"/>
      <c r="D2048" s="3"/>
      <c r="E2048" s="3"/>
      <c r="F2048" s="3"/>
      <c r="G2048" s="3"/>
      <c r="H2048" s="3"/>
      <c r="I2048" s="3"/>
      <c r="J2048" s="3"/>
      <c r="K2048" s="3"/>
      <c r="L2048" s="3"/>
      <c r="M2048" s="3"/>
      <c r="N2048" s="3"/>
      <c r="O2048" s="3"/>
      <c r="P2048" s="3"/>
      <c r="Q2048" s="3"/>
      <c r="R2048" s="111"/>
      <c r="S2048" s="111"/>
      <c r="T2048" s="111"/>
    </row>
    <row r="2049" spans="3:20" s="4" customFormat="1" x14ac:dyDescent="0.25">
      <c r="C2049" s="3"/>
      <c r="D2049" s="3"/>
      <c r="E2049" s="3"/>
      <c r="F2049" s="3"/>
      <c r="G2049" s="3"/>
      <c r="H2049" s="3"/>
      <c r="I2049" s="3"/>
      <c r="J2049" s="3"/>
      <c r="K2049" s="3"/>
      <c r="L2049" s="3"/>
      <c r="M2049" s="3"/>
      <c r="N2049" s="3"/>
      <c r="O2049" s="3"/>
      <c r="P2049" s="3"/>
      <c r="Q2049" s="3"/>
      <c r="R2049" s="111"/>
      <c r="S2049" s="111"/>
      <c r="T2049" s="111"/>
    </row>
    <row r="2050" spans="3:20" s="4" customFormat="1" x14ac:dyDescent="0.25">
      <c r="C2050" s="3"/>
      <c r="D2050" s="3"/>
      <c r="E2050" s="3"/>
      <c r="F2050" s="3"/>
      <c r="G2050" s="3"/>
      <c r="H2050" s="3"/>
      <c r="I2050" s="3"/>
      <c r="J2050" s="3"/>
      <c r="K2050" s="3"/>
      <c r="L2050" s="3"/>
      <c r="M2050" s="3"/>
      <c r="N2050" s="3"/>
      <c r="O2050" s="3"/>
      <c r="P2050" s="3"/>
      <c r="Q2050" s="3"/>
      <c r="R2050" s="111"/>
      <c r="S2050" s="111"/>
      <c r="T2050" s="111"/>
    </row>
    <row r="2051" spans="3:20" s="4" customFormat="1" x14ac:dyDescent="0.25">
      <c r="C2051" s="3"/>
      <c r="D2051" s="3"/>
      <c r="E2051" s="3"/>
      <c r="F2051" s="3"/>
      <c r="G2051" s="3"/>
      <c r="H2051" s="3"/>
      <c r="I2051" s="3"/>
      <c r="J2051" s="3"/>
      <c r="K2051" s="3"/>
      <c r="L2051" s="3"/>
      <c r="M2051" s="3"/>
      <c r="N2051" s="3"/>
      <c r="O2051" s="3"/>
      <c r="P2051" s="3"/>
      <c r="Q2051" s="3"/>
      <c r="R2051" s="111"/>
      <c r="S2051" s="111"/>
      <c r="T2051" s="111"/>
    </row>
    <row r="2052" spans="3:20" s="4" customFormat="1" x14ac:dyDescent="0.25">
      <c r="C2052" s="3"/>
      <c r="D2052" s="3"/>
      <c r="E2052" s="3"/>
      <c r="F2052" s="3"/>
      <c r="G2052" s="3"/>
      <c r="H2052" s="3"/>
      <c r="I2052" s="3"/>
      <c r="J2052" s="3"/>
      <c r="K2052" s="3"/>
      <c r="L2052" s="3"/>
      <c r="M2052" s="3"/>
      <c r="N2052" s="3"/>
      <c r="O2052" s="3"/>
      <c r="P2052" s="3"/>
      <c r="Q2052" s="3"/>
      <c r="R2052" s="111"/>
      <c r="S2052" s="111"/>
      <c r="T2052" s="111"/>
    </row>
    <row r="2053" spans="3:20" s="4" customFormat="1" x14ac:dyDescent="0.25">
      <c r="C2053" s="3"/>
      <c r="D2053" s="3"/>
      <c r="E2053" s="3"/>
      <c r="F2053" s="3"/>
      <c r="G2053" s="3"/>
      <c r="H2053" s="3"/>
      <c r="I2053" s="3"/>
      <c r="J2053" s="3"/>
      <c r="K2053" s="3"/>
      <c r="L2053" s="3"/>
      <c r="M2053" s="3"/>
      <c r="N2053" s="3"/>
      <c r="O2053" s="3"/>
      <c r="P2053" s="3"/>
      <c r="Q2053" s="3"/>
      <c r="R2053" s="111"/>
      <c r="S2053" s="111"/>
      <c r="T2053" s="111"/>
    </row>
    <row r="2054" spans="3:20" s="4" customFormat="1" x14ac:dyDescent="0.25">
      <c r="C2054" s="3"/>
      <c r="D2054" s="3"/>
      <c r="E2054" s="3"/>
      <c r="F2054" s="3"/>
      <c r="G2054" s="3"/>
      <c r="H2054" s="3"/>
      <c r="I2054" s="3"/>
      <c r="J2054" s="3"/>
      <c r="K2054" s="3"/>
      <c r="L2054" s="3"/>
      <c r="M2054" s="3"/>
      <c r="N2054" s="3"/>
      <c r="O2054" s="3"/>
      <c r="P2054" s="3"/>
      <c r="Q2054" s="3"/>
      <c r="R2054" s="111"/>
      <c r="S2054" s="111"/>
      <c r="T2054" s="111"/>
    </row>
    <row r="2055" spans="3:20" s="4" customFormat="1" x14ac:dyDescent="0.25">
      <c r="C2055" s="3"/>
      <c r="D2055" s="3"/>
      <c r="E2055" s="3"/>
      <c r="F2055" s="3"/>
      <c r="G2055" s="3"/>
      <c r="H2055" s="3"/>
      <c r="I2055" s="3"/>
      <c r="J2055" s="3"/>
      <c r="K2055" s="3"/>
      <c r="L2055" s="3"/>
      <c r="M2055" s="3"/>
      <c r="N2055" s="3"/>
      <c r="O2055" s="3"/>
      <c r="P2055" s="3"/>
      <c r="Q2055" s="3"/>
      <c r="R2055" s="111"/>
      <c r="S2055" s="111"/>
      <c r="T2055" s="111"/>
    </row>
    <row r="2056" spans="3:20" s="4" customFormat="1" x14ac:dyDescent="0.25">
      <c r="C2056" s="3"/>
      <c r="D2056" s="3"/>
      <c r="E2056" s="3"/>
      <c r="F2056" s="3"/>
      <c r="G2056" s="3"/>
      <c r="H2056" s="3"/>
      <c r="I2056" s="3"/>
      <c r="J2056" s="3"/>
      <c r="K2056" s="3"/>
      <c r="L2056" s="3"/>
      <c r="M2056" s="3"/>
      <c r="N2056" s="3"/>
      <c r="O2056" s="3"/>
      <c r="P2056" s="3"/>
      <c r="Q2056" s="3"/>
      <c r="R2056" s="111"/>
      <c r="S2056" s="111"/>
      <c r="T2056" s="111"/>
    </row>
    <row r="2057" spans="3:20" s="4" customFormat="1" x14ac:dyDescent="0.25">
      <c r="C2057" s="3"/>
      <c r="D2057" s="3"/>
      <c r="E2057" s="3"/>
      <c r="F2057" s="3"/>
      <c r="G2057" s="3"/>
      <c r="H2057" s="3"/>
      <c r="I2057" s="3"/>
      <c r="J2057" s="3"/>
      <c r="K2057" s="3"/>
      <c r="L2057" s="3"/>
      <c r="M2057" s="3"/>
      <c r="N2057" s="3"/>
      <c r="O2057" s="3"/>
      <c r="P2057" s="3"/>
      <c r="Q2057" s="3"/>
      <c r="R2057" s="111"/>
      <c r="S2057" s="111"/>
      <c r="T2057" s="111"/>
    </row>
    <row r="2058" spans="3:20" s="4" customFormat="1" x14ac:dyDescent="0.25">
      <c r="C2058" s="3"/>
      <c r="D2058" s="3"/>
      <c r="E2058" s="3"/>
      <c r="F2058" s="3"/>
      <c r="G2058" s="3"/>
      <c r="H2058" s="3"/>
      <c r="I2058" s="3"/>
      <c r="J2058" s="3"/>
      <c r="K2058" s="3"/>
      <c r="L2058" s="3"/>
      <c r="M2058" s="3"/>
      <c r="N2058" s="3"/>
      <c r="O2058" s="3"/>
      <c r="P2058" s="3"/>
      <c r="Q2058" s="3"/>
      <c r="R2058" s="111"/>
      <c r="S2058" s="111"/>
      <c r="T2058" s="111"/>
    </row>
    <row r="2059" spans="3:20" s="4" customFormat="1" x14ac:dyDescent="0.25">
      <c r="C2059" s="3"/>
      <c r="D2059" s="3"/>
      <c r="E2059" s="3"/>
      <c r="F2059" s="3"/>
      <c r="G2059" s="3"/>
      <c r="H2059" s="3"/>
      <c r="I2059" s="3"/>
      <c r="J2059" s="3"/>
      <c r="K2059" s="3"/>
      <c r="L2059" s="3"/>
      <c r="M2059" s="3"/>
      <c r="N2059" s="3"/>
      <c r="O2059" s="3"/>
      <c r="P2059" s="3"/>
      <c r="Q2059" s="3"/>
      <c r="R2059" s="111"/>
      <c r="S2059" s="111"/>
      <c r="T2059" s="111"/>
    </row>
    <row r="2060" spans="3:20" s="4" customFormat="1" x14ac:dyDescent="0.25">
      <c r="C2060" s="3"/>
      <c r="D2060" s="3"/>
      <c r="E2060" s="3"/>
      <c r="F2060" s="3"/>
      <c r="G2060" s="3"/>
      <c r="H2060" s="3"/>
      <c r="I2060" s="3"/>
      <c r="J2060" s="3"/>
      <c r="K2060" s="3"/>
      <c r="L2060" s="3"/>
      <c r="M2060" s="3"/>
      <c r="N2060" s="3"/>
      <c r="O2060" s="3"/>
      <c r="P2060" s="3"/>
      <c r="Q2060" s="3"/>
      <c r="R2060" s="111"/>
      <c r="S2060" s="111"/>
      <c r="T2060" s="111"/>
    </row>
    <row r="2061" spans="3:20" s="4" customFormat="1" x14ac:dyDescent="0.25">
      <c r="C2061" s="3"/>
      <c r="D2061" s="3"/>
      <c r="E2061" s="3"/>
      <c r="F2061" s="3"/>
      <c r="G2061" s="3"/>
      <c r="H2061" s="3"/>
      <c r="I2061" s="3"/>
      <c r="J2061" s="3"/>
      <c r="K2061" s="3"/>
      <c r="L2061" s="3"/>
      <c r="M2061" s="3"/>
      <c r="N2061" s="3"/>
      <c r="O2061" s="3"/>
      <c r="P2061" s="3"/>
      <c r="Q2061" s="3"/>
      <c r="R2061" s="111"/>
      <c r="S2061" s="111"/>
      <c r="T2061" s="111"/>
    </row>
    <row r="2062" spans="3:20" s="4" customFormat="1" x14ac:dyDescent="0.25">
      <c r="C2062" s="3"/>
      <c r="D2062" s="3"/>
      <c r="E2062" s="3"/>
      <c r="F2062" s="3"/>
      <c r="G2062" s="3"/>
      <c r="H2062" s="3"/>
      <c r="I2062" s="3"/>
      <c r="J2062" s="3"/>
      <c r="K2062" s="3"/>
      <c r="L2062" s="3"/>
      <c r="M2062" s="3"/>
      <c r="N2062" s="3"/>
      <c r="O2062" s="3"/>
      <c r="P2062" s="3"/>
      <c r="Q2062" s="3"/>
      <c r="R2062" s="111"/>
      <c r="S2062" s="111"/>
      <c r="T2062" s="111"/>
    </row>
    <row r="2063" spans="3:20" s="4" customFormat="1" x14ac:dyDescent="0.25">
      <c r="C2063" s="3"/>
      <c r="D2063" s="3"/>
      <c r="E2063" s="3"/>
      <c r="F2063" s="3"/>
      <c r="G2063" s="3"/>
      <c r="H2063" s="3"/>
      <c r="I2063" s="3"/>
      <c r="J2063" s="3"/>
      <c r="K2063" s="3"/>
      <c r="L2063" s="3"/>
      <c r="M2063" s="3"/>
      <c r="N2063" s="3"/>
      <c r="O2063" s="3"/>
      <c r="P2063" s="3"/>
      <c r="Q2063" s="3"/>
      <c r="R2063" s="111"/>
      <c r="S2063" s="111"/>
      <c r="T2063" s="111"/>
    </row>
    <row r="2064" spans="3:20" s="4" customFormat="1" x14ac:dyDescent="0.25">
      <c r="C2064" s="3"/>
      <c r="D2064" s="3"/>
      <c r="E2064" s="3"/>
      <c r="F2064" s="3"/>
      <c r="G2064" s="3"/>
      <c r="H2064" s="3"/>
      <c r="I2064" s="3"/>
      <c r="J2064" s="3"/>
      <c r="K2064" s="3"/>
      <c r="L2064" s="3"/>
      <c r="M2064" s="3"/>
      <c r="N2064" s="3"/>
      <c r="O2064" s="3"/>
      <c r="P2064" s="3"/>
      <c r="Q2064" s="3"/>
      <c r="R2064" s="111"/>
      <c r="S2064" s="111"/>
      <c r="T2064" s="111"/>
    </row>
    <row r="2065" spans="3:20" s="4" customFormat="1" x14ac:dyDescent="0.25">
      <c r="C2065" s="3"/>
      <c r="D2065" s="3"/>
      <c r="E2065" s="3"/>
      <c r="F2065" s="3"/>
      <c r="G2065" s="3"/>
      <c r="H2065" s="3"/>
      <c r="I2065" s="3"/>
      <c r="J2065" s="3"/>
      <c r="K2065" s="3"/>
      <c r="L2065" s="3"/>
      <c r="M2065" s="3"/>
      <c r="N2065" s="3"/>
      <c r="O2065" s="3"/>
      <c r="P2065" s="3"/>
      <c r="Q2065" s="3"/>
      <c r="R2065" s="111"/>
      <c r="S2065" s="111"/>
      <c r="T2065" s="111"/>
    </row>
    <row r="2066" spans="3:20" s="4" customFormat="1" x14ac:dyDescent="0.25">
      <c r="C2066" s="3"/>
      <c r="D2066" s="3"/>
      <c r="E2066" s="3"/>
      <c r="F2066" s="3"/>
      <c r="G2066" s="3"/>
      <c r="H2066" s="3"/>
      <c r="I2066" s="3"/>
      <c r="J2066" s="3"/>
      <c r="K2066" s="3"/>
      <c r="L2066" s="3"/>
      <c r="M2066" s="3"/>
      <c r="N2066" s="3"/>
      <c r="O2066" s="3"/>
      <c r="P2066" s="3"/>
      <c r="Q2066" s="3"/>
      <c r="R2066" s="111"/>
      <c r="S2066" s="111"/>
      <c r="T2066" s="111"/>
    </row>
    <row r="2067" spans="3:20" s="4" customFormat="1" x14ac:dyDescent="0.25">
      <c r="C2067" s="3"/>
      <c r="D2067" s="3"/>
      <c r="E2067" s="3"/>
      <c r="F2067" s="3"/>
      <c r="G2067" s="3"/>
      <c r="H2067" s="3"/>
      <c r="I2067" s="3"/>
      <c r="J2067" s="3"/>
      <c r="K2067" s="3"/>
      <c r="L2067" s="3"/>
      <c r="M2067" s="3"/>
      <c r="N2067" s="3"/>
      <c r="O2067" s="3"/>
      <c r="P2067" s="3"/>
      <c r="Q2067" s="3"/>
      <c r="R2067" s="111"/>
      <c r="S2067" s="111"/>
      <c r="T2067" s="111"/>
    </row>
    <row r="2068" spans="3:20" s="4" customFormat="1" x14ac:dyDescent="0.25">
      <c r="C2068" s="3"/>
      <c r="D2068" s="3"/>
      <c r="E2068" s="3"/>
      <c r="F2068" s="3"/>
      <c r="G2068" s="3"/>
      <c r="H2068" s="3"/>
      <c r="I2068" s="3"/>
      <c r="J2068" s="3"/>
      <c r="K2068" s="3"/>
      <c r="L2068" s="3"/>
      <c r="M2068" s="3"/>
      <c r="N2068" s="3"/>
      <c r="O2068" s="3"/>
      <c r="P2068" s="3"/>
      <c r="Q2068" s="3"/>
      <c r="R2068" s="111"/>
      <c r="S2068" s="111"/>
      <c r="T2068" s="111"/>
    </row>
    <row r="2069" spans="3:20" s="4" customFormat="1" x14ac:dyDescent="0.25">
      <c r="C2069" s="3"/>
      <c r="D2069" s="3"/>
      <c r="E2069" s="3"/>
      <c r="F2069" s="3"/>
      <c r="G2069" s="3"/>
      <c r="H2069" s="3"/>
      <c r="I2069" s="3"/>
      <c r="J2069" s="3"/>
      <c r="K2069" s="3"/>
      <c r="L2069" s="3"/>
      <c r="M2069" s="3"/>
      <c r="N2069" s="3"/>
      <c r="O2069" s="3"/>
      <c r="P2069" s="3"/>
      <c r="Q2069" s="3"/>
      <c r="R2069" s="111"/>
      <c r="S2069" s="111"/>
      <c r="T2069" s="111"/>
    </row>
    <row r="2070" spans="3:20" s="4" customFormat="1" x14ac:dyDescent="0.25">
      <c r="C2070" s="3"/>
      <c r="D2070" s="3"/>
      <c r="E2070" s="3"/>
      <c r="F2070" s="3"/>
      <c r="G2070" s="3"/>
      <c r="H2070" s="3"/>
      <c r="I2070" s="3"/>
      <c r="J2070" s="3"/>
      <c r="K2070" s="3"/>
      <c r="L2070" s="3"/>
      <c r="M2070" s="3"/>
      <c r="N2070" s="3"/>
      <c r="O2070" s="3"/>
      <c r="P2070" s="3"/>
      <c r="Q2070" s="3"/>
      <c r="R2070" s="111"/>
      <c r="S2070" s="111"/>
      <c r="T2070" s="111"/>
    </row>
    <row r="2071" spans="3:20" s="4" customFormat="1" x14ac:dyDescent="0.25">
      <c r="C2071" s="3"/>
      <c r="D2071" s="3"/>
      <c r="E2071" s="3"/>
      <c r="F2071" s="3"/>
      <c r="G2071" s="3"/>
      <c r="H2071" s="3"/>
      <c r="I2071" s="3"/>
      <c r="J2071" s="3"/>
      <c r="K2071" s="3"/>
      <c r="L2071" s="3"/>
      <c r="M2071" s="3"/>
      <c r="N2071" s="3"/>
      <c r="O2071" s="3"/>
      <c r="P2071" s="3"/>
      <c r="Q2071" s="3"/>
      <c r="R2071" s="111"/>
      <c r="S2071" s="111"/>
      <c r="T2071" s="111"/>
    </row>
    <row r="2072" spans="3:20" s="4" customFormat="1" x14ac:dyDescent="0.25">
      <c r="C2072" s="3"/>
      <c r="D2072" s="3"/>
      <c r="E2072" s="3"/>
      <c r="F2072" s="3"/>
      <c r="G2072" s="3"/>
      <c r="H2072" s="3"/>
      <c r="I2072" s="3"/>
      <c r="J2072" s="3"/>
      <c r="K2072" s="3"/>
      <c r="L2072" s="3"/>
      <c r="M2072" s="3"/>
      <c r="N2072" s="3"/>
      <c r="O2072" s="3"/>
      <c r="P2072" s="3"/>
      <c r="Q2072" s="3"/>
      <c r="R2072" s="111"/>
      <c r="S2072" s="111"/>
      <c r="T2072" s="111"/>
    </row>
    <row r="2073" spans="3:20" s="4" customFormat="1" x14ac:dyDescent="0.25">
      <c r="C2073" s="3"/>
      <c r="D2073" s="3"/>
      <c r="E2073" s="3"/>
      <c r="F2073" s="3"/>
      <c r="G2073" s="3"/>
      <c r="H2073" s="3"/>
      <c r="I2073" s="3"/>
      <c r="J2073" s="3"/>
      <c r="K2073" s="3"/>
      <c r="L2073" s="3"/>
      <c r="M2073" s="3"/>
      <c r="N2073" s="3"/>
      <c r="O2073" s="3"/>
      <c r="P2073" s="3"/>
      <c r="Q2073" s="3"/>
      <c r="R2073" s="111"/>
      <c r="S2073" s="111"/>
      <c r="T2073" s="111"/>
    </row>
    <row r="2074" spans="3:20" s="4" customFormat="1" x14ac:dyDescent="0.25">
      <c r="C2074" s="3"/>
      <c r="D2074" s="3"/>
      <c r="E2074" s="3"/>
      <c r="F2074" s="3"/>
      <c r="G2074" s="3"/>
      <c r="H2074" s="3"/>
      <c r="I2074" s="3"/>
      <c r="J2074" s="3"/>
      <c r="K2074" s="3"/>
      <c r="L2074" s="3"/>
      <c r="M2074" s="3"/>
      <c r="N2074" s="3"/>
      <c r="O2074" s="3"/>
      <c r="P2074" s="3"/>
      <c r="Q2074" s="3"/>
      <c r="R2074" s="111"/>
      <c r="S2074" s="111"/>
      <c r="T2074" s="111"/>
    </row>
    <row r="2075" spans="3:20" s="4" customFormat="1" x14ac:dyDescent="0.25">
      <c r="C2075" s="3"/>
      <c r="D2075" s="3"/>
      <c r="E2075" s="3"/>
      <c r="F2075" s="3"/>
      <c r="G2075" s="3"/>
      <c r="H2075" s="3"/>
      <c r="I2075" s="3"/>
      <c r="J2075" s="3"/>
      <c r="K2075" s="3"/>
      <c r="L2075" s="3"/>
      <c r="M2075" s="3"/>
      <c r="N2075" s="3"/>
      <c r="O2075" s="3"/>
      <c r="P2075" s="3"/>
      <c r="Q2075" s="3"/>
      <c r="R2075" s="111"/>
      <c r="S2075" s="111"/>
      <c r="T2075" s="111"/>
    </row>
    <row r="2076" spans="3:20" s="4" customFormat="1" x14ac:dyDescent="0.25">
      <c r="C2076" s="3"/>
      <c r="D2076" s="3"/>
      <c r="E2076" s="3"/>
      <c r="F2076" s="3"/>
      <c r="G2076" s="3"/>
      <c r="H2076" s="3"/>
      <c r="I2076" s="3"/>
      <c r="J2076" s="3"/>
      <c r="K2076" s="3"/>
      <c r="L2076" s="3"/>
      <c r="M2076" s="3"/>
      <c r="N2076" s="3"/>
      <c r="O2076" s="3"/>
      <c r="P2076" s="3"/>
      <c r="Q2076" s="3"/>
      <c r="R2076" s="111"/>
      <c r="S2076" s="111"/>
      <c r="T2076" s="111"/>
    </row>
    <row r="2077" spans="3:20" s="4" customFormat="1" x14ac:dyDescent="0.25">
      <c r="C2077" s="3"/>
      <c r="D2077" s="3"/>
      <c r="E2077" s="3"/>
      <c r="F2077" s="3"/>
      <c r="G2077" s="3"/>
      <c r="H2077" s="3"/>
      <c r="I2077" s="3"/>
      <c r="J2077" s="3"/>
      <c r="K2077" s="3"/>
      <c r="L2077" s="3"/>
      <c r="M2077" s="3"/>
      <c r="N2077" s="3"/>
      <c r="O2077" s="3"/>
      <c r="P2077" s="3"/>
      <c r="Q2077" s="3"/>
      <c r="R2077" s="111"/>
      <c r="S2077" s="111"/>
      <c r="T2077" s="111"/>
    </row>
    <row r="2078" spans="3:20" s="4" customFormat="1" x14ac:dyDescent="0.25">
      <c r="C2078" s="3"/>
      <c r="D2078" s="3"/>
      <c r="E2078" s="3"/>
      <c r="F2078" s="3"/>
      <c r="G2078" s="3"/>
      <c r="H2078" s="3"/>
      <c r="I2078" s="3"/>
      <c r="J2078" s="3"/>
      <c r="K2078" s="3"/>
      <c r="L2078" s="3"/>
      <c r="M2078" s="3"/>
      <c r="N2078" s="3"/>
      <c r="O2078" s="3"/>
      <c r="P2078" s="3"/>
      <c r="Q2078" s="3"/>
      <c r="R2078" s="111"/>
      <c r="S2078" s="111"/>
      <c r="T2078" s="111"/>
    </row>
    <row r="2079" spans="3:20" s="4" customFormat="1" x14ac:dyDescent="0.25">
      <c r="C2079" s="3"/>
      <c r="D2079" s="3"/>
      <c r="E2079" s="3"/>
      <c r="F2079" s="3"/>
      <c r="G2079" s="3"/>
      <c r="H2079" s="3"/>
      <c r="I2079" s="3"/>
      <c r="J2079" s="3"/>
      <c r="K2079" s="3"/>
      <c r="L2079" s="3"/>
      <c r="M2079" s="3"/>
      <c r="N2079" s="3"/>
      <c r="O2079" s="3"/>
      <c r="P2079" s="3"/>
      <c r="Q2079" s="3"/>
      <c r="R2079" s="111"/>
      <c r="S2079" s="111"/>
      <c r="T2079" s="111"/>
    </row>
    <row r="2080" spans="3:20" s="4" customFormat="1" x14ac:dyDescent="0.25">
      <c r="C2080" s="3"/>
      <c r="D2080" s="3"/>
      <c r="E2080" s="3"/>
      <c r="F2080" s="3"/>
      <c r="G2080" s="3"/>
      <c r="H2080" s="3"/>
      <c r="I2080" s="3"/>
      <c r="J2080" s="3"/>
      <c r="K2080" s="3"/>
      <c r="L2080" s="3"/>
      <c r="M2080" s="3"/>
      <c r="N2080" s="3"/>
      <c r="O2080" s="3"/>
      <c r="P2080" s="3"/>
      <c r="Q2080" s="3"/>
      <c r="R2080" s="111"/>
      <c r="S2080" s="111"/>
      <c r="T2080" s="111"/>
    </row>
    <row r="2081" spans="3:20" s="4" customFormat="1" x14ac:dyDescent="0.25">
      <c r="C2081" s="3"/>
      <c r="D2081" s="3"/>
      <c r="E2081" s="3"/>
      <c r="F2081" s="3"/>
      <c r="G2081" s="3"/>
      <c r="H2081" s="3"/>
      <c r="I2081" s="3"/>
      <c r="J2081" s="3"/>
      <c r="K2081" s="3"/>
      <c r="L2081" s="3"/>
      <c r="M2081" s="3"/>
      <c r="N2081" s="3"/>
      <c r="O2081" s="3"/>
      <c r="P2081" s="3"/>
      <c r="Q2081" s="3"/>
      <c r="R2081" s="111"/>
      <c r="S2081" s="111"/>
      <c r="T2081" s="111"/>
    </row>
    <row r="2082" spans="3:20" s="4" customFormat="1" x14ac:dyDescent="0.25">
      <c r="C2082" s="3"/>
      <c r="D2082" s="3"/>
      <c r="E2082" s="3"/>
      <c r="F2082" s="3"/>
      <c r="G2082" s="3"/>
      <c r="H2082" s="3"/>
      <c r="I2082" s="3"/>
      <c r="J2082" s="3"/>
      <c r="K2082" s="3"/>
      <c r="L2082" s="3"/>
      <c r="M2082" s="3"/>
      <c r="N2082" s="3"/>
      <c r="O2082" s="3"/>
      <c r="P2082" s="3"/>
      <c r="Q2082" s="3"/>
      <c r="R2082" s="111"/>
      <c r="S2082" s="111"/>
      <c r="T2082" s="111"/>
    </row>
    <row r="2083" spans="3:20" s="4" customFormat="1" x14ac:dyDescent="0.25">
      <c r="C2083" s="3"/>
      <c r="D2083" s="3"/>
      <c r="E2083" s="3"/>
      <c r="F2083" s="3"/>
      <c r="G2083" s="3"/>
      <c r="H2083" s="3"/>
      <c r="I2083" s="3"/>
      <c r="J2083" s="3"/>
      <c r="K2083" s="3"/>
      <c r="L2083" s="3"/>
      <c r="M2083" s="3"/>
      <c r="N2083" s="3"/>
      <c r="O2083" s="3"/>
      <c r="P2083" s="3"/>
      <c r="Q2083" s="3"/>
      <c r="R2083" s="111"/>
      <c r="S2083" s="111"/>
      <c r="T2083" s="111"/>
    </row>
    <row r="2084" spans="3:20" s="4" customFormat="1" x14ac:dyDescent="0.25">
      <c r="C2084" s="3"/>
      <c r="D2084" s="3"/>
      <c r="E2084" s="3"/>
      <c r="F2084" s="3"/>
      <c r="G2084" s="3"/>
      <c r="H2084" s="3"/>
      <c r="I2084" s="3"/>
      <c r="J2084" s="3"/>
      <c r="K2084" s="3"/>
      <c r="L2084" s="3"/>
      <c r="M2084" s="3"/>
      <c r="N2084" s="3"/>
      <c r="O2084" s="3"/>
      <c r="P2084" s="3"/>
      <c r="Q2084" s="3"/>
      <c r="R2084" s="111"/>
      <c r="S2084" s="111"/>
      <c r="T2084" s="111"/>
    </row>
    <row r="2085" spans="3:20" s="4" customFormat="1" x14ac:dyDescent="0.25">
      <c r="C2085" s="3"/>
      <c r="D2085" s="3"/>
      <c r="E2085" s="3"/>
      <c r="F2085" s="3"/>
      <c r="G2085" s="3"/>
      <c r="H2085" s="3"/>
      <c r="I2085" s="3"/>
      <c r="J2085" s="3"/>
      <c r="K2085" s="3"/>
      <c r="L2085" s="3"/>
      <c r="M2085" s="3"/>
      <c r="N2085" s="3"/>
      <c r="O2085" s="3"/>
      <c r="P2085" s="3"/>
      <c r="Q2085" s="3"/>
      <c r="R2085" s="111"/>
      <c r="S2085" s="111"/>
      <c r="T2085" s="111"/>
    </row>
    <row r="2086" spans="3:20" s="4" customFormat="1" x14ac:dyDescent="0.25">
      <c r="C2086" s="3"/>
      <c r="D2086" s="3"/>
      <c r="E2086" s="3"/>
      <c r="F2086" s="3"/>
      <c r="G2086" s="3"/>
      <c r="H2086" s="3"/>
      <c r="I2086" s="3"/>
      <c r="J2086" s="3"/>
      <c r="K2086" s="3"/>
      <c r="L2086" s="3"/>
      <c r="M2086" s="3"/>
      <c r="N2086" s="3"/>
      <c r="O2086" s="3"/>
      <c r="P2086" s="3"/>
      <c r="Q2086" s="3"/>
      <c r="R2086" s="111"/>
      <c r="S2086" s="111"/>
      <c r="T2086" s="111"/>
    </row>
    <row r="2087" spans="3:20" s="4" customFormat="1" x14ac:dyDescent="0.25">
      <c r="C2087" s="3"/>
      <c r="D2087" s="3"/>
      <c r="E2087" s="3"/>
      <c r="F2087" s="3"/>
      <c r="G2087" s="3"/>
      <c r="H2087" s="3"/>
      <c r="I2087" s="3"/>
      <c r="J2087" s="3"/>
      <c r="K2087" s="3"/>
      <c r="L2087" s="3"/>
      <c r="M2087" s="3"/>
      <c r="N2087" s="3"/>
      <c r="O2087" s="3"/>
      <c r="P2087" s="3"/>
      <c r="Q2087" s="3"/>
      <c r="R2087" s="111"/>
      <c r="S2087" s="111"/>
      <c r="T2087" s="111"/>
    </row>
    <row r="2088" spans="3:20" s="4" customFormat="1" x14ac:dyDescent="0.25">
      <c r="C2088" s="3"/>
      <c r="D2088" s="3"/>
      <c r="E2088" s="3"/>
      <c r="F2088" s="3"/>
      <c r="G2088" s="3"/>
      <c r="H2088" s="3"/>
      <c r="I2088" s="3"/>
      <c r="J2088" s="3"/>
      <c r="K2088" s="3"/>
      <c r="L2088" s="3"/>
      <c r="M2088" s="3"/>
      <c r="N2088" s="3"/>
      <c r="O2088" s="3"/>
      <c r="P2088" s="3"/>
      <c r="Q2088" s="3"/>
      <c r="R2088" s="111"/>
      <c r="S2088" s="111"/>
      <c r="T2088" s="111"/>
    </row>
    <row r="2089" spans="3:20" s="4" customFormat="1" x14ac:dyDescent="0.25">
      <c r="C2089" s="3"/>
      <c r="D2089" s="3"/>
      <c r="E2089" s="3"/>
      <c r="F2089" s="3"/>
      <c r="G2089" s="3"/>
      <c r="H2089" s="3"/>
      <c r="I2089" s="3"/>
      <c r="J2089" s="3"/>
      <c r="K2089" s="3"/>
      <c r="L2089" s="3"/>
      <c r="M2089" s="3"/>
      <c r="N2089" s="3"/>
      <c r="O2089" s="3"/>
      <c r="P2089" s="3"/>
      <c r="Q2089" s="3"/>
      <c r="R2089" s="111"/>
      <c r="S2089" s="111"/>
      <c r="T2089" s="111"/>
    </row>
    <row r="2090" spans="3:20" s="4" customFormat="1" x14ac:dyDescent="0.25">
      <c r="C2090" s="3"/>
      <c r="D2090" s="3"/>
      <c r="E2090" s="3"/>
      <c r="F2090" s="3"/>
      <c r="G2090" s="3"/>
      <c r="H2090" s="3"/>
      <c r="I2090" s="3"/>
      <c r="J2090" s="3"/>
      <c r="K2090" s="3"/>
      <c r="L2090" s="3"/>
      <c r="M2090" s="3"/>
      <c r="N2090" s="3"/>
      <c r="O2090" s="3"/>
      <c r="P2090" s="3"/>
      <c r="Q2090" s="3"/>
      <c r="R2090" s="111"/>
      <c r="S2090" s="111"/>
      <c r="T2090" s="111"/>
    </row>
    <row r="2091" spans="3:20" s="4" customFormat="1" x14ac:dyDescent="0.25">
      <c r="C2091" s="3"/>
      <c r="D2091" s="3"/>
      <c r="E2091" s="3"/>
      <c r="F2091" s="3"/>
      <c r="G2091" s="3"/>
      <c r="H2091" s="3"/>
      <c r="I2091" s="3"/>
      <c r="J2091" s="3"/>
      <c r="K2091" s="3"/>
      <c r="L2091" s="3"/>
      <c r="M2091" s="3"/>
      <c r="N2091" s="3"/>
      <c r="O2091" s="3"/>
      <c r="P2091" s="3"/>
      <c r="Q2091" s="3"/>
      <c r="R2091" s="111"/>
      <c r="S2091" s="111"/>
      <c r="T2091" s="111"/>
    </row>
    <row r="2092" spans="3:20" s="4" customFormat="1" x14ac:dyDescent="0.25">
      <c r="C2092" s="3"/>
      <c r="D2092" s="3"/>
      <c r="E2092" s="3"/>
      <c r="F2092" s="3"/>
      <c r="G2092" s="3"/>
      <c r="H2092" s="3"/>
      <c r="I2092" s="3"/>
      <c r="J2092" s="3"/>
      <c r="K2092" s="3"/>
      <c r="L2092" s="3"/>
      <c r="M2092" s="3"/>
      <c r="N2092" s="3"/>
      <c r="O2092" s="3"/>
      <c r="P2092" s="3"/>
      <c r="Q2092" s="3"/>
      <c r="R2092" s="111"/>
      <c r="S2092" s="111"/>
      <c r="T2092" s="111"/>
    </row>
    <row r="2093" spans="3:20" s="4" customFormat="1" x14ac:dyDescent="0.25">
      <c r="C2093" s="3"/>
      <c r="D2093" s="3"/>
      <c r="E2093" s="3"/>
      <c r="F2093" s="3"/>
      <c r="G2093" s="3"/>
      <c r="H2093" s="3"/>
      <c r="I2093" s="3"/>
      <c r="J2093" s="3"/>
      <c r="K2093" s="3"/>
      <c r="L2093" s="3"/>
      <c r="M2093" s="3"/>
      <c r="N2093" s="3"/>
      <c r="O2093" s="3"/>
      <c r="P2093" s="3"/>
      <c r="Q2093" s="3"/>
      <c r="R2093" s="111"/>
      <c r="S2093" s="111"/>
      <c r="T2093" s="111"/>
    </row>
    <row r="2094" spans="3:20" s="4" customFormat="1" x14ac:dyDescent="0.25">
      <c r="C2094" s="3"/>
      <c r="D2094" s="3"/>
      <c r="E2094" s="3"/>
      <c r="F2094" s="3"/>
      <c r="G2094" s="3"/>
      <c r="H2094" s="3"/>
      <c r="I2094" s="3"/>
      <c r="J2094" s="3"/>
      <c r="K2094" s="3"/>
      <c r="L2094" s="3"/>
      <c r="M2094" s="3"/>
      <c r="N2094" s="3"/>
      <c r="O2094" s="3"/>
      <c r="P2094" s="3"/>
      <c r="Q2094" s="3"/>
      <c r="R2094" s="111"/>
      <c r="S2094" s="111"/>
      <c r="T2094" s="111"/>
    </row>
    <row r="2095" spans="3:20" s="4" customFormat="1" x14ac:dyDescent="0.25">
      <c r="C2095" s="3"/>
      <c r="D2095" s="3"/>
      <c r="E2095" s="3"/>
      <c r="F2095" s="3"/>
      <c r="G2095" s="3"/>
      <c r="H2095" s="3"/>
      <c r="I2095" s="3"/>
      <c r="J2095" s="3"/>
      <c r="K2095" s="3"/>
      <c r="L2095" s="3"/>
      <c r="M2095" s="3"/>
      <c r="N2095" s="3"/>
      <c r="O2095" s="3"/>
      <c r="P2095" s="3"/>
      <c r="Q2095" s="3"/>
      <c r="R2095" s="111"/>
      <c r="S2095" s="111"/>
      <c r="T2095" s="111"/>
    </row>
    <row r="2096" spans="3:20" s="4" customFormat="1" x14ac:dyDescent="0.25">
      <c r="C2096" s="3"/>
      <c r="D2096" s="3"/>
      <c r="E2096" s="3"/>
      <c r="F2096" s="3"/>
      <c r="G2096" s="3"/>
      <c r="H2096" s="3"/>
      <c r="I2096" s="3"/>
      <c r="J2096" s="3"/>
      <c r="K2096" s="3"/>
      <c r="L2096" s="3"/>
      <c r="M2096" s="3"/>
      <c r="N2096" s="3"/>
      <c r="O2096" s="3"/>
      <c r="P2096" s="3"/>
      <c r="Q2096" s="3"/>
      <c r="R2096" s="111"/>
      <c r="S2096" s="111"/>
      <c r="T2096" s="111"/>
    </row>
    <row r="2097" spans="3:20" s="4" customFormat="1" x14ac:dyDescent="0.25">
      <c r="C2097" s="3"/>
      <c r="D2097" s="3"/>
      <c r="E2097" s="3"/>
      <c r="F2097" s="3"/>
      <c r="G2097" s="3"/>
      <c r="H2097" s="3"/>
      <c r="I2097" s="3"/>
      <c r="J2097" s="3"/>
      <c r="K2097" s="3"/>
      <c r="L2097" s="3"/>
      <c r="M2097" s="3"/>
      <c r="N2097" s="3"/>
      <c r="O2097" s="3"/>
      <c r="P2097" s="3"/>
      <c r="Q2097" s="3"/>
      <c r="R2097" s="111"/>
      <c r="S2097" s="111"/>
      <c r="T2097" s="111"/>
    </row>
    <row r="2098" spans="3:20" s="4" customFormat="1" x14ac:dyDescent="0.25">
      <c r="C2098" s="3"/>
      <c r="D2098" s="3"/>
      <c r="E2098" s="3"/>
      <c r="F2098" s="3"/>
      <c r="G2098" s="3"/>
      <c r="H2098" s="3"/>
      <c r="I2098" s="3"/>
      <c r="J2098" s="3"/>
      <c r="K2098" s="3"/>
      <c r="L2098" s="3"/>
      <c r="M2098" s="3"/>
      <c r="N2098" s="3"/>
      <c r="O2098" s="3"/>
      <c r="P2098" s="3"/>
      <c r="Q2098" s="3"/>
      <c r="R2098" s="111"/>
      <c r="S2098" s="111"/>
      <c r="T2098" s="111"/>
    </row>
    <row r="2099" spans="3:20" s="4" customFormat="1" x14ac:dyDescent="0.25">
      <c r="C2099" s="3"/>
      <c r="D2099" s="3"/>
      <c r="E2099" s="3"/>
      <c r="F2099" s="3"/>
      <c r="G2099" s="3"/>
      <c r="H2099" s="3"/>
      <c r="I2099" s="3"/>
      <c r="J2099" s="3"/>
      <c r="K2099" s="3"/>
      <c r="L2099" s="3"/>
      <c r="M2099" s="3"/>
      <c r="N2099" s="3"/>
      <c r="O2099" s="3"/>
      <c r="P2099" s="3"/>
      <c r="Q2099" s="3"/>
      <c r="R2099" s="111"/>
      <c r="S2099" s="111"/>
      <c r="T2099" s="111"/>
    </row>
    <row r="2100" spans="3:20" s="4" customFormat="1" x14ac:dyDescent="0.25">
      <c r="C2100" s="3"/>
      <c r="D2100" s="3"/>
      <c r="E2100" s="3"/>
      <c r="F2100" s="3"/>
      <c r="G2100" s="3"/>
      <c r="H2100" s="3"/>
      <c r="I2100" s="3"/>
      <c r="J2100" s="3"/>
      <c r="K2100" s="3"/>
      <c r="L2100" s="3"/>
      <c r="M2100" s="3"/>
      <c r="N2100" s="3"/>
      <c r="O2100" s="3"/>
      <c r="P2100" s="3"/>
      <c r="Q2100" s="3"/>
      <c r="R2100" s="111"/>
      <c r="S2100" s="111"/>
      <c r="T2100" s="111"/>
    </row>
    <row r="2101" spans="3:20" s="4" customFormat="1" x14ac:dyDescent="0.25">
      <c r="C2101" s="3"/>
      <c r="D2101" s="3"/>
      <c r="E2101" s="3"/>
      <c r="F2101" s="3"/>
      <c r="G2101" s="3"/>
      <c r="H2101" s="3"/>
      <c r="I2101" s="3"/>
      <c r="J2101" s="3"/>
      <c r="K2101" s="3"/>
      <c r="L2101" s="3"/>
      <c r="M2101" s="3"/>
      <c r="N2101" s="3"/>
      <c r="O2101" s="3"/>
      <c r="P2101" s="3"/>
      <c r="Q2101" s="3"/>
      <c r="R2101" s="111"/>
      <c r="S2101" s="111"/>
      <c r="T2101" s="111"/>
    </row>
    <row r="2102" spans="3:20" s="4" customFormat="1" x14ac:dyDescent="0.25">
      <c r="C2102" s="3"/>
      <c r="D2102" s="3"/>
      <c r="E2102" s="3"/>
      <c r="F2102" s="3"/>
      <c r="G2102" s="3"/>
      <c r="H2102" s="3"/>
      <c r="I2102" s="3"/>
      <c r="J2102" s="3"/>
      <c r="K2102" s="3"/>
      <c r="L2102" s="3"/>
      <c r="M2102" s="3"/>
      <c r="N2102" s="3"/>
      <c r="O2102" s="3"/>
      <c r="P2102" s="3"/>
      <c r="Q2102" s="3"/>
      <c r="R2102" s="111"/>
      <c r="S2102" s="111"/>
      <c r="T2102" s="111"/>
    </row>
    <row r="2103" spans="3:20" s="4" customFormat="1" x14ac:dyDescent="0.25">
      <c r="C2103" s="3"/>
      <c r="D2103" s="3"/>
      <c r="E2103" s="3"/>
      <c r="F2103" s="3"/>
      <c r="G2103" s="3"/>
      <c r="H2103" s="3"/>
      <c r="I2103" s="3"/>
      <c r="J2103" s="3"/>
      <c r="K2103" s="3"/>
      <c r="L2103" s="3"/>
      <c r="M2103" s="3"/>
      <c r="N2103" s="3"/>
      <c r="O2103" s="3"/>
      <c r="P2103" s="3"/>
      <c r="Q2103" s="3"/>
      <c r="R2103" s="111"/>
      <c r="S2103" s="111"/>
      <c r="T2103" s="111"/>
    </row>
    <row r="2104" spans="3:20" s="4" customFormat="1" x14ac:dyDescent="0.25">
      <c r="C2104" s="3"/>
      <c r="D2104" s="3"/>
      <c r="E2104" s="3"/>
      <c r="F2104" s="3"/>
      <c r="G2104" s="3"/>
      <c r="H2104" s="3"/>
      <c r="I2104" s="3"/>
      <c r="J2104" s="3"/>
      <c r="K2104" s="3"/>
      <c r="L2104" s="3"/>
      <c r="M2104" s="3"/>
      <c r="N2104" s="3"/>
      <c r="O2104" s="3"/>
      <c r="P2104" s="3"/>
      <c r="Q2104" s="3"/>
      <c r="R2104" s="111"/>
      <c r="S2104" s="111"/>
      <c r="T2104" s="111"/>
    </row>
    <row r="2105" spans="3:20" s="4" customFormat="1" x14ac:dyDescent="0.25">
      <c r="C2105" s="3"/>
      <c r="D2105" s="3"/>
      <c r="E2105" s="3"/>
      <c r="F2105" s="3"/>
      <c r="G2105" s="3"/>
      <c r="H2105" s="3"/>
      <c r="I2105" s="3"/>
      <c r="J2105" s="3"/>
      <c r="K2105" s="3"/>
      <c r="L2105" s="3"/>
      <c r="M2105" s="3"/>
      <c r="N2105" s="3"/>
      <c r="O2105" s="3"/>
      <c r="P2105" s="3"/>
      <c r="Q2105" s="3"/>
      <c r="R2105" s="111"/>
      <c r="S2105" s="111"/>
      <c r="T2105" s="111"/>
    </row>
    <row r="2106" spans="3:20" s="4" customFormat="1" x14ac:dyDescent="0.25">
      <c r="C2106" s="3"/>
      <c r="D2106" s="3"/>
      <c r="E2106" s="3"/>
      <c r="F2106" s="3"/>
      <c r="G2106" s="3"/>
      <c r="H2106" s="3"/>
      <c r="I2106" s="3"/>
      <c r="J2106" s="3"/>
      <c r="K2106" s="3"/>
      <c r="L2106" s="3"/>
      <c r="M2106" s="3"/>
      <c r="N2106" s="3"/>
      <c r="O2106" s="3"/>
      <c r="P2106" s="3"/>
      <c r="Q2106" s="3"/>
      <c r="R2106" s="111"/>
      <c r="S2106" s="111"/>
      <c r="T2106" s="111"/>
    </row>
    <row r="2107" spans="3:20" s="4" customFormat="1" x14ac:dyDescent="0.25">
      <c r="C2107" s="3"/>
      <c r="D2107" s="3"/>
      <c r="E2107" s="3"/>
      <c r="F2107" s="3"/>
      <c r="G2107" s="3"/>
      <c r="H2107" s="3"/>
      <c r="I2107" s="3"/>
      <c r="J2107" s="3"/>
      <c r="K2107" s="3"/>
      <c r="L2107" s="3"/>
      <c r="M2107" s="3"/>
      <c r="N2107" s="3"/>
      <c r="O2107" s="3"/>
      <c r="P2107" s="3"/>
      <c r="Q2107" s="3"/>
      <c r="R2107" s="111"/>
      <c r="S2107" s="111"/>
      <c r="T2107" s="111"/>
    </row>
    <row r="2108" spans="3:20" s="4" customFormat="1" x14ac:dyDescent="0.25">
      <c r="C2108" s="3"/>
      <c r="D2108" s="3"/>
      <c r="E2108" s="3"/>
      <c r="F2108" s="3"/>
      <c r="G2108" s="3"/>
      <c r="H2108" s="3"/>
      <c r="I2108" s="3"/>
      <c r="J2108" s="3"/>
      <c r="K2108" s="3"/>
      <c r="L2108" s="3"/>
      <c r="M2108" s="3"/>
      <c r="N2108" s="3"/>
      <c r="O2108" s="3"/>
      <c r="P2108" s="3"/>
      <c r="Q2108" s="3"/>
      <c r="R2108" s="111"/>
      <c r="S2108" s="111"/>
      <c r="T2108" s="111"/>
    </row>
    <row r="2109" spans="3:20" s="4" customFormat="1" x14ac:dyDescent="0.25">
      <c r="C2109" s="3"/>
      <c r="D2109" s="3"/>
      <c r="E2109" s="3"/>
      <c r="F2109" s="3"/>
      <c r="G2109" s="3"/>
      <c r="H2109" s="3"/>
      <c r="I2109" s="3"/>
      <c r="J2109" s="3"/>
      <c r="K2109" s="3"/>
      <c r="L2109" s="3"/>
      <c r="M2109" s="3"/>
      <c r="N2109" s="3"/>
      <c r="O2109" s="3"/>
      <c r="P2109" s="3"/>
      <c r="Q2109" s="3"/>
      <c r="R2109" s="111"/>
      <c r="S2109" s="111"/>
      <c r="T2109" s="111"/>
    </row>
    <row r="2110" spans="3:20" s="4" customFormat="1" x14ac:dyDescent="0.25">
      <c r="C2110" s="3"/>
      <c r="D2110" s="3"/>
      <c r="E2110" s="3"/>
      <c r="F2110" s="3"/>
      <c r="G2110" s="3"/>
      <c r="H2110" s="3"/>
      <c r="I2110" s="3"/>
      <c r="J2110" s="3"/>
      <c r="K2110" s="3"/>
      <c r="L2110" s="3"/>
      <c r="M2110" s="3"/>
      <c r="N2110" s="3"/>
      <c r="O2110" s="3"/>
      <c r="P2110" s="3"/>
      <c r="Q2110" s="3"/>
      <c r="R2110" s="111"/>
      <c r="S2110" s="111"/>
      <c r="T2110" s="111"/>
    </row>
    <row r="2111" spans="3:20" s="4" customFormat="1" x14ac:dyDescent="0.25">
      <c r="C2111" s="3"/>
      <c r="D2111" s="3"/>
      <c r="E2111" s="3"/>
      <c r="F2111" s="3"/>
      <c r="G2111" s="3"/>
      <c r="H2111" s="3"/>
      <c r="I2111" s="3"/>
      <c r="J2111" s="3"/>
      <c r="K2111" s="3"/>
      <c r="L2111" s="3"/>
      <c r="M2111" s="3"/>
      <c r="N2111" s="3"/>
      <c r="O2111" s="3"/>
      <c r="P2111" s="3"/>
      <c r="Q2111" s="3"/>
      <c r="R2111" s="111"/>
      <c r="S2111" s="111"/>
      <c r="T2111" s="111"/>
    </row>
    <row r="2112" spans="3:20" s="4" customFormat="1" x14ac:dyDescent="0.25">
      <c r="C2112" s="3"/>
      <c r="D2112" s="3"/>
      <c r="E2112" s="3"/>
      <c r="F2112" s="3"/>
      <c r="G2112" s="3"/>
      <c r="H2112" s="3"/>
      <c r="I2112" s="3"/>
      <c r="J2112" s="3"/>
      <c r="K2112" s="3"/>
      <c r="L2112" s="3"/>
      <c r="M2112" s="3"/>
      <c r="N2112" s="3"/>
      <c r="O2112" s="3"/>
      <c r="P2112" s="3"/>
      <c r="Q2112" s="3"/>
      <c r="R2112" s="111"/>
      <c r="S2112" s="111"/>
      <c r="T2112" s="111"/>
    </row>
    <row r="2113" spans="3:20" s="4" customFormat="1" x14ac:dyDescent="0.25">
      <c r="C2113" s="3"/>
      <c r="D2113" s="3"/>
      <c r="E2113" s="3"/>
      <c r="F2113" s="3"/>
      <c r="G2113" s="3"/>
      <c r="H2113" s="3"/>
      <c r="I2113" s="3"/>
      <c r="J2113" s="3"/>
      <c r="K2113" s="3"/>
      <c r="L2113" s="3"/>
      <c r="M2113" s="3"/>
      <c r="N2113" s="3"/>
      <c r="O2113" s="3"/>
      <c r="P2113" s="3"/>
      <c r="Q2113" s="3"/>
      <c r="R2113" s="111"/>
      <c r="S2113" s="111"/>
      <c r="T2113" s="111"/>
    </row>
    <row r="2114" spans="3:20" s="4" customFormat="1" x14ac:dyDescent="0.25">
      <c r="C2114" s="3"/>
      <c r="D2114" s="3"/>
      <c r="E2114" s="3"/>
      <c r="F2114" s="3"/>
      <c r="G2114" s="3"/>
      <c r="H2114" s="3"/>
      <c r="I2114" s="3"/>
      <c r="J2114" s="3"/>
      <c r="K2114" s="3"/>
      <c r="L2114" s="3"/>
      <c r="M2114" s="3"/>
      <c r="N2114" s="3"/>
      <c r="O2114" s="3"/>
      <c r="P2114" s="3"/>
      <c r="Q2114" s="3"/>
      <c r="R2114" s="111"/>
      <c r="S2114" s="111"/>
      <c r="T2114" s="111"/>
    </row>
    <row r="2115" spans="3:20" s="4" customFormat="1" x14ac:dyDescent="0.25">
      <c r="C2115" s="3"/>
      <c r="D2115" s="3"/>
      <c r="E2115" s="3"/>
      <c r="F2115" s="3"/>
      <c r="G2115" s="3"/>
      <c r="H2115" s="3"/>
      <c r="I2115" s="3"/>
      <c r="J2115" s="3"/>
      <c r="K2115" s="3"/>
      <c r="L2115" s="3"/>
      <c r="M2115" s="3"/>
      <c r="N2115" s="3"/>
      <c r="O2115" s="3"/>
      <c r="P2115" s="3"/>
      <c r="Q2115" s="3"/>
      <c r="R2115" s="111"/>
      <c r="S2115" s="111"/>
      <c r="T2115" s="111"/>
    </row>
    <row r="2116" spans="3:20" s="4" customFormat="1" x14ac:dyDescent="0.25">
      <c r="C2116" s="3"/>
      <c r="D2116" s="3"/>
      <c r="E2116" s="3"/>
      <c r="F2116" s="3"/>
      <c r="G2116" s="3"/>
      <c r="H2116" s="3"/>
      <c r="I2116" s="3"/>
      <c r="J2116" s="3"/>
      <c r="K2116" s="3"/>
      <c r="L2116" s="3"/>
      <c r="M2116" s="3"/>
      <c r="N2116" s="3"/>
      <c r="O2116" s="3"/>
      <c r="P2116" s="3"/>
      <c r="Q2116" s="3"/>
      <c r="R2116" s="111"/>
      <c r="S2116" s="111"/>
      <c r="T2116" s="111"/>
    </row>
    <row r="2117" spans="3:20" s="4" customFormat="1" x14ac:dyDescent="0.25">
      <c r="C2117" s="3"/>
      <c r="D2117" s="3"/>
      <c r="E2117" s="3"/>
      <c r="F2117" s="3"/>
      <c r="G2117" s="3"/>
      <c r="H2117" s="3"/>
      <c r="I2117" s="3"/>
      <c r="J2117" s="3"/>
      <c r="K2117" s="3"/>
      <c r="L2117" s="3"/>
      <c r="M2117" s="3"/>
      <c r="N2117" s="3"/>
      <c r="O2117" s="3"/>
      <c r="P2117" s="3"/>
      <c r="Q2117" s="3"/>
      <c r="R2117" s="111"/>
      <c r="S2117" s="111"/>
      <c r="T2117" s="111"/>
    </row>
    <row r="2118" spans="3:20" s="4" customFormat="1" x14ac:dyDescent="0.25">
      <c r="C2118" s="3"/>
      <c r="D2118" s="3"/>
      <c r="E2118" s="3"/>
      <c r="F2118" s="3"/>
      <c r="G2118" s="3"/>
      <c r="H2118" s="3"/>
      <c r="I2118" s="3"/>
      <c r="J2118" s="3"/>
      <c r="K2118" s="3"/>
      <c r="L2118" s="3"/>
      <c r="M2118" s="3"/>
      <c r="N2118" s="3"/>
      <c r="O2118" s="3"/>
      <c r="P2118" s="3"/>
      <c r="Q2118" s="3"/>
      <c r="R2118" s="111"/>
      <c r="S2118" s="111"/>
      <c r="T2118" s="111"/>
    </row>
    <row r="2119" spans="3:20" s="4" customFormat="1" x14ac:dyDescent="0.25">
      <c r="C2119" s="3"/>
      <c r="D2119" s="3"/>
      <c r="E2119" s="3"/>
      <c r="F2119" s="3"/>
      <c r="G2119" s="3"/>
      <c r="H2119" s="3"/>
      <c r="I2119" s="3"/>
      <c r="J2119" s="3"/>
      <c r="K2119" s="3"/>
      <c r="L2119" s="3"/>
      <c r="M2119" s="3"/>
      <c r="N2119" s="3"/>
      <c r="O2119" s="3"/>
      <c r="P2119" s="3"/>
      <c r="Q2119" s="3"/>
      <c r="R2119" s="111"/>
      <c r="S2119" s="111"/>
      <c r="T2119" s="111"/>
    </row>
    <row r="2120" spans="3:20" s="4" customFormat="1" x14ac:dyDescent="0.25">
      <c r="C2120" s="3"/>
      <c r="D2120" s="3"/>
      <c r="E2120" s="3"/>
      <c r="F2120" s="3"/>
      <c r="G2120" s="3"/>
      <c r="H2120" s="3"/>
      <c r="I2120" s="3"/>
      <c r="J2120" s="3"/>
      <c r="K2120" s="3"/>
      <c r="L2120" s="3"/>
      <c r="M2120" s="3"/>
      <c r="N2120" s="3"/>
      <c r="O2120" s="3"/>
      <c r="P2120" s="3"/>
      <c r="Q2120" s="3"/>
      <c r="R2120" s="111"/>
      <c r="S2120" s="111"/>
      <c r="T2120" s="111"/>
    </row>
    <row r="2121" spans="3:20" s="4" customFormat="1" x14ac:dyDescent="0.25">
      <c r="C2121" s="3"/>
      <c r="D2121" s="3"/>
      <c r="E2121" s="3"/>
      <c r="F2121" s="3"/>
      <c r="G2121" s="3"/>
      <c r="H2121" s="3"/>
      <c r="I2121" s="3"/>
      <c r="J2121" s="3"/>
      <c r="K2121" s="3"/>
      <c r="L2121" s="3"/>
      <c r="M2121" s="3"/>
      <c r="N2121" s="3"/>
      <c r="O2121" s="3"/>
      <c r="P2121" s="3"/>
      <c r="Q2121" s="3"/>
      <c r="R2121" s="111"/>
      <c r="S2121" s="111"/>
      <c r="T2121" s="111"/>
    </row>
    <row r="2122" spans="3:20" s="4" customFormat="1" x14ac:dyDescent="0.25">
      <c r="C2122" s="3"/>
      <c r="D2122" s="3"/>
      <c r="E2122" s="3"/>
      <c r="F2122" s="3"/>
      <c r="G2122" s="3"/>
      <c r="H2122" s="3"/>
      <c r="I2122" s="3"/>
      <c r="J2122" s="3"/>
      <c r="K2122" s="3"/>
      <c r="L2122" s="3"/>
      <c r="M2122" s="3"/>
      <c r="N2122" s="3"/>
      <c r="O2122" s="3"/>
      <c r="P2122" s="3"/>
      <c r="Q2122" s="3"/>
      <c r="R2122" s="111"/>
      <c r="S2122" s="111"/>
      <c r="T2122" s="111"/>
    </row>
    <row r="2123" spans="3:20" s="4" customFormat="1" x14ac:dyDescent="0.25">
      <c r="C2123" s="3"/>
      <c r="D2123" s="3"/>
      <c r="E2123" s="3"/>
      <c r="F2123" s="3"/>
      <c r="G2123" s="3"/>
      <c r="H2123" s="3"/>
      <c r="I2123" s="3"/>
      <c r="J2123" s="3"/>
      <c r="K2123" s="3"/>
      <c r="L2123" s="3"/>
      <c r="M2123" s="3"/>
      <c r="N2123" s="3"/>
      <c r="O2123" s="3"/>
      <c r="P2123" s="3"/>
      <c r="Q2123" s="3"/>
      <c r="R2123" s="111"/>
      <c r="S2123" s="111"/>
      <c r="T2123" s="111"/>
    </row>
    <row r="2124" spans="3:20" s="4" customFormat="1" x14ac:dyDescent="0.25">
      <c r="C2124" s="3"/>
      <c r="D2124" s="3"/>
      <c r="E2124" s="3"/>
      <c r="F2124" s="3"/>
      <c r="G2124" s="3"/>
      <c r="H2124" s="3"/>
      <c r="I2124" s="3"/>
      <c r="J2124" s="3"/>
      <c r="K2124" s="3"/>
      <c r="L2124" s="3"/>
      <c r="M2124" s="3"/>
      <c r="N2124" s="3"/>
      <c r="O2124" s="3"/>
      <c r="P2124" s="3"/>
      <c r="Q2124" s="3"/>
      <c r="R2124" s="111"/>
      <c r="S2124" s="111"/>
      <c r="T2124" s="111"/>
    </row>
    <row r="2125" spans="3:20" s="4" customFormat="1" x14ac:dyDescent="0.25">
      <c r="C2125" s="3"/>
      <c r="D2125" s="3"/>
      <c r="E2125" s="3"/>
      <c r="F2125" s="3"/>
      <c r="G2125" s="3"/>
      <c r="H2125" s="3"/>
      <c r="I2125" s="3"/>
      <c r="J2125" s="3"/>
      <c r="K2125" s="3"/>
      <c r="L2125" s="3"/>
      <c r="M2125" s="3"/>
      <c r="N2125" s="3"/>
      <c r="O2125" s="3"/>
      <c r="P2125" s="3"/>
      <c r="Q2125" s="3"/>
      <c r="R2125" s="111"/>
      <c r="S2125" s="111"/>
      <c r="T2125" s="111"/>
    </row>
    <row r="2126" spans="3:20" s="4" customFormat="1" x14ac:dyDescent="0.25">
      <c r="C2126" s="3"/>
      <c r="D2126" s="3"/>
      <c r="E2126" s="3"/>
      <c r="F2126" s="3"/>
      <c r="G2126" s="3"/>
      <c r="H2126" s="3"/>
      <c r="I2126" s="3"/>
      <c r="J2126" s="3"/>
      <c r="K2126" s="3"/>
      <c r="L2126" s="3"/>
      <c r="M2126" s="3"/>
      <c r="N2126" s="3"/>
      <c r="O2126" s="3"/>
      <c r="P2126" s="3"/>
      <c r="Q2126" s="3"/>
      <c r="R2126" s="111"/>
      <c r="S2126" s="111"/>
      <c r="T2126" s="111"/>
    </row>
    <row r="2127" spans="3:20" s="4" customFormat="1" x14ac:dyDescent="0.25">
      <c r="C2127" s="3"/>
      <c r="D2127" s="3"/>
      <c r="E2127" s="3"/>
      <c r="F2127" s="3"/>
      <c r="G2127" s="3"/>
      <c r="H2127" s="3"/>
      <c r="I2127" s="3"/>
      <c r="J2127" s="3"/>
      <c r="K2127" s="3"/>
      <c r="L2127" s="3"/>
      <c r="M2127" s="3"/>
      <c r="N2127" s="3"/>
      <c r="O2127" s="3"/>
      <c r="P2127" s="3"/>
      <c r="Q2127" s="3"/>
      <c r="R2127" s="111"/>
      <c r="S2127" s="111"/>
      <c r="T2127" s="111"/>
    </row>
    <row r="2128" spans="3:20" s="4" customFormat="1" x14ac:dyDescent="0.25">
      <c r="C2128" s="3"/>
      <c r="D2128" s="3"/>
      <c r="E2128" s="3"/>
      <c r="F2128" s="3"/>
      <c r="G2128" s="3"/>
      <c r="H2128" s="3"/>
      <c r="I2128" s="3"/>
      <c r="J2128" s="3"/>
      <c r="K2128" s="3"/>
      <c r="L2128" s="3"/>
      <c r="M2128" s="3"/>
      <c r="N2128" s="3"/>
      <c r="O2128" s="3"/>
      <c r="P2128" s="3"/>
      <c r="Q2128" s="3"/>
      <c r="R2128" s="111"/>
      <c r="S2128" s="111"/>
      <c r="T2128" s="111"/>
    </row>
    <row r="2129" spans="3:20" s="4" customFormat="1" x14ac:dyDescent="0.25">
      <c r="C2129" s="3"/>
      <c r="D2129" s="3"/>
      <c r="E2129" s="3"/>
      <c r="F2129" s="3"/>
      <c r="G2129" s="3"/>
      <c r="H2129" s="3"/>
      <c r="I2129" s="3"/>
      <c r="J2129" s="3"/>
      <c r="K2129" s="3"/>
      <c r="L2129" s="3"/>
      <c r="M2129" s="3"/>
      <c r="N2129" s="3"/>
      <c r="O2129" s="3"/>
      <c r="P2129" s="3"/>
      <c r="Q2129" s="3"/>
      <c r="R2129" s="111"/>
      <c r="S2129" s="111"/>
      <c r="T2129" s="111"/>
    </row>
    <row r="2130" spans="3:20" s="4" customFormat="1" x14ac:dyDescent="0.25">
      <c r="C2130" s="3"/>
      <c r="D2130" s="3"/>
      <c r="E2130" s="3"/>
      <c r="F2130" s="3"/>
      <c r="G2130" s="3"/>
      <c r="H2130" s="3"/>
      <c r="I2130" s="3"/>
      <c r="J2130" s="3"/>
      <c r="K2130" s="3"/>
      <c r="L2130" s="3"/>
      <c r="M2130" s="3"/>
      <c r="N2130" s="3"/>
      <c r="O2130" s="3"/>
      <c r="P2130" s="3"/>
      <c r="Q2130" s="3"/>
      <c r="R2130" s="111"/>
      <c r="S2130" s="111"/>
      <c r="T2130" s="111"/>
    </row>
    <row r="2131" spans="3:20" s="4" customFormat="1" x14ac:dyDescent="0.25">
      <c r="C2131" s="3"/>
      <c r="D2131" s="3"/>
      <c r="E2131" s="3"/>
      <c r="F2131" s="3"/>
      <c r="G2131" s="3"/>
      <c r="H2131" s="3"/>
      <c r="I2131" s="3"/>
      <c r="J2131" s="3"/>
      <c r="K2131" s="3"/>
      <c r="L2131" s="3"/>
      <c r="M2131" s="3"/>
      <c r="N2131" s="3"/>
      <c r="O2131" s="3"/>
      <c r="P2131" s="3"/>
      <c r="Q2131" s="3"/>
      <c r="R2131" s="111"/>
      <c r="S2131" s="111"/>
      <c r="T2131" s="111"/>
    </row>
    <row r="2132" spans="3:20" s="4" customFormat="1" x14ac:dyDescent="0.25">
      <c r="C2132" s="3"/>
      <c r="D2132" s="3"/>
      <c r="E2132" s="3"/>
      <c r="F2132" s="3"/>
      <c r="G2132" s="3"/>
      <c r="H2132" s="3"/>
      <c r="I2132" s="3"/>
      <c r="J2132" s="3"/>
      <c r="K2132" s="3"/>
      <c r="L2132" s="3"/>
      <c r="M2132" s="3"/>
      <c r="N2132" s="3"/>
      <c r="O2132" s="3"/>
      <c r="P2132" s="3"/>
      <c r="Q2132" s="3"/>
      <c r="R2132" s="111"/>
      <c r="S2132" s="111"/>
      <c r="T2132" s="111"/>
    </row>
    <row r="2133" spans="3:20" s="4" customFormat="1" x14ac:dyDescent="0.25">
      <c r="C2133" s="3"/>
      <c r="D2133" s="3"/>
      <c r="E2133" s="3"/>
      <c r="F2133" s="3"/>
      <c r="G2133" s="3"/>
      <c r="H2133" s="3"/>
      <c r="I2133" s="3"/>
      <c r="J2133" s="3"/>
      <c r="K2133" s="3"/>
      <c r="L2133" s="3"/>
      <c r="M2133" s="3"/>
      <c r="N2133" s="3"/>
      <c r="O2133" s="3"/>
      <c r="P2133" s="3"/>
      <c r="Q2133" s="3"/>
      <c r="R2133" s="111"/>
      <c r="S2133" s="111"/>
      <c r="T2133" s="111"/>
    </row>
    <row r="2134" spans="3:20" s="4" customFormat="1" x14ac:dyDescent="0.25">
      <c r="C2134" s="3"/>
      <c r="D2134" s="3"/>
      <c r="E2134" s="3"/>
      <c r="F2134" s="3"/>
      <c r="G2134" s="3"/>
      <c r="H2134" s="3"/>
      <c r="I2134" s="3"/>
      <c r="J2134" s="3"/>
      <c r="K2134" s="3"/>
      <c r="L2134" s="3"/>
      <c r="M2134" s="3"/>
      <c r="N2134" s="3"/>
      <c r="O2134" s="3"/>
      <c r="P2134" s="3"/>
      <c r="Q2134" s="3"/>
      <c r="R2134" s="111"/>
      <c r="S2134" s="111"/>
      <c r="T2134" s="111"/>
    </row>
    <row r="2135" spans="3:20" s="4" customFormat="1" x14ac:dyDescent="0.25">
      <c r="C2135" s="3"/>
      <c r="D2135" s="3"/>
      <c r="E2135" s="3"/>
      <c r="F2135" s="3"/>
      <c r="G2135" s="3"/>
      <c r="H2135" s="3"/>
      <c r="I2135" s="3"/>
      <c r="J2135" s="3"/>
      <c r="K2135" s="3"/>
      <c r="L2135" s="3"/>
      <c r="M2135" s="3"/>
      <c r="N2135" s="3"/>
      <c r="O2135" s="3"/>
      <c r="P2135" s="3"/>
      <c r="Q2135" s="3"/>
      <c r="R2135" s="111"/>
      <c r="S2135" s="111"/>
      <c r="T2135" s="111"/>
    </row>
    <row r="2136" spans="3:20" s="4" customFormat="1" x14ac:dyDescent="0.25">
      <c r="C2136" s="3"/>
      <c r="D2136" s="3"/>
      <c r="E2136" s="3"/>
      <c r="F2136" s="3"/>
      <c r="G2136" s="3"/>
      <c r="H2136" s="3"/>
      <c r="I2136" s="3"/>
      <c r="J2136" s="3"/>
      <c r="K2136" s="3"/>
      <c r="L2136" s="3"/>
      <c r="M2136" s="3"/>
      <c r="N2136" s="3"/>
      <c r="O2136" s="3"/>
      <c r="P2136" s="3"/>
      <c r="Q2136" s="3"/>
      <c r="R2136" s="111"/>
      <c r="S2136" s="111"/>
      <c r="T2136" s="111"/>
    </row>
    <row r="2137" spans="3:20" s="4" customFormat="1" x14ac:dyDescent="0.25">
      <c r="C2137" s="3"/>
      <c r="D2137" s="3"/>
      <c r="E2137" s="3"/>
      <c r="F2137" s="3"/>
      <c r="G2137" s="3"/>
      <c r="H2137" s="3"/>
      <c r="I2137" s="3"/>
      <c r="J2137" s="3"/>
      <c r="K2137" s="3"/>
      <c r="L2137" s="3"/>
      <c r="M2137" s="3"/>
      <c r="N2137" s="3"/>
      <c r="O2137" s="3"/>
      <c r="P2137" s="3"/>
      <c r="Q2137" s="3"/>
      <c r="R2137" s="111"/>
      <c r="S2137" s="111"/>
      <c r="T2137" s="111"/>
    </row>
    <row r="2138" spans="3:20" s="4" customFormat="1" x14ac:dyDescent="0.25">
      <c r="C2138" s="3"/>
      <c r="D2138" s="3"/>
      <c r="E2138" s="3"/>
      <c r="F2138" s="3"/>
      <c r="G2138" s="3"/>
      <c r="H2138" s="3"/>
      <c r="I2138" s="3"/>
      <c r="J2138" s="3"/>
      <c r="K2138" s="3"/>
      <c r="L2138" s="3"/>
      <c r="M2138" s="3"/>
      <c r="N2138" s="3"/>
      <c r="O2138" s="3"/>
      <c r="P2138" s="3"/>
      <c r="Q2138" s="3"/>
      <c r="R2138" s="111"/>
      <c r="S2138" s="111"/>
      <c r="T2138" s="111"/>
    </row>
    <row r="2139" spans="3:20" s="4" customFormat="1" x14ac:dyDescent="0.25">
      <c r="C2139" s="3"/>
      <c r="D2139" s="3"/>
      <c r="E2139" s="3"/>
      <c r="F2139" s="3"/>
      <c r="G2139" s="3"/>
      <c r="H2139" s="3"/>
      <c r="I2139" s="3"/>
      <c r="J2139" s="3"/>
      <c r="K2139" s="3"/>
      <c r="L2139" s="3"/>
      <c r="M2139" s="3"/>
      <c r="N2139" s="3"/>
      <c r="O2139" s="3"/>
      <c r="P2139" s="3"/>
      <c r="Q2139" s="3"/>
      <c r="R2139" s="111"/>
      <c r="S2139" s="111"/>
      <c r="T2139" s="111"/>
    </row>
    <row r="2140" spans="3:20" s="4" customFormat="1" x14ac:dyDescent="0.25">
      <c r="C2140" s="3"/>
      <c r="D2140" s="3"/>
      <c r="E2140" s="3"/>
      <c r="F2140" s="3"/>
      <c r="G2140" s="3"/>
      <c r="H2140" s="3"/>
      <c r="I2140" s="3"/>
      <c r="J2140" s="3"/>
      <c r="K2140" s="3"/>
      <c r="L2140" s="3"/>
      <c r="M2140" s="3"/>
      <c r="N2140" s="3"/>
      <c r="O2140" s="3"/>
      <c r="P2140" s="3"/>
      <c r="Q2140" s="3"/>
      <c r="R2140" s="111"/>
      <c r="S2140" s="111"/>
      <c r="T2140" s="111"/>
    </row>
    <row r="2141" spans="3:20" s="4" customFormat="1" x14ac:dyDescent="0.25">
      <c r="C2141" s="3"/>
      <c r="D2141" s="3"/>
      <c r="E2141" s="3"/>
      <c r="F2141" s="3"/>
      <c r="G2141" s="3"/>
      <c r="H2141" s="3"/>
      <c r="I2141" s="3"/>
      <c r="J2141" s="3"/>
      <c r="K2141" s="3"/>
      <c r="L2141" s="3"/>
      <c r="M2141" s="3"/>
      <c r="N2141" s="3"/>
      <c r="O2141" s="3"/>
      <c r="P2141" s="3"/>
      <c r="Q2141" s="3"/>
      <c r="R2141" s="111"/>
      <c r="S2141" s="111"/>
      <c r="T2141" s="111"/>
    </row>
    <row r="2142" spans="3:20" s="4" customFormat="1" x14ac:dyDescent="0.25">
      <c r="C2142" s="3"/>
      <c r="D2142" s="3"/>
      <c r="E2142" s="3"/>
      <c r="F2142" s="3"/>
      <c r="G2142" s="3"/>
      <c r="H2142" s="3"/>
      <c r="I2142" s="3"/>
      <c r="J2142" s="3"/>
      <c r="K2142" s="3"/>
      <c r="L2142" s="3"/>
      <c r="M2142" s="3"/>
      <c r="N2142" s="3"/>
      <c r="O2142" s="3"/>
      <c r="P2142" s="3"/>
      <c r="Q2142" s="3"/>
      <c r="R2142" s="111"/>
      <c r="S2142" s="111"/>
      <c r="T2142" s="111"/>
    </row>
    <row r="2143" spans="3:20" s="4" customFormat="1" x14ac:dyDescent="0.25">
      <c r="C2143" s="3"/>
      <c r="D2143" s="3"/>
      <c r="E2143" s="3"/>
      <c r="F2143" s="3"/>
      <c r="G2143" s="3"/>
      <c r="H2143" s="3"/>
      <c r="I2143" s="3"/>
      <c r="J2143" s="3"/>
      <c r="K2143" s="3"/>
      <c r="L2143" s="3"/>
      <c r="M2143" s="3"/>
      <c r="N2143" s="3"/>
      <c r="O2143" s="3"/>
      <c r="P2143" s="3"/>
      <c r="Q2143" s="3"/>
      <c r="R2143" s="111"/>
      <c r="S2143" s="111"/>
      <c r="T2143" s="111"/>
    </row>
    <row r="2144" spans="3:20" s="4" customFormat="1" x14ac:dyDescent="0.25">
      <c r="C2144" s="3"/>
      <c r="D2144" s="3"/>
      <c r="E2144" s="3"/>
      <c r="F2144" s="3"/>
      <c r="G2144" s="3"/>
      <c r="H2144" s="3"/>
      <c r="I2144" s="3"/>
      <c r="J2144" s="3"/>
      <c r="K2144" s="3"/>
      <c r="L2144" s="3"/>
      <c r="M2144" s="3"/>
      <c r="N2144" s="3"/>
      <c r="O2144" s="3"/>
      <c r="P2144" s="3"/>
      <c r="Q2144" s="3"/>
      <c r="R2144" s="111"/>
      <c r="S2144" s="111"/>
      <c r="T2144" s="111"/>
    </row>
    <row r="2145" spans="3:20" s="4" customFormat="1" x14ac:dyDescent="0.25">
      <c r="C2145" s="3"/>
      <c r="D2145" s="3"/>
      <c r="E2145" s="3"/>
      <c r="F2145" s="3"/>
      <c r="G2145" s="3"/>
      <c r="H2145" s="3"/>
      <c r="I2145" s="3"/>
      <c r="J2145" s="3"/>
      <c r="K2145" s="3"/>
      <c r="L2145" s="3"/>
      <c r="M2145" s="3"/>
      <c r="N2145" s="3"/>
      <c r="O2145" s="3"/>
      <c r="P2145" s="3"/>
      <c r="Q2145" s="3"/>
      <c r="R2145" s="111"/>
      <c r="S2145" s="111"/>
      <c r="T2145" s="111"/>
    </row>
    <row r="2146" spans="3:20" s="4" customFormat="1" x14ac:dyDescent="0.25">
      <c r="C2146" s="3"/>
      <c r="D2146" s="3"/>
      <c r="E2146" s="3"/>
      <c r="F2146" s="3"/>
      <c r="G2146" s="3"/>
      <c r="H2146" s="3"/>
      <c r="I2146" s="3"/>
      <c r="J2146" s="3"/>
      <c r="K2146" s="3"/>
      <c r="L2146" s="3"/>
      <c r="M2146" s="3"/>
      <c r="N2146" s="3"/>
      <c r="O2146" s="3"/>
      <c r="P2146" s="3"/>
      <c r="Q2146" s="3"/>
      <c r="R2146" s="111"/>
      <c r="S2146" s="111"/>
      <c r="T2146" s="111"/>
    </row>
    <row r="2147" spans="3:20" s="4" customFormat="1" x14ac:dyDescent="0.25">
      <c r="C2147" s="3"/>
      <c r="D2147" s="3"/>
      <c r="E2147" s="3"/>
      <c r="F2147" s="3"/>
      <c r="G2147" s="3"/>
      <c r="H2147" s="3"/>
      <c r="I2147" s="3"/>
      <c r="J2147" s="3"/>
      <c r="K2147" s="3"/>
      <c r="L2147" s="3"/>
      <c r="M2147" s="3"/>
      <c r="N2147" s="3"/>
      <c r="O2147" s="3"/>
      <c r="P2147" s="3"/>
      <c r="Q2147" s="3"/>
      <c r="R2147" s="111"/>
      <c r="S2147" s="111"/>
      <c r="T2147" s="111"/>
    </row>
    <row r="2148" spans="3:20" s="4" customFormat="1" x14ac:dyDescent="0.25">
      <c r="C2148" s="3"/>
      <c r="D2148" s="3"/>
      <c r="E2148" s="3"/>
      <c r="F2148" s="3"/>
      <c r="G2148" s="3"/>
      <c r="H2148" s="3"/>
      <c r="I2148" s="3"/>
      <c r="J2148" s="3"/>
      <c r="K2148" s="3"/>
      <c r="L2148" s="3"/>
      <c r="M2148" s="3"/>
      <c r="N2148" s="3"/>
      <c r="O2148" s="3"/>
      <c r="P2148" s="3"/>
      <c r="Q2148" s="3"/>
      <c r="R2148" s="111"/>
      <c r="S2148" s="111"/>
      <c r="T2148" s="111"/>
    </row>
    <row r="2149" spans="3:20" s="4" customFormat="1" x14ac:dyDescent="0.25">
      <c r="C2149" s="3"/>
      <c r="D2149" s="3"/>
      <c r="E2149" s="3"/>
      <c r="F2149" s="3"/>
      <c r="G2149" s="3"/>
      <c r="H2149" s="3"/>
      <c r="I2149" s="3"/>
      <c r="J2149" s="3"/>
      <c r="K2149" s="3"/>
      <c r="L2149" s="3"/>
      <c r="M2149" s="3"/>
      <c r="N2149" s="3"/>
      <c r="O2149" s="3"/>
      <c r="P2149" s="3"/>
      <c r="Q2149" s="3"/>
      <c r="R2149" s="111"/>
      <c r="S2149" s="111"/>
      <c r="T2149" s="111"/>
    </row>
    <row r="2150" spans="3:20" s="4" customFormat="1" x14ac:dyDescent="0.25">
      <c r="C2150" s="3"/>
      <c r="D2150" s="3"/>
      <c r="E2150" s="3"/>
      <c r="F2150" s="3"/>
      <c r="G2150" s="3"/>
      <c r="H2150" s="3"/>
      <c r="I2150" s="3"/>
      <c r="J2150" s="3"/>
      <c r="K2150" s="3"/>
      <c r="L2150" s="3"/>
      <c r="M2150" s="3"/>
      <c r="N2150" s="3"/>
      <c r="O2150" s="3"/>
      <c r="P2150" s="3"/>
      <c r="Q2150" s="3"/>
      <c r="R2150" s="111"/>
      <c r="S2150" s="111"/>
      <c r="T2150" s="111"/>
    </row>
    <row r="2151" spans="3:20" s="4" customFormat="1" x14ac:dyDescent="0.25">
      <c r="C2151" s="3"/>
      <c r="D2151" s="3"/>
      <c r="E2151" s="3"/>
      <c r="F2151" s="3"/>
      <c r="G2151" s="3"/>
      <c r="H2151" s="3"/>
      <c r="I2151" s="3"/>
      <c r="J2151" s="3"/>
      <c r="K2151" s="3"/>
      <c r="L2151" s="3"/>
      <c r="M2151" s="3"/>
      <c r="N2151" s="3"/>
      <c r="O2151" s="3"/>
      <c r="P2151" s="3"/>
      <c r="Q2151" s="3"/>
      <c r="R2151" s="111"/>
      <c r="S2151" s="111"/>
      <c r="T2151" s="111"/>
    </row>
    <row r="2152" spans="3:20" s="4" customFormat="1" x14ac:dyDescent="0.25">
      <c r="C2152" s="3"/>
      <c r="D2152" s="3"/>
      <c r="E2152" s="3"/>
      <c r="F2152" s="3"/>
      <c r="G2152" s="3"/>
      <c r="H2152" s="3"/>
      <c r="I2152" s="3"/>
      <c r="J2152" s="3"/>
      <c r="K2152" s="3"/>
      <c r="L2152" s="3"/>
      <c r="M2152" s="3"/>
      <c r="N2152" s="3"/>
      <c r="O2152" s="3"/>
      <c r="P2152" s="3"/>
      <c r="Q2152" s="3"/>
      <c r="R2152" s="111"/>
      <c r="S2152" s="111"/>
      <c r="T2152" s="111"/>
    </row>
    <row r="2153" spans="3:20" s="4" customFormat="1" x14ac:dyDescent="0.25">
      <c r="C2153" s="3"/>
      <c r="D2153" s="3"/>
      <c r="E2153" s="3"/>
      <c r="F2153" s="3"/>
      <c r="G2153" s="3"/>
      <c r="H2153" s="3"/>
      <c r="I2153" s="3"/>
      <c r="J2153" s="3"/>
      <c r="K2153" s="3"/>
      <c r="L2153" s="3"/>
      <c r="M2153" s="3"/>
      <c r="N2153" s="3"/>
      <c r="O2153" s="3"/>
      <c r="P2153" s="3"/>
      <c r="Q2153" s="3"/>
      <c r="R2153" s="111"/>
      <c r="S2153" s="111"/>
      <c r="T2153" s="111"/>
    </row>
    <row r="2154" spans="3:20" s="4" customFormat="1" x14ac:dyDescent="0.25">
      <c r="C2154" s="3"/>
      <c r="D2154" s="3"/>
      <c r="E2154" s="3"/>
      <c r="F2154" s="3"/>
      <c r="G2154" s="3"/>
      <c r="H2154" s="3"/>
      <c r="I2154" s="3"/>
      <c r="J2154" s="3"/>
      <c r="K2154" s="3"/>
      <c r="L2154" s="3"/>
      <c r="M2154" s="3"/>
      <c r="N2154" s="3"/>
      <c r="O2154" s="3"/>
      <c r="P2154" s="3"/>
      <c r="Q2154" s="3"/>
      <c r="R2154" s="111"/>
      <c r="S2154" s="111"/>
      <c r="T2154" s="111"/>
    </row>
    <row r="2155" spans="3:20" s="4" customFormat="1" x14ac:dyDescent="0.25">
      <c r="C2155" s="3"/>
      <c r="D2155" s="3"/>
      <c r="E2155" s="3"/>
      <c r="F2155" s="3"/>
      <c r="G2155" s="3"/>
      <c r="H2155" s="3"/>
      <c r="I2155" s="3"/>
      <c r="J2155" s="3"/>
      <c r="K2155" s="3"/>
      <c r="L2155" s="3"/>
      <c r="M2155" s="3"/>
      <c r="N2155" s="3"/>
      <c r="O2155" s="3"/>
      <c r="P2155" s="3"/>
      <c r="Q2155" s="3"/>
      <c r="R2155" s="111"/>
      <c r="S2155" s="111"/>
      <c r="T2155" s="111"/>
    </row>
    <row r="2156" spans="3:20" s="4" customFormat="1" x14ac:dyDescent="0.25">
      <c r="C2156" s="3"/>
      <c r="D2156" s="3"/>
      <c r="E2156" s="3"/>
      <c r="F2156" s="3"/>
      <c r="G2156" s="3"/>
      <c r="H2156" s="3"/>
      <c r="I2156" s="3"/>
      <c r="J2156" s="3"/>
      <c r="K2156" s="3"/>
      <c r="L2156" s="3"/>
      <c r="M2156" s="3"/>
      <c r="N2156" s="3"/>
      <c r="O2156" s="3"/>
      <c r="P2156" s="3"/>
      <c r="Q2156" s="3"/>
      <c r="R2156" s="111"/>
      <c r="S2156" s="111"/>
      <c r="T2156" s="111"/>
    </row>
    <row r="2157" spans="3:20" s="4" customFormat="1" x14ac:dyDescent="0.25">
      <c r="C2157" s="3"/>
      <c r="D2157" s="3"/>
      <c r="E2157" s="3"/>
      <c r="F2157" s="3"/>
      <c r="G2157" s="3"/>
      <c r="H2157" s="3"/>
      <c r="I2157" s="3"/>
      <c r="J2157" s="3"/>
      <c r="K2157" s="3"/>
      <c r="L2157" s="3"/>
      <c r="M2157" s="3"/>
      <c r="N2157" s="3"/>
      <c r="O2157" s="3"/>
      <c r="P2157" s="3"/>
      <c r="Q2157" s="3"/>
      <c r="R2157" s="111"/>
      <c r="S2157" s="111"/>
      <c r="T2157" s="111"/>
    </row>
    <row r="2158" spans="3:20" s="4" customFormat="1" x14ac:dyDescent="0.25">
      <c r="C2158" s="3"/>
      <c r="D2158" s="3"/>
      <c r="E2158" s="3"/>
      <c r="F2158" s="3"/>
      <c r="G2158" s="3"/>
      <c r="H2158" s="3"/>
      <c r="I2158" s="3"/>
      <c r="J2158" s="3"/>
      <c r="K2158" s="3"/>
      <c r="L2158" s="3"/>
      <c r="M2158" s="3"/>
      <c r="N2158" s="3"/>
      <c r="O2158" s="3"/>
      <c r="P2158" s="3"/>
      <c r="Q2158" s="3"/>
      <c r="R2158" s="111"/>
      <c r="S2158" s="111"/>
      <c r="T2158" s="111"/>
    </row>
    <row r="2159" spans="3:20" s="4" customFormat="1" x14ac:dyDescent="0.25">
      <c r="C2159" s="3"/>
      <c r="D2159" s="3"/>
      <c r="E2159" s="3"/>
      <c r="F2159" s="3"/>
      <c r="G2159" s="3"/>
      <c r="H2159" s="3"/>
      <c r="I2159" s="3"/>
      <c r="J2159" s="3"/>
      <c r="K2159" s="3"/>
      <c r="L2159" s="3"/>
      <c r="M2159" s="3"/>
      <c r="N2159" s="3"/>
      <c r="O2159" s="3"/>
      <c r="P2159" s="3"/>
      <c r="Q2159" s="3"/>
      <c r="R2159" s="111"/>
      <c r="S2159" s="111"/>
      <c r="T2159" s="111"/>
    </row>
    <row r="2160" spans="3:20" s="4" customFormat="1" x14ac:dyDescent="0.25">
      <c r="C2160" s="3"/>
      <c r="D2160" s="3"/>
      <c r="E2160" s="3"/>
      <c r="F2160" s="3"/>
      <c r="G2160" s="3"/>
      <c r="H2160" s="3"/>
      <c r="I2160" s="3"/>
      <c r="J2160" s="3"/>
      <c r="K2160" s="3"/>
      <c r="L2160" s="3"/>
      <c r="M2160" s="3"/>
      <c r="N2160" s="3"/>
      <c r="O2160" s="3"/>
      <c r="P2160" s="3"/>
      <c r="Q2160" s="3"/>
      <c r="R2160" s="111"/>
      <c r="S2160" s="111"/>
      <c r="T2160" s="111"/>
    </row>
    <row r="2161" spans="1:20" s="4" customFormat="1" x14ac:dyDescent="0.25">
      <c r="C2161" s="3"/>
      <c r="D2161" s="3"/>
      <c r="E2161" s="3"/>
      <c r="F2161" s="3"/>
      <c r="G2161" s="3"/>
      <c r="H2161" s="3"/>
      <c r="I2161" s="3"/>
      <c r="J2161" s="3"/>
      <c r="K2161" s="3"/>
      <c r="L2161" s="3"/>
      <c r="M2161" s="3"/>
      <c r="N2161" s="3"/>
      <c r="O2161" s="3"/>
      <c r="P2161" s="3"/>
      <c r="Q2161" s="3"/>
      <c r="R2161" s="111"/>
      <c r="S2161" s="111"/>
      <c r="T2161" s="111"/>
    </row>
    <row r="2162" spans="1:20" s="4" customFormat="1" x14ac:dyDescent="0.25">
      <c r="C2162" s="3"/>
      <c r="D2162" s="3"/>
      <c r="E2162" s="3"/>
      <c r="F2162" s="3"/>
      <c r="G2162" s="3"/>
      <c r="H2162" s="3"/>
      <c r="I2162" s="3"/>
      <c r="J2162" s="3"/>
      <c r="K2162" s="3"/>
      <c r="L2162" s="3"/>
      <c r="M2162" s="3"/>
      <c r="N2162" s="3"/>
      <c r="O2162" s="3"/>
      <c r="P2162" s="3"/>
      <c r="Q2162" s="3"/>
      <c r="R2162" s="111"/>
      <c r="S2162" s="111"/>
      <c r="T2162" s="111"/>
    </row>
    <row r="2163" spans="1:20" s="4" customFormat="1" x14ac:dyDescent="0.25">
      <c r="C2163" s="3"/>
      <c r="D2163" s="3"/>
      <c r="E2163" s="3"/>
      <c r="F2163" s="3"/>
      <c r="G2163" s="3"/>
      <c r="H2163" s="3"/>
      <c r="I2163" s="3"/>
      <c r="J2163" s="3"/>
      <c r="K2163" s="3"/>
      <c r="L2163" s="3"/>
      <c r="M2163" s="3"/>
      <c r="N2163" s="3"/>
      <c r="O2163" s="3"/>
      <c r="P2163" s="3"/>
      <c r="Q2163" s="3"/>
      <c r="R2163" s="111"/>
      <c r="S2163" s="111"/>
      <c r="T2163" s="111"/>
    </row>
    <row r="2164" spans="1:20" s="4" customFormat="1" x14ac:dyDescent="0.25">
      <c r="C2164" s="3"/>
      <c r="D2164" s="3"/>
      <c r="E2164" s="3"/>
      <c r="F2164" s="3"/>
      <c r="G2164" s="3"/>
      <c r="H2164" s="3"/>
      <c r="I2164" s="3"/>
      <c r="J2164" s="3"/>
      <c r="K2164" s="3"/>
      <c r="L2164" s="3"/>
      <c r="M2164" s="3"/>
      <c r="N2164" s="3"/>
      <c r="O2164" s="3"/>
      <c r="P2164" s="3"/>
      <c r="Q2164" s="3"/>
      <c r="R2164" s="111"/>
      <c r="S2164" s="111"/>
      <c r="T2164" s="111"/>
    </row>
    <row r="2165" spans="1:20" s="4" customFormat="1" x14ac:dyDescent="0.25">
      <c r="C2165" s="3"/>
      <c r="D2165" s="3"/>
      <c r="E2165" s="3"/>
      <c r="F2165" s="3"/>
      <c r="G2165" s="3"/>
      <c r="H2165" s="3"/>
      <c r="I2165" s="3"/>
      <c r="J2165" s="3"/>
      <c r="K2165" s="3"/>
      <c r="L2165" s="3"/>
      <c r="M2165" s="3"/>
      <c r="N2165" s="3"/>
      <c r="O2165" s="3"/>
      <c r="P2165" s="3"/>
      <c r="Q2165" s="3"/>
      <c r="R2165" s="111"/>
      <c r="S2165" s="111"/>
      <c r="T2165" s="111"/>
    </row>
    <row r="2166" spans="1:20" s="4" customFormat="1" x14ac:dyDescent="0.25">
      <c r="C2166" s="3"/>
      <c r="D2166" s="3"/>
      <c r="E2166" s="3"/>
      <c r="F2166" s="3"/>
      <c r="G2166" s="3"/>
      <c r="H2166" s="3"/>
      <c r="I2166" s="3"/>
      <c r="J2166" s="3"/>
      <c r="K2166" s="3"/>
      <c r="L2166" s="3"/>
      <c r="M2166" s="3"/>
      <c r="N2166" s="3"/>
      <c r="O2166" s="3"/>
      <c r="P2166" s="3"/>
      <c r="Q2166" s="3"/>
      <c r="R2166" s="111"/>
      <c r="S2166" s="111"/>
      <c r="T2166" s="111"/>
    </row>
    <row r="2167" spans="1:20" s="4" customFormat="1" x14ac:dyDescent="0.25">
      <c r="C2167" s="3"/>
      <c r="D2167" s="3"/>
      <c r="E2167" s="3"/>
      <c r="F2167" s="3"/>
      <c r="G2167" s="3"/>
      <c r="H2167" s="3"/>
      <c r="I2167" s="3"/>
      <c r="J2167" s="3"/>
      <c r="K2167" s="3"/>
      <c r="L2167" s="3"/>
      <c r="M2167" s="3"/>
      <c r="N2167" s="3"/>
      <c r="O2167" s="3"/>
      <c r="P2167" s="3"/>
      <c r="Q2167" s="3"/>
      <c r="R2167" s="111"/>
      <c r="S2167" s="111"/>
      <c r="T2167" s="111"/>
    </row>
    <row r="2168" spans="1:20" s="4" customFormat="1" x14ac:dyDescent="0.25">
      <c r="C2168" s="3"/>
      <c r="D2168" s="3"/>
      <c r="E2168" s="3"/>
      <c r="F2168" s="3"/>
      <c r="G2168" s="3"/>
      <c r="H2168" s="3"/>
      <c r="I2168" s="3"/>
      <c r="J2168" s="3"/>
      <c r="K2168" s="3"/>
      <c r="L2168" s="3"/>
      <c r="M2168" s="3"/>
      <c r="N2168" s="3"/>
      <c r="O2168" s="3"/>
      <c r="P2168" s="3"/>
      <c r="Q2168" s="3"/>
      <c r="R2168" s="111"/>
      <c r="S2168" s="111"/>
      <c r="T2168" s="111"/>
    </row>
    <row r="2169" spans="1:20" s="4" customFormat="1" x14ac:dyDescent="0.25">
      <c r="C2169" s="3"/>
      <c r="D2169" s="3"/>
      <c r="E2169" s="3"/>
      <c r="F2169" s="3"/>
      <c r="G2169" s="3"/>
      <c r="H2169" s="3"/>
      <c r="I2169" s="3"/>
      <c r="J2169" s="3"/>
      <c r="K2169" s="3"/>
      <c r="L2169" s="3"/>
      <c r="M2169" s="3"/>
      <c r="N2169" s="3"/>
      <c r="O2169" s="3"/>
      <c r="P2169" s="3"/>
      <c r="Q2169" s="3"/>
      <c r="R2169" s="111"/>
      <c r="S2169" s="111"/>
      <c r="T2169" s="111"/>
    </row>
    <row r="2170" spans="1:20" s="4" customFormat="1" x14ac:dyDescent="0.25">
      <c r="C2170" s="3"/>
      <c r="D2170" s="3"/>
      <c r="E2170" s="3"/>
      <c r="F2170" s="3"/>
      <c r="G2170" s="3"/>
      <c r="H2170" s="3"/>
      <c r="I2170" s="3"/>
      <c r="J2170" s="3"/>
      <c r="K2170" s="3"/>
      <c r="L2170" s="3"/>
      <c r="M2170" s="3"/>
      <c r="N2170" s="3"/>
      <c r="O2170" s="3"/>
      <c r="P2170" s="3"/>
      <c r="Q2170" s="3"/>
      <c r="R2170" s="111"/>
      <c r="S2170" s="111"/>
      <c r="T2170" s="111"/>
    </row>
    <row r="2171" spans="1:20" s="4" customFormat="1" x14ac:dyDescent="0.25">
      <c r="C2171" s="3"/>
      <c r="D2171" s="3"/>
      <c r="E2171" s="3"/>
      <c r="F2171" s="3"/>
      <c r="G2171" s="3"/>
      <c r="H2171" s="3"/>
      <c r="I2171" s="3"/>
      <c r="J2171" s="3"/>
      <c r="K2171" s="3"/>
      <c r="L2171" s="3"/>
      <c r="M2171" s="3"/>
      <c r="N2171" s="3"/>
      <c r="O2171" s="3"/>
      <c r="P2171" s="3"/>
      <c r="Q2171" s="3"/>
      <c r="R2171" s="111"/>
      <c r="S2171" s="111"/>
      <c r="T2171" s="111"/>
    </row>
    <row r="2172" spans="1:20" s="4" customFormat="1" x14ac:dyDescent="0.25">
      <c r="C2172" s="3"/>
      <c r="D2172" s="3"/>
      <c r="E2172" s="3"/>
      <c r="F2172" s="3"/>
      <c r="G2172" s="3"/>
      <c r="H2172" s="3"/>
      <c r="I2172" s="3"/>
      <c r="J2172" s="3"/>
      <c r="K2172" s="3"/>
      <c r="L2172" s="3"/>
      <c r="M2172" s="3"/>
      <c r="N2172" s="3"/>
      <c r="O2172" s="3"/>
      <c r="P2172" s="3"/>
      <c r="Q2172" s="3"/>
      <c r="R2172" s="111"/>
      <c r="S2172" s="111"/>
      <c r="T2172" s="111"/>
    </row>
    <row r="2173" spans="1:20" s="4" customFormat="1" x14ac:dyDescent="0.25">
      <c r="C2173" s="3"/>
      <c r="D2173" s="3"/>
      <c r="E2173" s="3"/>
      <c r="F2173" s="3"/>
      <c r="G2173" s="3"/>
      <c r="H2173" s="3"/>
      <c r="I2173" s="3"/>
      <c r="J2173" s="3"/>
      <c r="K2173" s="3"/>
      <c r="L2173" s="3"/>
      <c r="M2173" s="3"/>
      <c r="N2173" s="3"/>
      <c r="O2173" s="3"/>
      <c r="P2173" s="3"/>
      <c r="Q2173" s="3"/>
      <c r="R2173" s="111"/>
      <c r="S2173" s="111"/>
      <c r="T2173" s="111"/>
    </row>
    <row r="2174" spans="1:20" s="4" customFormat="1" x14ac:dyDescent="0.25">
      <c r="C2174" s="3"/>
      <c r="D2174" s="3"/>
      <c r="E2174" s="3"/>
      <c r="F2174" s="3"/>
      <c r="G2174" s="3"/>
      <c r="H2174" s="3"/>
      <c r="I2174" s="3"/>
      <c r="J2174" s="3"/>
      <c r="K2174" s="3"/>
      <c r="L2174" s="3"/>
      <c r="M2174" s="3"/>
      <c r="N2174" s="3"/>
      <c r="O2174" s="3"/>
      <c r="P2174" s="3"/>
      <c r="Q2174" s="3"/>
      <c r="R2174" s="111"/>
      <c r="S2174" s="111"/>
      <c r="T2174" s="111"/>
    </row>
    <row r="2175" spans="1:20" s="4" customFormat="1" x14ac:dyDescent="0.25">
      <c r="C2175" s="3"/>
      <c r="D2175" s="3"/>
      <c r="E2175" s="3"/>
      <c r="F2175" s="3"/>
      <c r="G2175" s="3"/>
      <c r="H2175" s="3"/>
      <c r="I2175" s="3"/>
      <c r="J2175" s="3"/>
      <c r="K2175" s="3"/>
      <c r="L2175" s="3"/>
      <c r="M2175" s="3"/>
      <c r="N2175" s="3"/>
      <c r="O2175" s="3"/>
      <c r="P2175" s="3"/>
      <c r="Q2175" s="3"/>
      <c r="R2175" s="111"/>
      <c r="S2175" s="111"/>
      <c r="T2175" s="111"/>
    </row>
    <row r="2176" spans="1:20" s="4" customFormat="1" x14ac:dyDescent="0.25">
      <c r="A2176"/>
      <c r="B2176"/>
      <c r="C2176" s="136"/>
      <c r="D2176" s="136"/>
      <c r="E2176" s="136"/>
      <c r="F2176" s="136"/>
      <c r="G2176" s="136"/>
      <c r="H2176" s="136"/>
      <c r="I2176" s="136"/>
      <c r="J2176" s="136"/>
      <c r="K2176" s="136"/>
      <c r="L2176" s="136"/>
      <c r="M2176" s="136"/>
      <c r="N2176" s="136"/>
      <c r="O2176" s="136"/>
      <c r="P2176" s="136"/>
      <c r="Q2176" s="136"/>
      <c r="R2176" s="114"/>
      <c r="S2176" s="114"/>
      <c r="T2176" s="111"/>
    </row>
    <row r="2177" spans="1:20" s="4" customFormat="1" x14ac:dyDescent="0.25">
      <c r="A2177"/>
      <c r="B2177"/>
      <c r="C2177" s="136"/>
      <c r="D2177" s="136"/>
      <c r="E2177" s="136"/>
      <c r="F2177" s="136"/>
      <c r="G2177" s="136"/>
      <c r="H2177" s="136"/>
      <c r="I2177" s="136"/>
      <c r="J2177" s="136"/>
      <c r="K2177" s="136"/>
      <c r="L2177" s="136"/>
      <c r="M2177" s="136"/>
      <c r="N2177" s="136"/>
      <c r="O2177" s="136"/>
      <c r="P2177" s="136"/>
      <c r="Q2177" s="136"/>
      <c r="R2177" s="114"/>
      <c r="S2177" s="114"/>
      <c r="T2177" s="111"/>
    </row>
    <row r="2178" spans="1:20" s="4" customFormat="1" x14ac:dyDescent="0.25">
      <c r="A2178"/>
      <c r="B2178"/>
      <c r="C2178" s="136"/>
      <c r="D2178" s="136"/>
      <c r="E2178" s="136"/>
      <c r="F2178" s="136"/>
      <c r="G2178" s="136"/>
      <c r="H2178" s="136"/>
      <c r="I2178" s="136"/>
      <c r="J2178" s="136"/>
      <c r="K2178" s="136"/>
      <c r="L2178" s="136"/>
      <c r="M2178" s="136"/>
      <c r="N2178" s="136"/>
      <c r="O2178" s="136"/>
      <c r="P2178" s="136"/>
      <c r="Q2178" s="136"/>
      <c r="R2178" s="114"/>
      <c r="S2178" s="114"/>
      <c r="T2178" s="111"/>
    </row>
    <row r="2179" spans="1:20" s="4" customFormat="1" x14ac:dyDescent="0.25">
      <c r="A2179"/>
      <c r="B2179"/>
      <c r="C2179" s="136"/>
      <c r="D2179" s="136"/>
      <c r="E2179" s="136"/>
      <c r="F2179" s="136"/>
      <c r="G2179" s="136"/>
      <c r="H2179" s="136"/>
      <c r="I2179" s="136"/>
      <c r="J2179" s="136"/>
      <c r="K2179" s="136"/>
      <c r="L2179" s="136"/>
      <c r="M2179" s="136"/>
      <c r="N2179" s="136"/>
      <c r="O2179" s="136"/>
      <c r="P2179" s="136"/>
      <c r="Q2179" s="136"/>
      <c r="R2179" s="114"/>
      <c r="S2179" s="114"/>
      <c r="T2179" s="111"/>
    </row>
    <row r="2180" spans="1:20" s="4" customFormat="1" x14ac:dyDescent="0.25">
      <c r="A2180"/>
      <c r="B2180"/>
      <c r="C2180" s="136"/>
      <c r="D2180" s="136"/>
      <c r="E2180" s="136"/>
      <c r="F2180" s="136"/>
      <c r="G2180" s="136"/>
      <c r="H2180" s="136"/>
      <c r="I2180" s="136"/>
      <c r="J2180" s="136"/>
      <c r="K2180" s="136"/>
      <c r="L2180" s="136"/>
      <c r="M2180" s="136"/>
      <c r="N2180" s="136"/>
      <c r="O2180" s="136"/>
      <c r="P2180" s="136"/>
      <c r="Q2180" s="136"/>
      <c r="R2180" s="114"/>
      <c r="S2180" s="114"/>
      <c r="T2180" s="111"/>
    </row>
    <row r="2181" spans="1:20" s="4" customFormat="1" x14ac:dyDescent="0.25">
      <c r="A2181"/>
      <c r="B2181"/>
      <c r="C2181" s="136"/>
      <c r="D2181" s="136"/>
      <c r="E2181" s="136"/>
      <c r="F2181" s="136"/>
      <c r="G2181" s="136"/>
      <c r="H2181" s="136"/>
      <c r="I2181" s="136"/>
      <c r="J2181" s="136"/>
      <c r="K2181" s="136"/>
      <c r="L2181" s="136"/>
      <c r="M2181" s="136"/>
      <c r="N2181" s="136"/>
      <c r="O2181" s="136"/>
      <c r="P2181" s="136"/>
      <c r="Q2181" s="136"/>
      <c r="R2181" s="114"/>
      <c r="S2181" s="114"/>
      <c r="T2181" s="111"/>
    </row>
    <row r="2182" spans="1:20" s="4" customFormat="1" x14ac:dyDescent="0.25">
      <c r="A2182"/>
      <c r="B2182"/>
      <c r="C2182" s="136"/>
      <c r="D2182" s="136"/>
      <c r="E2182" s="136"/>
      <c r="F2182" s="136"/>
      <c r="G2182" s="136"/>
      <c r="H2182" s="136"/>
      <c r="I2182" s="136"/>
      <c r="J2182" s="136"/>
      <c r="K2182" s="136"/>
      <c r="L2182" s="136"/>
      <c r="M2182" s="136"/>
      <c r="N2182" s="136"/>
      <c r="O2182" s="136"/>
      <c r="P2182" s="136"/>
      <c r="Q2182" s="136"/>
      <c r="R2182" s="114"/>
      <c r="S2182" s="114"/>
      <c r="T2182" s="111"/>
    </row>
    <row r="2183" spans="1:20" s="4" customFormat="1" x14ac:dyDescent="0.25">
      <c r="A2183"/>
      <c r="B2183"/>
      <c r="C2183" s="136"/>
      <c r="D2183" s="136"/>
      <c r="E2183" s="136"/>
      <c r="F2183" s="136"/>
      <c r="G2183" s="136"/>
      <c r="H2183" s="136"/>
      <c r="I2183" s="136"/>
      <c r="J2183" s="136"/>
      <c r="K2183" s="136"/>
      <c r="L2183" s="136"/>
      <c r="M2183" s="136"/>
      <c r="N2183" s="136"/>
      <c r="O2183" s="136"/>
      <c r="P2183" s="136"/>
      <c r="Q2183" s="136"/>
      <c r="R2183" s="114"/>
      <c r="S2183" s="114"/>
      <c r="T2183" s="111"/>
    </row>
    <row r="2184" spans="1:20" s="4" customFormat="1" x14ac:dyDescent="0.25">
      <c r="A2184"/>
      <c r="B2184"/>
      <c r="C2184" s="136"/>
      <c r="D2184" s="136"/>
      <c r="E2184" s="136"/>
      <c r="F2184" s="136"/>
      <c r="G2184" s="136"/>
      <c r="H2184" s="136"/>
      <c r="I2184" s="136"/>
      <c r="J2184" s="136"/>
      <c r="K2184" s="136"/>
      <c r="L2184" s="136"/>
      <c r="M2184" s="136"/>
      <c r="N2184" s="136"/>
      <c r="O2184" s="136"/>
      <c r="P2184" s="136"/>
      <c r="Q2184" s="136"/>
      <c r="R2184" s="114"/>
      <c r="S2184" s="114"/>
      <c r="T2184" s="111"/>
    </row>
    <row r="2185" spans="1:20" s="4" customFormat="1" x14ac:dyDescent="0.25">
      <c r="A2185"/>
      <c r="B2185"/>
      <c r="C2185" s="136"/>
      <c r="D2185" s="136"/>
      <c r="E2185" s="136"/>
      <c r="F2185" s="136"/>
      <c r="G2185" s="136"/>
      <c r="H2185" s="136"/>
      <c r="I2185" s="136"/>
      <c r="J2185" s="136"/>
      <c r="K2185" s="136"/>
      <c r="L2185" s="136"/>
      <c r="M2185" s="136"/>
      <c r="N2185" s="136"/>
      <c r="O2185" s="136"/>
      <c r="P2185" s="136"/>
      <c r="Q2185" s="136"/>
      <c r="R2185" s="114"/>
      <c r="S2185" s="114"/>
      <c r="T2185" s="111"/>
    </row>
    <row r="2186" spans="1:20" s="4" customFormat="1" x14ac:dyDescent="0.25">
      <c r="A2186"/>
      <c r="B2186"/>
      <c r="C2186" s="136"/>
      <c r="D2186" s="136"/>
      <c r="E2186" s="136"/>
      <c r="F2186" s="136"/>
      <c r="G2186" s="136"/>
      <c r="H2186" s="136"/>
      <c r="I2186" s="136"/>
      <c r="J2186" s="136"/>
      <c r="K2186" s="136"/>
      <c r="L2186" s="136"/>
      <c r="M2186" s="136"/>
      <c r="N2186" s="136"/>
      <c r="O2186" s="136"/>
      <c r="P2186" s="136"/>
      <c r="Q2186" s="136"/>
      <c r="R2186" s="114"/>
      <c r="S2186" s="114"/>
      <c r="T2186" s="111"/>
    </row>
    <row r="2187" spans="1:20" s="4" customFormat="1" x14ac:dyDescent="0.25">
      <c r="A2187"/>
      <c r="B2187"/>
      <c r="C2187" s="136"/>
      <c r="D2187" s="136"/>
      <c r="E2187" s="136"/>
      <c r="F2187" s="136"/>
      <c r="G2187" s="136"/>
      <c r="H2187" s="136"/>
      <c r="I2187" s="136"/>
      <c r="J2187" s="136"/>
      <c r="K2187" s="136"/>
      <c r="L2187" s="136"/>
      <c r="M2187" s="136"/>
      <c r="N2187" s="136"/>
      <c r="O2187" s="136"/>
      <c r="P2187" s="136"/>
      <c r="Q2187" s="136"/>
      <c r="R2187" s="114"/>
      <c r="S2187" s="114"/>
      <c r="T2187" s="111"/>
    </row>
    <row r="2188" spans="1:20" s="4" customFormat="1" x14ac:dyDescent="0.25">
      <c r="A2188"/>
      <c r="B2188"/>
      <c r="C2188" s="136"/>
      <c r="D2188" s="136"/>
      <c r="E2188" s="136"/>
      <c r="F2188" s="136"/>
      <c r="G2188" s="136"/>
      <c r="H2188" s="136"/>
      <c r="I2188" s="136"/>
      <c r="J2188" s="136"/>
      <c r="K2188" s="136"/>
      <c r="L2188" s="136"/>
      <c r="M2188" s="136"/>
      <c r="N2188" s="136"/>
      <c r="O2188" s="136"/>
      <c r="P2188" s="136"/>
      <c r="Q2188" s="136"/>
      <c r="R2188" s="114"/>
      <c r="S2188" s="114"/>
      <c r="T2188" s="111"/>
    </row>
    <row r="2189" spans="1:20" s="4" customFormat="1" x14ac:dyDescent="0.25">
      <c r="A2189"/>
      <c r="B2189"/>
      <c r="C2189" s="136"/>
      <c r="D2189" s="136"/>
      <c r="E2189" s="136"/>
      <c r="F2189" s="136"/>
      <c r="G2189" s="136"/>
      <c r="H2189" s="136"/>
      <c r="I2189" s="136"/>
      <c r="J2189" s="136"/>
      <c r="K2189" s="136"/>
      <c r="L2189" s="136"/>
      <c r="M2189" s="136"/>
      <c r="N2189" s="136"/>
      <c r="O2189" s="136"/>
      <c r="P2189" s="136"/>
      <c r="Q2189" s="136"/>
      <c r="R2189" s="114"/>
      <c r="S2189" s="114"/>
      <c r="T2189" s="111"/>
    </row>
    <row r="2190" spans="1:20" s="4" customFormat="1" x14ac:dyDescent="0.25">
      <c r="A2190"/>
      <c r="B2190"/>
      <c r="C2190" s="136"/>
      <c r="D2190" s="136"/>
      <c r="E2190" s="136"/>
      <c r="F2190" s="136"/>
      <c r="G2190" s="136"/>
      <c r="H2190" s="136"/>
      <c r="I2190" s="136"/>
      <c r="J2190" s="136"/>
      <c r="K2190" s="136"/>
      <c r="L2190" s="136"/>
      <c r="M2190" s="136"/>
      <c r="N2190" s="136"/>
      <c r="O2190" s="136"/>
      <c r="P2190" s="136"/>
      <c r="Q2190" s="136"/>
      <c r="R2190" s="114"/>
      <c r="S2190" s="114"/>
      <c r="T2190" s="111"/>
    </row>
    <row r="2191" spans="1:20" s="4" customFormat="1" x14ac:dyDescent="0.25">
      <c r="A2191"/>
      <c r="B2191"/>
      <c r="C2191" s="136"/>
      <c r="D2191" s="136"/>
      <c r="E2191" s="136"/>
      <c r="F2191" s="136"/>
      <c r="G2191" s="136"/>
      <c r="H2191" s="136"/>
      <c r="I2191" s="136"/>
      <c r="J2191" s="136"/>
      <c r="K2191" s="136"/>
      <c r="L2191" s="136"/>
      <c r="M2191" s="136"/>
      <c r="N2191" s="136"/>
      <c r="O2191" s="136"/>
      <c r="P2191" s="136"/>
      <c r="Q2191" s="136"/>
      <c r="R2191" s="114"/>
      <c r="S2191" s="114"/>
      <c r="T2191" s="111"/>
    </row>
    <row r="2192" spans="1:20" s="4" customFormat="1" x14ac:dyDescent="0.25">
      <c r="A2192"/>
      <c r="B2192"/>
      <c r="C2192" s="136"/>
      <c r="D2192" s="136"/>
      <c r="E2192" s="136"/>
      <c r="F2192" s="136"/>
      <c r="G2192" s="136"/>
      <c r="H2192" s="136"/>
      <c r="I2192" s="136"/>
      <c r="J2192" s="136"/>
      <c r="K2192" s="136"/>
      <c r="L2192" s="136"/>
      <c r="M2192" s="136"/>
      <c r="N2192" s="136"/>
      <c r="O2192" s="136"/>
      <c r="P2192" s="136"/>
      <c r="Q2192" s="136"/>
      <c r="R2192" s="114"/>
      <c r="S2192" s="114"/>
      <c r="T2192" s="111"/>
    </row>
    <row r="2193" spans="1:20" s="4" customFormat="1" x14ac:dyDescent="0.25">
      <c r="A2193"/>
      <c r="B2193"/>
      <c r="C2193" s="136"/>
      <c r="D2193" s="136"/>
      <c r="E2193" s="136"/>
      <c r="F2193" s="136"/>
      <c r="G2193" s="136"/>
      <c r="H2193" s="136"/>
      <c r="I2193" s="136"/>
      <c r="J2193" s="136"/>
      <c r="K2193" s="136"/>
      <c r="L2193" s="136"/>
      <c r="M2193" s="136"/>
      <c r="N2193" s="136"/>
      <c r="O2193" s="136"/>
      <c r="P2193" s="136"/>
      <c r="Q2193" s="136"/>
      <c r="R2193" s="114"/>
      <c r="S2193" s="114"/>
      <c r="T2193" s="111"/>
    </row>
    <row r="2194" spans="1:20" s="4" customFormat="1" x14ac:dyDescent="0.25">
      <c r="A2194"/>
      <c r="B2194"/>
      <c r="C2194" s="136"/>
      <c r="D2194" s="136"/>
      <c r="E2194" s="136"/>
      <c r="F2194" s="136"/>
      <c r="G2194" s="136"/>
      <c r="H2194" s="136"/>
      <c r="I2194" s="136"/>
      <c r="J2194" s="136"/>
      <c r="K2194" s="136"/>
      <c r="L2194" s="136"/>
      <c r="M2194" s="136"/>
      <c r="N2194" s="136"/>
      <c r="O2194" s="136"/>
      <c r="P2194" s="136"/>
      <c r="Q2194" s="136"/>
      <c r="R2194" s="114"/>
      <c r="S2194" s="114"/>
      <c r="T2194" s="111"/>
    </row>
    <row r="2195" spans="1:20" s="4" customFormat="1" x14ac:dyDescent="0.25">
      <c r="A2195"/>
      <c r="B2195"/>
      <c r="C2195" s="136"/>
      <c r="D2195" s="136"/>
      <c r="E2195" s="136"/>
      <c r="F2195" s="136"/>
      <c r="G2195" s="136"/>
      <c r="H2195" s="136"/>
      <c r="I2195" s="136"/>
      <c r="J2195" s="136"/>
      <c r="K2195" s="136"/>
      <c r="L2195" s="136"/>
      <c r="M2195" s="136"/>
      <c r="N2195" s="136"/>
      <c r="O2195" s="136"/>
      <c r="P2195" s="136"/>
      <c r="Q2195" s="136"/>
      <c r="R2195" s="114"/>
      <c r="S2195" s="114"/>
      <c r="T2195" s="111"/>
    </row>
    <row r="2196" spans="1:20" s="4" customFormat="1" x14ac:dyDescent="0.25">
      <c r="A2196"/>
      <c r="B2196"/>
      <c r="C2196" s="136"/>
      <c r="D2196" s="136"/>
      <c r="E2196" s="136"/>
      <c r="F2196" s="136"/>
      <c r="G2196" s="136"/>
      <c r="H2196" s="136"/>
      <c r="I2196" s="136"/>
      <c r="J2196" s="136"/>
      <c r="K2196" s="136"/>
      <c r="L2196" s="136"/>
      <c r="M2196" s="136"/>
      <c r="N2196" s="136"/>
      <c r="O2196" s="136"/>
      <c r="P2196" s="136"/>
      <c r="Q2196" s="136"/>
      <c r="R2196" s="114"/>
      <c r="S2196" s="114"/>
      <c r="T2196" s="111"/>
    </row>
    <row r="2197" spans="1:20" s="4" customFormat="1" x14ac:dyDescent="0.25">
      <c r="A2197"/>
      <c r="B2197"/>
      <c r="C2197" s="136"/>
      <c r="D2197" s="136"/>
      <c r="E2197" s="136"/>
      <c r="F2197" s="136"/>
      <c r="G2197" s="136"/>
      <c r="H2197" s="136"/>
      <c r="I2197" s="136"/>
      <c r="J2197" s="136"/>
      <c r="K2197" s="136"/>
      <c r="L2197" s="136"/>
      <c r="M2197" s="136"/>
      <c r="N2197" s="136"/>
      <c r="O2197" s="136"/>
      <c r="P2197" s="136"/>
      <c r="Q2197" s="136"/>
      <c r="R2197" s="114"/>
      <c r="S2197" s="114"/>
      <c r="T2197" s="111"/>
    </row>
    <row r="2198" spans="1:20" s="4" customFormat="1" x14ac:dyDescent="0.25">
      <c r="A2198"/>
      <c r="B2198"/>
      <c r="C2198" s="136"/>
      <c r="D2198" s="136"/>
      <c r="E2198" s="136"/>
      <c r="F2198" s="136"/>
      <c r="G2198" s="136"/>
      <c r="H2198" s="136"/>
      <c r="I2198" s="136"/>
      <c r="J2198" s="136"/>
      <c r="K2198" s="136"/>
      <c r="L2198" s="136"/>
      <c r="M2198" s="136"/>
      <c r="N2198" s="136"/>
      <c r="O2198" s="136"/>
      <c r="P2198" s="136"/>
      <c r="Q2198" s="136"/>
      <c r="R2198" s="114"/>
      <c r="S2198" s="114"/>
      <c r="T2198" s="111"/>
    </row>
    <row r="2199" spans="1:20" s="4" customFormat="1" x14ac:dyDescent="0.25">
      <c r="A2199"/>
      <c r="B2199"/>
      <c r="C2199" s="136"/>
      <c r="D2199" s="136"/>
      <c r="E2199" s="136"/>
      <c r="F2199" s="136"/>
      <c r="G2199" s="136"/>
      <c r="H2199" s="136"/>
      <c r="I2199" s="136"/>
      <c r="J2199" s="136"/>
      <c r="K2199" s="136"/>
      <c r="L2199" s="136"/>
      <c r="M2199" s="136"/>
      <c r="N2199" s="136"/>
      <c r="O2199" s="136"/>
      <c r="P2199" s="136"/>
      <c r="Q2199" s="136"/>
      <c r="R2199" s="114"/>
      <c r="S2199" s="114"/>
      <c r="T2199" s="111"/>
    </row>
    <row r="2200" spans="1:20" s="4" customFormat="1" x14ac:dyDescent="0.25">
      <c r="A2200"/>
      <c r="B2200"/>
      <c r="C2200" s="136"/>
      <c r="D2200" s="136"/>
      <c r="E2200" s="136"/>
      <c r="F2200" s="136"/>
      <c r="G2200" s="136"/>
      <c r="H2200" s="136"/>
      <c r="I2200" s="136"/>
      <c r="J2200" s="136"/>
      <c r="K2200" s="136"/>
      <c r="L2200" s="136"/>
      <c r="M2200" s="136"/>
      <c r="N2200" s="136"/>
      <c r="O2200" s="136"/>
      <c r="P2200" s="136"/>
      <c r="Q2200" s="136"/>
      <c r="R2200" s="114"/>
      <c r="S2200" s="114"/>
      <c r="T2200" s="111"/>
    </row>
    <row r="2201" spans="1:20" s="4" customFormat="1" x14ac:dyDescent="0.25">
      <c r="A2201"/>
      <c r="B2201"/>
      <c r="C2201" s="136"/>
      <c r="D2201" s="136"/>
      <c r="E2201" s="136"/>
      <c r="F2201" s="136"/>
      <c r="G2201" s="136"/>
      <c r="H2201" s="136"/>
      <c r="I2201" s="136"/>
      <c r="J2201" s="136"/>
      <c r="K2201" s="136"/>
      <c r="L2201" s="136"/>
      <c r="M2201" s="136"/>
      <c r="N2201" s="136"/>
      <c r="O2201" s="136"/>
      <c r="P2201" s="136"/>
      <c r="Q2201" s="136"/>
      <c r="R2201" s="114"/>
      <c r="S2201" s="114"/>
      <c r="T2201" s="111"/>
    </row>
    <row r="2202" spans="1:20" s="4" customFormat="1" x14ac:dyDescent="0.25">
      <c r="A2202"/>
      <c r="B2202"/>
      <c r="C2202" s="136"/>
      <c r="D2202" s="136"/>
      <c r="E2202" s="136"/>
      <c r="F2202" s="136"/>
      <c r="G2202" s="136"/>
      <c r="H2202" s="136"/>
      <c r="I2202" s="136"/>
      <c r="J2202" s="136"/>
      <c r="K2202" s="136"/>
      <c r="L2202" s="136"/>
      <c r="M2202" s="136"/>
      <c r="N2202" s="136"/>
      <c r="O2202" s="136"/>
      <c r="P2202" s="136"/>
      <c r="Q2202" s="136"/>
      <c r="R2202" s="114"/>
      <c r="S2202" s="114"/>
      <c r="T2202" s="111"/>
    </row>
    <row r="2203" spans="1:20" s="4" customFormat="1" x14ac:dyDescent="0.25">
      <c r="A2203"/>
      <c r="B2203"/>
      <c r="C2203" s="136"/>
      <c r="D2203" s="136"/>
      <c r="E2203" s="136"/>
      <c r="F2203" s="136"/>
      <c r="G2203" s="136"/>
      <c r="H2203" s="136"/>
      <c r="I2203" s="136"/>
      <c r="J2203" s="136"/>
      <c r="K2203" s="136"/>
      <c r="L2203" s="136"/>
      <c r="M2203" s="136"/>
      <c r="N2203" s="136"/>
      <c r="O2203" s="136"/>
      <c r="P2203" s="136"/>
      <c r="Q2203" s="136"/>
      <c r="R2203" s="114"/>
      <c r="S2203" s="114"/>
      <c r="T2203" s="111"/>
    </row>
    <row r="2204" spans="1:20" s="4" customFormat="1" x14ac:dyDescent="0.25">
      <c r="A2204"/>
      <c r="B2204"/>
      <c r="C2204" s="136"/>
      <c r="D2204" s="136"/>
      <c r="E2204" s="136"/>
      <c r="F2204" s="136"/>
      <c r="G2204" s="136"/>
      <c r="H2204" s="136"/>
      <c r="I2204" s="136"/>
      <c r="J2204" s="136"/>
      <c r="K2204" s="136"/>
      <c r="L2204" s="136"/>
      <c r="M2204" s="136"/>
      <c r="N2204" s="136"/>
      <c r="O2204" s="136"/>
      <c r="P2204" s="136"/>
      <c r="Q2204" s="136"/>
      <c r="R2204" s="114"/>
      <c r="S2204" s="114"/>
      <c r="T2204" s="111"/>
    </row>
    <row r="2205" spans="1:20" s="4" customFormat="1" x14ac:dyDescent="0.25">
      <c r="A2205"/>
      <c r="B2205"/>
      <c r="C2205" s="136"/>
      <c r="D2205" s="136"/>
      <c r="E2205" s="136"/>
      <c r="F2205" s="136"/>
      <c r="G2205" s="136"/>
      <c r="H2205" s="136"/>
      <c r="I2205" s="136"/>
      <c r="J2205" s="136"/>
      <c r="K2205" s="136"/>
      <c r="L2205" s="136"/>
      <c r="M2205" s="136"/>
      <c r="N2205" s="136"/>
      <c r="O2205" s="136"/>
      <c r="P2205" s="136"/>
      <c r="Q2205" s="136"/>
      <c r="R2205" s="114"/>
      <c r="S2205" s="114"/>
      <c r="T2205" s="111"/>
    </row>
    <row r="2206" spans="1:20" s="4" customFormat="1" x14ac:dyDescent="0.25">
      <c r="A2206"/>
      <c r="B2206"/>
      <c r="C2206" s="136"/>
      <c r="D2206" s="136"/>
      <c r="E2206" s="136"/>
      <c r="F2206" s="136"/>
      <c r="G2206" s="136"/>
      <c r="H2206" s="136"/>
      <c r="I2206" s="136"/>
      <c r="J2206" s="136"/>
      <c r="K2206" s="136"/>
      <c r="L2206" s="136"/>
      <c r="M2206" s="136"/>
      <c r="N2206" s="136"/>
      <c r="O2206" s="136"/>
      <c r="P2206" s="136"/>
      <c r="Q2206" s="136"/>
      <c r="R2206" s="114"/>
      <c r="S2206" s="114"/>
      <c r="T2206" s="111"/>
    </row>
    <row r="2207" spans="1:20" s="4" customFormat="1" x14ac:dyDescent="0.25">
      <c r="A2207"/>
      <c r="B2207"/>
      <c r="C2207" s="136"/>
      <c r="D2207" s="136"/>
      <c r="E2207" s="136"/>
      <c r="F2207" s="136"/>
      <c r="G2207" s="136"/>
      <c r="H2207" s="136"/>
      <c r="I2207" s="136"/>
      <c r="J2207" s="136"/>
      <c r="K2207" s="136"/>
      <c r="L2207" s="136"/>
      <c r="M2207" s="136"/>
      <c r="N2207" s="136"/>
      <c r="O2207" s="136"/>
      <c r="P2207" s="136"/>
      <c r="Q2207" s="136"/>
      <c r="R2207" s="114"/>
      <c r="S2207" s="114"/>
      <c r="T2207" s="111"/>
    </row>
    <row r="2208" spans="1:20" s="4" customFormat="1" x14ac:dyDescent="0.25">
      <c r="A2208"/>
      <c r="B2208"/>
      <c r="C2208" s="136"/>
      <c r="D2208" s="136"/>
      <c r="E2208" s="136"/>
      <c r="F2208" s="136"/>
      <c r="G2208" s="136"/>
      <c r="H2208" s="136"/>
      <c r="I2208" s="136"/>
      <c r="J2208" s="136"/>
      <c r="K2208" s="136"/>
      <c r="L2208" s="136"/>
      <c r="M2208" s="136"/>
      <c r="N2208" s="136"/>
      <c r="O2208" s="136"/>
      <c r="P2208" s="136"/>
      <c r="Q2208" s="136"/>
      <c r="R2208" s="114"/>
      <c r="S2208" s="114"/>
      <c r="T2208" s="111"/>
    </row>
    <row r="2209" spans="1:20" s="4" customFormat="1" x14ac:dyDescent="0.25">
      <c r="A2209"/>
      <c r="B2209"/>
      <c r="C2209" s="136"/>
      <c r="D2209" s="136"/>
      <c r="E2209" s="136"/>
      <c r="F2209" s="136"/>
      <c r="G2209" s="136"/>
      <c r="H2209" s="136"/>
      <c r="I2209" s="136"/>
      <c r="J2209" s="136"/>
      <c r="K2209" s="136"/>
      <c r="L2209" s="136"/>
      <c r="M2209" s="136"/>
      <c r="N2209" s="136"/>
      <c r="O2209" s="136"/>
      <c r="P2209" s="136"/>
      <c r="Q2209" s="136"/>
      <c r="R2209" s="114"/>
      <c r="S2209" s="114"/>
      <c r="T2209" s="111"/>
    </row>
    <row r="2210" spans="1:20" s="4" customFormat="1" x14ac:dyDescent="0.25">
      <c r="A2210"/>
      <c r="B2210"/>
      <c r="C2210" s="136"/>
      <c r="D2210" s="136"/>
      <c r="E2210" s="136"/>
      <c r="F2210" s="136"/>
      <c r="G2210" s="136"/>
      <c r="H2210" s="136"/>
      <c r="I2210" s="136"/>
      <c r="J2210" s="136"/>
      <c r="K2210" s="136"/>
      <c r="L2210" s="136"/>
      <c r="M2210" s="136"/>
      <c r="N2210" s="136"/>
      <c r="O2210" s="136"/>
      <c r="P2210" s="136"/>
      <c r="Q2210" s="136"/>
      <c r="R2210" s="114"/>
      <c r="S2210" s="114"/>
      <c r="T2210" s="111"/>
    </row>
    <row r="2211" spans="1:20" s="4" customFormat="1" x14ac:dyDescent="0.25">
      <c r="A2211"/>
      <c r="B2211"/>
      <c r="C2211" s="136"/>
      <c r="D2211" s="136"/>
      <c r="E2211" s="136"/>
      <c r="F2211" s="136"/>
      <c r="G2211" s="136"/>
      <c r="H2211" s="136"/>
      <c r="I2211" s="136"/>
      <c r="J2211" s="136"/>
      <c r="K2211" s="136"/>
      <c r="L2211" s="136"/>
      <c r="M2211" s="136"/>
      <c r="N2211" s="136"/>
      <c r="O2211" s="136"/>
      <c r="P2211" s="136"/>
      <c r="Q2211" s="136"/>
      <c r="R2211" s="114"/>
      <c r="S2211" s="114"/>
      <c r="T2211" s="111"/>
    </row>
    <row r="2212" spans="1:20" s="4" customFormat="1" x14ac:dyDescent="0.25">
      <c r="A2212"/>
      <c r="B2212"/>
      <c r="C2212" s="136"/>
      <c r="D2212" s="136"/>
      <c r="E2212" s="136"/>
      <c r="F2212" s="136"/>
      <c r="G2212" s="136"/>
      <c r="H2212" s="136"/>
      <c r="I2212" s="136"/>
      <c r="J2212" s="136"/>
      <c r="K2212" s="136"/>
      <c r="L2212" s="136"/>
      <c r="M2212" s="136"/>
      <c r="N2212" s="136"/>
      <c r="O2212" s="136"/>
      <c r="P2212" s="136"/>
      <c r="Q2212" s="136"/>
      <c r="R2212" s="114"/>
      <c r="S2212" s="114"/>
      <c r="T2212" s="111"/>
    </row>
  </sheetData>
  <sortState xmlns:xlrd2="http://schemas.microsoft.com/office/spreadsheetml/2017/richdata2" ref="A140:T194">
    <sortCondition ref="A140:A194"/>
  </sortState>
  <hyperlinks>
    <hyperlink ref="A200" location="Índice!A1" display="Volver al índice" xr:uid="{00000000-0004-0000-0700-000000000000}"/>
    <hyperlink ref="A3" location="Índice!A1" display="Volver al índice" xr:uid="{00000000-0004-0000-0700-000001000000}"/>
  </hyperlink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Índice</vt:lpstr>
      <vt:lpstr>Todos los Niveles</vt:lpstr>
      <vt:lpstr>Duración Real Pregrado</vt:lpstr>
      <vt:lpstr>Duración en Exceso</vt:lpstr>
      <vt:lpstr>Duración Real Posgrado</vt:lpstr>
      <vt:lpstr>Duración Real Postítulo</vt:lpstr>
      <vt:lpstr>DR y DEE por Sexo</vt:lpstr>
      <vt:lpstr>Durac. Real y Exceso Carr</vt:lpstr>
      <vt:lpstr>Sobreduración de las carreras</vt:lpstr>
      <vt:lpstr>Duración Real Instituciones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Salamanca Velazquez</dc:creator>
  <cp:lastModifiedBy>Rodrigo Rolando Meneses</cp:lastModifiedBy>
  <cp:lastPrinted>2015-10-19T13:46:14Z</cp:lastPrinted>
  <dcterms:created xsi:type="dcterms:W3CDTF">2014-12-23T13:59:27Z</dcterms:created>
  <dcterms:modified xsi:type="dcterms:W3CDTF">2025-05-19T16:19:55Z</dcterms:modified>
</cp:coreProperties>
</file>