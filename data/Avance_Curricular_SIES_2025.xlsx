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hidePivotFieldList="1" defaultThemeVersion="124226"/>
  <mc:AlternateContent xmlns:mc="http://schemas.openxmlformats.org/markup-compatibility/2006">
    <mc:Choice Requires="x15">
      <x15ac:absPath xmlns:x15ac="http://schemas.microsoft.com/office/spreadsheetml/2010/11/ac" url="https://mineduca-my.sharepoint.com/personal/rodrigo_rolando_mineduc_cl/Documents/Documentos/2025/Informes/Avance Curricular/"/>
    </mc:Choice>
  </mc:AlternateContent>
  <xr:revisionPtr revIDLastSave="0" documentId="8_{61E29066-7E07-402D-A2C2-9CF37C90EC74}" xr6:coauthVersionLast="47" xr6:coauthVersionMax="47" xr10:uidLastSave="{00000000-0000-0000-0000-000000000000}"/>
  <bookViews>
    <workbookView xWindow="-28920" yWindow="-8655" windowWidth="29040" windowHeight="15720" tabRatio="805" xr2:uid="{00000000-000D-0000-FFFF-FFFF00000000}"/>
  </bookViews>
  <sheets>
    <sheet name="Índice" sheetId="19" r:id="rId1"/>
    <sheet name="Antecedentes" sheetId="37" r:id="rId2"/>
    <sheet name="Aprobación Anual" sheetId="34" r:id="rId3"/>
    <sheet name="Evolución Aprobación Anual" sheetId="25" r:id="rId4"/>
    <sheet name="Avance Curricular Esperado" sheetId="35" r:id="rId5"/>
    <sheet name="Evolución Avance Curricular Es" sheetId="3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25" l="1"/>
  <c r="N99" i="38"/>
  <c r="M99" i="38"/>
  <c r="L99" i="38"/>
  <c r="N98" i="38"/>
  <c r="M98" i="38"/>
  <c r="L98" i="38"/>
  <c r="N97" i="38"/>
  <c r="M97" i="38"/>
  <c r="L97" i="38"/>
  <c r="N96" i="38"/>
  <c r="M96" i="38"/>
  <c r="L96" i="38"/>
  <c r="N95" i="38"/>
  <c r="M95" i="38"/>
  <c r="L95" i="38"/>
  <c r="N94" i="38"/>
  <c r="M94" i="38"/>
  <c r="L94" i="38"/>
  <c r="N93" i="38"/>
  <c r="M93" i="38"/>
  <c r="L93" i="38"/>
  <c r="N92" i="38"/>
  <c r="M92" i="38"/>
  <c r="L92" i="38"/>
  <c r="N91" i="38"/>
  <c r="M91" i="38"/>
  <c r="L91" i="38"/>
  <c r="N90" i="38"/>
  <c r="M90" i="38"/>
  <c r="L90" i="38"/>
  <c r="N89" i="38"/>
  <c r="M89" i="38"/>
  <c r="L89" i="38"/>
  <c r="N88" i="38"/>
  <c r="M88" i="38"/>
  <c r="L88" i="38"/>
  <c r="N87" i="38"/>
  <c r="M87" i="38"/>
  <c r="L87" i="38"/>
  <c r="N83" i="38"/>
  <c r="M83" i="38"/>
  <c r="L83" i="38"/>
  <c r="N82" i="38"/>
  <c r="M82" i="38"/>
  <c r="L82" i="38"/>
  <c r="N81" i="38"/>
  <c r="M81" i="38"/>
  <c r="L81" i="38"/>
  <c r="N80" i="38"/>
  <c r="M80" i="38"/>
  <c r="L80" i="38"/>
  <c r="N79" i="38"/>
  <c r="M79" i="38"/>
  <c r="L79" i="38"/>
  <c r="N78" i="38"/>
  <c r="M78" i="38"/>
  <c r="L78" i="38"/>
  <c r="N73" i="38"/>
  <c r="M73" i="38"/>
  <c r="L73" i="38"/>
  <c r="N72" i="38"/>
  <c r="M72" i="38"/>
  <c r="L72" i="38"/>
  <c r="N71" i="38"/>
  <c r="M71" i="38"/>
  <c r="L71" i="38"/>
  <c r="N70" i="38"/>
  <c r="M70" i="38"/>
  <c r="L70" i="38"/>
  <c r="N69" i="38"/>
  <c r="M69" i="38"/>
  <c r="L69" i="38"/>
  <c r="N68" i="38"/>
  <c r="M68" i="38"/>
  <c r="L68" i="38"/>
  <c r="N67" i="38"/>
  <c r="M67" i="38"/>
  <c r="L67" i="38"/>
  <c r="N66" i="38"/>
  <c r="M66" i="38"/>
  <c r="L66" i="38"/>
  <c r="N65" i="38"/>
  <c r="M65" i="38"/>
  <c r="L65" i="38"/>
  <c r="N64" i="38"/>
  <c r="M64" i="38"/>
  <c r="L64" i="38"/>
  <c r="N63" i="38"/>
  <c r="M63" i="38"/>
  <c r="L63" i="38"/>
  <c r="N62" i="38"/>
  <c r="M62" i="38"/>
  <c r="L62" i="38"/>
  <c r="N61" i="38"/>
  <c r="M61" i="38"/>
  <c r="L61" i="38"/>
  <c r="N60" i="38"/>
  <c r="M60" i="38"/>
  <c r="L60" i="38"/>
  <c r="N59" i="38"/>
  <c r="M59" i="38"/>
  <c r="L59" i="38"/>
  <c r="N58" i="38"/>
  <c r="M58" i="38"/>
  <c r="L58" i="38"/>
  <c r="N57" i="38"/>
  <c r="M57" i="38"/>
  <c r="L57" i="38"/>
  <c r="N56" i="38"/>
  <c r="M56" i="38"/>
  <c r="L56" i="38"/>
  <c r="N55" i="38"/>
  <c r="M55" i="38"/>
  <c r="L55" i="38"/>
  <c r="N54" i="38"/>
  <c r="M54" i="38"/>
  <c r="L54" i="38"/>
  <c r="N53" i="38"/>
  <c r="M53" i="38"/>
  <c r="L53" i="38"/>
  <c r="N52" i="38"/>
  <c r="M52" i="38"/>
  <c r="L52" i="38"/>
  <c r="N51" i="38"/>
  <c r="M51" i="38"/>
  <c r="L51" i="38"/>
  <c r="N47" i="38"/>
  <c r="M47" i="38"/>
  <c r="L47" i="38"/>
  <c r="N46" i="38"/>
  <c r="M46" i="38"/>
  <c r="L46" i="38"/>
  <c r="N45" i="38"/>
  <c r="M45" i="38"/>
  <c r="L45" i="38"/>
  <c r="N44" i="38"/>
  <c r="M44" i="38"/>
  <c r="L44" i="38"/>
  <c r="N43" i="38"/>
  <c r="M43" i="38"/>
  <c r="L43" i="38"/>
  <c r="N42" i="38"/>
  <c r="M42" i="38"/>
  <c r="L42" i="38"/>
  <c r="N41" i="38"/>
  <c r="M41" i="38"/>
  <c r="L41" i="38"/>
  <c r="N40" i="38"/>
  <c r="M40" i="38"/>
  <c r="L40" i="38"/>
  <c r="N39" i="38"/>
  <c r="M39" i="38"/>
  <c r="L39" i="38"/>
  <c r="N38" i="38"/>
  <c r="M38" i="38"/>
  <c r="L38" i="38"/>
  <c r="N37" i="38"/>
  <c r="M37" i="38"/>
  <c r="L37" i="38"/>
  <c r="N33" i="38"/>
  <c r="M33" i="38"/>
  <c r="L33" i="38"/>
  <c r="N32" i="38"/>
  <c r="M32" i="38"/>
  <c r="L32" i="38"/>
  <c r="N31" i="38"/>
  <c r="M31" i="38"/>
  <c r="L31" i="38"/>
  <c r="N30" i="38"/>
  <c r="M30" i="38"/>
  <c r="L30" i="38"/>
  <c r="N29" i="38"/>
  <c r="M29" i="38"/>
  <c r="L29" i="38"/>
  <c r="N28" i="38"/>
  <c r="M28" i="38"/>
  <c r="L28" i="38"/>
  <c r="N27" i="38"/>
  <c r="M27" i="38"/>
  <c r="L27" i="38"/>
  <c r="N26" i="38"/>
  <c r="M26" i="38"/>
  <c r="L26" i="38"/>
  <c r="N25" i="38"/>
  <c r="M25" i="38"/>
  <c r="L25" i="38"/>
  <c r="N24" i="38"/>
  <c r="M24" i="38"/>
  <c r="L24" i="38"/>
  <c r="N23" i="38"/>
  <c r="M23" i="38"/>
  <c r="L23" i="38"/>
  <c r="N22" i="38"/>
  <c r="M22" i="38"/>
  <c r="L22" i="38"/>
  <c r="N18" i="38"/>
  <c r="M18" i="38"/>
  <c r="L18" i="38"/>
  <c r="N17" i="38"/>
  <c r="M17" i="38"/>
  <c r="L17" i="38"/>
  <c r="N16" i="38"/>
  <c r="M16" i="38"/>
  <c r="L16" i="38"/>
  <c r="N15" i="38"/>
  <c r="M15" i="38"/>
  <c r="L15" i="38"/>
  <c r="N14" i="38"/>
  <c r="M14" i="38"/>
  <c r="L14" i="38"/>
  <c r="N13" i="38"/>
  <c r="M13" i="38"/>
  <c r="L13" i="38"/>
  <c r="N6" i="38"/>
  <c r="M9" i="38"/>
  <c r="M8" i="38"/>
  <c r="M7" i="38"/>
  <c r="M6" i="38"/>
  <c r="L6" i="38"/>
  <c r="L23" i="25" l="1"/>
  <c r="N23" i="25"/>
  <c r="M23" i="25"/>
  <c r="N100" i="25"/>
  <c r="M100" i="25"/>
  <c r="L100" i="25"/>
  <c r="N99" i="25"/>
  <c r="M99" i="25"/>
  <c r="L99" i="25"/>
  <c r="N98" i="25"/>
  <c r="M98" i="25"/>
  <c r="L98" i="25"/>
  <c r="N97" i="25"/>
  <c r="M97" i="25"/>
  <c r="L97" i="25"/>
  <c r="N96" i="25"/>
  <c r="M96" i="25"/>
  <c r="L96" i="25"/>
  <c r="N95" i="25"/>
  <c r="M95" i="25"/>
  <c r="L95" i="25"/>
  <c r="N94" i="25"/>
  <c r="M94" i="25"/>
  <c r="L94" i="25"/>
  <c r="N93" i="25"/>
  <c r="M93" i="25"/>
  <c r="L93" i="25"/>
  <c r="N92" i="25"/>
  <c r="M92" i="25"/>
  <c r="L92" i="25"/>
  <c r="N91" i="25"/>
  <c r="M91" i="25"/>
  <c r="L91" i="25"/>
  <c r="N90" i="25"/>
  <c r="M90" i="25"/>
  <c r="L90" i="25"/>
  <c r="N89" i="25"/>
  <c r="M89" i="25"/>
  <c r="L89" i="25"/>
  <c r="N88" i="25"/>
  <c r="M88" i="25"/>
  <c r="L88" i="25"/>
  <c r="N84" i="25"/>
  <c r="M84" i="25"/>
  <c r="L84" i="25"/>
  <c r="N83" i="25"/>
  <c r="M83" i="25"/>
  <c r="L83" i="25"/>
  <c r="N82" i="25"/>
  <c r="M82" i="25"/>
  <c r="L82" i="25"/>
  <c r="N81" i="25"/>
  <c r="M81" i="25"/>
  <c r="L81" i="25"/>
  <c r="N80" i="25"/>
  <c r="M80" i="25"/>
  <c r="L80" i="25"/>
  <c r="N79" i="25"/>
  <c r="M79" i="25"/>
  <c r="L79" i="25"/>
  <c r="N74" i="25"/>
  <c r="M74" i="25"/>
  <c r="L74" i="25"/>
  <c r="N73" i="25"/>
  <c r="M73" i="25"/>
  <c r="L73" i="25"/>
  <c r="N72" i="25"/>
  <c r="M72" i="25"/>
  <c r="L72" i="25"/>
  <c r="N71" i="25"/>
  <c r="M71" i="25"/>
  <c r="L71" i="25"/>
  <c r="N70" i="25"/>
  <c r="M70" i="25"/>
  <c r="L70" i="25"/>
  <c r="N69" i="25"/>
  <c r="M69" i="25"/>
  <c r="L69" i="25"/>
  <c r="N68" i="25"/>
  <c r="M68" i="25"/>
  <c r="L68" i="25"/>
  <c r="N67" i="25"/>
  <c r="M67" i="25"/>
  <c r="L67" i="25"/>
  <c r="N66" i="25"/>
  <c r="M66" i="25"/>
  <c r="L66" i="25"/>
  <c r="N65" i="25"/>
  <c r="M65" i="25"/>
  <c r="L65" i="25"/>
  <c r="N64" i="25"/>
  <c r="M64" i="25"/>
  <c r="L64" i="25"/>
  <c r="N63" i="25"/>
  <c r="M63" i="25"/>
  <c r="L63" i="25"/>
  <c r="N62" i="25"/>
  <c r="M62" i="25"/>
  <c r="L62" i="25"/>
  <c r="N61" i="25"/>
  <c r="M61" i="25"/>
  <c r="L61" i="25"/>
  <c r="N60" i="25"/>
  <c r="M60" i="25"/>
  <c r="L60" i="25"/>
  <c r="N59" i="25"/>
  <c r="M59" i="25"/>
  <c r="L59" i="25"/>
  <c r="N58" i="25"/>
  <c r="M58" i="25"/>
  <c r="L58" i="25"/>
  <c r="N57" i="25"/>
  <c r="M57" i="25"/>
  <c r="L57" i="25"/>
  <c r="N56" i="25"/>
  <c r="M56" i="25"/>
  <c r="L56" i="25"/>
  <c r="N55" i="25"/>
  <c r="M55" i="25"/>
  <c r="L55" i="25"/>
  <c r="N54" i="25"/>
  <c r="M54" i="25"/>
  <c r="L54" i="25"/>
  <c r="N53" i="25"/>
  <c r="M53" i="25"/>
  <c r="L53" i="25"/>
  <c r="N52" i="25"/>
  <c r="M52" i="25"/>
  <c r="L52" i="25"/>
  <c r="N48" i="25"/>
  <c r="M48" i="25"/>
  <c r="L48" i="25"/>
  <c r="N47" i="25"/>
  <c r="M47" i="25"/>
  <c r="L47" i="25"/>
  <c r="N46" i="25"/>
  <c r="M46" i="25"/>
  <c r="L46" i="25"/>
  <c r="N45" i="25"/>
  <c r="M45" i="25"/>
  <c r="L45" i="25"/>
  <c r="N44" i="25"/>
  <c r="M44" i="25"/>
  <c r="L44" i="25"/>
  <c r="N43" i="25"/>
  <c r="M43" i="25"/>
  <c r="L43" i="25"/>
  <c r="N42" i="25"/>
  <c r="M42" i="25"/>
  <c r="L42" i="25"/>
  <c r="N41" i="25"/>
  <c r="M41" i="25"/>
  <c r="L41" i="25"/>
  <c r="N40" i="25"/>
  <c r="M40" i="25"/>
  <c r="L40" i="25"/>
  <c r="N39" i="25"/>
  <c r="M39" i="25"/>
  <c r="L39" i="25"/>
  <c r="N38" i="25"/>
  <c r="M38" i="25"/>
  <c r="L38" i="25"/>
  <c r="N34" i="25"/>
  <c r="M34" i="25"/>
  <c r="L34" i="25"/>
  <c r="N33" i="25"/>
  <c r="M33" i="25"/>
  <c r="L33" i="25"/>
  <c r="N32" i="25"/>
  <c r="M32" i="25"/>
  <c r="L32" i="25"/>
  <c r="N31" i="25"/>
  <c r="M31" i="25"/>
  <c r="L31" i="25"/>
  <c r="N30" i="25"/>
  <c r="M30" i="25"/>
  <c r="L30" i="25"/>
  <c r="N29" i="25"/>
  <c r="M29" i="25"/>
  <c r="L29" i="25"/>
  <c r="N28" i="25"/>
  <c r="M28" i="25"/>
  <c r="L28" i="25"/>
  <c r="N27" i="25"/>
  <c r="M27" i="25"/>
  <c r="L27" i="25"/>
  <c r="N26" i="25"/>
  <c r="M26" i="25"/>
  <c r="L26" i="25"/>
  <c r="N25" i="25"/>
  <c r="M25" i="25"/>
  <c r="L25" i="25"/>
  <c r="N24" i="25"/>
  <c r="M24" i="25"/>
  <c r="L24" i="25"/>
  <c r="N19" i="25"/>
  <c r="M19" i="25"/>
  <c r="L19" i="25"/>
  <c r="N18" i="25"/>
  <c r="M18" i="25"/>
  <c r="L18" i="25"/>
  <c r="N17" i="25"/>
  <c r="M17" i="25"/>
  <c r="L17" i="25"/>
  <c r="N16" i="25"/>
  <c r="M16" i="25"/>
  <c r="L16" i="25"/>
  <c r="N15" i="25"/>
  <c r="M15" i="25"/>
  <c r="L15" i="25"/>
  <c r="N14" i="25"/>
  <c r="M14" i="25"/>
  <c r="L14" i="25"/>
  <c r="N7" i="25"/>
  <c r="M10" i="25"/>
  <c r="M9" i="25"/>
  <c r="M8" i="25"/>
  <c r="L7" i="25"/>
  <c r="N7" i="38" l="1"/>
  <c r="N8" i="38"/>
  <c r="N9" i="38"/>
  <c r="L7" i="38"/>
  <c r="L8" i="38"/>
  <c r="L9" i="38"/>
  <c r="N10" i="25"/>
  <c r="L10" i="25"/>
  <c r="N8" i="25"/>
  <c r="N9" i="25"/>
  <c r="L9" i="25"/>
  <c r="F136" i="34"/>
  <c r="H197" i="35"/>
  <c r="I197" i="35"/>
  <c r="C197" i="35"/>
  <c r="F140" i="35"/>
  <c r="F39" i="35"/>
  <c r="F16" i="35"/>
  <c r="F15" i="35"/>
  <c r="F13" i="35"/>
  <c r="L8" i="25" l="1"/>
  <c r="H200" i="34" l="1"/>
  <c r="I200" i="34"/>
  <c r="D200" i="34"/>
  <c r="C200" i="34"/>
  <c r="F129" i="34" l="1"/>
  <c r="F119" i="34"/>
  <c r="F41" i="34"/>
  <c r="F25" i="34"/>
  <c r="F24" i="34"/>
  <c r="F23" i="34"/>
  <c r="F22" i="34"/>
  <c r="F14" i="34"/>
  <c r="F17" i="34"/>
  <c r="F16" i="34"/>
  <c r="F15" i="34"/>
  <c r="E22" i="37" l="1"/>
  <c r="D22" i="37"/>
  <c r="C22" i="37"/>
  <c r="F20" i="37"/>
  <c r="F16" i="37"/>
  <c r="F15" i="37"/>
  <c r="F9" i="37"/>
  <c r="F8" i="37"/>
  <c r="F7" i="37"/>
  <c r="F6" i="37"/>
  <c r="C10" i="37"/>
  <c r="E10" i="37"/>
  <c r="D10" i="37"/>
  <c r="F47" i="34"/>
  <c r="F135" i="34"/>
  <c r="F127" i="35" l="1"/>
  <c r="F126" i="35"/>
  <c r="F125" i="35"/>
  <c r="F124" i="35"/>
  <c r="F123" i="35"/>
  <c r="F122" i="35"/>
  <c r="F121" i="35"/>
  <c r="F120" i="35"/>
  <c r="F119" i="35"/>
  <c r="F118" i="35"/>
  <c r="F117" i="35"/>
  <c r="F128" i="34"/>
  <c r="F127" i="34"/>
  <c r="F126" i="34"/>
  <c r="F125" i="34"/>
  <c r="F124" i="34"/>
  <c r="F123" i="34"/>
  <c r="F122" i="34"/>
  <c r="F121" i="34"/>
  <c r="F120" i="34"/>
  <c r="F18" i="37" l="1"/>
  <c r="F19" i="37"/>
  <c r="F17" i="37"/>
  <c r="F172" i="35" l="1"/>
  <c r="F171" i="35"/>
  <c r="F170" i="35"/>
  <c r="F169" i="35"/>
  <c r="F168" i="35"/>
  <c r="F167" i="35"/>
  <c r="F166" i="35"/>
  <c r="F165" i="35"/>
  <c r="F164" i="35"/>
  <c r="F163" i="35"/>
  <c r="F162" i="35"/>
  <c r="F157" i="35"/>
  <c r="F156" i="35"/>
  <c r="F155" i="35"/>
  <c r="F154" i="35"/>
  <c r="F153" i="35"/>
  <c r="F152" i="35"/>
  <c r="F151" i="35"/>
  <c r="F150" i="35"/>
  <c r="F149" i="35"/>
  <c r="F148" i="35"/>
  <c r="F147" i="35"/>
  <c r="F174" i="34" l="1"/>
  <c r="F173" i="34"/>
  <c r="F172" i="34"/>
  <c r="F171" i="34"/>
  <c r="F170" i="34"/>
  <c r="F169" i="34"/>
  <c r="F168" i="34"/>
  <c r="F167" i="34"/>
  <c r="F166" i="34"/>
  <c r="F165" i="34"/>
  <c r="F164" i="34"/>
  <c r="F159" i="34"/>
  <c r="F158" i="34"/>
  <c r="F157" i="34"/>
  <c r="F156" i="34"/>
  <c r="F155" i="34"/>
  <c r="F154" i="34"/>
  <c r="F153" i="34"/>
  <c r="F152" i="34"/>
  <c r="F151" i="34"/>
  <c r="F150" i="34"/>
  <c r="F149" i="34"/>
  <c r="G200" i="34" l="1"/>
  <c r="E200" i="34" l="1"/>
  <c r="F200" i="34"/>
  <c r="F144" i="34" l="1"/>
  <c r="F141" i="34"/>
  <c r="F139" i="34"/>
  <c r="F140" i="34"/>
  <c r="F143" i="34"/>
  <c r="F138" i="34"/>
  <c r="F142" i="34"/>
  <c r="F134" i="34"/>
  <c r="F137" i="34"/>
  <c r="F142" i="35"/>
  <c r="F133" i="35"/>
  <c r="F135" i="35"/>
  <c r="F138" i="35"/>
  <c r="F139" i="35"/>
  <c r="F132" i="35"/>
  <c r="F137" i="35"/>
  <c r="F134" i="35"/>
  <c r="F141" i="35"/>
  <c r="F136" i="35"/>
  <c r="F56" i="35"/>
  <c r="F55" i="35"/>
  <c r="F54" i="35"/>
  <c r="F53" i="35"/>
  <c r="F52" i="35"/>
  <c r="F51" i="35"/>
  <c r="F50" i="35"/>
  <c r="F45" i="35"/>
  <c r="F44" i="35"/>
  <c r="F43" i="35"/>
  <c r="F42" i="35"/>
  <c r="F41" i="35"/>
  <c r="F40" i="35"/>
  <c r="F24" i="35"/>
  <c r="F23" i="35"/>
  <c r="F22" i="35"/>
  <c r="F21" i="35"/>
  <c r="F14" i="35"/>
  <c r="F58" i="34"/>
  <c r="F53" i="34"/>
  <c r="F52" i="34"/>
  <c r="F54" i="34"/>
  <c r="F57" i="34"/>
  <c r="F56" i="34"/>
  <c r="F55" i="34"/>
  <c r="F44" i="34"/>
  <c r="F42" i="34"/>
  <c r="F43" i="34"/>
  <c r="F46" i="34"/>
  <c r="F45" i="34"/>
  <c r="F21" i="37" l="1"/>
  <c r="D197" i="35" l="1"/>
  <c r="E197" i="35"/>
  <c r="F197" i="35"/>
  <c r="G197" i="35"/>
</calcChain>
</file>

<file path=xl/sharedStrings.xml><?xml version="1.0" encoding="utf-8"?>
<sst xmlns="http://schemas.openxmlformats.org/spreadsheetml/2006/main" count="1162" uniqueCount="306">
  <si>
    <r>
      <t xml:space="preserve">INFORME 2025 DE AVANCE CURRICULAR </t>
    </r>
    <r>
      <rPr>
        <b/>
        <sz val="24"/>
        <color theme="1"/>
        <rFont val="Calibri"/>
        <family val="2"/>
        <scheme val="minor"/>
      </rPr>
      <t>|</t>
    </r>
    <r>
      <rPr>
        <b/>
        <sz val="26"/>
        <color theme="1"/>
        <rFont val="Calibri"/>
        <family val="2"/>
        <scheme val="minor"/>
      </rPr>
      <t xml:space="preserve"> </t>
    </r>
    <r>
      <rPr>
        <b/>
        <sz val="22"/>
        <color theme="1"/>
        <rFont val="Calibri"/>
        <family val="2"/>
        <scheme val="minor"/>
      </rPr>
      <t>MATRÍCULA 2024</t>
    </r>
  </si>
  <si>
    <t xml:space="preserve">Hoja </t>
  </si>
  <si>
    <t>Tabla</t>
  </si>
  <si>
    <t>Contenido</t>
  </si>
  <si>
    <t>Índice de tablas</t>
  </si>
  <si>
    <t xml:space="preserve">ANTECEDENTES </t>
  </si>
  <si>
    <t>Distribución de Matrícula regular de Pregrado 2024 según métrica utilizada para medir Aprobación Curricular y Avance Curricular Esperado por tipo de institución</t>
  </si>
  <si>
    <t>Distribución de Matrícula regular de Pregrado 2024 según métrica utilizada para medir Aprobación Curricular y Avance Curricular Esperado por tipo de institución específica</t>
  </si>
  <si>
    <t>Porcentaje de estudiantes según nivel de actividad académica por semestres por tipo de institución – Matrícula Pregrado 2024</t>
  </si>
  <si>
    <t>Porcentaje de estudiantes según nivel de actividad académica por semestres por tipo amplio de institución – Matrícula Pregrado 2024</t>
  </si>
  <si>
    <t>APROBACIÓN ANUAL 2024</t>
  </si>
  <si>
    <t>Tasa de Aprobación Anual por tipo de institución, total de cohortes en Matrícula 2024</t>
  </si>
  <si>
    <t>Tasa de Aprobación Anual por sexo según tipo de institución, cohorte 2024, 1er año</t>
  </si>
  <si>
    <t>Tasa de Aprobación Anual por sexo según tipo de institución, total de cohortes en Matrícula 2024</t>
  </si>
  <si>
    <t>Tasa de Aprobación Anual por sexo según tipo de institución específica, total de cohortes en Matrícula 2024</t>
  </si>
  <si>
    <t>Tasa de Aprobación Anual por sexo según tipo de institución específica, cohorte 2024, 1er año</t>
  </si>
  <si>
    <t>Tasa de Aprobación Anual por área del conocimiento, comparación entre 1er año y total cohortes en Matrícula 2024</t>
  </si>
  <si>
    <t>Tasa de Aprobación Anual por área del conocimiento, comparación entre 1er año y total cohortes en Matrícula 2024 - Universidad</t>
  </si>
  <si>
    <t>Tasa de Aprobación Anual por área del conocimiento, comparación entre 1er año y total cohortes en Matrícula 2024 - IP</t>
  </si>
  <si>
    <t>Tasa de Aprobación Anual por área del conocimiento, comparación entre 1er año y total cohortes en Matrícula 2024 - CFT</t>
  </si>
  <si>
    <t>Tasa de Aprobación Anual por sexo según áreas del conocimiento, 1er año en Matrícula 2024</t>
  </si>
  <si>
    <t>Tasa de Aprobación Anual por sexo según áreas del conocimiento, total de cohortes en Matrícula 2024</t>
  </si>
  <si>
    <t>Tasa de Aprobación Anual por sexo según áreas CINE UNESCO 2013, 1er año en Matrícula 2024</t>
  </si>
  <si>
    <t>Tasa de Aprobación Anual por sexo según áreas CINE UNESCO 2013, total de cohortes en Matrícula 2024</t>
  </si>
  <si>
    <t>Tasa de Aprobación Anual de las cohortes 2017 a 2024 por tipo de institución en Matrícula 2024</t>
  </si>
  <si>
    <t>Tasa de Aprobación Anual de las cohortes 2017 a 2024 por tipo de institución específica en Matrícula 2024</t>
  </si>
  <si>
    <t>Tasa de Aprobación Anual de las cohortes 2017 a 2024 por sexo en Matrícula 2024</t>
  </si>
  <si>
    <t>Carreras con mayor tasa de Aprobación Anual, comparación entre 1er año y total cohortes en Universidades - Matrícula sobre mil estudiantes 2024</t>
  </si>
  <si>
    <t>Carreras con menor tasa de Aprobación Anual, comparación entre 1er año y total cohortes en Universidades – Matrícula sobre mil estudiantes 2024</t>
  </si>
  <si>
    <t>Carreras con mayor tasa de Aprobación Anual, comparación entre 1er año y total cohortes en IP – Matrícula sobre mil estudiantes 2024</t>
  </si>
  <si>
    <t>Carreras con menor tasa de Aprobación Anual, comparación entre 1er año y total cohortes en IP – Matrícula sobre mil estudiantes 2024</t>
  </si>
  <si>
    <t>Carreras con mayor tasa de Aprobación Anual, comparación entre 1er año y total cohortes en CFT – Matrícula sobre mil estudiantes 2024</t>
  </si>
  <si>
    <t>Carreras con menor tasa de Aprobación Anual, comparación entre 1er año y total cohortes en CFT – Matrícula sobre mil estudiantes 2024</t>
  </si>
  <si>
    <t>Tasa de Aprobación Anual de carreras genéricas de pedagogía y sexo, comparación entre 1er año y total cohortes</t>
  </si>
  <si>
    <t>Tasa de Aprobación Anual por tipo de dependencia del establecimiento de origen y tipo de institución, total de cohortes en Matrícula 2024</t>
  </si>
  <si>
    <t>Tasa de Aprobación Anual por tipo de dependencia desagregada del establecimiento de origen y tipo de institución, total de cohortes en Matrícula 2024</t>
  </si>
  <si>
    <t>Tasa de Aprobación Anual por tipo de enseñanza del establecimiento de origen y tipo de institución, total de cohortes en Matrícula 2024</t>
  </si>
  <si>
    <t>EVOLUCIÓN APROBACIÓN ANUAL 2016 - 2024</t>
  </si>
  <si>
    <t>Evolución de Aprobación Anual por tipo de institución, total cohortes</t>
  </si>
  <si>
    <t>Evolución de Aprobación Anual por tipo nivel carrera, total cohortes</t>
  </si>
  <si>
    <t>Evolución de Aprobación Anual por tipo de institución y carrera, total cohortes</t>
  </si>
  <si>
    <t>Evolución de Aprobación Anual por área del conocimiento, total cohortes</t>
  </si>
  <si>
    <t>Evolución de Aprobación Anual por tipo carrera y área, total cohortes</t>
  </si>
  <si>
    <t>Evolución de Aprobación Anual  por jornada, total cohortes</t>
  </si>
  <si>
    <t>Evolución de Aprobación Anual por tipo de carrera y jornada, total cohortes</t>
  </si>
  <si>
    <t>AVANCE CURRICULAR ESPERADO 2024</t>
  </si>
  <si>
    <t>Tasa de Avance Curricular Esperado por tipo de institución, total de cohortes en Matrícula 2024</t>
  </si>
  <si>
    <t>Tasa de Avance Curricular Esperado por sexo según tipo de institución, cohorte 2024, 1er año</t>
  </si>
  <si>
    <t>Tasa de Avance Curricular Esperado por sexo según tipo de institución, total de cohortes en Matrícula 2024</t>
  </si>
  <si>
    <t>Tasa de Avance Curricular Esperado por área del conocimiento, comparación entre 1er año y total cohortes en Matrícula 2024</t>
  </si>
  <si>
    <t>Tasa de Avance Curricular Esperado por área del conocimiento, comparación entre 1er año y total cohortes en Matrícula 2024 - Universidad</t>
  </si>
  <si>
    <t>Tasa de Avance Curricular Esperado por área del conocimiento, comparación entre 1er año y total cohortes en Matrícula 2024 - IP</t>
  </si>
  <si>
    <t>Tasa de Avance Curricular Esperado por área del conocimiento, comparación entre 1er año y total cohortes en Matrícula 2024 - CFT</t>
  </si>
  <si>
    <t>Tasa de Avance Curricular Esperado por sexo según área del conocimiento, total cohortes en Matrícula 2024</t>
  </si>
  <si>
    <t>Tasa de Avance Curricular Esperado por sexo según áreas CINE UNESCO 2013, 1er año en Matrícula 2024</t>
  </si>
  <si>
    <t>Tasa de Avance Curricular Esperado por sexo según áreas CINE UNESCO 2013, total de cohortes en Matrícula 2024</t>
  </si>
  <si>
    <t>Tasa de Avance Curricular Esperado de cohortes 2017 a 2024 por tipo de institución en Matrícula 2024</t>
  </si>
  <si>
    <t>Tasa de Avance Curricular Esperado de cohortes 2017 a 2024 por tipo de institución específica en Matrícula 2024</t>
  </si>
  <si>
    <t>Tasa de Avance Curricular Esperado de cohortes 2017 a 2024 por sexo en Matrícula 2024</t>
  </si>
  <si>
    <t>Carreras con mayor tasa de Avance Curricular Esperado, comparación entre 1er año y total cohortes en Universidades - Matrícula sobre mil estudiantes 2024</t>
  </si>
  <si>
    <t>Carreras con menor tasa de Avance Curricular Esperado, comparación entre 1er año y total cohortes en Universidades - Matrícula sobre mil estudiantes 2024</t>
  </si>
  <si>
    <t>Carreras con mayor tasa de Avance Curricular Esperado, comparación entre 1er año y total cohortes en IP - Matrícula sobre mil estudiantes 2024</t>
  </si>
  <si>
    <t>Carreras con menor tasa de Avance Curricular Esperado, comparación entre 1er año y total cohortes en IP - Matrícula sobre mil estudiantes 2024</t>
  </si>
  <si>
    <t>Carreras con mayor tasa de Avance Curricular Esperado, comparación entre 1er año y total cohortes en CFT - Matrícula sobre mil estudiantes 2024</t>
  </si>
  <si>
    <t>Carreras con menor tasa de Avance Curricular Esperado, comparación entre 1er año y total cohortes en CFT - Matrícula sobre mil estudiantes 2024</t>
  </si>
  <si>
    <t>Tasa de Avance Curricular Esperado de carreras genéricas de pedagogía y sexo, comparación entre 1er año y total cohortes</t>
  </si>
  <si>
    <t>Tasa de Avance Curricular Esperado por tipo de dependencia del establecimiento de origen y tipo de institución, total de cohortes</t>
  </si>
  <si>
    <t>Tasa de Avance Curricular Esperado por tipo de establecimiento del colegio de origen y tipo de institución, total de cohortes</t>
  </si>
  <si>
    <t>EVOLUCIÓN DE AVANCE CURRICULAR ESPERADO 2016 - 2024</t>
  </si>
  <si>
    <t>Evolución de Avance Curricular Esperado por tipo de institución, total cohortes</t>
  </si>
  <si>
    <t>Evolución de Avance Curricular Esperado por área del conocimiento, total cohortes</t>
  </si>
  <si>
    <t>Evolución de Avance Curricular Esperado por tipo carrera y área, total cohortes</t>
  </si>
  <si>
    <t>Evolución de Avance Curricular Esperado por tipo de carrera y jornada, total cohortes</t>
  </si>
  <si>
    <t>ANTECEDENTES 2024</t>
  </si>
  <si>
    <t>Incluye solo programas regulares y de Pregrado</t>
  </si>
  <si>
    <t>Tipo de institución</t>
  </si>
  <si>
    <t>Matrícula con asignaturas, cursos y/o módulos</t>
  </si>
  <si>
    <t>Matrícula con créditos académicos o créditos SCT-Chile.</t>
  </si>
  <si>
    <t>Matrícula regular Pregrado 2024 (*)</t>
  </si>
  <si>
    <t>% de estudiantes medidos con asignaturas</t>
  </si>
  <si>
    <t>CFT</t>
  </si>
  <si>
    <t>IP</t>
  </si>
  <si>
    <t>Universidad</t>
  </si>
  <si>
    <t>Total</t>
  </si>
  <si>
    <t>%</t>
  </si>
  <si>
    <t>*Considera toda la Matrícula de estudiantes regulares de Pregrado reportada por las instituciones de Educación Superior en el proceso 2024 de Avance Curricular y que no presenta inconsistencias en la información reportada.</t>
  </si>
  <si>
    <t>CFT Estatal</t>
  </si>
  <si>
    <t>U. Cruch Estatal</t>
  </si>
  <si>
    <t>U. Cruch Privada</t>
  </si>
  <si>
    <t>U. Privadas</t>
  </si>
  <si>
    <t>% según métrica utilizada</t>
  </si>
  <si>
    <t xml:space="preserve"> </t>
  </si>
  <si>
    <t>Porcentaje de estudiantes según nivel de actividad académica por semestres por tipo de institución – Matrícula regular Pregrado 2024</t>
  </si>
  <si>
    <r>
      <t xml:space="preserve">  Con actividad 1</t>
    </r>
    <r>
      <rPr>
        <b/>
        <vertAlign val="superscript"/>
        <sz val="10"/>
        <color theme="1"/>
        <rFont val="Calibri"/>
        <family val="2"/>
        <scheme val="minor"/>
      </rPr>
      <t>er</t>
    </r>
    <r>
      <rPr>
        <b/>
        <sz val="10"/>
        <color theme="1"/>
        <rFont val="Calibri"/>
        <family val="2"/>
        <scheme val="minor"/>
      </rPr>
      <t xml:space="preserve"> y 2° semestre</t>
    </r>
  </si>
  <si>
    <r>
      <t>Con actividad solo 1</t>
    </r>
    <r>
      <rPr>
        <b/>
        <vertAlign val="superscript"/>
        <sz val="10"/>
        <color theme="1"/>
        <rFont val="Calibri"/>
        <family val="2"/>
        <scheme val="minor"/>
      </rPr>
      <t>er</t>
    </r>
    <r>
      <rPr>
        <b/>
        <sz val="10"/>
        <color theme="1"/>
        <rFont val="Calibri"/>
        <family val="2"/>
        <scheme val="minor"/>
      </rPr>
      <t xml:space="preserve"> semestre</t>
    </r>
  </si>
  <si>
    <t xml:space="preserve">  Con actividad solo 2° semestre</t>
  </si>
  <si>
    <r>
      <t xml:space="preserve">  Sin actividad 1</t>
    </r>
    <r>
      <rPr>
        <b/>
        <vertAlign val="superscript"/>
        <sz val="10"/>
        <color theme="1"/>
        <rFont val="Calibri"/>
        <family val="2"/>
        <scheme val="minor"/>
      </rPr>
      <t>er</t>
    </r>
    <r>
      <rPr>
        <b/>
        <sz val="10"/>
        <color theme="1"/>
        <rFont val="Calibri"/>
        <family val="2"/>
        <scheme val="minor"/>
      </rPr>
      <t xml:space="preserve"> y 2° semestre</t>
    </r>
  </si>
  <si>
    <t>Porcentaje de estudiantes según nivel de actividad académica por semestres por tipo amplio de institución – Matrícula regular Pregrado 2024</t>
  </si>
  <si>
    <t>Fuente: Servicio de Información de Educación Superior (SIES), de Mineduc.</t>
  </si>
  <si>
    <t>Volver al Índice</t>
  </si>
  <si>
    <t>N° de estudiantes</t>
  </si>
  <si>
    <t>Tasa de Aprobación Anual</t>
  </si>
  <si>
    <t>Hombre</t>
  </si>
  <si>
    <t>Mujer</t>
  </si>
  <si>
    <t>Total General(*)</t>
  </si>
  <si>
    <t>Brecha Mujer-Hombre (p.p.)</t>
  </si>
  <si>
    <t>*Existen 2 casos de sexo no binario, los cuales están considerados en el total general de la tabla.</t>
  </si>
  <si>
    <t>*Existen 10 casos de sexo no binario, los cuales están considerados en el total general de la tabla.</t>
  </si>
  <si>
    <r>
      <t>Tasa de Aprobación Anual por sexo según tipo de institución específica, cohorte 2024, 1</t>
    </r>
    <r>
      <rPr>
        <b/>
        <vertAlign val="superscript"/>
        <sz val="11"/>
        <color theme="1"/>
        <rFont val="Calibri"/>
        <family val="2"/>
        <scheme val="minor"/>
      </rPr>
      <t>er</t>
    </r>
    <r>
      <rPr>
        <b/>
        <sz val="11"/>
        <color theme="1"/>
        <rFont val="Calibri"/>
        <family val="2"/>
        <scheme val="minor"/>
      </rPr>
      <t xml:space="preserve"> año</t>
    </r>
  </si>
  <si>
    <t>*Existen 3 casos de sexo no binario, los cuales están considerados en el total general de la tabla.</t>
  </si>
  <si>
    <r>
      <t>Tasa de Aprobación Anual por área del conocimiento, comparación entre 1</t>
    </r>
    <r>
      <rPr>
        <b/>
        <vertAlign val="superscript"/>
        <sz val="11"/>
        <color theme="1"/>
        <rFont val="Calibri"/>
        <family val="2"/>
        <scheme val="minor"/>
      </rPr>
      <t>er</t>
    </r>
    <r>
      <rPr>
        <b/>
        <sz val="11"/>
        <color theme="1"/>
        <rFont val="Calibri"/>
        <family val="2"/>
        <scheme val="minor"/>
      </rPr>
      <t xml:space="preserve"> año y total cohortes en Matrícula 2024</t>
    </r>
  </si>
  <si>
    <t>Área del conocimiento</t>
  </si>
  <si>
    <r>
      <t>Cohorte 1</t>
    </r>
    <r>
      <rPr>
        <b/>
        <vertAlign val="superscript"/>
        <sz val="10"/>
        <color theme="1"/>
        <rFont val="Calibri"/>
        <family val="2"/>
        <scheme val="minor"/>
      </rPr>
      <t>er</t>
    </r>
    <r>
      <rPr>
        <b/>
        <sz val="10"/>
        <color theme="1"/>
        <rFont val="Calibri"/>
        <family val="2"/>
        <scheme val="minor"/>
      </rPr>
      <t xml:space="preserve"> año 2024</t>
    </r>
  </si>
  <si>
    <t>Total cohortes 2024</t>
  </si>
  <si>
    <t>Administración y Comercio</t>
  </si>
  <si>
    <t>Agropecuaria</t>
  </si>
  <si>
    <t>Arte y Arquitectura</t>
  </si>
  <si>
    <t>Ciencias Básicas</t>
  </si>
  <si>
    <t>Ciencias Sociales</t>
  </si>
  <si>
    <t>Derecho</t>
  </si>
  <si>
    <t>Educación</t>
  </si>
  <si>
    <t>Humanidades</t>
  </si>
  <si>
    <t>Salud</t>
  </si>
  <si>
    <t>Tecnología</t>
  </si>
  <si>
    <r>
      <t>Tasa de Aprobación Anual por área del conocimiento, comparación entre 1</t>
    </r>
    <r>
      <rPr>
        <b/>
        <vertAlign val="superscript"/>
        <sz val="11"/>
        <color theme="1"/>
        <rFont val="Calibri"/>
        <family val="2"/>
        <scheme val="minor"/>
      </rPr>
      <t>er</t>
    </r>
    <r>
      <rPr>
        <b/>
        <sz val="11"/>
        <color theme="1"/>
        <rFont val="Calibri"/>
        <family val="2"/>
        <scheme val="minor"/>
      </rPr>
      <t xml:space="preserve"> año y total cohortes en Matrícula 2024 - Universidad</t>
    </r>
  </si>
  <si>
    <r>
      <t>Tasa de Aprobación Anual por área del conocimiento, comparación entre 1</t>
    </r>
    <r>
      <rPr>
        <b/>
        <vertAlign val="superscript"/>
        <sz val="11"/>
        <color theme="1"/>
        <rFont val="Calibri"/>
        <family val="2"/>
        <scheme val="minor"/>
      </rPr>
      <t>er</t>
    </r>
    <r>
      <rPr>
        <b/>
        <sz val="11"/>
        <color theme="1"/>
        <rFont val="Calibri"/>
        <family val="2"/>
        <scheme val="minor"/>
      </rPr>
      <t xml:space="preserve"> año y total cohortes en Matrícula 2024 - IP</t>
    </r>
  </si>
  <si>
    <r>
      <t>Tasa de Aprobación Anual por área del conocimiento, comparación entre 1</t>
    </r>
    <r>
      <rPr>
        <b/>
        <vertAlign val="superscript"/>
        <sz val="11"/>
        <color theme="1"/>
        <rFont val="Calibri"/>
        <family val="2"/>
        <scheme val="minor"/>
      </rPr>
      <t>er</t>
    </r>
    <r>
      <rPr>
        <b/>
        <sz val="11"/>
        <color theme="1"/>
        <rFont val="Calibri"/>
        <family val="2"/>
        <scheme val="minor"/>
      </rPr>
      <t xml:space="preserve"> año y total cohortes en Matrícula 2024 - CFT</t>
    </r>
  </si>
  <si>
    <r>
      <t>Tasa de Aprobación Anual por sexo según áreas del conocimiento, 1</t>
    </r>
    <r>
      <rPr>
        <b/>
        <vertAlign val="superscript"/>
        <sz val="11"/>
        <color theme="1"/>
        <rFont val="Calibri"/>
        <family val="2"/>
        <scheme val="minor"/>
      </rPr>
      <t>er</t>
    </r>
    <r>
      <rPr>
        <b/>
        <sz val="11"/>
        <color theme="1"/>
        <rFont val="Calibri"/>
        <family val="2"/>
        <scheme val="minor"/>
      </rPr>
      <t xml:space="preserve"> año en Matrícula 2024</t>
    </r>
  </si>
  <si>
    <t>*Existen 2 casos de sexo no binario,  los cuales están considerados en el total general de la tabla.</t>
  </si>
  <si>
    <r>
      <t>Tasa de Aprobación Anual por sexo según áreas CINE UNESCO 2013, 1</t>
    </r>
    <r>
      <rPr>
        <b/>
        <vertAlign val="superscript"/>
        <sz val="11"/>
        <color theme="1"/>
        <rFont val="Calibri"/>
        <family val="2"/>
        <scheme val="minor"/>
      </rPr>
      <t>er</t>
    </r>
    <r>
      <rPr>
        <b/>
        <sz val="11"/>
        <color theme="1"/>
        <rFont val="Calibri"/>
        <family val="2"/>
        <scheme val="minor"/>
      </rPr>
      <t xml:space="preserve"> año en Matrícula 2024</t>
    </r>
  </si>
  <si>
    <t>Área CINE UNESCO 2013</t>
  </si>
  <si>
    <t>Administración de Empresas y Derecho</t>
  </si>
  <si>
    <t>Agricultura, Silvicultura, Pesca y Veterinaria</t>
  </si>
  <si>
    <t>Artes y Humanidades</t>
  </si>
  <si>
    <t>Ciencias naturales, matemáticas y estadística</t>
  </si>
  <si>
    <t>Ciencias Sociales, Periodismo e Información</t>
  </si>
  <si>
    <t>Ingeniería, Industria y Construcción</t>
  </si>
  <si>
    <t>Salud y Bienestar</t>
  </si>
  <si>
    <t>Servicios</t>
  </si>
  <si>
    <t>Tecnología de la Información y la Comunicación (TIC)</t>
  </si>
  <si>
    <t>Total general</t>
  </si>
  <si>
    <t>Tasa de Aprobación Anual de las cohortes 2018 a 2024 por tipo de institución en Matrícula 2024</t>
  </si>
  <si>
    <t>Cohorte 2018</t>
  </si>
  <si>
    <t>Cohorte 2019</t>
  </si>
  <si>
    <t>Cohorte 2020</t>
  </si>
  <si>
    <t>Cohorte 2021</t>
  </si>
  <si>
    <t>Cohorte 2022</t>
  </si>
  <si>
    <t>Cohorte 2023</t>
  </si>
  <si>
    <t>Cohorte 2024</t>
  </si>
  <si>
    <t>Tasa de Aprobación Anual de las cohortes 2018 a 2024 por tipo de institución específica en Matrícula 2024</t>
  </si>
  <si>
    <t>*Se presenta el indicador solo si contiene al menos 10 casos de estudiantes en el año respectivo.</t>
  </si>
  <si>
    <t>Tasa de Aprobación Anual de las cohortes 2018 a 2024 por sexo en Matrícula 2024</t>
  </si>
  <si>
    <t>Sexo</t>
  </si>
  <si>
    <t>Brecha Mujer-Hombre</t>
  </si>
  <si>
    <t>*Existen 9 casos de sexo no binario, los cuales están considerados en el total general de la tabla.</t>
  </si>
  <si>
    <r>
      <t>Carreras con mayor tasa de Aprobación Anual, comparación entre 1</t>
    </r>
    <r>
      <rPr>
        <b/>
        <vertAlign val="superscript"/>
        <sz val="11"/>
        <color theme="1"/>
        <rFont val="Calibri"/>
        <family val="2"/>
        <scheme val="minor"/>
      </rPr>
      <t>er</t>
    </r>
    <r>
      <rPr>
        <b/>
        <sz val="11"/>
        <color theme="1"/>
        <rFont val="Calibri"/>
        <family val="2"/>
        <scheme val="minor"/>
      </rPr>
      <t xml:space="preserve"> año y total cohortes en Universidades - Matrícula sobre mil estudiantes 2024</t>
    </r>
  </si>
  <si>
    <t>Carrera</t>
  </si>
  <si>
    <t>Medicina</t>
  </si>
  <si>
    <t>Publicidad</t>
  </si>
  <si>
    <t>Pedagogía en Educación Diferencial</t>
  </si>
  <si>
    <t>Realizador de Cine y Televisión</t>
  </si>
  <si>
    <t>Psicología</t>
  </si>
  <si>
    <t>Pedagogía en Educación de Párvulos</t>
  </si>
  <si>
    <t>Pedagogía en Educación Básica</t>
  </si>
  <si>
    <t>Obstetricia y Puericultura</t>
  </si>
  <si>
    <t>Actuación y Teatro</t>
  </si>
  <si>
    <t>Enfermería</t>
  </si>
  <si>
    <r>
      <t>Carreras con menor tasa de Aprobación Anual, comparación entre 1</t>
    </r>
    <r>
      <rPr>
        <b/>
        <vertAlign val="superscript"/>
        <sz val="11"/>
        <color theme="1"/>
        <rFont val="Calibri"/>
        <family val="2"/>
        <scheme val="minor"/>
      </rPr>
      <t>er</t>
    </r>
    <r>
      <rPr>
        <b/>
        <sz val="11"/>
        <color theme="1"/>
        <rFont val="Calibri"/>
        <family val="2"/>
        <scheme val="minor"/>
      </rPr>
      <t xml:space="preserve"> año y total cohortes en Universidades – Matrícula sobre mil estudiantes 2024</t>
    </r>
  </si>
  <si>
    <t>Ingeniería Civil Ambiental</t>
  </si>
  <si>
    <t>Ingeniería en Construcción</t>
  </si>
  <si>
    <t>Ingeniería Civil Electrónica</t>
  </si>
  <si>
    <t>Física y Astronomía</t>
  </si>
  <si>
    <t>Geología</t>
  </si>
  <si>
    <t>Ingeniería Civil Mecánica</t>
  </si>
  <si>
    <t>Ingeniería Civil Eléctrica</t>
  </si>
  <si>
    <t>Ingeniería Civil en Minas</t>
  </si>
  <si>
    <t>Ingeniería en Electricidad</t>
  </si>
  <si>
    <t>Ingeniería Civil Metalúrgica</t>
  </si>
  <si>
    <r>
      <t>Carreras con mayor tasa de Aprobación Anual, comparación entre 1</t>
    </r>
    <r>
      <rPr>
        <b/>
        <vertAlign val="superscript"/>
        <sz val="11"/>
        <color theme="1"/>
        <rFont val="Calibri"/>
        <family val="2"/>
        <scheme val="minor"/>
      </rPr>
      <t>er</t>
    </r>
    <r>
      <rPr>
        <b/>
        <sz val="11"/>
        <color theme="1"/>
        <rFont val="Calibri"/>
        <family val="2"/>
        <scheme val="minor"/>
      </rPr>
      <t xml:space="preserve"> año y total cohortes en IP – Matrícula sobre mil estudiantes 2024</t>
    </r>
  </si>
  <si>
    <t>Ingeniería en Seguridad Privada</t>
  </si>
  <si>
    <t>Administración Pública</t>
  </si>
  <si>
    <t>Trabajo Social</t>
  </si>
  <si>
    <t>Técnico en Podología</t>
  </si>
  <si>
    <t>Administración Gastronómica</t>
  </si>
  <si>
    <t>Terapia Ocupacional</t>
  </si>
  <si>
    <t>Técnico en Farmacia</t>
  </si>
  <si>
    <t>Psicopedagogía</t>
  </si>
  <si>
    <t>Ingeniería en Recursos Humanos</t>
  </si>
  <si>
    <t>Kinesiología</t>
  </si>
  <si>
    <t>Técnico en Mantenimiento Industrial</t>
  </si>
  <si>
    <t>Música, Canto o Danza</t>
  </si>
  <si>
    <t>Técnico Jurídico</t>
  </si>
  <si>
    <t>Técnico en Instrumentación, Automatización y Control Industrial</t>
  </si>
  <si>
    <t>Técnico en Minería</t>
  </si>
  <si>
    <t>Técnico en Construcción y Obras Civiles</t>
  </si>
  <si>
    <t>Técnico en Mecánica Automotriz</t>
  </si>
  <si>
    <t>Técnico en Administración en Marketing</t>
  </si>
  <si>
    <t>Técnico en Administración de Redes y Soporte</t>
  </si>
  <si>
    <t>Técnico en Laboratorio Clínico</t>
  </si>
  <si>
    <t>Técnico Asistente del Educador Diferencial</t>
  </si>
  <si>
    <t>Técnico Dental y Asistente de Odontología</t>
  </si>
  <si>
    <t>Técnico Asistente del Educador de Párvulos</t>
  </si>
  <si>
    <t>Técnico Veterinario</t>
  </si>
  <si>
    <t>Técnico en Enfermería</t>
  </si>
  <si>
    <t>Técnico en Administración de Recursos Humanos y Personal</t>
  </si>
  <si>
    <t>Técnico en Gastronomía y Cocina</t>
  </si>
  <si>
    <t>Técnico Agropecuario</t>
  </si>
  <si>
    <t>Técnico en Computación e Informática</t>
  </si>
  <si>
    <t>Técnico en Electricidad y Electricidad Industrial</t>
  </si>
  <si>
    <t>Técnico en Mecánica Industrial</t>
  </si>
  <si>
    <t>Técnico en Diseño Gráfico</t>
  </si>
  <si>
    <r>
      <t>Tasa de Aprobación Anual de carreras genéricas de pedagogía y sexo*, comparación entre 1</t>
    </r>
    <r>
      <rPr>
        <b/>
        <vertAlign val="superscript"/>
        <sz val="11"/>
        <color theme="1"/>
        <rFont val="Calibri"/>
        <family val="2"/>
        <scheme val="minor"/>
      </rPr>
      <t>er</t>
    </r>
    <r>
      <rPr>
        <b/>
        <sz val="11"/>
        <color theme="1"/>
        <rFont val="Calibri"/>
        <family val="2"/>
        <scheme val="minor"/>
      </rPr>
      <t xml:space="preserve"> año y total cohortes</t>
    </r>
  </si>
  <si>
    <t>Carreras de pedagogía y Sexo</t>
  </si>
  <si>
    <t>Cohorte 1er año 2024 Mujeres</t>
  </si>
  <si>
    <t>Total cohortes 2024 Mujeres</t>
  </si>
  <si>
    <t>Cohorte 1er año 2024 Hombres</t>
  </si>
  <si>
    <t>Total cohortes 2024 Hombres</t>
  </si>
  <si>
    <t>Cohorte 1er año 2024 Total</t>
  </si>
  <si>
    <t>Total cohortes 2024 Total</t>
  </si>
  <si>
    <t>Pedagogía en Artes y Música</t>
  </si>
  <si>
    <t>Pedagogía en Ciencias</t>
  </si>
  <si>
    <t>Pedagogía en Educación Física</t>
  </si>
  <si>
    <t>Pedagogía en Filosofía y Religión</t>
  </si>
  <si>
    <t>Pedagogía en Historia, Geografía y Ciencias Sociales</t>
  </si>
  <si>
    <t>Pedagogía en Idiomas</t>
  </si>
  <si>
    <t>Pedagogía en Lenguaje, Comunicación y/o Castellano</t>
  </si>
  <si>
    <t>Pedagogía en Matemáticas y Computación</t>
  </si>
  <si>
    <t>*Considera solo las carreras genéricas de pedagogía con 100 o más casos válidos para el cálculo de la tasa. Existe 1 caso de sexo no binario, el cual está considerado en el total general de la tabla.</t>
  </si>
  <si>
    <t>Tipo dependencia</t>
  </si>
  <si>
    <t>Universidades</t>
  </si>
  <si>
    <t>Establecimientos Públicos*</t>
  </si>
  <si>
    <t>Particular Pagado</t>
  </si>
  <si>
    <t>Particular Subvencionado</t>
  </si>
  <si>
    <t>Administración Delegada</t>
  </si>
  <si>
    <t>Sin información</t>
  </si>
  <si>
    <t>*Incluye establecimientos Municipal y Servicios Locales de Educación Pública.</t>
  </si>
  <si>
    <t>Municipal</t>
  </si>
  <si>
    <t>Serv. Local de Educación Pública</t>
  </si>
  <si>
    <t>Tipo de enseñanza</t>
  </si>
  <si>
    <t>HC</t>
  </si>
  <si>
    <t>TP</t>
  </si>
  <si>
    <t>Variación 2016-2024 en p.p.</t>
  </si>
  <si>
    <t>Variación 2020-2024 en p.p.</t>
  </si>
  <si>
    <t>Variación 2023-2024 en p.p.</t>
  </si>
  <si>
    <t>Nivel carrera</t>
  </si>
  <si>
    <t>Profesional con Licenciatura</t>
  </si>
  <si>
    <t>Profesional sin Licenciatura</t>
  </si>
  <si>
    <t>Licenciatura no conducente a título</t>
  </si>
  <si>
    <t>Bachillerato, Ciclo Inicial o Plan Común</t>
  </si>
  <si>
    <t>Técnico de Nivel Superior</t>
  </si>
  <si>
    <t>Tipo de institución y carrera</t>
  </si>
  <si>
    <t>Centros de Formación Técnica</t>
  </si>
  <si>
    <t>Institutos Profesionales</t>
  </si>
  <si>
    <t xml:space="preserve">Profesional sin licenciatura </t>
  </si>
  <si>
    <t xml:space="preserve">Profesional con licenciatura </t>
  </si>
  <si>
    <t>Bachillerato, ciclo inicial o plan común</t>
  </si>
  <si>
    <t>Área de conocimiento</t>
  </si>
  <si>
    <t>Evolución de Aprobación Anual por tipo carrera y área del conocimiento, total cohortes</t>
  </si>
  <si>
    <t xml:space="preserve">Tipo de carrera y área </t>
  </si>
  <si>
    <t xml:space="preserve">Carreras Profesionales </t>
  </si>
  <si>
    <t>Carreras Técnicas</t>
  </si>
  <si>
    <t xml:space="preserve">Carreras Profesionales considera carreras Profesionales con y sin licenciatura, licenciaturas no conducentes a título y programas de Bachillerato o planes comunes. Carreras Técnicas incluye programas Técnicos de Nivel Superior. </t>
  </si>
  <si>
    <t>Evolución de Aprobación Anual por jornada, total cohortes</t>
  </si>
  <si>
    <t>Tipo de jornada</t>
  </si>
  <si>
    <t>Diurno</t>
  </si>
  <si>
    <t>Vespertino</t>
  </si>
  <si>
    <t>Semipresencial</t>
  </si>
  <si>
    <t>A Distancia</t>
  </si>
  <si>
    <t>Otro</t>
  </si>
  <si>
    <t>Tipo de carrera y jornada</t>
  </si>
  <si>
    <t>Carrerras Profesionales</t>
  </si>
  <si>
    <t>Avance Curricular Esperado</t>
  </si>
  <si>
    <t>*Existen 12 casos de sexo no binario, los cuales están considerados en el total general de la tabla.</t>
  </si>
  <si>
    <t>Tasa de Avance Curricular Esperado por tipo de institución específica, total de cohortes en Matrícula 2024</t>
  </si>
  <si>
    <t>Tasa de Avance Curricular Esperado por sexo según tipo de institución específica, cohorte 2024, 1er año</t>
  </si>
  <si>
    <t>Tasa de Avance Curricular Esperado por sexo según área del conocimiento, 1er año en Matrícula 2024</t>
  </si>
  <si>
    <t>Tasa de Avance Curricular Esperado por sexo según áreas CINE UNESCO 2013, total cohortes en Matrícula 2024</t>
  </si>
  <si>
    <t>Tasa de Avance Curricular Esperado de cohortes 2018 a 2024 por tipo de institución en Matrícula 2024</t>
  </si>
  <si>
    <t>Tasa de Avance Curricular Esperado de cohortes 2018 a 2024 por tipo de institución específica en Matrícula 2024</t>
  </si>
  <si>
    <t>Tipo específico de institución</t>
  </si>
  <si>
    <t>Tasa de Avance Curricular Esperado de cohortes 2018 a 2024 por sexo en Matrícula 2024</t>
  </si>
  <si>
    <t>*Existen 11 casos de sexo no binario, los cuales están considerados en el total general de la tabla.</t>
  </si>
  <si>
    <r>
      <t>Carreras con mayor tasa de Avance Curricular Esperado, comparación entre 1</t>
    </r>
    <r>
      <rPr>
        <b/>
        <vertAlign val="superscript"/>
        <sz val="11"/>
        <color theme="1"/>
        <rFont val="Calibri"/>
        <family val="2"/>
        <scheme val="minor"/>
      </rPr>
      <t>er</t>
    </r>
    <r>
      <rPr>
        <b/>
        <sz val="11"/>
        <color theme="1"/>
        <rFont val="Calibri"/>
        <family val="2"/>
        <scheme val="minor"/>
      </rPr>
      <t xml:space="preserve"> año y total cohortes en Universidades - Matrícula sobre mil estudiantes 2024</t>
    </r>
  </si>
  <si>
    <t>Periodismo</t>
  </si>
  <si>
    <t>Animación Digital</t>
  </si>
  <si>
    <t>Ingeniería en Computación e Informática</t>
  </si>
  <si>
    <t>Ingeniería Civil en Computación e Informática</t>
  </si>
  <si>
    <t>Ingeniería Civil en Obras Civiles</t>
  </si>
  <si>
    <t>Ingeniería Mecánica</t>
  </si>
  <si>
    <t>Ingeniería en Finanzas</t>
  </si>
  <si>
    <t>Ingeniería Agrícola</t>
  </si>
  <si>
    <t>Técnico en Prevención de Riesgos</t>
  </si>
  <si>
    <t>Técnico en Turismo y Hotelería</t>
  </si>
  <si>
    <t>Técnico en Logística</t>
  </si>
  <si>
    <r>
      <t>Tasa de Avance Curricular Esperado de carreras genéricas de pedagogía y sexo*, comparación entre 1</t>
    </r>
    <r>
      <rPr>
        <b/>
        <vertAlign val="superscript"/>
        <sz val="11"/>
        <color theme="1"/>
        <rFont val="Calibri"/>
        <family val="2"/>
        <scheme val="minor"/>
      </rPr>
      <t>er</t>
    </r>
    <r>
      <rPr>
        <b/>
        <sz val="11"/>
        <color theme="1"/>
        <rFont val="Calibri"/>
        <family val="2"/>
        <scheme val="minor"/>
      </rPr>
      <t xml:space="preserve"> año y total cohortes</t>
    </r>
  </si>
  <si>
    <t>Carreras de pedagogía</t>
  </si>
  <si>
    <t xml:space="preserve"> *Incluye establecimientos Municipal y Servicios Locales de Educación Pública.</t>
  </si>
  <si>
    <t>Tasa de Avance Curricular Esperado por tipo de enseñanza del establecimiento de origen y tipo de institución, total de cohortes</t>
  </si>
  <si>
    <t>EVOLUCIÓN AVANCE CURRICULAR ESPERADO 2016 - 2024</t>
  </si>
  <si>
    <t>Tipo de carrera</t>
  </si>
  <si>
    <t>Evolución de Avance Curricular Esperado por tipo de institución y carrera, total cohortes</t>
  </si>
  <si>
    <t>Evolución de Avance Curricular Esperado por jornada, total cohortes</t>
  </si>
  <si>
    <t>Tasa de Avance Curricular Esperado por tipo de dependencia desagregada del establecimiento de origen y tipo de institución, total de cohortes</t>
  </si>
  <si>
    <t>NOTA 1: En caso de utilizar datos de esta base para notas periodísticas o estudios, se debe citar como fuente de los datos al Servicio de Información de Educación Superior (SIES), de Mineduc.</t>
  </si>
  <si>
    <t>NOTA 2: En el Informe 2025, en la Tasa de Avance Curricular Esperado se precisó el tratamiento de las distintas situaciones que pueden presentar los estudiantes en avance curricular, para que su cálculo sea acorde en estos casos, por lo que podrían observarse leves diferencias en los resultados respecto a lo publicado en informes de años anteriores.</t>
  </si>
  <si>
    <t>Tasa de Avance Curricular Esperado por sexo según tipo de institución específica, total de cohortes en Matrícula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</si>
</sst>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 #,##0_ ;_ * \-#,##0_ ;_ * &quot;-&quot;_ ;_ @_ "/>
    <numFmt numFmtId="164" formatCode="_-* #,##0.00_-;\-* #,##0.00_-;_-* &quot;-&quot;??_-;_-@_-"/>
    <numFmt numFmtId="165" formatCode="_-* #,##0.00\ _€_-;\-* #,##0.00\ _€_-;_-* &quot;-&quot;??\ _€_-;_-@_-"/>
    <numFmt numFmtId="166" formatCode="_-* #,##0_-;\-* #,##0_-;_-* &quot;-&quot;??_-;_-@_-"/>
    <numFmt numFmtId="167" formatCode="0.0%"/>
    <numFmt numFmtId="168" formatCode="_-* #,##0_-;\-* #,##0_-;_-* &quot;-&quot;?_-;_-@_-"/>
    <numFmt numFmtId="169" formatCode="_ * #,##0.0_ ;_ * \-#,##0.0_ ;_ * &quot;-&quot;?_ ;_ @_ "/>
    <numFmt numFmtId="170" formatCode="#,##0.0_ ;\-#,##0.0\ "/>
    <numFmt numFmtId="171" formatCode="0.0"/>
    <numFmt numFmtId="172" formatCode="_ * #,##0.0000_ ;_ * \-#,##0.0000_ ;_ * &quot;-&quot;_ ;_ @_ "/>
    <numFmt numFmtId="173" formatCode="0.000%"/>
    <numFmt numFmtId="174" formatCode="_ * #,##0.0_ ;_ * \-#,##0.0_ ;_ * &quot;-&quot;_ ;_ @_ "/>
  </numFmts>
  <fonts count="27" x14ac:knownFonts="1">
    <font>
      <sz val="11"/>
      <color theme="1"/>
      <name val="Calibri"/>
      <family val="2"/>
      <scheme val="minor"/>
    </font>
    <font>
      <sz val="10"/>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1"/>
      <color indexed="8"/>
      <name val="Calibri"/>
      <family val="2"/>
    </font>
    <font>
      <sz val="10"/>
      <name val="Arial"/>
      <family val="2"/>
    </font>
    <font>
      <sz val="10"/>
      <name val="MS Sans Serif"/>
      <family val="2"/>
    </font>
    <font>
      <sz val="11"/>
      <color theme="1"/>
      <name val="Cambria"/>
      <family val="2"/>
      <scheme val="major"/>
    </font>
    <font>
      <u/>
      <sz val="11"/>
      <color theme="10"/>
      <name val="Calibri"/>
      <family val="2"/>
      <scheme val="minor"/>
    </font>
    <font>
      <b/>
      <sz val="11"/>
      <color rgb="FFFF0000"/>
      <name val="Calibri"/>
      <family val="2"/>
      <scheme val="minor"/>
    </font>
    <font>
      <b/>
      <sz val="12"/>
      <color theme="1"/>
      <name val="Calibri"/>
      <family val="2"/>
      <scheme val="minor"/>
    </font>
    <font>
      <b/>
      <sz val="26"/>
      <color theme="1"/>
      <name val="Calibri"/>
      <family val="2"/>
      <scheme val="minor"/>
    </font>
    <font>
      <b/>
      <sz val="16"/>
      <color theme="1"/>
      <name val="Calibri"/>
      <family val="2"/>
      <scheme val="minor"/>
    </font>
    <font>
      <sz val="8"/>
      <color theme="1"/>
      <name val="Calibri"/>
      <family val="2"/>
      <scheme val="minor"/>
    </font>
    <font>
      <sz val="8"/>
      <name val="Calibri"/>
      <family val="2"/>
      <scheme val="minor"/>
    </font>
    <font>
      <b/>
      <sz val="12"/>
      <color rgb="FF000000"/>
      <name val="Calibri"/>
      <family val="2"/>
      <scheme val="minor"/>
    </font>
    <font>
      <sz val="9"/>
      <color theme="1"/>
      <name val="Calibri"/>
      <family val="2"/>
      <scheme val="minor"/>
    </font>
    <font>
      <b/>
      <vertAlign val="superscript"/>
      <sz val="10"/>
      <color theme="1"/>
      <name val="Calibri"/>
      <family val="2"/>
      <scheme val="minor"/>
    </font>
    <font>
      <b/>
      <vertAlign val="superscript"/>
      <sz val="11"/>
      <color theme="1"/>
      <name val="Calibri"/>
      <family val="2"/>
      <scheme val="minor"/>
    </font>
    <font>
      <b/>
      <sz val="10"/>
      <color rgb="FF000000"/>
      <name val="Calibri"/>
      <family val="2"/>
      <scheme val="minor"/>
    </font>
    <font>
      <b/>
      <sz val="11"/>
      <color rgb="FF000000"/>
      <name val="Calibri"/>
      <family val="2"/>
      <scheme val="minor"/>
    </font>
    <font>
      <sz val="9"/>
      <name val="Calibri"/>
      <family val="2"/>
      <scheme val="minor"/>
    </font>
    <font>
      <b/>
      <sz val="24"/>
      <color theme="1"/>
      <name val="Calibri"/>
      <family val="2"/>
      <scheme val="minor"/>
    </font>
    <font>
      <b/>
      <sz val="22"/>
      <color theme="1"/>
      <name val="Calibri"/>
      <family val="2"/>
      <scheme val="minor"/>
    </font>
    <font>
      <b/>
      <u/>
      <sz val="16"/>
      <color theme="1"/>
      <name val="Calibri"/>
      <family val="2"/>
      <scheme val="minor"/>
    </font>
    <font>
      <b/>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theme="4" tint="0.79998168889431442"/>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39">
    <xf numFmtId="0" fontId="0" fillId="0" borderId="0"/>
    <xf numFmtId="164" fontId="2"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6" fillId="0" borderId="0"/>
    <xf numFmtId="9" fontId="7" fillId="0" borderId="0" applyFont="0" applyFill="0" applyBorder="0" applyAlignment="0" applyProtection="0"/>
    <xf numFmtId="0" fontId="8" fillId="0" borderId="0"/>
    <xf numFmtId="164" fontId="8"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2" fillId="0" borderId="0" applyFont="0" applyFill="0" applyBorder="0" applyAlignment="0" applyProtection="0"/>
    <xf numFmtId="0" fontId="9" fillId="0" borderId="0" applyNumberForma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6" fillId="0" borderId="0"/>
    <xf numFmtId="165" fontId="2" fillId="0" borderId="0" applyFon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0" fontId="2" fillId="0" borderId="0"/>
    <xf numFmtId="41" fontId="2" fillId="0" borderId="0" applyFont="0" applyFill="0" applyBorder="0" applyAlignment="0" applyProtection="0"/>
    <xf numFmtId="165" fontId="2" fillId="0" borderId="0" applyFont="0" applyFill="0" applyBorder="0" applyAlignment="0" applyProtection="0"/>
    <xf numFmtId="0" fontId="2" fillId="0" borderId="0"/>
    <xf numFmtId="164"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cellStyleXfs>
  <cellXfs count="140">
    <xf numFmtId="0" fontId="0" fillId="0" borderId="0" xfId="0"/>
    <xf numFmtId="0" fontId="4" fillId="3" borderId="1" xfId="0" applyFont="1" applyFill="1" applyBorder="1" applyAlignment="1">
      <alignment horizontal="center" vertical="center" wrapText="1"/>
    </xf>
    <xf numFmtId="0" fontId="0" fillId="0" borderId="0" xfId="0" applyAlignment="1">
      <alignment vertical="center"/>
    </xf>
    <xf numFmtId="167" fontId="0" fillId="0" borderId="0" xfId="14" applyNumberFormat="1" applyFont="1" applyAlignment="1">
      <alignment vertical="center"/>
    </xf>
    <xf numFmtId="0" fontId="0" fillId="2" borderId="0" xfId="0" applyFill="1" applyAlignment="1">
      <alignment vertical="center"/>
    </xf>
    <xf numFmtId="0" fontId="0" fillId="2" borderId="0" xfId="0" applyFill="1" applyAlignment="1">
      <alignment horizontal="center" vertical="center"/>
    </xf>
    <xf numFmtId="167" fontId="4" fillId="0" borderId="1" xfId="14" applyNumberFormat="1" applyFont="1" applyBorder="1" applyAlignment="1">
      <alignment horizontal="center" vertical="center"/>
    </xf>
    <xf numFmtId="0" fontId="0" fillId="0" borderId="0" xfId="0" applyAlignment="1">
      <alignment horizontal="center" vertical="center"/>
    </xf>
    <xf numFmtId="167" fontId="0" fillId="0" borderId="0" xfId="14" applyNumberFormat="1" applyFont="1" applyAlignment="1">
      <alignment horizontal="center" vertical="center"/>
    </xf>
    <xf numFmtId="0" fontId="9" fillId="0" borderId="0" xfId="15" applyAlignment="1">
      <alignment vertical="center"/>
    </xf>
    <xf numFmtId="167" fontId="4" fillId="0" borderId="0" xfId="14" applyNumberFormat="1" applyFont="1" applyBorder="1" applyAlignment="1">
      <alignment vertical="center"/>
    </xf>
    <xf numFmtId="166" fontId="4" fillId="0" borderId="0" xfId="1" applyNumberFormat="1" applyFont="1" applyBorder="1" applyAlignment="1">
      <alignment vertical="center"/>
    </xf>
    <xf numFmtId="167" fontId="4" fillId="0" borderId="0" xfId="14" applyNumberFormat="1" applyFont="1" applyBorder="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vertical="center"/>
    </xf>
    <xf numFmtId="0" fontId="11" fillId="2" borderId="0" xfId="0" applyFont="1" applyFill="1" applyAlignment="1">
      <alignment vertical="center"/>
    </xf>
    <xf numFmtId="0" fontId="9" fillId="2" borderId="0" xfId="15" applyFill="1" applyAlignment="1">
      <alignment vertical="center"/>
    </xf>
    <xf numFmtId="0" fontId="10" fillId="2" borderId="0" xfId="0" applyFont="1" applyFill="1" applyAlignment="1">
      <alignment vertical="center"/>
    </xf>
    <xf numFmtId="164" fontId="4" fillId="3" borderId="1" xfId="2" applyFont="1" applyFill="1" applyBorder="1" applyAlignment="1">
      <alignment horizontal="left" vertical="center"/>
    </xf>
    <xf numFmtId="0" fontId="13" fillId="0" borderId="0" xfId="0" applyFont="1" applyAlignment="1">
      <alignment vertical="center"/>
    </xf>
    <xf numFmtId="164" fontId="4" fillId="0" borderId="1" xfId="2" applyFont="1" applyBorder="1" applyAlignment="1">
      <alignment vertical="center"/>
    </xf>
    <xf numFmtId="164" fontId="4" fillId="3" borderId="1" xfId="2" applyFont="1" applyFill="1" applyBorder="1" applyAlignment="1">
      <alignment horizontal="left" vertical="center" wrapText="1"/>
    </xf>
    <xf numFmtId="0" fontId="10" fillId="0" borderId="0" xfId="0" applyFont="1" applyAlignment="1">
      <alignment vertical="center"/>
    </xf>
    <xf numFmtId="0" fontId="9" fillId="0" borderId="0" xfId="15" quotePrefix="1" applyFill="1"/>
    <xf numFmtId="0" fontId="9" fillId="0" borderId="0" xfId="15" applyFill="1"/>
    <xf numFmtId="164" fontId="1" fillId="0" borderId="1" xfId="2" applyFont="1" applyBorder="1" applyAlignment="1">
      <alignment vertical="center"/>
    </xf>
    <xf numFmtId="167" fontId="1" fillId="0" borderId="1" xfId="14" applyNumberFormat="1" applyFont="1" applyBorder="1" applyAlignment="1">
      <alignment horizontal="center" vertical="center"/>
    </xf>
    <xf numFmtId="164" fontId="1" fillId="0" borderId="1" xfId="2" applyFont="1" applyFill="1" applyBorder="1" applyAlignment="1">
      <alignment vertical="center"/>
    </xf>
    <xf numFmtId="0" fontId="4" fillId="3" borderId="1" xfId="0" applyFont="1" applyFill="1" applyBorder="1" applyAlignment="1">
      <alignment horizontal="left" vertical="center" wrapText="1"/>
    </xf>
    <xf numFmtId="0" fontId="4" fillId="0" borderId="1" xfId="0" applyFont="1" applyBorder="1" applyAlignment="1">
      <alignment vertical="center"/>
    </xf>
    <xf numFmtId="0" fontId="4" fillId="3" borderId="2" xfId="0" applyFont="1" applyFill="1" applyBorder="1" applyAlignment="1">
      <alignment horizontal="center" vertical="center" wrapText="1"/>
    </xf>
    <xf numFmtId="167" fontId="0" fillId="0" borderId="0" xfId="14" applyNumberFormat="1" applyFont="1" applyBorder="1" applyAlignment="1">
      <alignment vertical="center"/>
    </xf>
    <xf numFmtId="167" fontId="1" fillId="0" borderId="1" xfId="14" applyNumberFormat="1" applyFont="1" applyBorder="1" applyAlignment="1">
      <alignment vertical="center"/>
    </xf>
    <xf numFmtId="0" fontId="13" fillId="2" borderId="0" xfId="0" applyFont="1" applyFill="1" applyAlignment="1">
      <alignment vertical="center"/>
    </xf>
    <xf numFmtId="164" fontId="1" fillId="2" borderId="1" xfId="2" applyFont="1" applyFill="1" applyBorder="1" applyAlignment="1">
      <alignment vertical="center"/>
    </xf>
    <xf numFmtId="164" fontId="4" fillId="2" borderId="1" xfId="2" applyFont="1" applyFill="1" applyBorder="1" applyAlignment="1">
      <alignment vertical="center"/>
    </xf>
    <xf numFmtId="0" fontId="4" fillId="2" borderId="1" xfId="0" applyFont="1" applyFill="1" applyBorder="1" applyAlignment="1">
      <alignment vertical="center"/>
    </xf>
    <xf numFmtId="164" fontId="4" fillId="3" borderId="1" xfId="2" applyFont="1" applyFill="1" applyBorder="1" applyAlignment="1">
      <alignment horizontal="center" vertical="center" wrapText="1"/>
    </xf>
    <xf numFmtId="0" fontId="4" fillId="3" borderId="1" xfId="2" applyNumberFormat="1" applyFont="1" applyFill="1" applyBorder="1" applyAlignment="1">
      <alignment horizontal="center" vertical="center" wrapText="1"/>
    </xf>
    <xf numFmtId="0" fontId="4" fillId="2" borderId="0" xfId="0" applyFont="1" applyFill="1" applyAlignment="1">
      <alignment vertical="center"/>
    </xf>
    <xf numFmtId="167" fontId="4" fillId="2" borderId="0" xfId="0" applyNumberFormat="1" applyFont="1" applyFill="1" applyAlignment="1">
      <alignment vertical="center"/>
    </xf>
    <xf numFmtId="0" fontId="4" fillId="0" borderId="0" xfId="0" applyFont="1" applyAlignment="1">
      <alignment vertical="center"/>
    </xf>
    <xf numFmtId="167" fontId="4" fillId="0" borderId="0" xfId="0" applyNumberFormat="1" applyFont="1" applyAlignment="1">
      <alignment vertical="center"/>
    </xf>
    <xf numFmtId="168" fontId="0" fillId="0" borderId="0" xfId="0" applyNumberFormat="1" applyAlignment="1">
      <alignment vertical="center"/>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3" fillId="4" borderId="1" xfId="0" applyFont="1" applyFill="1" applyBorder="1" applyAlignment="1">
      <alignment vertical="center"/>
    </xf>
    <xf numFmtId="0" fontId="4" fillId="4" borderId="1" xfId="2" applyNumberFormat="1" applyFont="1" applyFill="1" applyBorder="1" applyAlignment="1">
      <alignment horizontal="center" vertical="center" wrapText="1"/>
    </xf>
    <xf numFmtId="164" fontId="4" fillId="4" borderId="1" xfId="2" applyFont="1" applyFill="1" applyBorder="1" applyAlignment="1">
      <alignment horizontal="left" vertical="center" wrapText="1"/>
    </xf>
    <xf numFmtId="169" fontId="0" fillId="0" borderId="0" xfId="0" applyNumberFormat="1" applyAlignment="1">
      <alignment vertical="center"/>
    </xf>
    <xf numFmtId="166" fontId="4" fillId="0" borderId="1" xfId="1" applyNumberFormat="1" applyFont="1" applyBorder="1" applyAlignment="1">
      <alignment horizontal="center" vertical="center"/>
    </xf>
    <xf numFmtId="167" fontId="4" fillId="0" borderId="0" xfId="0" applyNumberFormat="1"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167" fontId="4" fillId="2" borderId="1" xfId="14" applyNumberFormat="1" applyFont="1" applyFill="1" applyBorder="1" applyAlignment="1">
      <alignment horizontal="center" vertical="center"/>
    </xf>
    <xf numFmtId="167" fontId="3" fillId="2" borderId="1" xfId="14" applyNumberFormat="1" applyFont="1" applyFill="1" applyBorder="1" applyAlignment="1">
      <alignment horizontal="center" vertical="center"/>
    </xf>
    <xf numFmtId="166" fontId="4" fillId="2" borderId="1" xfId="1" applyNumberFormat="1" applyFont="1" applyFill="1" applyBorder="1" applyAlignment="1">
      <alignment horizontal="center" vertical="center"/>
    </xf>
    <xf numFmtId="167" fontId="4" fillId="2" borderId="1" xfId="0" applyNumberFormat="1" applyFont="1" applyFill="1" applyBorder="1" applyAlignment="1">
      <alignment horizontal="center" vertical="center"/>
    </xf>
    <xf numFmtId="170" fontId="1" fillId="0" borderId="1" xfId="18" applyNumberFormat="1" applyFont="1" applyBorder="1" applyAlignment="1">
      <alignment horizontal="center" vertical="center"/>
    </xf>
    <xf numFmtId="170" fontId="4" fillId="0" borderId="1" xfId="18" applyNumberFormat="1" applyFont="1" applyBorder="1" applyAlignment="1">
      <alignment horizontal="center" vertical="center"/>
    </xf>
    <xf numFmtId="166" fontId="1" fillId="2" borderId="1" xfId="16" applyNumberFormat="1" applyFont="1" applyFill="1" applyBorder="1" applyAlignment="1">
      <alignment horizontal="left" vertical="center"/>
    </xf>
    <xf numFmtId="167" fontId="1" fillId="2" borderId="1" xfId="14" applyNumberFormat="1" applyFont="1" applyFill="1" applyBorder="1" applyAlignment="1">
      <alignment horizontal="center" vertical="center"/>
    </xf>
    <xf numFmtId="166" fontId="4" fillId="2" borderId="1" xfId="16" applyNumberFormat="1" applyFont="1" applyFill="1" applyBorder="1" applyAlignment="1">
      <alignment horizontal="left" vertical="center"/>
    </xf>
    <xf numFmtId="166" fontId="4" fillId="2" borderId="0" xfId="16" applyNumberFormat="1" applyFont="1" applyFill="1" applyBorder="1" applyAlignment="1">
      <alignment horizontal="left" vertical="center"/>
    </xf>
    <xf numFmtId="166" fontId="4" fillId="2" borderId="0" xfId="16" applyNumberFormat="1" applyFont="1" applyFill="1" applyBorder="1" applyAlignment="1">
      <alignment horizontal="center" vertical="center"/>
    </xf>
    <xf numFmtId="165" fontId="4" fillId="0" borderId="1" xfId="16" applyFont="1" applyBorder="1" applyAlignment="1">
      <alignment horizontal="left" vertical="center"/>
    </xf>
    <xf numFmtId="166" fontId="1" fillId="0" borderId="1" xfId="19" applyNumberFormat="1" applyFont="1" applyFill="1" applyBorder="1" applyAlignment="1">
      <alignment horizontal="left" vertical="center"/>
    </xf>
    <xf numFmtId="0" fontId="1" fillId="0" borderId="0" xfId="0" applyFont="1" applyAlignment="1">
      <alignment horizontal="left" vertical="center"/>
    </xf>
    <xf numFmtId="165" fontId="4" fillId="0" borderId="1" xfId="19" applyFont="1" applyBorder="1" applyAlignment="1">
      <alignment horizontal="left" vertical="center"/>
    </xf>
    <xf numFmtId="166" fontId="1" fillId="0" borderId="1" xfId="24" applyNumberFormat="1" applyFont="1" applyFill="1" applyBorder="1" applyAlignment="1">
      <alignment horizontal="left" vertical="center"/>
    </xf>
    <xf numFmtId="0" fontId="4" fillId="3" borderId="1" xfId="0" applyFont="1" applyFill="1" applyBorder="1" applyAlignment="1">
      <alignment horizontal="center" vertical="center"/>
    </xf>
    <xf numFmtId="167" fontId="1" fillId="0" borderId="1" xfId="14" applyNumberFormat="1" applyFont="1" applyFill="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left" vertical="center"/>
    </xf>
    <xf numFmtId="167" fontId="4" fillId="0" borderId="1" xfId="14" applyNumberFormat="1" applyFont="1" applyFill="1" applyBorder="1" applyAlignment="1">
      <alignment horizontal="center" vertical="center"/>
    </xf>
    <xf numFmtId="165" fontId="4" fillId="0" borderId="1" xfId="24" applyFont="1" applyBorder="1" applyAlignment="1">
      <alignment horizontal="left" vertical="center"/>
    </xf>
    <xf numFmtId="0" fontId="0" fillId="0" borderId="1" xfId="0" applyBorder="1" applyAlignment="1">
      <alignment vertical="center"/>
    </xf>
    <xf numFmtId="167" fontId="3" fillId="0" borderId="0" xfId="14" applyNumberFormat="1" applyFont="1" applyAlignment="1">
      <alignment horizontal="center" vertical="center"/>
    </xf>
    <xf numFmtId="167" fontId="1" fillId="0" borderId="0" xfId="14" applyNumberFormat="1" applyFont="1" applyBorder="1" applyAlignment="1">
      <alignment vertical="center"/>
    </xf>
    <xf numFmtId="171" fontId="4" fillId="0" borderId="1" xfId="0" applyNumberFormat="1" applyFont="1" applyBorder="1" applyAlignment="1">
      <alignment horizontal="center" vertical="center"/>
    </xf>
    <xf numFmtId="0" fontId="14" fillId="0" borderId="0" xfId="0" applyFont="1" applyAlignment="1">
      <alignment vertical="center"/>
    </xf>
    <xf numFmtId="0" fontId="3" fillId="0" borderId="0" xfId="0" applyFont="1" applyAlignment="1">
      <alignment vertical="center"/>
    </xf>
    <xf numFmtId="0" fontId="17" fillId="0" borderId="0" xfId="0" applyFont="1" applyAlignment="1">
      <alignment vertical="center"/>
    </xf>
    <xf numFmtId="0" fontId="1" fillId="2" borderId="1" xfId="0" applyFont="1" applyFill="1" applyBorder="1" applyAlignment="1">
      <alignment vertical="center"/>
    </xf>
    <xf numFmtId="0" fontId="1" fillId="2" borderId="0" xfId="0" applyFont="1" applyFill="1" applyAlignment="1">
      <alignment vertical="center"/>
    </xf>
    <xf numFmtId="0" fontId="20" fillId="0" borderId="0" xfId="0" applyFont="1" applyAlignment="1">
      <alignment horizontal="left" vertical="center"/>
    </xf>
    <xf numFmtId="0" fontId="20" fillId="0" borderId="0" xfId="0" applyFont="1" applyAlignment="1">
      <alignment horizontal="center" vertical="center"/>
    </xf>
    <xf numFmtId="0" fontId="1" fillId="0" borderId="1" xfId="0" applyFont="1" applyBorder="1" applyAlignment="1">
      <alignment vertical="center"/>
    </xf>
    <xf numFmtId="167" fontId="4" fillId="0" borderId="0" xfId="14" applyNumberFormat="1" applyFont="1" applyAlignment="1">
      <alignment horizontal="center" vertical="center"/>
    </xf>
    <xf numFmtId="167" fontId="1" fillId="0" borderId="0" xfId="14" applyNumberFormat="1" applyFont="1" applyAlignment="1">
      <alignment vertical="center"/>
    </xf>
    <xf numFmtId="0" fontId="21" fillId="0" borderId="0" xfId="0" applyFont="1" applyAlignment="1">
      <alignment horizontal="left" vertical="center"/>
    </xf>
    <xf numFmtId="0" fontId="22" fillId="0" borderId="0" xfId="0" applyFont="1" applyAlignment="1">
      <alignment horizontal="left" vertical="center"/>
    </xf>
    <xf numFmtId="172" fontId="1" fillId="0" borderId="0" xfId="18" applyNumberFormat="1" applyFont="1" applyAlignment="1">
      <alignment vertical="center"/>
    </xf>
    <xf numFmtId="167" fontId="0" fillId="0" borderId="0" xfId="0" applyNumberFormat="1" applyAlignment="1">
      <alignment vertical="center"/>
    </xf>
    <xf numFmtId="173" fontId="0" fillId="0" borderId="0" xfId="0" applyNumberFormat="1" applyAlignment="1">
      <alignment vertical="center"/>
    </xf>
    <xf numFmtId="171" fontId="0" fillId="2" borderId="0" xfId="0" applyNumberFormat="1" applyFill="1" applyAlignment="1">
      <alignment vertical="center"/>
    </xf>
    <xf numFmtId="0" fontId="25" fillId="0" borderId="0" xfId="0" applyFont="1" applyAlignment="1">
      <alignment vertical="center"/>
    </xf>
    <xf numFmtId="167" fontId="0" fillId="2" borderId="1" xfId="0" applyNumberFormat="1" applyFill="1" applyBorder="1" applyAlignment="1">
      <alignment horizontal="center" vertical="center"/>
    </xf>
    <xf numFmtId="167" fontId="3" fillId="2" borderId="1" xfId="0" applyNumberFormat="1" applyFont="1" applyFill="1" applyBorder="1" applyAlignment="1">
      <alignment horizontal="center" vertical="center"/>
    </xf>
    <xf numFmtId="0" fontId="26" fillId="0" borderId="0" xfId="0" applyFont="1" applyAlignment="1">
      <alignment vertical="center"/>
    </xf>
    <xf numFmtId="167" fontId="1" fillId="0" borderId="1" xfId="0" applyNumberFormat="1" applyFont="1" applyBorder="1" applyAlignment="1">
      <alignment horizontal="center" vertical="center"/>
    </xf>
    <xf numFmtId="167" fontId="4" fillId="0" borderId="1" xfId="0" applyNumberFormat="1" applyFont="1" applyBorder="1" applyAlignment="1">
      <alignment horizontal="center" vertical="center"/>
    </xf>
    <xf numFmtId="167" fontId="1" fillId="2" borderId="1" xfId="0" applyNumberFormat="1" applyFont="1" applyFill="1" applyBorder="1" applyAlignment="1">
      <alignment horizontal="center" vertical="center"/>
    </xf>
    <xf numFmtId="174" fontId="0" fillId="0" borderId="0" xfId="18" applyNumberFormat="1" applyFont="1" applyAlignment="1">
      <alignment vertical="center"/>
    </xf>
    <xf numFmtId="171" fontId="1" fillId="0" borderId="1" xfId="18" applyNumberFormat="1" applyFont="1" applyBorder="1" applyAlignment="1">
      <alignment horizontal="center" vertical="center"/>
    </xf>
    <xf numFmtId="171" fontId="4" fillId="0" borderId="1" xfId="18" applyNumberFormat="1" applyFont="1" applyBorder="1" applyAlignment="1">
      <alignment horizontal="center" vertical="center"/>
    </xf>
    <xf numFmtId="41" fontId="1" fillId="0" borderId="1" xfId="18" applyFont="1" applyBorder="1" applyAlignment="1">
      <alignment horizontal="center" vertical="center"/>
    </xf>
    <xf numFmtId="41" fontId="4" fillId="0" borderId="1" xfId="18" applyFont="1" applyBorder="1" applyAlignment="1">
      <alignment horizontal="center" vertical="center"/>
    </xf>
    <xf numFmtId="167" fontId="14" fillId="0" borderId="0" xfId="14" applyNumberFormat="1" applyFont="1" applyBorder="1" applyAlignment="1">
      <alignment vertical="center"/>
    </xf>
    <xf numFmtId="0" fontId="4" fillId="0" borderId="0" xfId="14" applyNumberFormat="1" applyFont="1" applyBorder="1" applyAlignment="1">
      <alignment vertical="center"/>
    </xf>
    <xf numFmtId="167" fontId="1" fillId="0" borderId="0" xfId="14" applyNumberFormat="1" applyFont="1" applyBorder="1" applyAlignment="1">
      <alignment horizontal="center" vertical="center"/>
    </xf>
    <xf numFmtId="167" fontId="0" fillId="0" borderId="1" xfId="14" applyNumberFormat="1" applyFont="1" applyBorder="1" applyAlignment="1">
      <alignment horizontal="center" vertical="center"/>
    </xf>
    <xf numFmtId="166" fontId="1" fillId="0" borderId="1" xfId="16" applyNumberFormat="1" applyFont="1" applyFill="1" applyBorder="1" applyAlignment="1">
      <alignment horizontal="left" vertical="center"/>
    </xf>
    <xf numFmtId="171" fontId="1" fillId="2" borderId="1" xfId="18" applyNumberFormat="1" applyFont="1" applyFill="1" applyBorder="1" applyAlignment="1">
      <alignment horizontal="center" vertical="center"/>
    </xf>
    <xf numFmtId="171" fontId="4" fillId="2" borderId="1" xfId="18" applyNumberFormat="1" applyFont="1" applyFill="1" applyBorder="1" applyAlignment="1">
      <alignment horizontal="center" vertical="center"/>
    </xf>
    <xf numFmtId="167" fontId="4" fillId="2" borderId="0" xfId="14" applyNumberFormat="1" applyFont="1" applyFill="1" applyBorder="1" applyAlignment="1">
      <alignment vertical="center"/>
    </xf>
    <xf numFmtId="41" fontId="1" fillId="2" borderId="1" xfId="18" applyFont="1" applyFill="1" applyBorder="1" applyAlignment="1">
      <alignment horizontal="center" vertical="center"/>
    </xf>
    <xf numFmtId="41" fontId="4" fillId="2" borderId="1" xfId="18" applyFont="1" applyFill="1" applyBorder="1" applyAlignment="1">
      <alignment horizontal="center" vertical="center"/>
    </xf>
    <xf numFmtId="41" fontId="4" fillId="2" borderId="0" xfId="18" applyFont="1" applyFill="1" applyBorder="1" applyAlignment="1">
      <alignment vertical="center"/>
    </xf>
    <xf numFmtId="167" fontId="14" fillId="2" borderId="0" xfId="14" applyNumberFormat="1" applyFont="1" applyFill="1" applyBorder="1" applyAlignment="1">
      <alignment vertical="center"/>
    </xf>
    <xf numFmtId="0" fontId="14" fillId="2" borderId="0" xfId="0" applyFont="1" applyFill="1" applyAlignment="1">
      <alignment vertical="center"/>
    </xf>
    <xf numFmtId="167" fontId="4" fillId="0" borderId="0" xfId="14" applyNumberFormat="1" applyFont="1" applyFill="1" applyBorder="1" applyAlignment="1">
      <alignment vertical="center"/>
    </xf>
    <xf numFmtId="41" fontId="1" fillId="0" borderId="1" xfId="18" applyFont="1" applyBorder="1" applyAlignment="1">
      <alignment vertical="center"/>
    </xf>
    <xf numFmtId="41" fontId="4" fillId="0" borderId="1" xfId="18" applyFont="1" applyBorder="1" applyAlignment="1">
      <alignment vertical="center"/>
    </xf>
    <xf numFmtId="167" fontId="4" fillId="0" borderId="1" xfId="14" applyNumberFormat="1" applyFont="1" applyBorder="1" applyAlignment="1">
      <alignment vertical="center"/>
    </xf>
    <xf numFmtId="41" fontId="4" fillId="0" borderId="1" xfId="18" applyFont="1" applyFill="1" applyBorder="1" applyAlignment="1">
      <alignment vertical="center"/>
    </xf>
    <xf numFmtId="167" fontId="1" fillId="2" borderId="3" xfId="0" applyNumberFormat="1" applyFont="1" applyFill="1" applyBorder="1" applyAlignment="1">
      <alignment horizontal="center" vertical="center"/>
    </xf>
    <xf numFmtId="0" fontId="17" fillId="2" borderId="0" xfId="0" applyFont="1" applyFill="1" applyAlignment="1">
      <alignment vertical="center"/>
    </xf>
    <xf numFmtId="167" fontId="0" fillId="2" borderId="0" xfId="14" applyNumberFormat="1" applyFont="1" applyFill="1" applyBorder="1" applyAlignment="1">
      <alignment vertical="center"/>
    </xf>
    <xf numFmtId="174" fontId="4" fillId="0" borderId="0" xfId="18" applyNumberFormat="1" applyFont="1" applyAlignment="1">
      <alignment vertical="center"/>
    </xf>
    <xf numFmtId="0" fontId="9" fillId="0" borderId="0" xfId="15" applyFill="1" applyAlignment="1">
      <alignment vertical="center"/>
    </xf>
    <xf numFmtId="10" fontId="0" fillId="2" borderId="0" xfId="0" applyNumberFormat="1" applyFill="1" applyAlignment="1">
      <alignment vertical="center"/>
    </xf>
    <xf numFmtId="0" fontId="0" fillId="2" borderId="0" xfId="0" applyFill="1" applyAlignment="1">
      <alignment horizontal="center" vertical="center" wrapText="1"/>
    </xf>
    <xf numFmtId="167" fontId="0" fillId="2" borderId="0" xfId="0" applyNumberFormat="1" applyFill="1" applyAlignment="1">
      <alignment vertical="center"/>
    </xf>
    <xf numFmtId="174" fontId="0" fillId="2" borderId="0" xfId="18" applyNumberFormat="1" applyFont="1" applyFill="1" applyAlignment="1">
      <alignment vertical="center"/>
    </xf>
    <xf numFmtId="166" fontId="1" fillId="0" borderId="1" xfId="1" applyNumberFormat="1" applyFont="1" applyBorder="1" applyAlignment="1">
      <alignment horizontal="center" vertical="center"/>
    </xf>
    <xf numFmtId="166" fontId="1" fillId="2" borderId="1" xfId="1" applyNumberFormat="1" applyFont="1" applyFill="1" applyBorder="1" applyAlignment="1">
      <alignment horizontal="center" vertical="center"/>
    </xf>
    <xf numFmtId="167" fontId="1" fillId="0" borderId="0" xfId="14" applyNumberFormat="1" applyFont="1" applyAlignment="1">
      <alignment horizontal="center" vertical="center"/>
    </xf>
    <xf numFmtId="0" fontId="12" fillId="2" borderId="0" xfId="0" applyFont="1" applyFill="1" applyAlignment="1">
      <alignment horizontal="left" vertical="center"/>
    </xf>
    <xf numFmtId="0" fontId="10" fillId="2" borderId="0" xfId="0" applyFont="1" applyFill="1" applyAlignment="1">
      <alignment horizontal="left" vertical="center" wrapText="1"/>
    </xf>
  </cellXfs>
  <cellStyles count="39">
    <cellStyle name="Hipervínculo" xfId="15" builtinId="8"/>
    <cellStyle name="Millares" xfId="1" builtinId="3"/>
    <cellStyle name="Millares [0]" xfId="18" builtinId="6"/>
    <cellStyle name="Millares [0] 2" xfId="33" xr:uid="{00000000-0005-0000-0000-000003000000}"/>
    <cellStyle name="Millares [0] 2 2" xfId="38" xr:uid="{DFECA235-1965-4FE8-B94B-65DECF2538F2}"/>
    <cellStyle name="Millares [0] 3" xfId="28" xr:uid="{00000000-0005-0000-0000-000004000000}"/>
    <cellStyle name="Millares [0] 4" xfId="37" xr:uid="{CD0599D0-2E0B-45B7-AA94-143B49B78246}"/>
    <cellStyle name="Millares 10" xfId="19" xr:uid="{00000000-0005-0000-0000-000005000000}"/>
    <cellStyle name="Millares 11" xfId="24" xr:uid="{00000000-0005-0000-0000-000006000000}"/>
    <cellStyle name="Millares 12" xfId="35" xr:uid="{45DE71B7-864F-4639-A1A9-686F43C0F841}"/>
    <cellStyle name="Millares 13" xfId="36" xr:uid="{80E72C92-4E58-494D-BA01-8F1FB106CDB8}"/>
    <cellStyle name="Millares 2" xfId="2" xr:uid="{00000000-0005-0000-0000-000007000000}"/>
    <cellStyle name="Millares 3" xfId="7" xr:uid="{00000000-0005-0000-0000-000008000000}"/>
    <cellStyle name="Millares 4" xfId="16" xr:uid="{00000000-0005-0000-0000-000009000000}"/>
    <cellStyle name="Millares 4 2" xfId="17" xr:uid="{00000000-0005-0000-0000-00000A000000}"/>
    <cellStyle name="Millares 5" xfId="22" xr:uid="{00000000-0005-0000-0000-00000B000000}"/>
    <cellStyle name="Millares 5 2" xfId="31" xr:uid="{00000000-0005-0000-0000-00000C000000}"/>
    <cellStyle name="Millares 6" xfId="25" xr:uid="{00000000-0005-0000-0000-00000D000000}"/>
    <cellStyle name="Millares 7" xfId="29" xr:uid="{00000000-0005-0000-0000-00000E000000}"/>
    <cellStyle name="Millares 8" xfId="32" xr:uid="{00000000-0005-0000-0000-00000F000000}"/>
    <cellStyle name="Millares 9" xfId="34" xr:uid="{00000000-0005-0000-0000-000010000000}"/>
    <cellStyle name="Normal" xfId="0" builtinId="0"/>
    <cellStyle name="Normal 2" xfId="4" xr:uid="{00000000-0005-0000-0000-000012000000}"/>
    <cellStyle name="Normal 2 2" xfId="8" xr:uid="{00000000-0005-0000-0000-000013000000}"/>
    <cellStyle name="Normal 2 3" xfId="23" xr:uid="{00000000-0005-0000-0000-000014000000}"/>
    <cellStyle name="Normal 2 4" xfId="27" xr:uid="{00000000-0005-0000-0000-000015000000}"/>
    <cellStyle name="Normal 2 5" xfId="20" xr:uid="{00000000-0005-0000-0000-000016000000}"/>
    <cellStyle name="Normal 3" xfId="6" xr:uid="{00000000-0005-0000-0000-000017000000}"/>
    <cellStyle name="Normal 3 2" xfId="9" xr:uid="{00000000-0005-0000-0000-000018000000}"/>
    <cellStyle name="Normal 3 3" xfId="10" xr:uid="{00000000-0005-0000-0000-000019000000}"/>
    <cellStyle name="Normal 3 4" xfId="11" xr:uid="{00000000-0005-0000-0000-00001A000000}"/>
    <cellStyle name="Normal 4" xfId="12" xr:uid="{00000000-0005-0000-0000-00001B000000}"/>
    <cellStyle name="Normal 5" xfId="21" xr:uid="{00000000-0005-0000-0000-00001C000000}"/>
    <cellStyle name="Normal 5 2" xfId="13" xr:uid="{00000000-0005-0000-0000-00001D000000}"/>
    <cellStyle name="Normal 5 3" xfId="30" xr:uid="{00000000-0005-0000-0000-00001E000000}"/>
    <cellStyle name="Porcentaje" xfId="14" builtinId="5"/>
    <cellStyle name="Porcentaje 2" xfId="3" xr:uid="{00000000-0005-0000-0000-000020000000}"/>
    <cellStyle name="Porcentaje 3" xfId="26" xr:uid="{00000000-0005-0000-0000-000021000000}"/>
    <cellStyle name="Porcentual 2" xfId="5" xr:uid="{00000000-0005-0000-0000-000022000000}"/>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8508999</xdr:colOff>
      <xdr:row>0</xdr:row>
      <xdr:rowOff>0</xdr:rowOff>
    </xdr:from>
    <xdr:to>
      <xdr:col>3</xdr:col>
      <xdr:colOff>34924</xdr:colOff>
      <xdr:row>2</xdr:row>
      <xdr:rowOff>23124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32999" y="0"/>
          <a:ext cx="973667" cy="6687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419100</xdr:colOff>
      <xdr:row>0</xdr:row>
      <xdr:rowOff>19050</xdr:rowOff>
    </xdr:from>
    <xdr:to>
      <xdr:col>6</xdr:col>
      <xdr:colOff>1171575</xdr:colOff>
      <xdr:row>1</xdr:row>
      <xdr:rowOff>269144</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6275" y="19050"/>
          <a:ext cx="752475" cy="5167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228600</xdr:colOff>
      <xdr:row>0</xdr:row>
      <xdr:rowOff>0</xdr:rowOff>
    </xdr:from>
    <xdr:to>
      <xdr:col>6</xdr:col>
      <xdr:colOff>0</xdr:colOff>
      <xdr:row>2</xdr:row>
      <xdr:rowOff>4349</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62825" y="0"/>
          <a:ext cx="752475" cy="5167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137584</xdr:colOff>
      <xdr:row>0</xdr:row>
      <xdr:rowOff>0</xdr:rowOff>
    </xdr:from>
    <xdr:to>
      <xdr:col>10</xdr:col>
      <xdr:colOff>880534</xdr:colOff>
      <xdr:row>1</xdr:row>
      <xdr:rowOff>263641</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80917" y="0"/>
          <a:ext cx="752475" cy="5167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238125</xdr:colOff>
      <xdr:row>0</xdr:row>
      <xdr:rowOff>19050</xdr:rowOff>
    </xdr:from>
    <xdr:to>
      <xdr:col>5</xdr:col>
      <xdr:colOff>993775</xdr:colOff>
      <xdr:row>1</xdr:row>
      <xdr:rowOff>263429</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00950" y="19050"/>
          <a:ext cx="752475" cy="5167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10</xdr:col>
      <xdr:colOff>758190</xdr:colOff>
      <xdr:row>1</xdr:row>
      <xdr:rowOff>263641</xdr:rowOff>
    </xdr:to>
    <xdr:pic>
      <xdr:nvPicPr>
        <xdr:cNvPr id="3" name="Imagen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43333" y="0"/>
          <a:ext cx="752475" cy="51679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8"/>
  <sheetViews>
    <sheetView showGridLines="0" tabSelected="1" zoomScale="90" zoomScaleNormal="90" workbookViewId="0">
      <pane ySplit="2" topLeftCell="A3" activePane="bottomLeft" state="frozen"/>
      <selection pane="bottomLeft"/>
    </sheetView>
  </sheetViews>
  <sheetFormatPr baseColWidth="10" defaultColWidth="11.453125" defaultRowHeight="14.5" x14ac:dyDescent="0.35"/>
  <cols>
    <col min="1" max="2" width="11.453125" style="5"/>
    <col min="3" max="3" width="141.7265625" style="4" customWidth="1"/>
    <col min="4" max="16384" width="11.453125" style="2"/>
  </cols>
  <sheetData>
    <row r="1" spans="1:3" x14ac:dyDescent="0.35">
      <c r="C1" s="138" t="s">
        <v>0</v>
      </c>
    </row>
    <row r="2" spans="1:3" ht="36" customHeight="1" x14ac:dyDescent="0.35">
      <c r="C2" s="138"/>
    </row>
    <row r="4" spans="1:3" x14ac:dyDescent="0.35">
      <c r="A4" s="13" t="s">
        <v>1</v>
      </c>
      <c r="B4" s="13" t="s">
        <v>2</v>
      </c>
      <c r="C4" s="14" t="s">
        <v>3</v>
      </c>
    </row>
    <row r="5" spans="1:3" x14ac:dyDescent="0.35">
      <c r="A5" s="5">
        <v>1</v>
      </c>
      <c r="B5" s="5">
        <v>1</v>
      </c>
      <c r="C5" s="4" t="s">
        <v>4</v>
      </c>
    </row>
    <row r="7" spans="1:3" ht="15.5" x14ac:dyDescent="0.35">
      <c r="A7" s="13" t="s">
        <v>1</v>
      </c>
      <c r="B7" s="13" t="s">
        <v>2</v>
      </c>
      <c r="C7" s="15" t="s">
        <v>5</v>
      </c>
    </row>
    <row r="8" spans="1:3" x14ac:dyDescent="0.35">
      <c r="A8" s="5">
        <v>2</v>
      </c>
      <c r="B8" s="5">
        <v>1</v>
      </c>
      <c r="C8" s="23" t="s">
        <v>6</v>
      </c>
    </row>
    <row r="9" spans="1:3" x14ac:dyDescent="0.35">
      <c r="A9" s="5">
        <v>2</v>
      </c>
      <c r="B9" s="5">
        <v>2</v>
      </c>
      <c r="C9" s="24" t="s">
        <v>7</v>
      </c>
    </row>
    <row r="10" spans="1:3" x14ac:dyDescent="0.35">
      <c r="A10" s="5">
        <v>2</v>
      </c>
      <c r="B10" s="5">
        <v>3</v>
      </c>
      <c r="C10" s="24" t="s">
        <v>8</v>
      </c>
    </row>
    <row r="11" spans="1:3" x14ac:dyDescent="0.35">
      <c r="A11" s="5">
        <v>2</v>
      </c>
      <c r="B11" s="5">
        <v>4</v>
      </c>
      <c r="C11" s="24" t="s">
        <v>9</v>
      </c>
    </row>
    <row r="13" spans="1:3" ht="15.5" x14ac:dyDescent="0.35">
      <c r="A13" s="13" t="s">
        <v>1</v>
      </c>
      <c r="B13" s="13" t="s">
        <v>2</v>
      </c>
      <c r="C13" s="15" t="s">
        <v>10</v>
      </c>
    </row>
    <row r="14" spans="1:3" x14ac:dyDescent="0.35">
      <c r="A14" s="5">
        <v>3</v>
      </c>
      <c r="B14" s="5">
        <v>1</v>
      </c>
      <c r="C14" s="24" t="s">
        <v>11</v>
      </c>
    </row>
    <row r="15" spans="1:3" x14ac:dyDescent="0.35">
      <c r="A15" s="5">
        <v>3</v>
      </c>
      <c r="B15" s="5">
        <v>2</v>
      </c>
      <c r="C15" s="24" t="s">
        <v>12</v>
      </c>
    </row>
    <row r="16" spans="1:3" x14ac:dyDescent="0.35">
      <c r="A16" s="5">
        <v>3</v>
      </c>
      <c r="B16" s="5">
        <v>3</v>
      </c>
      <c r="C16" s="24" t="s">
        <v>13</v>
      </c>
    </row>
    <row r="17" spans="1:3" x14ac:dyDescent="0.35">
      <c r="A17" s="5">
        <v>3</v>
      </c>
      <c r="B17" s="5">
        <v>4</v>
      </c>
      <c r="C17" s="24" t="s">
        <v>14</v>
      </c>
    </row>
    <row r="18" spans="1:3" x14ac:dyDescent="0.35">
      <c r="A18" s="5">
        <v>3</v>
      </c>
      <c r="B18" s="5">
        <v>5</v>
      </c>
      <c r="C18" s="24" t="s">
        <v>15</v>
      </c>
    </row>
    <row r="19" spans="1:3" x14ac:dyDescent="0.35">
      <c r="A19" s="5">
        <v>3</v>
      </c>
      <c r="B19" s="5">
        <v>6</v>
      </c>
      <c r="C19" s="24" t="s">
        <v>14</v>
      </c>
    </row>
    <row r="20" spans="1:3" x14ac:dyDescent="0.35">
      <c r="A20" s="5">
        <v>3</v>
      </c>
      <c r="B20" s="5">
        <v>7</v>
      </c>
      <c r="C20" s="24" t="s">
        <v>16</v>
      </c>
    </row>
    <row r="21" spans="1:3" x14ac:dyDescent="0.35">
      <c r="A21" s="5">
        <v>3</v>
      </c>
      <c r="B21" s="5">
        <v>8</v>
      </c>
      <c r="C21" s="9" t="s">
        <v>17</v>
      </c>
    </row>
    <row r="22" spans="1:3" x14ac:dyDescent="0.35">
      <c r="A22" s="5">
        <v>3</v>
      </c>
      <c r="B22" s="5">
        <v>9</v>
      </c>
      <c r="C22" s="9" t="s">
        <v>18</v>
      </c>
    </row>
    <row r="23" spans="1:3" x14ac:dyDescent="0.35">
      <c r="A23" s="5">
        <v>3</v>
      </c>
      <c r="B23" s="5">
        <v>10</v>
      </c>
      <c r="C23" s="24" t="s">
        <v>19</v>
      </c>
    </row>
    <row r="24" spans="1:3" x14ac:dyDescent="0.35">
      <c r="A24" s="5">
        <v>3</v>
      </c>
      <c r="B24" s="5">
        <v>11</v>
      </c>
      <c r="C24" s="24" t="s">
        <v>20</v>
      </c>
    </row>
    <row r="25" spans="1:3" x14ac:dyDescent="0.35">
      <c r="A25" s="5">
        <v>3</v>
      </c>
      <c r="B25" s="5">
        <v>12</v>
      </c>
      <c r="C25" s="24" t="s">
        <v>21</v>
      </c>
    </row>
    <row r="26" spans="1:3" x14ac:dyDescent="0.35">
      <c r="A26" s="5">
        <v>3</v>
      </c>
      <c r="B26" s="5">
        <v>13</v>
      </c>
      <c r="C26" s="24" t="s">
        <v>22</v>
      </c>
    </row>
    <row r="27" spans="1:3" x14ac:dyDescent="0.35">
      <c r="A27" s="5">
        <v>3</v>
      </c>
      <c r="B27" s="5">
        <v>14</v>
      </c>
      <c r="C27" s="24" t="s">
        <v>23</v>
      </c>
    </row>
    <row r="28" spans="1:3" x14ac:dyDescent="0.35">
      <c r="A28" s="5">
        <v>3</v>
      </c>
      <c r="B28" s="5">
        <v>15</v>
      </c>
      <c r="C28" s="24" t="s">
        <v>24</v>
      </c>
    </row>
    <row r="29" spans="1:3" x14ac:dyDescent="0.35">
      <c r="A29" s="5">
        <v>3</v>
      </c>
      <c r="B29" s="5">
        <v>16</v>
      </c>
      <c r="C29" s="24" t="s">
        <v>25</v>
      </c>
    </row>
    <row r="30" spans="1:3" x14ac:dyDescent="0.35">
      <c r="A30" s="5">
        <v>3</v>
      </c>
      <c r="B30" s="5">
        <v>17</v>
      </c>
      <c r="C30" s="24" t="s">
        <v>26</v>
      </c>
    </row>
    <row r="31" spans="1:3" x14ac:dyDescent="0.35">
      <c r="A31" s="5">
        <v>3</v>
      </c>
      <c r="B31" s="5">
        <v>18</v>
      </c>
      <c r="C31" s="24" t="s">
        <v>27</v>
      </c>
    </row>
    <row r="32" spans="1:3" x14ac:dyDescent="0.35">
      <c r="A32" s="5">
        <v>3</v>
      </c>
      <c r="B32" s="5">
        <v>19</v>
      </c>
      <c r="C32" s="24" t="s">
        <v>28</v>
      </c>
    </row>
    <row r="33" spans="1:3" x14ac:dyDescent="0.35">
      <c r="A33" s="5">
        <v>3</v>
      </c>
      <c r="B33" s="5">
        <v>20</v>
      </c>
      <c r="C33" s="24" t="s">
        <v>29</v>
      </c>
    </row>
    <row r="34" spans="1:3" x14ac:dyDescent="0.35">
      <c r="A34" s="5">
        <v>3</v>
      </c>
      <c r="B34" s="5">
        <v>21</v>
      </c>
      <c r="C34" s="24" t="s">
        <v>30</v>
      </c>
    </row>
    <row r="35" spans="1:3" x14ac:dyDescent="0.35">
      <c r="A35" s="5">
        <v>3</v>
      </c>
      <c r="B35" s="5">
        <v>22</v>
      </c>
      <c r="C35" s="24" t="s">
        <v>31</v>
      </c>
    </row>
    <row r="36" spans="1:3" x14ac:dyDescent="0.35">
      <c r="A36" s="5">
        <v>3</v>
      </c>
      <c r="B36" s="5">
        <v>23</v>
      </c>
      <c r="C36" s="24" t="s">
        <v>32</v>
      </c>
    </row>
    <row r="37" spans="1:3" x14ac:dyDescent="0.35">
      <c r="A37" s="5">
        <v>3</v>
      </c>
      <c r="B37" s="5">
        <v>24</v>
      </c>
      <c r="C37" s="24" t="s">
        <v>33</v>
      </c>
    </row>
    <row r="38" spans="1:3" x14ac:dyDescent="0.35">
      <c r="A38" s="5">
        <v>3</v>
      </c>
      <c r="B38" s="5">
        <v>25</v>
      </c>
      <c r="C38" s="24" t="s">
        <v>34</v>
      </c>
    </row>
    <row r="39" spans="1:3" x14ac:dyDescent="0.35">
      <c r="A39" s="5">
        <v>3</v>
      </c>
      <c r="B39" s="5">
        <v>26</v>
      </c>
      <c r="C39" s="130" t="s">
        <v>35</v>
      </c>
    </row>
    <row r="40" spans="1:3" x14ac:dyDescent="0.35">
      <c r="A40" s="5">
        <v>3</v>
      </c>
      <c r="B40" s="5">
        <v>27</v>
      </c>
      <c r="C40" s="16" t="s">
        <v>36</v>
      </c>
    </row>
    <row r="42" spans="1:3" ht="15.5" x14ac:dyDescent="0.35">
      <c r="A42" s="13" t="s">
        <v>1</v>
      </c>
      <c r="B42" s="13" t="s">
        <v>2</v>
      </c>
      <c r="C42" s="15" t="s">
        <v>37</v>
      </c>
    </row>
    <row r="43" spans="1:3" x14ac:dyDescent="0.35">
      <c r="A43" s="5">
        <v>4</v>
      </c>
      <c r="B43" s="5">
        <v>1</v>
      </c>
      <c r="C43" s="24" t="s">
        <v>38</v>
      </c>
    </row>
    <row r="44" spans="1:3" x14ac:dyDescent="0.35">
      <c r="A44" s="5">
        <v>4</v>
      </c>
      <c r="B44" s="5">
        <v>2</v>
      </c>
      <c r="C44" s="24" t="s">
        <v>39</v>
      </c>
    </row>
    <row r="45" spans="1:3" x14ac:dyDescent="0.35">
      <c r="A45" s="5">
        <v>4</v>
      </c>
      <c r="B45" s="5">
        <v>3</v>
      </c>
      <c r="C45" s="24" t="s">
        <v>40</v>
      </c>
    </row>
    <row r="46" spans="1:3" x14ac:dyDescent="0.35">
      <c r="A46" s="5">
        <v>4</v>
      </c>
      <c r="B46" s="5">
        <v>4</v>
      </c>
      <c r="C46" s="24" t="s">
        <v>41</v>
      </c>
    </row>
    <row r="47" spans="1:3" x14ac:dyDescent="0.35">
      <c r="A47" s="5">
        <v>4</v>
      </c>
      <c r="B47" s="5">
        <v>5</v>
      </c>
      <c r="C47" s="24" t="s">
        <v>42</v>
      </c>
    </row>
    <row r="48" spans="1:3" x14ac:dyDescent="0.35">
      <c r="A48" s="5">
        <v>4</v>
      </c>
      <c r="B48" s="5">
        <v>6</v>
      </c>
      <c r="C48" s="24" t="s">
        <v>43</v>
      </c>
    </row>
    <row r="49" spans="1:3" x14ac:dyDescent="0.35">
      <c r="A49" s="5">
        <v>4</v>
      </c>
      <c r="B49" s="5">
        <v>7</v>
      </c>
      <c r="C49" s="24" t="s">
        <v>44</v>
      </c>
    </row>
    <row r="51" spans="1:3" ht="15.5" x14ac:dyDescent="0.35">
      <c r="A51" s="13" t="s">
        <v>1</v>
      </c>
      <c r="B51" s="13" t="s">
        <v>2</v>
      </c>
      <c r="C51" s="15" t="s">
        <v>45</v>
      </c>
    </row>
    <row r="52" spans="1:3" x14ac:dyDescent="0.35">
      <c r="A52" s="5">
        <v>5</v>
      </c>
      <c r="B52" s="5">
        <v>1</v>
      </c>
      <c r="C52" s="24" t="s">
        <v>46</v>
      </c>
    </row>
    <row r="53" spans="1:3" x14ac:dyDescent="0.35">
      <c r="A53" s="5">
        <v>5</v>
      </c>
      <c r="B53" s="5">
        <v>2</v>
      </c>
      <c r="C53" s="24" t="s">
        <v>47</v>
      </c>
    </row>
    <row r="54" spans="1:3" x14ac:dyDescent="0.35">
      <c r="A54" s="5">
        <v>5</v>
      </c>
      <c r="B54" s="5">
        <v>3</v>
      </c>
      <c r="C54" s="24" t="s">
        <v>48</v>
      </c>
    </row>
    <row r="55" spans="1:3" x14ac:dyDescent="0.35">
      <c r="A55" s="5">
        <v>5</v>
      </c>
      <c r="B55" s="5">
        <v>4</v>
      </c>
      <c r="C55" s="24" t="s">
        <v>273</v>
      </c>
    </row>
    <row r="56" spans="1:3" x14ac:dyDescent="0.35">
      <c r="A56" s="5">
        <v>5</v>
      </c>
      <c r="B56" s="5">
        <v>5</v>
      </c>
      <c r="C56" s="24" t="s">
        <v>274</v>
      </c>
    </row>
    <row r="57" spans="1:3" x14ac:dyDescent="0.35">
      <c r="A57" s="5">
        <v>5</v>
      </c>
      <c r="B57" s="5">
        <v>6</v>
      </c>
      <c r="C57" s="24" t="s">
        <v>305</v>
      </c>
    </row>
    <row r="58" spans="1:3" x14ac:dyDescent="0.35">
      <c r="A58" s="5">
        <v>5</v>
      </c>
      <c r="B58" s="5">
        <v>7</v>
      </c>
      <c r="C58" s="24" t="s">
        <v>49</v>
      </c>
    </row>
    <row r="59" spans="1:3" x14ac:dyDescent="0.35">
      <c r="A59" s="5">
        <v>5</v>
      </c>
      <c r="B59" s="5">
        <v>8</v>
      </c>
      <c r="C59" s="24" t="s">
        <v>50</v>
      </c>
    </row>
    <row r="60" spans="1:3" x14ac:dyDescent="0.35">
      <c r="A60" s="5">
        <v>5</v>
      </c>
      <c r="B60" s="5">
        <v>9</v>
      </c>
      <c r="C60" s="24" t="s">
        <v>51</v>
      </c>
    </row>
    <row r="61" spans="1:3" x14ac:dyDescent="0.35">
      <c r="A61" s="5">
        <v>5</v>
      </c>
      <c r="B61" s="5">
        <v>10</v>
      </c>
      <c r="C61" s="24" t="s">
        <v>52</v>
      </c>
    </row>
    <row r="62" spans="1:3" x14ac:dyDescent="0.35">
      <c r="A62" s="5">
        <v>5</v>
      </c>
      <c r="B62" s="5">
        <v>11</v>
      </c>
      <c r="C62" s="24" t="s">
        <v>275</v>
      </c>
    </row>
    <row r="63" spans="1:3" x14ac:dyDescent="0.35">
      <c r="A63" s="5">
        <v>5</v>
      </c>
      <c r="B63" s="5">
        <v>12</v>
      </c>
      <c r="C63" s="24" t="s">
        <v>53</v>
      </c>
    </row>
    <row r="64" spans="1:3" x14ac:dyDescent="0.35">
      <c r="A64" s="5">
        <v>5</v>
      </c>
      <c r="B64" s="5">
        <v>13</v>
      </c>
      <c r="C64" s="24" t="s">
        <v>54</v>
      </c>
    </row>
    <row r="65" spans="1:3" x14ac:dyDescent="0.35">
      <c r="A65" s="5">
        <v>5</v>
      </c>
      <c r="B65" s="5">
        <v>14</v>
      </c>
      <c r="C65" s="24" t="s">
        <v>55</v>
      </c>
    </row>
    <row r="66" spans="1:3" x14ac:dyDescent="0.35">
      <c r="A66" s="5">
        <v>5</v>
      </c>
      <c r="B66" s="5">
        <v>15</v>
      </c>
      <c r="C66" s="24" t="s">
        <v>56</v>
      </c>
    </row>
    <row r="67" spans="1:3" x14ac:dyDescent="0.35">
      <c r="A67" s="5">
        <v>5</v>
      </c>
      <c r="B67" s="5">
        <v>16</v>
      </c>
      <c r="C67" s="24" t="s">
        <v>57</v>
      </c>
    </row>
    <row r="68" spans="1:3" x14ac:dyDescent="0.35">
      <c r="A68" s="5">
        <v>5</v>
      </c>
      <c r="B68" s="5">
        <v>17</v>
      </c>
      <c r="C68" s="24" t="s">
        <v>58</v>
      </c>
    </row>
    <row r="69" spans="1:3" x14ac:dyDescent="0.35">
      <c r="A69" s="5">
        <v>5</v>
      </c>
      <c r="B69" s="5">
        <v>18</v>
      </c>
      <c r="C69" s="24" t="s">
        <v>59</v>
      </c>
    </row>
    <row r="70" spans="1:3" x14ac:dyDescent="0.35">
      <c r="A70" s="5">
        <v>5</v>
      </c>
      <c r="B70" s="5">
        <v>19</v>
      </c>
      <c r="C70" s="24" t="s">
        <v>60</v>
      </c>
    </row>
    <row r="71" spans="1:3" x14ac:dyDescent="0.35">
      <c r="A71" s="5">
        <v>5</v>
      </c>
      <c r="B71" s="5">
        <v>20</v>
      </c>
      <c r="C71" s="24" t="s">
        <v>61</v>
      </c>
    </row>
    <row r="72" spans="1:3" x14ac:dyDescent="0.35">
      <c r="A72" s="5">
        <v>5</v>
      </c>
      <c r="B72" s="5">
        <v>21</v>
      </c>
      <c r="C72" s="24" t="s">
        <v>62</v>
      </c>
    </row>
    <row r="73" spans="1:3" x14ac:dyDescent="0.35">
      <c r="A73" s="5">
        <v>5</v>
      </c>
      <c r="B73" s="5">
        <v>22</v>
      </c>
      <c r="C73" s="24" t="s">
        <v>63</v>
      </c>
    </row>
    <row r="74" spans="1:3" x14ac:dyDescent="0.35">
      <c r="A74" s="5">
        <v>5</v>
      </c>
      <c r="B74" s="5">
        <v>23</v>
      </c>
      <c r="C74" s="24" t="s">
        <v>64</v>
      </c>
    </row>
    <row r="75" spans="1:3" x14ac:dyDescent="0.35">
      <c r="A75" s="5">
        <v>5</v>
      </c>
      <c r="B75" s="5">
        <v>24</v>
      </c>
      <c r="C75" s="24" t="s">
        <v>65</v>
      </c>
    </row>
    <row r="76" spans="1:3" x14ac:dyDescent="0.35">
      <c r="A76" s="5">
        <v>5</v>
      </c>
      <c r="B76" s="5">
        <v>25</v>
      </c>
      <c r="C76" s="24" t="s">
        <v>66</v>
      </c>
    </row>
    <row r="77" spans="1:3" x14ac:dyDescent="0.35">
      <c r="A77" s="5">
        <v>5</v>
      </c>
      <c r="B77" s="5">
        <v>26</v>
      </c>
      <c r="C77" s="24" t="s">
        <v>302</v>
      </c>
    </row>
    <row r="78" spans="1:3" x14ac:dyDescent="0.35">
      <c r="A78" s="5">
        <v>5</v>
      </c>
      <c r="B78" s="5">
        <v>27</v>
      </c>
      <c r="C78" s="24" t="s">
        <v>67</v>
      </c>
    </row>
    <row r="80" spans="1:3" ht="15.5" x14ac:dyDescent="0.35">
      <c r="A80" s="13" t="s">
        <v>1</v>
      </c>
      <c r="B80" s="13" t="s">
        <v>2</v>
      </c>
      <c r="C80" s="15" t="s">
        <v>68</v>
      </c>
    </row>
    <row r="81" spans="1:4" x14ac:dyDescent="0.35">
      <c r="A81" s="5">
        <v>6</v>
      </c>
      <c r="B81" s="5">
        <v>1</v>
      </c>
      <c r="C81" s="24" t="s">
        <v>69</v>
      </c>
    </row>
    <row r="82" spans="1:4" x14ac:dyDescent="0.35">
      <c r="A82" s="5">
        <v>6</v>
      </c>
      <c r="B82" s="5">
        <v>2</v>
      </c>
      <c r="C82" s="24" t="s">
        <v>69</v>
      </c>
    </row>
    <row r="83" spans="1:4" x14ac:dyDescent="0.35">
      <c r="A83" s="5">
        <v>6</v>
      </c>
      <c r="B83" s="5">
        <v>3</v>
      </c>
      <c r="C83" s="24" t="s">
        <v>300</v>
      </c>
    </row>
    <row r="84" spans="1:4" x14ac:dyDescent="0.35">
      <c r="A84" s="5">
        <v>6</v>
      </c>
      <c r="B84" s="5">
        <v>4</v>
      </c>
      <c r="C84" s="24" t="s">
        <v>70</v>
      </c>
    </row>
    <row r="85" spans="1:4" x14ac:dyDescent="0.35">
      <c r="A85" s="5">
        <v>6</v>
      </c>
      <c r="B85" s="5">
        <v>5</v>
      </c>
      <c r="C85" s="24" t="s">
        <v>71</v>
      </c>
    </row>
    <row r="86" spans="1:4" x14ac:dyDescent="0.35">
      <c r="A86" s="5">
        <v>6</v>
      </c>
      <c r="B86" s="5">
        <v>6</v>
      </c>
      <c r="C86" s="24" t="s">
        <v>301</v>
      </c>
    </row>
    <row r="87" spans="1:4" x14ac:dyDescent="0.35">
      <c r="A87" s="5">
        <v>6</v>
      </c>
      <c r="B87" s="5">
        <v>7</v>
      </c>
      <c r="C87" s="24" t="s">
        <v>72</v>
      </c>
    </row>
    <row r="88" spans="1:4" x14ac:dyDescent="0.35">
      <c r="C88" s="24"/>
    </row>
    <row r="89" spans="1:4" x14ac:dyDescent="0.35">
      <c r="A89" s="4"/>
      <c r="B89" s="4"/>
    </row>
    <row r="90" spans="1:4" x14ac:dyDescent="0.35">
      <c r="A90" s="4"/>
      <c r="B90" s="4"/>
    </row>
    <row r="91" spans="1:4" x14ac:dyDescent="0.35">
      <c r="A91" s="17" t="s">
        <v>303</v>
      </c>
      <c r="B91" s="4"/>
    </row>
    <row r="92" spans="1:4" x14ac:dyDescent="0.35">
      <c r="A92" s="139" t="s">
        <v>304</v>
      </c>
      <c r="B92" s="139"/>
      <c r="C92" s="139"/>
      <c r="D92" s="139"/>
    </row>
    <row r="93" spans="1:4" x14ac:dyDescent="0.35">
      <c r="A93" s="139"/>
      <c r="B93" s="139"/>
      <c r="C93" s="139"/>
      <c r="D93" s="139"/>
    </row>
    <row r="94" spans="1:4" x14ac:dyDescent="0.35">
      <c r="A94" s="2"/>
      <c r="B94" s="2"/>
      <c r="C94" s="2"/>
    </row>
    <row r="95" spans="1:4" x14ac:dyDescent="0.35">
      <c r="A95" s="2"/>
      <c r="B95" s="2"/>
      <c r="C95" s="2"/>
    </row>
    <row r="96" spans="1:4" x14ac:dyDescent="0.35">
      <c r="A96" s="2"/>
      <c r="B96" s="2"/>
      <c r="C96" s="2"/>
    </row>
    <row r="97" s="2" customFormat="1" x14ac:dyDescent="0.35"/>
    <row r="98" s="2" customFormat="1" x14ac:dyDescent="0.35"/>
    <row r="99" s="2" customFormat="1" x14ac:dyDescent="0.35"/>
    <row r="100" s="2" customFormat="1" x14ac:dyDescent="0.35"/>
    <row r="101" s="2" customFormat="1" x14ac:dyDescent="0.35"/>
    <row r="102" s="2" customFormat="1" x14ac:dyDescent="0.35"/>
    <row r="103" s="2" customFormat="1" x14ac:dyDescent="0.35"/>
    <row r="104" s="2" customFormat="1" x14ac:dyDescent="0.35"/>
    <row r="105" s="2" customFormat="1" x14ac:dyDescent="0.35"/>
    <row r="106" s="2" customFormat="1" x14ac:dyDescent="0.35"/>
    <row r="107" s="2" customFormat="1" x14ac:dyDescent="0.35"/>
    <row r="108" s="2" customFormat="1" x14ac:dyDescent="0.35"/>
    <row r="109" s="2" customFormat="1" x14ac:dyDescent="0.35"/>
    <row r="110" s="2" customFormat="1" x14ac:dyDescent="0.35"/>
    <row r="111" s="2" customFormat="1" x14ac:dyDescent="0.35"/>
    <row r="112" s="2" customFormat="1" x14ac:dyDescent="0.35"/>
    <row r="113" s="2" customFormat="1" x14ac:dyDescent="0.35"/>
    <row r="114" s="2" customFormat="1" x14ac:dyDescent="0.35"/>
    <row r="115" s="2" customFormat="1" x14ac:dyDescent="0.35"/>
    <row r="116" s="2" customFormat="1" x14ac:dyDescent="0.35"/>
    <row r="117" s="2" customFormat="1" x14ac:dyDescent="0.35"/>
    <row r="118" s="2" customFormat="1" x14ac:dyDescent="0.35"/>
    <row r="119" s="2" customFormat="1" x14ac:dyDescent="0.35"/>
    <row r="120" s="2" customFormat="1" x14ac:dyDescent="0.35"/>
    <row r="121" s="2" customFormat="1" x14ac:dyDescent="0.35"/>
    <row r="122" s="2" customFormat="1" x14ac:dyDescent="0.35"/>
    <row r="123" s="2" customFormat="1" x14ac:dyDescent="0.35"/>
    <row r="124" s="2" customFormat="1" x14ac:dyDescent="0.35"/>
    <row r="125" s="2" customFormat="1" x14ac:dyDescent="0.35"/>
    <row r="126" s="2" customFormat="1" x14ac:dyDescent="0.35"/>
    <row r="127" s="2" customFormat="1" x14ac:dyDescent="0.35"/>
    <row r="128" s="2" customFormat="1" x14ac:dyDescent="0.35"/>
    <row r="129" s="2" customFormat="1" x14ac:dyDescent="0.35"/>
    <row r="130" s="2" customFormat="1" x14ac:dyDescent="0.35"/>
    <row r="131" s="2" customFormat="1" x14ac:dyDescent="0.35"/>
    <row r="132" s="2" customFormat="1" x14ac:dyDescent="0.35"/>
    <row r="133" s="2" customFormat="1" x14ac:dyDescent="0.35"/>
    <row r="134" s="2" customFormat="1" x14ac:dyDescent="0.35"/>
    <row r="135" s="2" customFormat="1" x14ac:dyDescent="0.35"/>
    <row r="136" s="2" customFormat="1" x14ac:dyDescent="0.35"/>
    <row r="137" s="2" customFormat="1" x14ac:dyDescent="0.35"/>
    <row r="138" s="2" customFormat="1" x14ac:dyDescent="0.35"/>
    <row r="139" s="2" customFormat="1" x14ac:dyDescent="0.35"/>
    <row r="140" s="2" customFormat="1" x14ac:dyDescent="0.35"/>
    <row r="141" s="2" customFormat="1" x14ac:dyDescent="0.35"/>
    <row r="142" s="2" customFormat="1" x14ac:dyDescent="0.35"/>
    <row r="143" s="2" customFormat="1" x14ac:dyDescent="0.35"/>
    <row r="144" s="2" customFormat="1" x14ac:dyDescent="0.35"/>
    <row r="145" s="2" customFormat="1" x14ac:dyDescent="0.35"/>
    <row r="146" s="2" customFormat="1" x14ac:dyDescent="0.35"/>
    <row r="147" s="2" customFormat="1" x14ac:dyDescent="0.35"/>
    <row r="148" s="2" customFormat="1" x14ac:dyDescent="0.35"/>
    <row r="149" s="2" customFormat="1" x14ac:dyDescent="0.35"/>
    <row r="150" s="2" customFormat="1" x14ac:dyDescent="0.35"/>
    <row r="151" s="2" customFormat="1" x14ac:dyDescent="0.35"/>
    <row r="152" s="2" customFormat="1" x14ac:dyDescent="0.35"/>
    <row r="153" s="2" customFormat="1" x14ac:dyDescent="0.35"/>
    <row r="154" s="2" customFormat="1" x14ac:dyDescent="0.35"/>
    <row r="155" s="2" customFormat="1" x14ac:dyDescent="0.35"/>
    <row r="156" s="2" customFormat="1" x14ac:dyDescent="0.35"/>
    <row r="157" s="2" customFormat="1" x14ac:dyDescent="0.35"/>
    <row r="158" s="2" customFormat="1" x14ac:dyDescent="0.35"/>
    <row r="159" s="2" customFormat="1" x14ac:dyDescent="0.35"/>
    <row r="160" s="2" customFormat="1" x14ac:dyDescent="0.35"/>
    <row r="161" s="2" customFormat="1" x14ac:dyDescent="0.35"/>
    <row r="162" s="2" customFormat="1" x14ac:dyDescent="0.35"/>
    <row r="163" s="2" customFormat="1" x14ac:dyDescent="0.35"/>
    <row r="164" s="2" customFormat="1" x14ac:dyDescent="0.35"/>
    <row r="165" s="2" customFormat="1" x14ac:dyDescent="0.35"/>
    <row r="166" s="2" customFormat="1" x14ac:dyDescent="0.35"/>
    <row r="167" s="2" customFormat="1" x14ac:dyDescent="0.35"/>
    <row r="168" s="2" customFormat="1" x14ac:dyDescent="0.35"/>
    <row r="169" s="2" customFormat="1" x14ac:dyDescent="0.35"/>
    <row r="170" s="2" customFormat="1" x14ac:dyDescent="0.35"/>
    <row r="171" s="2" customFormat="1" x14ac:dyDescent="0.35"/>
    <row r="172" s="2" customFormat="1" x14ac:dyDescent="0.35"/>
    <row r="173" s="2" customFormat="1" x14ac:dyDescent="0.35"/>
    <row r="174" s="2" customFormat="1" x14ac:dyDescent="0.35"/>
    <row r="175" s="2" customFormat="1" x14ac:dyDescent="0.35"/>
    <row r="176" s="2" customFormat="1" x14ac:dyDescent="0.35"/>
    <row r="177" s="2" customFormat="1" x14ac:dyDescent="0.35"/>
    <row r="178" s="2" customFormat="1" x14ac:dyDescent="0.35"/>
    <row r="179" s="2" customFormat="1" x14ac:dyDescent="0.35"/>
    <row r="180" s="2" customFormat="1" x14ac:dyDescent="0.35"/>
    <row r="181" s="2" customFormat="1" x14ac:dyDescent="0.35"/>
    <row r="182" s="2" customFormat="1" x14ac:dyDescent="0.35"/>
    <row r="183" s="2" customFormat="1" x14ac:dyDescent="0.35"/>
    <row r="184" s="2" customFormat="1" x14ac:dyDescent="0.35"/>
    <row r="185" s="2" customFormat="1" x14ac:dyDescent="0.35"/>
    <row r="186" s="2" customFormat="1" x14ac:dyDescent="0.35"/>
    <row r="187" s="2" customFormat="1" x14ac:dyDescent="0.35"/>
    <row r="188" s="2" customFormat="1" x14ac:dyDescent="0.35"/>
    <row r="189" s="2" customFormat="1" x14ac:dyDescent="0.35"/>
    <row r="190" s="2" customFormat="1" x14ac:dyDescent="0.35"/>
    <row r="191" s="2" customFormat="1" x14ac:dyDescent="0.35"/>
    <row r="192" s="2" customFormat="1" x14ac:dyDescent="0.35"/>
    <row r="193" s="2" customFormat="1" x14ac:dyDescent="0.35"/>
    <row r="194" s="2" customFormat="1" x14ac:dyDescent="0.35"/>
    <row r="195" s="2" customFormat="1" x14ac:dyDescent="0.35"/>
    <row r="196" s="2" customFormat="1" x14ac:dyDescent="0.35"/>
    <row r="197" s="2" customFormat="1" x14ac:dyDescent="0.35"/>
    <row r="198" s="2" customFormat="1" x14ac:dyDescent="0.35"/>
    <row r="199" s="2" customFormat="1" x14ac:dyDescent="0.35"/>
    <row r="200" s="2" customFormat="1" x14ac:dyDescent="0.35"/>
    <row r="201" s="2" customFormat="1" x14ac:dyDescent="0.35"/>
    <row r="202" s="2" customFormat="1" x14ac:dyDescent="0.35"/>
    <row r="203" s="2" customFormat="1" x14ac:dyDescent="0.35"/>
    <row r="204" s="2" customFormat="1" x14ac:dyDescent="0.35"/>
    <row r="205" s="2" customFormat="1" x14ac:dyDescent="0.35"/>
    <row r="206" s="2" customFormat="1" x14ac:dyDescent="0.35"/>
    <row r="207" s="2" customFormat="1" x14ac:dyDescent="0.35"/>
    <row r="208" s="2" customFormat="1" x14ac:dyDescent="0.35"/>
    <row r="209" s="2" customFormat="1" x14ac:dyDescent="0.35"/>
    <row r="210" s="2" customFormat="1" x14ac:dyDescent="0.35"/>
    <row r="211" s="2" customFormat="1" x14ac:dyDescent="0.35"/>
    <row r="212" s="2" customFormat="1" x14ac:dyDescent="0.35"/>
    <row r="213" s="2" customFormat="1" x14ac:dyDescent="0.35"/>
    <row r="214" s="2" customFormat="1" x14ac:dyDescent="0.35"/>
    <row r="215" s="2" customFormat="1" x14ac:dyDescent="0.35"/>
    <row r="216" s="2" customFormat="1" x14ac:dyDescent="0.35"/>
    <row r="217" s="2" customFormat="1" x14ac:dyDescent="0.35"/>
    <row r="218" s="2" customFormat="1" x14ac:dyDescent="0.35"/>
    <row r="219" s="2" customFormat="1" x14ac:dyDescent="0.35"/>
    <row r="220" s="2" customFormat="1" x14ac:dyDescent="0.35"/>
    <row r="221" s="2" customFormat="1" x14ac:dyDescent="0.35"/>
    <row r="222" s="2" customFormat="1" x14ac:dyDescent="0.35"/>
    <row r="223" s="2" customFormat="1" x14ac:dyDescent="0.35"/>
    <row r="224" s="2" customFormat="1" x14ac:dyDescent="0.35"/>
    <row r="225" s="2" customFormat="1" x14ac:dyDescent="0.35"/>
    <row r="226" s="2" customFormat="1" x14ac:dyDescent="0.35"/>
    <row r="227" s="2" customFormat="1" x14ac:dyDescent="0.35"/>
    <row r="228" s="2" customFormat="1" x14ac:dyDescent="0.35"/>
    <row r="229" s="2" customFormat="1" x14ac:dyDescent="0.35"/>
    <row r="230" s="2" customFormat="1" x14ac:dyDescent="0.35"/>
    <row r="231" s="2" customFormat="1" x14ac:dyDescent="0.35"/>
    <row r="232" s="2" customFormat="1" x14ac:dyDescent="0.35"/>
    <row r="233" s="2" customFormat="1" x14ac:dyDescent="0.35"/>
    <row r="234" s="2" customFormat="1" x14ac:dyDescent="0.35"/>
    <row r="235" s="2" customFormat="1" x14ac:dyDescent="0.35"/>
    <row r="236" s="2" customFormat="1" x14ac:dyDescent="0.35"/>
    <row r="237" s="2" customFormat="1" x14ac:dyDescent="0.35"/>
    <row r="238" s="2" customFormat="1" x14ac:dyDescent="0.35"/>
    <row r="239" s="2" customFormat="1" x14ac:dyDescent="0.35"/>
    <row r="240" s="2" customFormat="1" x14ac:dyDescent="0.35"/>
    <row r="241" s="2" customFormat="1" x14ac:dyDescent="0.35"/>
    <row r="242" s="2" customFormat="1" x14ac:dyDescent="0.35"/>
    <row r="243" s="2" customFormat="1" x14ac:dyDescent="0.35"/>
    <row r="244" s="2" customFormat="1" x14ac:dyDescent="0.35"/>
    <row r="245" s="2" customFormat="1" x14ac:dyDescent="0.35"/>
    <row r="246" s="2" customFormat="1" x14ac:dyDescent="0.35"/>
    <row r="247" s="2" customFormat="1" x14ac:dyDescent="0.35"/>
    <row r="248" s="2" customFormat="1" x14ac:dyDescent="0.35"/>
    <row r="249" s="2" customFormat="1" x14ac:dyDescent="0.35"/>
    <row r="250" s="2" customFormat="1" x14ac:dyDescent="0.35"/>
    <row r="251" s="2" customFormat="1" x14ac:dyDescent="0.35"/>
    <row r="252" s="2" customFormat="1" x14ac:dyDescent="0.35"/>
    <row r="253" s="2" customFormat="1" x14ac:dyDescent="0.35"/>
    <row r="254" s="2" customFormat="1" x14ac:dyDescent="0.35"/>
    <row r="255" s="2" customFormat="1" x14ac:dyDescent="0.35"/>
    <row r="256" s="2" customFormat="1" x14ac:dyDescent="0.35"/>
    <row r="257" s="2" customFormat="1" x14ac:dyDescent="0.35"/>
    <row r="258" s="2" customFormat="1" x14ac:dyDescent="0.35"/>
    <row r="259" s="2" customFormat="1" x14ac:dyDescent="0.35"/>
    <row r="260" s="2" customFormat="1" x14ac:dyDescent="0.35"/>
    <row r="261" s="2" customFormat="1" x14ac:dyDescent="0.35"/>
    <row r="262" s="2" customFormat="1" x14ac:dyDescent="0.35"/>
    <row r="263" s="2" customFormat="1" x14ac:dyDescent="0.35"/>
    <row r="264" s="2" customFormat="1" x14ac:dyDescent="0.35"/>
    <row r="265" s="2" customFormat="1" x14ac:dyDescent="0.35"/>
    <row r="266" s="2" customFormat="1" x14ac:dyDescent="0.35"/>
    <row r="267" s="2" customFormat="1" x14ac:dyDescent="0.35"/>
    <row r="268" s="2" customFormat="1" x14ac:dyDescent="0.35"/>
    <row r="269" s="2" customFormat="1" x14ac:dyDescent="0.35"/>
    <row r="270" s="2" customFormat="1" x14ac:dyDescent="0.35"/>
    <row r="271" s="2" customFormat="1" x14ac:dyDescent="0.35"/>
    <row r="272" s="2" customFormat="1" x14ac:dyDescent="0.35"/>
    <row r="273" s="2" customFormat="1" x14ac:dyDescent="0.35"/>
    <row r="274" s="2" customFormat="1" x14ac:dyDescent="0.35"/>
    <row r="275" s="2" customFormat="1" x14ac:dyDescent="0.35"/>
    <row r="276" s="2" customFormat="1" x14ac:dyDescent="0.35"/>
    <row r="277" s="2" customFormat="1" x14ac:dyDescent="0.35"/>
    <row r="278" s="2" customFormat="1" x14ac:dyDescent="0.35"/>
    <row r="279" s="2" customFormat="1" x14ac:dyDescent="0.35"/>
    <row r="280" s="2" customFormat="1" x14ac:dyDescent="0.35"/>
    <row r="281" s="2" customFormat="1" x14ac:dyDescent="0.35"/>
    <row r="282" s="2" customFormat="1" x14ac:dyDescent="0.35"/>
    <row r="283" s="2" customFormat="1" x14ac:dyDescent="0.35"/>
    <row r="284" s="2" customFormat="1" x14ac:dyDescent="0.35"/>
    <row r="285" s="2" customFormat="1" x14ac:dyDescent="0.35"/>
    <row r="286" s="2" customFormat="1" x14ac:dyDescent="0.35"/>
    <row r="287" s="2" customFormat="1" x14ac:dyDescent="0.35"/>
    <row r="288" s="2" customFormat="1" x14ac:dyDescent="0.35"/>
    <row r="289" s="2" customFormat="1" x14ac:dyDescent="0.35"/>
    <row r="290" s="2" customFormat="1" x14ac:dyDescent="0.35"/>
    <row r="291" s="2" customFormat="1" x14ac:dyDescent="0.35"/>
    <row r="292" s="2" customFormat="1" x14ac:dyDescent="0.35"/>
    <row r="293" s="2" customFormat="1" x14ac:dyDescent="0.35"/>
    <row r="294" s="2" customFormat="1" x14ac:dyDescent="0.35"/>
    <row r="295" s="2" customFormat="1" x14ac:dyDescent="0.35"/>
    <row r="296" s="2" customFormat="1" x14ac:dyDescent="0.35"/>
    <row r="297" s="2" customFormat="1" x14ac:dyDescent="0.35"/>
    <row r="298" s="2" customFormat="1" x14ac:dyDescent="0.35"/>
    <row r="299" s="2" customFormat="1" x14ac:dyDescent="0.35"/>
    <row r="300" s="2" customFormat="1" x14ac:dyDescent="0.35"/>
    <row r="301" s="2" customFormat="1" x14ac:dyDescent="0.35"/>
    <row r="302" s="2" customFormat="1" x14ac:dyDescent="0.35"/>
    <row r="303" s="2" customFormat="1" x14ac:dyDescent="0.35"/>
    <row r="304" s="2" customFormat="1" x14ac:dyDescent="0.35"/>
    <row r="305" s="2" customFormat="1" x14ac:dyDescent="0.35"/>
    <row r="306" s="2" customFormat="1" x14ac:dyDescent="0.35"/>
    <row r="307" s="2" customFormat="1" x14ac:dyDescent="0.35"/>
    <row r="308" s="2" customFormat="1" x14ac:dyDescent="0.35"/>
    <row r="309" s="2" customFormat="1" x14ac:dyDescent="0.35"/>
    <row r="310" s="2" customFormat="1" x14ac:dyDescent="0.35"/>
    <row r="311" s="2" customFormat="1" x14ac:dyDescent="0.35"/>
    <row r="312" s="2" customFormat="1" x14ac:dyDescent="0.35"/>
    <row r="313" s="2" customFormat="1" x14ac:dyDescent="0.35"/>
    <row r="314" s="2" customFormat="1" x14ac:dyDescent="0.35"/>
    <row r="315" s="2" customFormat="1" x14ac:dyDescent="0.35"/>
    <row r="316" s="2" customFormat="1" x14ac:dyDescent="0.35"/>
    <row r="317" s="2" customFormat="1" x14ac:dyDescent="0.35"/>
    <row r="318" s="2" customFormat="1" x14ac:dyDescent="0.35"/>
    <row r="319" s="2" customFormat="1" x14ac:dyDescent="0.35"/>
    <row r="320" s="2" customFormat="1" x14ac:dyDescent="0.35"/>
    <row r="321" s="2" customFormat="1" x14ac:dyDescent="0.35"/>
    <row r="322" s="2" customFormat="1" x14ac:dyDescent="0.35"/>
    <row r="323" s="2" customFormat="1" x14ac:dyDescent="0.35"/>
    <row r="324" s="2" customFormat="1" x14ac:dyDescent="0.35"/>
    <row r="325" s="2" customFormat="1" x14ac:dyDescent="0.35"/>
    <row r="326" s="2" customFormat="1" x14ac:dyDescent="0.35"/>
    <row r="327" s="2" customFormat="1" x14ac:dyDescent="0.35"/>
    <row r="328" s="2" customFormat="1" x14ac:dyDescent="0.35"/>
    <row r="329" s="2" customFormat="1" x14ac:dyDescent="0.35"/>
    <row r="330" s="2" customFormat="1" x14ac:dyDescent="0.35"/>
    <row r="331" s="2" customFormat="1" x14ac:dyDescent="0.35"/>
    <row r="332" s="2" customFormat="1" x14ac:dyDescent="0.35"/>
    <row r="333" s="2" customFormat="1" x14ac:dyDescent="0.35"/>
    <row r="334" s="2" customFormat="1" x14ac:dyDescent="0.35"/>
    <row r="335" s="2" customFormat="1" x14ac:dyDescent="0.35"/>
    <row r="336" s="2" customFormat="1" x14ac:dyDescent="0.35"/>
    <row r="337" s="2" customFormat="1" x14ac:dyDescent="0.35"/>
    <row r="338" s="2" customFormat="1" x14ac:dyDescent="0.35"/>
    <row r="339" s="2" customFormat="1" x14ac:dyDescent="0.35"/>
    <row r="340" s="2" customFormat="1" x14ac:dyDescent="0.35"/>
    <row r="341" s="2" customFormat="1" x14ac:dyDescent="0.35"/>
    <row r="342" s="2" customFormat="1" x14ac:dyDescent="0.35"/>
    <row r="343" s="2" customFormat="1" x14ac:dyDescent="0.35"/>
    <row r="344" s="2" customFormat="1" x14ac:dyDescent="0.35"/>
    <row r="345" s="2" customFormat="1" x14ac:dyDescent="0.35"/>
    <row r="346" s="2" customFormat="1" x14ac:dyDescent="0.35"/>
    <row r="347" s="2" customFormat="1" x14ac:dyDescent="0.35"/>
    <row r="348" s="2" customFormat="1" x14ac:dyDescent="0.35"/>
    <row r="349" s="2" customFormat="1" x14ac:dyDescent="0.35"/>
    <row r="350" s="2" customFormat="1" x14ac:dyDescent="0.35"/>
    <row r="351" s="2" customFormat="1" x14ac:dyDescent="0.35"/>
    <row r="352" s="2" customFormat="1" x14ac:dyDescent="0.35"/>
    <row r="353" s="2" customFormat="1" x14ac:dyDescent="0.35"/>
    <row r="354" s="2" customFormat="1" x14ac:dyDescent="0.35"/>
    <row r="355" s="2" customFormat="1" x14ac:dyDescent="0.35"/>
    <row r="356" s="2" customFormat="1" x14ac:dyDescent="0.35"/>
    <row r="357" s="2" customFormat="1" x14ac:dyDescent="0.35"/>
    <row r="358" s="2" customFormat="1" x14ac:dyDescent="0.35"/>
    <row r="359" s="2" customFormat="1" x14ac:dyDescent="0.35"/>
    <row r="360" s="2" customFormat="1" x14ac:dyDescent="0.35"/>
    <row r="361" s="2" customFormat="1" x14ac:dyDescent="0.35"/>
    <row r="362" s="2" customFormat="1" x14ac:dyDescent="0.35"/>
    <row r="363" s="2" customFormat="1" x14ac:dyDescent="0.35"/>
    <row r="364" s="2" customFormat="1" x14ac:dyDescent="0.35"/>
    <row r="365" s="2" customFormat="1" x14ac:dyDescent="0.35"/>
    <row r="366" s="2" customFormat="1" x14ac:dyDescent="0.35"/>
    <row r="367" s="2" customFormat="1" x14ac:dyDescent="0.35"/>
    <row r="368" s="2" customFormat="1" x14ac:dyDescent="0.35"/>
    <row r="369" s="2" customFormat="1" x14ac:dyDescent="0.35"/>
    <row r="370" s="2" customFormat="1" x14ac:dyDescent="0.35"/>
    <row r="371" s="2" customFormat="1" x14ac:dyDescent="0.35"/>
    <row r="372" s="2" customFormat="1" x14ac:dyDescent="0.35"/>
    <row r="373" s="2" customFormat="1" x14ac:dyDescent="0.35"/>
    <row r="374" s="2" customFormat="1" x14ac:dyDescent="0.35"/>
    <row r="375" s="2" customFormat="1" x14ac:dyDescent="0.35"/>
    <row r="376" s="2" customFormat="1" x14ac:dyDescent="0.35"/>
    <row r="377" s="2" customFormat="1" x14ac:dyDescent="0.35"/>
    <row r="378" s="2" customFormat="1" x14ac:dyDescent="0.35"/>
    <row r="379" s="2" customFormat="1" x14ac:dyDescent="0.35"/>
    <row r="380" s="2" customFormat="1" x14ac:dyDescent="0.35"/>
    <row r="381" s="2" customFormat="1" x14ac:dyDescent="0.35"/>
    <row r="382" s="2" customFormat="1" x14ac:dyDescent="0.35"/>
    <row r="383" s="2" customFormat="1" x14ac:dyDescent="0.35"/>
    <row r="384" s="2" customFormat="1" x14ac:dyDescent="0.35"/>
    <row r="385" s="2" customFormat="1" x14ac:dyDescent="0.35"/>
    <row r="386" s="2" customFormat="1" x14ac:dyDescent="0.35"/>
    <row r="387" s="2" customFormat="1" x14ac:dyDescent="0.35"/>
    <row r="388" s="2" customFormat="1" x14ac:dyDescent="0.35"/>
    <row r="389" s="2" customFormat="1" x14ac:dyDescent="0.35"/>
    <row r="390" s="2" customFormat="1" x14ac:dyDescent="0.35"/>
    <row r="391" s="2" customFormat="1" x14ac:dyDescent="0.35"/>
    <row r="392" s="2" customFormat="1" x14ac:dyDescent="0.35"/>
    <row r="393" s="2" customFormat="1" x14ac:dyDescent="0.35"/>
    <row r="394" s="2" customFormat="1" x14ac:dyDescent="0.35"/>
    <row r="395" s="2" customFormat="1" x14ac:dyDescent="0.35"/>
    <row r="396" s="2" customFormat="1" x14ac:dyDescent="0.35"/>
    <row r="397" s="2" customFormat="1" x14ac:dyDescent="0.35"/>
    <row r="398" s="2" customFormat="1" x14ac:dyDescent="0.35"/>
    <row r="399" s="2" customFormat="1" x14ac:dyDescent="0.35"/>
    <row r="400" s="2" customFormat="1" x14ac:dyDescent="0.35"/>
    <row r="401" s="2" customFormat="1" x14ac:dyDescent="0.35"/>
    <row r="402" s="2" customFormat="1" x14ac:dyDescent="0.35"/>
    <row r="403" s="2" customFormat="1" x14ac:dyDescent="0.35"/>
    <row r="404" s="2" customFormat="1" x14ac:dyDescent="0.35"/>
    <row r="405" s="2" customFormat="1" x14ac:dyDescent="0.35"/>
    <row r="406" s="2" customFormat="1" x14ac:dyDescent="0.35"/>
    <row r="407" s="2" customFormat="1" x14ac:dyDescent="0.35"/>
    <row r="408" s="2" customFormat="1" x14ac:dyDescent="0.35"/>
    <row r="409" s="2" customFormat="1" x14ac:dyDescent="0.35"/>
    <row r="410" s="2" customFormat="1" x14ac:dyDescent="0.35"/>
    <row r="411" s="2" customFormat="1" x14ac:dyDescent="0.35"/>
    <row r="412" s="2" customFormat="1" x14ac:dyDescent="0.35"/>
    <row r="413" s="2" customFormat="1" x14ac:dyDescent="0.35"/>
    <row r="414" s="2" customFormat="1" x14ac:dyDescent="0.35"/>
    <row r="415" s="2" customFormat="1" x14ac:dyDescent="0.35"/>
    <row r="416" s="2" customFormat="1" x14ac:dyDescent="0.35"/>
    <row r="417" s="2" customFormat="1" x14ac:dyDescent="0.35"/>
    <row r="418" s="2" customFormat="1" x14ac:dyDescent="0.35"/>
    <row r="419" s="2" customFormat="1" x14ac:dyDescent="0.35"/>
    <row r="420" s="2" customFormat="1" x14ac:dyDescent="0.35"/>
    <row r="421" s="2" customFormat="1" x14ac:dyDescent="0.35"/>
    <row r="422" s="2" customFormat="1" x14ac:dyDescent="0.35"/>
    <row r="423" s="2" customFormat="1" x14ac:dyDescent="0.35"/>
    <row r="424" s="2" customFormat="1" x14ac:dyDescent="0.35"/>
    <row r="425" s="2" customFormat="1" x14ac:dyDescent="0.35"/>
    <row r="426" s="2" customFormat="1" x14ac:dyDescent="0.35"/>
    <row r="427" s="2" customFormat="1" x14ac:dyDescent="0.35"/>
    <row r="428" s="2" customFormat="1" x14ac:dyDescent="0.35"/>
    <row r="429" s="2" customFormat="1" x14ac:dyDescent="0.35"/>
    <row r="430" s="2" customFormat="1" x14ac:dyDescent="0.35"/>
    <row r="431" s="2" customFormat="1" x14ac:dyDescent="0.35"/>
    <row r="432" s="2" customFormat="1" x14ac:dyDescent="0.35"/>
    <row r="433" s="2" customFormat="1" x14ac:dyDescent="0.35"/>
    <row r="434" s="2" customFormat="1" x14ac:dyDescent="0.35"/>
    <row r="435" s="2" customFormat="1" x14ac:dyDescent="0.35"/>
    <row r="436" s="2" customFormat="1" x14ac:dyDescent="0.35"/>
    <row r="437" s="2" customFormat="1" x14ac:dyDescent="0.35"/>
    <row r="438" s="2" customFormat="1" x14ac:dyDescent="0.35"/>
  </sheetData>
  <mergeCells count="2">
    <mergeCell ref="C1:C2"/>
    <mergeCell ref="A92:D93"/>
  </mergeCells>
  <hyperlinks>
    <hyperlink ref="C43:C44" location="'Matrícula Pregrado 2018'!A1" display="Matrícula Total 2018 de Pregrado por sexo y tipo de institución " xr:uid="{00000000-0004-0000-0000-000001000000}"/>
    <hyperlink ref="C15" location="'Aprobación Anual'!B12" display="Tasa de Aprobación Anual por sexo según tipo de institución, cohorte 2024, 1er año" xr:uid="{00000000-0004-0000-0000-000003000000}"/>
    <hyperlink ref="C16" location="'Aprobación Anual'!B20" display="Tasa de Aprobación Anual por sexo según tipo de institución, total de cohortes en Matrícula 2024" xr:uid="{00000000-0004-0000-0000-000004000000}"/>
    <hyperlink ref="C17" location="'Aprobación Anual'!B28" display="Tasa de Aprobación Anual por sexo según tipo de institución específica, total de cohortes en Matrícula 2024" xr:uid="{00000000-0004-0000-0000-000005000000}"/>
    <hyperlink ref="C18" location="'Aprobación Anual'!B39" display="Tasa de Aprobación Anual por sexo según tipo de institución específica, cohorte 2024, 1er año" xr:uid="{00000000-0004-0000-0000-000006000000}"/>
    <hyperlink ref="C19" location="'Aprobación Anual'!B50" display="Tasa de Aprobación Anual por sexo según tipo de institución específica, total de cohortes en Matrícula 2024" xr:uid="{00000000-0004-0000-0000-000007000000}"/>
    <hyperlink ref="C20" location="'Aprobación Anual'!B61" display="Tasa de Aprobación Anual por área del conocimiento, comparación entre 1er año y total cohortes en Matrícula 2024" xr:uid="{00000000-0004-0000-0000-000008000000}"/>
    <hyperlink ref="C43" location="'Evolución Aprobación Anual'!B5" display="Evolución de Aprobación Anual por tipo de institución, total cohortes" xr:uid="{00000000-0004-0000-0000-00000A000000}"/>
    <hyperlink ref="C44" location="'Evolución Aprobación Anual'!B12" display="Evolución de Aprobación Anual por tipo nivel carrera, total cohortes" xr:uid="{00000000-0004-0000-0000-00000B000000}"/>
    <hyperlink ref="C52" location="'Avance Curricular Esperado'!B4" display="Tasa de Avance Curricular Esperado por tipo de institución, total de cohortes en Matrícula 2022" xr:uid="{00000000-0004-0000-0000-00000D000000}"/>
    <hyperlink ref="C53" location="'Avance Curricular Esperado'!B11" display="Tasa de Avance Curricular Esperado por sexo según tipo de institución, cohorte 2022, 1er año" xr:uid="{00000000-0004-0000-0000-00000E000000}"/>
    <hyperlink ref="C54" location="'Avance Curricular Esperado'!B19" display="Tasa de Avance Curricular Esperado por sexo según tipo de institución, total de cohortes en Matrícula 2023" xr:uid="{00000000-0004-0000-0000-00000F000000}"/>
    <hyperlink ref="C55" location="'Avance Curricular Esperado'!B27" display="Tasa de Avance Curricular Esperado por tipo de institución especifica, total de cohortes en Matrícula 2023" xr:uid="{00000000-0004-0000-0000-000010000000}"/>
    <hyperlink ref="C56" location="'Avance Curricular Esperado'!B37" display="Tasa de Avance Curricular Esperado por sexo según tipo de institución especifica, cohorte 2023, 1er año" xr:uid="{00000000-0004-0000-0000-000011000000}"/>
    <hyperlink ref="C57" location="'Avance Curricular Esperado'!B48" display="Tasa de Avance Curricular Esperado por sexo según tipo de institución especifica, total de cohortes en Matrícula 2023" xr:uid="{00000000-0004-0000-0000-000012000000}"/>
    <hyperlink ref="C58" location="'Avance Curricular Esperado'!B59" display="Tasa de Avance Curricular Esperado por área del conocimiento, comparación entre 1er año y total cohortes en Matrícula 2023" xr:uid="{00000000-0004-0000-0000-000013000000}"/>
    <hyperlink ref="C59" location="'Avance Curricular Esperado'!B73" display="Tasa de Avance Curricular Esperado por área del conocimiento, comparación entre 1er año y total cohortes en Matrícula 2023 - Universidad" xr:uid="{00000000-0004-0000-0000-000014000000}"/>
    <hyperlink ref="C60" location="'Avance Curricular Esperado'!B87" display="Tasa de Avance Curricular Esperado por área del conocimiento, comparación entre 1er año y total cohortes en Matrícula 2023 - IP" xr:uid="{00000000-0004-0000-0000-000015000000}"/>
    <hyperlink ref="C61" location="'Avance Curricular Esperado'!B101" display="Tasa de Avance Curricular Esperado por área del conocimiento, comparación entre 1er año y total cohortes en Matrícula 2023 - CFT" xr:uid="{00000000-0004-0000-0000-000016000000}"/>
    <hyperlink ref="C63" location="'Avance Curricular Esperado'!B130" display="Tasa de Avance Curricular Esperado por sexo según área del conocimiento, total cohortes en Matrícula 2023" xr:uid="{00000000-0004-0000-0000-000017000000}"/>
    <hyperlink ref="C66" location="'Avance Curricular Esperado'!B175" display="Tasa de Avance Curricular Esperado de cohortes 2016 a 2023 por tipo de institución en Matrícula 2023" xr:uid="{00000000-0004-0000-0000-000018000000}"/>
    <hyperlink ref="C67" location="'Avance Curricular Esperado'!B182" display="Tasa de Avance Curricular Esperado de cohortes 2016 a 2023 por tipo de institución en Matrícula 2023" xr:uid="{00000000-0004-0000-0000-000019000000}"/>
    <hyperlink ref="C68" location="'Avance Curricular Esperado'!B192" display="Tasa de Avance Curricular Esperado de cohortes 2016 a 2023 por sexo en Matrícula 2023" xr:uid="{00000000-0004-0000-0000-00001A000000}"/>
    <hyperlink ref="C81:C82" location="'Matrícula Posgrado 2018'!A1" display="Matrícula Total 2018 de Posgrado por tipo de universidad y programa " xr:uid="{00000000-0004-0000-0000-00001B000000}"/>
    <hyperlink ref="C81" location="'Evolución Avance Curricular Es'!B4" display="Evolución de Aprobación Anual por tipo de institución, total cohortes" xr:uid="{00000000-0004-0000-0000-00001C000000}"/>
    <hyperlink ref="C82" location="'Evolución Avance Curricular Es'!B11" display="Evolución de Aprobación Anual por tipo de institución, total cohortes" xr:uid="{00000000-0004-0000-0000-00001D000000}"/>
    <hyperlink ref="C23" location="'Aprobación Anual'!B103" display="Tasa de Aprobación Anual por área del conocimiento, comparación entre 1er año y total cohortes en Matrícula 2024 - CFT" xr:uid="{00000000-0004-0000-0000-00001F000000}"/>
    <hyperlink ref="C25" location="'Aprobación Anual'!B132" display="Tasa de Aprobación Anual por sexo según áreas del conocimiento, total de cohortes en Matrícula 2024" xr:uid="{00000000-0004-0000-0000-000020000000}"/>
    <hyperlink ref="C28" location="'Aprobación Anual'!B177" display="Tasa de Aprobación Anual de las cohortes 2017 a 2024 por tipo de institución en Matrícula 2024" xr:uid="{00000000-0004-0000-0000-000021000000}"/>
    <hyperlink ref="C29" location="'Aprobación Anual'!B184" display="Tasa de Aprobación Anual de las cohortes 2017 a 2024 por tipo de institución específica en Matrícula 2024" xr:uid="{00000000-0004-0000-0000-000022000000}"/>
    <hyperlink ref="C30" location="'Aprobación Anual'!B195" display="Tasa de Aprobación Anual de las cohortes 2017 a 2024 por sexo en Matrícula 2024" xr:uid="{00000000-0004-0000-0000-000023000000}"/>
    <hyperlink ref="C31" location="'Aprobación Anual'!B203" display="Carreras con mayor tasa de Aprobación Anual, comparación entre 1er año y total cohortes en Universidades - Matrícula sobre mil estudiantes 2024" xr:uid="{00000000-0004-0000-0000-000024000000}"/>
    <hyperlink ref="C33" location="'Aprobación Anual'!B229" display="Carreras con mayor tasa de Aprobación Anual, comparación entre 1er año y total cohortes en IP – Matrícula sobre mil estudiantes 2024" xr:uid="{00000000-0004-0000-0000-000025000000}"/>
    <hyperlink ref="C35" location="'Aprobación Anual'!B255" display="Carreras con mayor tasa de Aprobación Anual, comparación entre 1er año y total cohortes en CFT – Matrícula sobre mil estudiantes 2024" xr:uid="{00000000-0004-0000-0000-000026000000}"/>
    <hyperlink ref="C69" location="'Avance Curricular Esperado'!B200" display="Carreras con mayor tasa de Avance Curricular Esperado, comparación entre 1er año y total cohortes en Universidades - Matrícula sobre mil estudiantes 2023" xr:uid="{00000000-0004-0000-0000-000027000000}"/>
    <hyperlink ref="C71" location="'Avance Curricular Esperado'!B226" display="Carreras con mayor tasa de Avance Curricular Esperado, comparación entre 1er año y total cohortes en IP - Matrícula sobre mil estudiantes 2023" xr:uid="{00000000-0004-0000-0000-000028000000}"/>
    <hyperlink ref="C73" location="'Avance Curricular Esperado'!B252" display="Carreras con mayor tasa de Avance Curricular Esperado, comparación entre 1er año y total cohortes en CFT - Matrícula sobre mil estudiantes 2023" xr:uid="{00000000-0004-0000-0000-000029000000}"/>
    <hyperlink ref="C38" location="'Aprobación Anual'!B297" display="Tasa de Aprobación Anual por tipo de dependencia del establecimiento de origen y tipo de institución, total de cohortes en Matrícula 2024" xr:uid="{00000000-0004-0000-0000-00002A000000}"/>
    <hyperlink ref="C77" location="'Avance Curricular Esperado'!B304" display="Tasa de Avance Curricular Esperado por tipo de dependencia del colegio de origen y tipo de institución, total de cohortes" xr:uid="{00000000-0004-0000-0000-00002B000000}"/>
    <hyperlink ref="C78" location="'Avance Curricular Esperado'!B314" display="Tasa de Avance Curricular Esperado por tipo de establecimiento del colegio de origen y tipo de institución, total de cohortes" xr:uid="{00000000-0004-0000-0000-00002D000000}"/>
    <hyperlink ref="C32" location="'Aprobación Anual'!B216" display="Carreras con menor tasa de Aprobación Anual, comparación entre 1er año y total cohortes en Universidades – Matrícula sobre mil estudiantes 2024" xr:uid="{00000000-0004-0000-0000-00002E000000}"/>
    <hyperlink ref="C34" location="'Aprobación Anual'!B242" display="Carreras con menor tasa de Aprobación Anual, comparación entre 1er año y total cohortes en IP – Matrícula sobre mil estudiantes 2024" xr:uid="{00000000-0004-0000-0000-00002F000000}"/>
    <hyperlink ref="C36" location="'Aprobación Anual'!B268" display="Carreras con menor tasa de Aprobación Anual, comparación entre 1er año y total cohortes en CFT – Matrícula sobre mil estudiantes 2024" xr:uid="{00000000-0004-0000-0000-000030000000}"/>
    <hyperlink ref="C70" location="'Avance Curricular Esperado'!B213" display="Carreras con menor tasa de Avance Curricular Esperado, comparación entre 1er año y total cohortes en Universidades - Matrícula sobre mil estudiantes 2023" xr:uid="{00000000-0004-0000-0000-000031000000}"/>
    <hyperlink ref="C72" location="'Avance Curricular Esperado'!B239" display="Carreras con menor tasa de Avance Curricular Esperado, comparación entre 1er año y total cohortes en IP - Matrícula sobre mil estudiantes 2023" xr:uid="{00000000-0004-0000-0000-000032000000}"/>
    <hyperlink ref="C74" location="'Avance Curricular Esperado'!B265" display="Carreras con menor tasa de Avance Curricular Esperado, comparación entre 1er año y total cohortes en CFT - Matrícula sobre mil estudiantes 2023" xr:uid="{00000000-0004-0000-0000-000033000000}"/>
    <hyperlink ref="C8" location="Antecedentes!B4" display="Distribución de Matrícula regular de Pregrado 2024 según métrica utilizada para medir Aprobación Curricular y Avance Curricular Esperado por tipo de institución" xr:uid="{00000000-0004-0000-0000-000034000000}"/>
    <hyperlink ref="C9" location="Antecedentes!B13" display="Distribución de Matrícula regular de Pregrado 2024 según métrica utilizada para medir Aprobación Curricular y Avance Curricular Esperado por tipo de institución específica" xr:uid="{00000000-0004-0000-0000-000035000000}"/>
    <hyperlink ref="C10" location="Antecedentes!B25" display="Porcentaje de estudiantes según nivel de actividad académica por semestres por tipo de institución – Matrícula Pregrado 2024" xr:uid="{00000000-0004-0000-0000-000036000000}"/>
    <hyperlink ref="C11" location="Antecedentes!B32" display="Porcentaje de estudiantes según nivel de actividad académica por semestres por tipo amplio de institución – Matrícula Pregrado 2024" xr:uid="{00000000-0004-0000-0000-000037000000}"/>
    <hyperlink ref="C45" location="'Evolución Aprobación Anual'!B21" display="Evolución de Aprobación Anual por tipo de institución y carrera, total cohortes" xr:uid="{00000000-0004-0000-0000-000038000000}"/>
    <hyperlink ref="C46" location="'Evolución Aprobación Anual'!B36" display="Evolución de Aprobación Anual por área del conocimiento, total cohortes" xr:uid="{00000000-0004-0000-0000-000039000000}"/>
    <hyperlink ref="C47" location="'Evolución Aprobación Anual'!B50" display="Evolución de Aprobación Anual por tipo carrera y área, total cohortes" xr:uid="{00000000-0004-0000-0000-00003A000000}"/>
    <hyperlink ref="C48" location="'Evolución Aprobación Anual'!B77" display="Evolución de Aprobación Anual  por jornada, total cohortes" xr:uid="{00000000-0004-0000-0000-00003B000000}"/>
    <hyperlink ref="C49" location="'Evolución Aprobación Anual'!B86" display="Evolución de Aprobación Anual por tipo de carrera y jornada, total cohortes" xr:uid="{00000000-0004-0000-0000-00003C000000}"/>
    <hyperlink ref="C83" location="'Evolución Avance Curricular Es'!B20" display="Evolución de Avance Curricular Esperado  por tipo de institución y carrera , total cohortes" xr:uid="{00000000-0004-0000-0000-00003D000000}"/>
    <hyperlink ref="C84" location="'Evolución Avance Curricular Es'!B35" display="Evolución de Avance Curricular Esperado por área del conocimiento, total cohortes" xr:uid="{00000000-0004-0000-0000-00003E000000}"/>
    <hyperlink ref="C85" location="'Evolución Avance Curricular Es'!B49" display="Evolución de Avance Curricular Esperado por tipo carrera y área, total cohortes" xr:uid="{00000000-0004-0000-0000-00003F000000}"/>
    <hyperlink ref="C86" location="'Evolución Avance Curricular Es'!B76" display="Evolución de Avance Curricular Esperado  por jornada, total cohortes" xr:uid="{00000000-0004-0000-0000-000040000000}"/>
    <hyperlink ref="C87" location="'Evolución Avance Curricular Es'!B85" display="Evolución de Avance Curricular Esperado por tipo de carrera y jornada, total cohortes" xr:uid="{00000000-0004-0000-0000-000041000000}"/>
    <hyperlink ref="C14" location="'Aprobación Anual'!B4" display="Tasa de Aprobación Anual por tipo de institución, total de cohortes en Matrícula 2024" xr:uid="{51179B8A-DDF6-400C-8311-A786EECD9939}"/>
    <hyperlink ref="C21" location="'Aprobación Anual'!B75" display="Tasa de Aprobación Anual por área del conocimiento, comparación entre 1er año y total cohortes en Matrícula 2024 - Universidad" xr:uid="{D861E656-13AB-4013-B96E-0DF9C96AC261}"/>
    <hyperlink ref="C22" location="'Aprobación Anual'!B89" display="Tasa de Aprobación Anual por área del conocimiento, comparación entre 1er año y total cohortes en Matrícula 2024 - IP" xr:uid="{4B872B11-DDE1-486F-9C23-3EC54949AF66}"/>
    <hyperlink ref="C26" location="'Aprobación Anual'!B147" display="Tasa de Aprobación Anual por sexo según áreas CINE UNESCO 2013, 1er año en Matrícula 2024" xr:uid="{95BCF701-5154-46B0-99C3-572A43B5326A}"/>
    <hyperlink ref="C27" location="'Aprobación Anual'!B162" display="Tasa de Aprobación Anual por sexo según áreas CINE UNESCO 2013, total de cohortes en Matrícula 2024" xr:uid="{20CDBF1F-358C-4611-8CEF-C8B47A4CC237}"/>
    <hyperlink ref="C39" location="'Aprobación Anual'!B307" display="Tasa de Aprobación Anual por tipo de dependencia desagregada del establecimiento de origen y tipo de institución, total de cohortes en Matrícula 2024" xr:uid="{9040E9AB-32EF-43E9-A8E8-307BC2F9BDA8}"/>
    <hyperlink ref="C40" location="'Aprobación Anual'!B317" display="Tasa de Aprobación Anual por tipo de enseñanza del establecimiento de origen y tipo de institución, total de cohortes en Matrícula 2024" xr:uid="{7DD5FF6A-24FB-4147-B49B-D1CBED24F310}"/>
    <hyperlink ref="C64" location="'Avance Curricular Esperado'!B145" display="Tasa de Avance Curricular Esperado por sexo según áreas CINE UNESCO 2013, 1er año en Matrícula 2023" xr:uid="{436224EF-22CE-402E-9279-A1CCDFE0F163}"/>
    <hyperlink ref="C65" location="'Avance Curricular Esperado'!B160" display="Tasa de Avance Curricular Esperado por sexo según áreas CINE UNESCO 2013, total de cohortes en Matrícula 2023" xr:uid="{E574A9E8-1677-48D5-9FB6-01F3BB46BBFA}"/>
    <hyperlink ref="C76" location="'Avance Curricular Esperado'!B294" display="Tasa de Avance Curricular Esperado por tipo de dependencia del colegio de origen y tipo de institución, total de cohortes" xr:uid="{AB7A5CBE-E9BA-41F7-B2A9-A0092502B2D5}"/>
    <hyperlink ref="C24" location="'Aprobación Anual'!B117" display="Tasa de Aprobación Anual por sexo según áreas del conocimiento, 1er año en Matrícula 2024" xr:uid="{04F7D2C4-5417-405F-AC93-C2A7FD581FA4}"/>
    <hyperlink ref="C62" location="'Avance Curricular Esperado'!B115" display="Tasa de Avance Curricular Esperado por sexo según área del conocimiento,1er año en Matrícula 2023" xr:uid="{D28E58AD-63F0-4A79-ABF9-75DA73FD9BD5}"/>
    <hyperlink ref="C37" location="'Aprobación Anual'!B281" display="Tasa de Aprobación Anual de carreras genéricas de pedagogía y sexo, comparación entre 1er año y total cohortes" xr:uid="{619DFDDE-33CD-4A14-8E0F-2282564D0FEC}"/>
    <hyperlink ref="C75" location="'Avance Curricular Esperado'!B278" display="Tasa de Avance Curricular Esperado de carreras genéricas de pedagogía y sexo, comparación entre 1er año y total cohortes" xr:uid="{2704DD6B-77DE-4EA6-88F5-666853C12B7B}"/>
  </hyperlinks>
  <pageMargins left="0.70866141732283472" right="0.70866141732283472" top="0.74803149606299213" bottom="0.74803149606299213" header="0.31496062992125984" footer="0.31496062992125984"/>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455"/>
  <sheetViews>
    <sheetView showGridLines="0" zoomScale="90" zoomScaleNormal="90" workbookViewId="0">
      <pane ySplit="2" topLeftCell="A3" activePane="bottomLeft" state="frozen"/>
      <selection pane="bottomLeft"/>
    </sheetView>
  </sheetViews>
  <sheetFormatPr baseColWidth="10" defaultColWidth="11.453125" defaultRowHeight="14.5" x14ac:dyDescent="0.35"/>
  <cols>
    <col min="1" max="1" width="2.7265625" style="2" customWidth="1"/>
    <col min="2" max="2" width="44.54296875" style="4" customWidth="1"/>
    <col min="3" max="6" width="22.7265625" style="4" customWidth="1"/>
    <col min="7" max="7" width="22.7265625" style="2" customWidth="1"/>
    <col min="8" max="8" width="13" style="2" customWidth="1"/>
    <col min="9" max="16384" width="11.453125" style="2"/>
  </cols>
  <sheetData>
    <row r="1" spans="2:8" ht="21" x14ac:dyDescent="0.35">
      <c r="B1" s="19" t="s">
        <v>73</v>
      </c>
      <c r="C1" s="2"/>
      <c r="D1" s="2"/>
      <c r="E1" s="2"/>
      <c r="F1" s="2"/>
    </row>
    <row r="2" spans="2:8" ht="22.5" customHeight="1" x14ac:dyDescent="0.35">
      <c r="B2" s="2" t="s">
        <v>74</v>
      </c>
      <c r="C2" s="2"/>
      <c r="D2" s="2"/>
      <c r="E2" s="2"/>
      <c r="F2" s="2"/>
    </row>
    <row r="3" spans="2:8" x14ac:dyDescent="0.35">
      <c r="B3" s="2"/>
      <c r="C3" s="2"/>
      <c r="D3" s="2"/>
      <c r="E3" s="2"/>
      <c r="F3" s="2"/>
    </row>
    <row r="4" spans="2:8" x14ac:dyDescent="0.35">
      <c r="B4" s="81" t="s">
        <v>6</v>
      </c>
      <c r="C4" s="10"/>
      <c r="D4" s="10"/>
      <c r="E4" s="10"/>
      <c r="F4" s="10"/>
      <c r="G4" s="10"/>
      <c r="H4" s="10"/>
    </row>
    <row r="5" spans="2:8" ht="39" x14ac:dyDescent="0.35">
      <c r="B5" s="28" t="s">
        <v>75</v>
      </c>
      <c r="C5" s="30" t="s">
        <v>76</v>
      </c>
      <c r="D5" s="30" t="s">
        <v>77</v>
      </c>
      <c r="E5" s="30" t="s">
        <v>78</v>
      </c>
      <c r="F5" s="1" t="s">
        <v>79</v>
      </c>
      <c r="H5" s="10"/>
    </row>
    <row r="6" spans="2:8" x14ac:dyDescent="0.35">
      <c r="B6" s="87" t="s">
        <v>80</v>
      </c>
      <c r="C6" s="122">
        <v>141321</v>
      </c>
      <c r="D6" s="122">
        <v>0</v>
      </c>
      <c r="E6" s="122">
        <v>141321</v>
      </c>
      <c r="F6" s="32">
        <f>+C6/E6</f>
        <v>1</v>
      </c>
    </row>
    <row r="7" spans="2:8" x14ac:dyDescent="0.35">
      <c r="B7" s="87" t="s">
        <v>81</v>
      </c>
      <c r="C7" s="122">
        <v>306784</v>
      </c>
      <c r="D7" s="122">
        <v>105236</v>
      </c>
      <c r="E7" s="122">
        <v>412020</v>
      </c>
      <c r="F7" s="32">
        <f>+C7/E7</f>
        <v>0.74458521430998492</v>
      </c>
      <c r="G7" s="93"/>
      <c r="H7" s="10"/>
    </row>
    <row r="8" spans="2:8" x14ac:dyDescent="0.35">
      <c r="B8" s="87" t="s">
        <v>82</v>
      </c>
      <c r="C8" s="122">
        <v>443115</v>
      </c>
      <c r="D8" s="122">
        <v>200714</v>
      </c>
      <c r="E8" s="122">
        <v>643829</v>
      </c>
      <c r="F8" s="32">
        <f>+C8/E8</f>
        <v>0.68824951967059578</v>
      </c>
      <c r="G8" s="93"/>
      <c r="H8" s="10"/>
    </row>
    <row r="9" spans="2:8" x14ac:dyDescent="0.35">
      <c r="B9" s="29" t="s">
        <v>83</v>
      </c>
      <c r="C9" s="123">
        <v>891220</v>
      </c>
      <c r="D9" s="123">
        <v>305950</v>
      </c>
      <c r="E9" s="123">
        <v>1197170</v>
      </c>
      <c r="F9" s="124">
        <f>+C9/E9</f>
        <v>0.74443896856753844</v>
      </c>
      <c r="H9" s="10"/>
    </row>
    <row r="10" spans="2:8" x14ac:dyDescent="0.35">
      <c r="B10" s="125" t="s">
        <v>84</v>
      </c>
      <c r="C10" s="124">
        <f>+C9/$E$9</f>
        <v>0.74443896856753844</v>
      </c>
      <c r="D10" s="124">
        <f>+D9/$E$9</f>
        <v>0.25556103143246156</v>
      </c>
      <c r="E10" s="124">
        <f>+E9/$E$9</f>
        <v>1</v>
      </c>
      <c r="F10" s="32"/>
      <c r="H10" s="10"/>
    </row>
    <row r="11" spans="2:8" x14ac:dyDescent="0.35">
      <c r="B11" s="82" t="s">
        <v>85</v>
      </c>
      <c r="C11" s="10"/>
      <c r="D11" s="10"/>
      <c r="E11" s="10"/>
      <c r="F11" s="10"/>
      <c r="G11" s="10"/>
      <c r="H11" s="10"/>
    </row>
    <row r="12" spans="2:8" x14ac:dyDescent="0.35">
      <c r="B12" s="52"/>
      <c r="C12" s="10"/>
      <c r="D12" s="10"/>
      <c r="E12" s="10"/>
      <c r="F12" s="10"/>
      <c r="G12" s="10"/>
      <c r="H12" s="10"/>
    </row>
    <row r="13" spans="2:8" x14ac:dyDescent="0.35">
      <c r="B13" s="81" t="s">
        <v>7</v>
      </c>
      <c r="C13" s="2"/>
      <c r="D13" s="2"/>
      <c r="E13" s="2"/>
      <c r="F13" s="2"/>
    </row>
    <row r="14" spans="2:8" ht="39" x14ac:dyDescent="0.35">
      <c r="B14" s="28" t="s">
        <v>75</v>
      </c>
      <c r="C14" s="30" t="s">
        <v>76</v>
      </c>
      <c r="D14" s="30" t="s">
        <v>77</v>
      </c>
      <c r="E14" s="30" t="s">
        <v>78</v>
      </c>
      <c r="F14" s="1" t="s">
        <v>79</v>
      </c>
    </row>
    <row r="15" spans="2:8" x14ac:dyDescent="0.35">
      <c r="B15" s="87" t="s">
        <v>80</v>
      </c>
      <c r="C15" s="122">
        <v>126319</v>
      </c>
      <c r="D15" s="122"/>
      <c r="E15" s="122">
        <v>126319</v>
      </c>
      <c r="F15" s="32">
        <f t="shared" ref="F15:F20" si="0">C15/E15</f>
        <v>1</v>
      </c>
    </row>
    <row r="16" spans="2:8" x14ac:dyDescent="0.35">
      <c r="B16" s="87" t="s">
        <v>86</v>
      </c>
      <c r="C16" s="122">
        <v>15002</v>
      </c>
      <c r="D16" s="122"/>
      <c r="E16" s="122">
        <v>15002</v>
      </c>
      <c r="F16" s="32">
        <f t="shared" si="0"/>
        <v>1</v>
      </c>
    </row>
    <row r="17" spans="2:8" x14ac:dyDescent="0.35">
      <c r="B17" s="87" t="s">
        <v>81</v>
      </c>
      <c r="C17" s="122">
        <v>306784</v>
      </c>
      <c r="D17" s="122">
        <v>105236</v>
      </c>
      <c r="E17" s="122">
        <v>412020</v>
      </c>
      <c r="F17" s="32">
        <f t="shared" si="0"/>
        <v>0.74458521430998492</v>
      </c>
    </row>
    <row r="18" spans="2:8" x14ac:dyDescent="0.35">
      <c r="B18" s="87" t="s">
        <v>87</v>
      </c>
      <c r="C18" s="122">
        <v>125042</v>
      </c>
      <c r="D18" s="122">
        <v>55654</v>
      </c>
      <c r="E18" s="122">
        <v>180696</v>
      </c>
      <c r="F18" s="32">
        <f t="shared" si="0"/>
        <v>0.69200203656970827</v>
      </c>
    </row>
    <row r="19" spans="2:8" x14ac:dyDescent="0.35">
      <c r="B19" s="87" t="s">
        <v>88</v>
      </c>
      <c r="C19" s="122">
        <v>75060</v>
      </c>
      <c r="D19" s="122">
        <v>116706</v>
      </c>
      <c r="E19" s="122">
        <v>191766</v>
      </c>
      <c r="F19" s="32">
        <f t="shared" si="0"/>
        <v>0.39141453646631835</v>
      </c>
    </row>
    <row r="20" spans="2:8" x14ac:dyDescent="0.35">
      <c r="B20" s="87" t="s">
        <v>89</v>
      </c>
      <c r="C20" s="122">
        <v>243013</v>
      </c>
      <c r="D20" s="122">
        <v>28354</v>
      </c>
      <c r="E20" s="122">
        <v>271367</v>
      </c>
      <c r="F20" s="32">
        <f t="shared" si="0"/>
        <v>0.89551419295640222</v>
      </c>
    </row>
    <row r="21" spans="2:8" x14ac:dyDescent="0.35">
      <c r="B21" s="29" t="s">
        <v>83</v>
      </c>
      <c r="C21" s="123">
        <v>891220</v>
      </c>
      <c r="D21" s="123">
        <v>305950</v>
      </c>
      <c r="E21" s="123">
        <v>1197170</v>
      </c>
      <c r="F21" s="124">
        <f t="shared" ref="F21" si="1">C21/E21</f>
        <v>0.74443896856753844</v>
      </c>
    </row>
    <row r="22" spans="2:8" x14ac:dyDescent="0.35">
      <c r="B22" s="29" t="s">
        <v>90</v>
      </c>
      <c r="C22" s="124">
        <f>+C21/$E$21</f>
        <v>0.74443896856753844</v>
      </c>
      <c r="D22" s="124">
        <f>+D21/$E$21</f>
        <v>0.25556103143246156</v>
      </c>
      <c r="E22" s="124">
        <f>+E21/$E$21</f>
        <v>1</v>
      </c>
      <c r="F22" s="32" t="s">
        <v>91</v>
      </c>
    </row>
    <row r="23" spans="2:8" x14ac:dyDescent="0.35">
      <c r="B23" s="82" t="s">
        <v>85</v>
      </c>
      <c r="C23" s="10"/>
      <c r="D23" s="10"/>
      <c r="E23" s="10"/>
      <c r="F23" s="10"/>
      <c r="G23" s="78"/>
    </row>
    <row r="24" spans="2:8" x14ac:dyDescent="0.35">
      <c r="B24" s="41"/>
      <c r="C24" s="10"/>
      <c r="D24" s="10"/>
      <c r="E24" s="10"/>
      <c r="F24" s="10"/>
      <c r="G24" s="31"/>
    </row>
    <row r="25" spans="2:8" x14ac:dyDescent="0.35">
      <c r="B25" s="81" t="s">
        <v>92</v>
      </c>
      <c r="C25" s="10"/>
      <c r="D25" s="10"/>
      <c r="E25" s="10"/>
      <c r="F25" s="10"/>
      <c r="G25" s="31"/>
    </row>
    <row r="26" spans="2:8" ht="27.5" x14ac:dyDescent="0.35">
      <c r="B26" s="28" t="s">
        <v>75</v>
      </c>
      <c r="C26" s="1" t="s">
        <v>93</v>
      </c>
      <c r="D26" s="1" t="s">
        <v>94</v>
      </c>
      <c r="E26" s="1" t="s">
        <v>95</v>
      </c>
      <c r="F26" s="1" t="s">
        <v>96</v>
      </c>
      <c r="G26" s="1" t="s">
        <v>83</v>
      </c>
    </row>
    <row r="27" spans="2:8" x14ac:dyDescent="0.35">
      <c r="B27" s="87" t="s">
        <v>80</v>
      </c>
      <c r="C27" s="26">
        <v>0.69589091500909273</v>
      </c>
      <c r="D27" s="26">
        <v>0.25933866870458033</v>
      </c>
      <c r="E27" s="26">
        <v>1.0550448977858918E-2</v>
      </c>
      <c r="F27" s="26">
        <v>3.4219967308467956E-2</v>
      </c>
      <c r="G27" s="26">
        <v>1</v>
      </c>
      <c r="H27" s="43"/>
    </row>
    <row r="28" spans="2:8" x14ac:dyDescent="0.35">
      <c r="B28" s="87" t="s">
        <v>81</v>
      </c>
      <c r="C28" s="26">
        <v>0.76056016698218532</v>
      </c>
      <c r="D28" s="26">
        <v>0.14662395029367506</v>
      </c>
      <c r="E28" s="26">
        <v>6.8710256783651282E-3</v>
      </c>
      <c r="F28" s="26">
        <v>8.5944857045774481E-2</v>
      </c>
      <c r="G28" s="26">
        <v>1</v>
      </c>
      <c r="H28" s="43"/>
    </row>
    <row r="29" spans="2:8" x14ac:dyDescent="0.35">
      <c r="B29" s="87" t="s">
        <v>82</v>
      </c>
      <c r="C29" s="26">
        <v>0.85105361827441761</v>
      </c>
      <c r="D29" s="26">
        <v>9.7429596989262679E-2</v>
      </c>
      <c r="E29" s="26">
        <v>1.2184912453462022E-2</v>
      </c>
      <c r="F29" s="26">
        <v>3.9331872282857713E-2</v>
      </c>
      <c r="G29" s="26">
        <v>1</v>
      </c>
      <c r="H29" s="43"/>
    </row>
    <row r="30" spans="2:8" x14ac:dyDescent="0.35">
      <c r="B30" s="29" t="s">
        <v>83</v>
      </c>
      <c r="C30" s="6">
        <v>0.801592923310808</v>
      </c>
      <c r="D30" s="6">
        <v>0.13347310741164581</v>
      </c>
      <c r="E30" s="6">
        <v>1.0163134726062296E-2</v>
      </c>
      <c r="F30" s="6">
        <v>5.4770834551483918E-2</v>
      </c>
      <c r="G30" s="6">
        <v>1</v>
      </c>
      <c r="H30" s="43"/>
    </row>
    <row r="31" spans="2:8" x14ac:dyDescent="0.35">
      <c r="B31" s="41"/>
      <c r="C31" s="10"/>
      <c r="D31" s="10"/>
      <c r="E31" s="10"/>
      <c r="F31" s="10"/>
      <c r="G31" s="31"/>
    </row>
    <row r="32" spans="2:8" x14ac:dyDescent="0.35">
      <c r="B32" s="81" t="s">
        <v>97</v>
      </c>
      <c r="C32" s="10"/>
      <c r="D32" s="10"/>
      <c r="E32" s="10"/>
      <c r="F32" s="10"/>
      <c r="G32" s="31"/>
    </row>
    <row r="33" spans="2:9" ht="27.5" x14ac:dyDescent="0.35">
      <c r="B33" s="28" t="s">
        <v>75</v>
      </c>
      <c r="C33" s="1" t="s">
        <v>93</v>
      </c>
      <c r="D33" s="1" t="s">
        <v>94</v>
      </c>
      <c r="E33" s="1" t="s">
        <v>95</v>
      </c>
      <c r="F33" s="1" t="s">
        <v>96</v>
      </c>
      <c r="G33" s="1" t="s">
        <v>83</v>
      </c>
    </row>
    <row r="34" spans="2:9" x14ac:dyDescent="0.35">
      <c r="B34" s="87" t="s">
        <v>80</v>
      </c>
      <c r="C34" s="26">
        <v>0.69779684766345518</v>
      </c>
      <c r="D34" s="26">
        <v>0.25855967827484383</v>
      </c>
      <c r="E34" s="26">
        <v>1.0940555260887119E-2</v>
      </c>
      <c r="F34" s="26">
        <v>3.2702918800813816E-2</v>
      </c>
      <c r="G34" s="26">
        <v>1</v>
      </c>
      <c r="H34" s="43"/>
      <c r="I34" s="43"/>
    </row>
    <row r="35" spans="2:9" x14ac:dyDescent="0.35">
      <c r="B35" s="87" t="s">
        <v>86</v>
      </c>
      <c r="C35" s="26">
        <v>0.67984268764164779</v>
      </c>
      <c r="D35" s="26">
        <v>0.26589788028262901</v>
      </c>
      <c r="E35" s="26">
        <v>7.2656979069457405E-3</v>
      </c>
      <c r="F35" s="26">
        <v>4.6993734168777494E-2</v>
      </c>
      <c r="G35" s="26">
        <v>1</v>
      </c>
      <c r="H35" s="43"/>
      <c r="I35" s="43"/>
    </row>
    <row r="36" spans="2:9" x14ac:dyDescent="0.35">
      <c r="B36" s="87" t="s">
        <v>81</v>
      </c>
      <c r="C36" s="26">
        <v>0.76056016698218532</v>
      </c>
      <c r="D36" s="26">
        <v>0.14662395029367506</v>
      </c>
      <c r="E36" s="26">
        <v>6.8710256783651282E-3</v>
      </c>
      <c r="F36" s="26">
        <v>8.5944857045774481E-2</v>
      </c>
      <c r="G36" s="26">
        <v>1</v>
      </c>
      <c r="H36" s="43"/>
      <c r="I36" s="43"/>
    </row>
    <row r="37" spans="2:9" x14ac:dyDescent="0.35">
      <c r="B37" s="87" t="s">
        <v>87</v>
      </c>
      <c r="C37" s="26">
        <v>0.82919378403506439</v>
      </c>
      <c r="D37" s="26">
        <v>0.10094855447823969</v>
      </c>
      <c r="E37" s="26">
        <v>1.4549298268915748E-2</v>
      </c>
      <c r="F37" s="26">
        <v>5.530836321778014E-2</v>
      </c>
      <c r="G37" s="26">
        <v>1</v>
      </c>
      <c r="H37" s="43"/>
      <c r="I37" s="43"/>
    </row>
    <row r="38" spans="2:9" x14ac:dyDescent="0.35">
      <c r="B38" s="87" t="s">
        <v>88</v>
      </c>
      <c r="C38" s="26">
        <v>0.83872532148556056</v>
      </c>
      <c r="D38" s="26">
        <v>9.9365893849796105E-2</v>
      </c>
      <c r="E38" s="26">
        <v>1.3333959095981561E-2</v>
      </c>
      <c r="F38" s="26">
        <v>4.8574825568661807E-2</v>
      </c>
      <c r="G38" s="26">
        <v>1</v>
      </c>
      <c r="H38" s="43"/>
      <c r="I38" s="43"/>
    </row>
    <row r="39" spans="2:9" x14ac:dyDescent="0.35">
      <c r="B39" s="87" t="s">
        <v>89</v>
      </c>
      <c r="C39" s="26">
        <v>0.87432149082239186</v>
      </c>
      <c r="D39" s="26">
        <v>9.3718101316667093E-2</v>
      </c>
      <c r="E39" s="26">
        <v>9.7985385105779262E-3</v>
      </c>
      <c r="F39" s="26">
        <v>2.2161869350363163E-2</v>
      </c>
      <c r="G39" s="26">
        <v>1</v>
      </c>
      <c r="H39" s="43"/>
      <c r="I39" s="43"/>
    </row>
    <row r="40" spans="2:9" x14ac:dyDescent="0.35">
      <c r="B40" s="29" t="s">
        <v>83</v>
      </c>
      <c r="C40" s="6">
        <v>0.801592923310808</v>
      </c>
      <c r="D40" s="6">
        <v>0.13347310741164581</v>
      </c>
      <c r="E40" s="6">
        <v>1.0163134726062296E-2</v>
      </c>
      <c r="F40" s="6">
        <v>5.4770834551483918E-2</v>
      </c>
      <c r="G40" s="6">
        <v>1</v>
      </c>
      <c r="H40" s="43"/>
    </row>
    <row r="42" spans="2:9" x14ac:dyDescent="0.35">
      <c r="B42" s="22" t="s">
        <v>98</v>
      </c>
      <c r="C42" s="2"/>
      <c r="D42" s="2"/>
      <c r="E42" s="2"/>
      <c r="F42" s="2"/>
    </row>
    <row r="43" spans="2:9" x14ac:dyDescent="0.35">
      <c r="B43" s="9" t="s">
        <v>99</v>
      </c>
      <c r="C43" s="2"/>
      <c r="D43" s="2"/>
      <c r="E43" s="2"/>
      <c r="F43" s="49"/>
    </row>
    <row r="44" spans="2:9" x14ac:dyDescent="0.35">
      <c r="B44" s="2"/>
      <c r="C44" s="2"/>
      <c r="D44" s="2"/>
      <c r="E44" s="2"/>
      <c r="F44" s="49"/>
    </row>
    <row r="45" spans="2:9" x14ac:dyDescent="0.35">
      <c r="B45" s="2"/>
      <c r="C45" s="2"/>
      <c r="D45" s="2"/>
      <c r="E45" s="2"/>
      <c r="F45" s="2"/>
    </row>
    <row r="46" spans="2:9" x14ac:dyDescent="0.35">
      <c r="B46" s="2"/>
      <c r="C46" s="2"/>
      <c r="D46" s="2"/>
      <c r="E46" s="2"/>
      <c r="F46" s="2"/>
    </row>
    <row r="47" spans="2:9" x14ac:dyDescent="0.35">
      <c r="B47" s="2"/>
      <c r="C47" s="2"/>
      <c r="D47" s="2"/>
      <c r="E47" s="2"/>
      <c r="F47" s="2"/>
    </row>
    <row r="48" spans="2:9" x14ac:dyDescent="0.35">
      <c r="B48" s="2"/>
      <c r="C48" s="2"/>
      <c r="D48" s="2"/>
      <c r="E48" s="2"/>
      <c r="F48" s="2"/>
    </row>
    <row r="49" s="2" customFormat="1" x14ac:dyDescent="0.35"/>
    <row r="50" s="2" customFormat="1" x14ac:dyDescent="0.35"/>
    <row r="51" s="2" customFormat="1" x14ac:dyDescent="0.35"/>
    <row r="52" s="2" customFormat="1" x14ac:dyDescent="0.35"/>
    <row r="53" s="2" customFormat="1" x14ac:dyDescent="0.35"/>
    <row r="54" s="2" customFormat="1" x14ac:dyDescent="0.35"/>
    <row r="55" s="2" customFormat="1" x14ac:dyDescent="0.35"/>
    <row r="56" s="2" customFormat="1" x14ac:dyDescent="0.35"/>
    <row r="57" s="2" customFormat="1" x14ac:dyDescent="0.35"/>
    <row r="58" s="2" customFormat="1" x14ac:dyDescent="0.35"/>
    <row r="59" s="2" customFormat="1" x14ac:dyDescent="0.35"/>
    <row r="60" s="2" customFormat="1" x14ac:dyDescent="0.35"/>
    <row r="61" s="2" customFormat="1" x14ac:dyDescent="0.35"/>
    <row r="62" s="2" customFormat="1" x14ac:dyDescent="0.35"/>
    <row r="63" s="2" customFormat="1" x14ac:dyDescent="0.35"/>
    <row r="64" s="2" customFormat="1" x14ac:dyDescent="0.35"/>
    <row r="65" s="2" customFormat="1" x14ac:dyDescent="0.35"/>
    <row r="66" s="2" customFormat="1" x14ac:dyDescent="0.35"/>
    <row r="67" s="2" customFormat="1" x14ac:dyDescent="0.35"/>
    <row r="68" s="2" customFormat="1" x14ac:dyDescent="0.35"/>
    <row r="69" s="2" customFormat="1" x14ac:dyDescent="0.35"/>
    <row r="70" s="2" customFormat="1" x14ac:dyDescent="0.35"/>
    <row r="71" s="2" customFormat="1" x14ac:dyDescent="0.35"/>
    <row r="72" s="2" customFormat="1" x14ac:dyDescent="0.35"/>
    <row r="73" s="2" customFormat="1" x14ac:dyDescent="0.35"/>
    <row r="74" s="2" customFormat="1" x14ac:dyDescent="0.35"/>
    <row r="75" s="2" customFormat="1" x14ac:dyDescent="0.35"/>
    <row r="76" s="2" customFormat="1" x14ac:dyDescent="0.35"/>
    <row r="77" s="2" customFormat="1" x14ac:dyDescent="0.35"/>
    <row r="78" s="2" customFormat="1" x14ac:dyDescent="0.35"/>
    <row r="79" s="2" customFormat="1" x14ac:dyDescent="0.35"/>
    <row r="80" s="2" customFormat="1" x14ac:dyDescent="0.35"/>
    <row r="81" s="2" customFormat="1" x14ac:dyDescent="0.35"/>
    <row r="82" s="2" customFormat="1" x14ac:dyDescent="0.35"/>
    <row r="83" s="2" customFormat="1" x14ac:dyDescent="0.35"/>
    <row r="84" s="2" customFormat="1" x14ac:dyDescent="0.35"/>
    <row r="85" s="2" customFormat="1" x14ac:dyDescent="0.35"/>
    <row r="86" s="2" customFormat="1" x14ac:dyDescent="0.35"/>
    <row r="87" s="2" customFormat="1" x14ac:dyDescent="0.35"/>
    <row r="88" s="2" customFormat="1" x14ac:dyDescent="0.35"/>
    <row r="89" s="2" customFormat="1" x14ac:dyDescent="0.35"/>
    <row r="90" s="2" customFormat="1" x14ac:dyDescent="0.35"/>
    <row r="91" s="2" customFormat="1" x14ac:dyDescent="0.35"/>
    <row r="92" s="2" customFormat="1" x14ac:dyDescent="0.35"/>
    <row r="93" s="2" customFormat="1" x14ac:dyDescent="0.35"/>
    <row r="94" s="2" customFormat="1" x14ac:dyDescent="0.35"/>
    <row r="95" s="2" customFormat="1" x14ac:dyDescent="0.35"/>
    <row r="96" s="2" customFormat="1" x14ac:dyDescent="0.35"/>
    <row r="97" s="2" customFormat="1" x14ac:dyDescent="0.35"/>
    <row r="98" s="2" customFormat="1" x14ac:dyDescent="0.35"/>
    <row r="99" s="2" customFormat="1" x14ac:dyDescent="0.35"/>
    <row r="100" s="2" customFormat="1" x14ac:dyDescent="0.35"/>
    <row r="101" s="2" customFormat="1" x14ac:dyDescent="0.35"/>
    <row r="102" s="2" customFormat="1" x14ac:dyDescent="0.35"/>
    <row r="103" s="2" customFormat="1" x14ac:dyDescent="0.35"/>
    <row r="104" s="2" customFormat="1" x14ac:dyDescent="0.35"/>
    <row r="105" s="2" customFormat="1" x14ac:dyDescent="0.35"/>
    <row r="106" s="2" customFormat="1" x14ac:dyDescent="0.35"/>
    <row r="107" s="2" customFormat="1" x14ac:dyDescent="0.35"/>
    <row r="108" s="2" customFormat="1" x14ac:dyDescent="0.35"/>
    <row r="109" s="2" customFormat="1" x14ac:dyDescent="0.35"/>
    <row r="110" s="2" customFormat="1" x14ac:dyDescent="0.35"/>
    <row r="111" s="2" customFormat="1" x14ac:dyDescent="0.35"/>
    <row r="112" s="2" customFormat="1" x14ac:dyDescent="0.35"/>
    <row r="113" s="2" customFormat="1" x14ac:dyDescent="0.35"/>
    <row r="114" s="2" customFormat="1" x14ac:dyDescent="0.35"/>
    <row r="115" s="2" customFormat="1" x14ac:dyDescent="0.35"/>
    <row r="116" s="2" customFormat="1" x14ac:dyDescent="0.35"/>
    <row r="117" s="2" customFormat="1" x14ac:dyDescent="0.35"/>
    <row r="118" s="2" customFormat="1" x14ac:dyDescent="0.35"/>
    <row r="119" s="2" customFormat="1" x14ac:dyDescent="0.35"/>
    <row r="120" s="2" customFormat="1" x14ac:dyDescent="0.35"/>
    <row r="121" s="2" customFormat="1" x14ac:dyDescent="0.35"/>
    <row r="122" s="2" customFormat="1" x14ac:dyDescent="0.35"/>
    <row r="123" s="2" customFormat="1" x14ac:dyDescent="0.35"/>
    <row r="124" s="2" customFormat="1" x14ac:dyDescent="0.35"/>
    <row r="125" s="2" customFormat="1" x14ac:dyDescent="0.35"/>
    <row r="126" s="2" customFormat="1" x14ac:dyDescent="0.35"/>
    <row r="127" s="2" customFormat="1" x14ac:dyDescent="0.35"/>
    <row r="128" s="2" customFormat="1" x14ac:dyDescent="0.35"/>
    <row r="129" s="2" customFormat="1" x14ac:dyDescent="0.35"/>
    <row r="130" s="2" customFormat="1" x14ac:dyDescent="0.35"/>
    <row r="131" s="2" customFormat="1" x14ac:dyDescent="0.35"/>
    <row r="132" s="2" customFormat="1" x14ac:dyDescent="0.35"/>
    <row r="133" s="2" customFormat="1" x14ac:dyDescent="0.35"/>
    <row r="134" s="2" customFormat="1" x14ac:dyDescent="0.35"/>
    <row r="135" s="2" customFormat="1" x14ac:dyDescent="0.35"/>
    <row r="136" s="2" customFormat="1" x14ac:dyDescent="0.35"/>
    <row r="137" s="2" customFormat="1" x14ac:dyDescent="0.35"/>
    <row r="138" s="2" customFormat="1" x14ac:dyDescent="0.35"/>
    <row r="139" s="2" customFormat="1" x14ac:dyDescent="0.35"/>
    <row r="140" s="2" customFormat="1" x14ac:dyDescent="0.35"/>
    <row r="141" s="2" customFormat="1" x14ac:dyDescent="0.35"/>
    <row r="142" s="2" customFormat="1" x14ac:dyDescent="0.35"/>
    <row r="143" s="2" customFormat="1" x14ac:dyDescent="0.35"/>
    <row r="144" s="2" customFormat="1" x14ac:dyDescent="0.35"/>
    <row r="145" s="2" customFormat="1" x14ac:dyDescent="0.35"/>
    <row r="146" s="2" customFormat="1" x14ac:dyDescent="0.35"/>
    <row r="147" s="2" customFormat="1" x14ac:dyDescent="0.35"/>
    <row r="148" s="2" customFormat="1" x14ac:dyDescent="0.35"/>
    <row r="149" s="2" customFormat="1" x14ac:dyDescent="0.35"/>
    <row r="150" s="2" customFormat="1" x14ac:dyDescent="0.35"/>
    <row r="151" s="2" customFormat="1" x14ac:dyDescent="0.35"/>
    <row r="152" s="2" customFormat="1" x14ac:dyDescent="0.35"/>
    <row r="153" s="2" customFormat="1" x14ac:dyDescent="0.35"/>
    <row r="154" s="2" customFormat="1" x14ac:dyDescent="0.35"/>
    <row r="155" s="2" customFormat="1" x14ac:dyDescent="0.35"/>
    <row r="156" s="2" customFormat="1" x14ac:dyDescent="0.35"/>
    <row r="157" s="2" customFormat="1" x14ac:dyDescent="0.35"/>
    <row r="158" s="2" customFormat="1" x14ac:dyDescent="0.35"/>
    <row r="159" s="2" customFormat="1" x14ac:dyDescent="0.35"/>
    <row r="160" s="2" customFormat="1" x14ac:dyDescent="0.35"/>
    <row r="161" s="2" customFormat="1" x14ac:dyDescent="0.35"/>
    <row r="162" s="2" customFormat="1" x14ac:dyDescent="0.35"/>
    <row r="163" s="2" customFormat="1" x14ac:dyDescent="0.35"/>
    <row r="164" s="2" customFormat="1" x14ac:dyDescent="0.35"/>
    <row r="165" s="2" customFormat="1" x14ac:dyDescent="0.35"/>
    <row r="166" s="2" customFormat="1" x14ac:dyDescent="0.35"/>
    <row r="167" s="2" customFormat="1" x14ac:dyDescent="0.35"/>
    <row r="168" s="2" customFormat="1" x14ac:dyDescent="0.35"/>
    <row r="169" s="2" customFormat="1" x14ac:dyDescent="0.35"/>
    <row r="170" s="2" customFormat="1" x14ac:dyDescent="0.35"/>
    <row r="171" s="2" customFormat="1" x14ac:dyDescent="0.35"/>
    <row r="172" s="2" customFormat="1" x14ac:dyDescent="0.35"/>
    <row r="173" s="2" customFormat="1" x14ac:dyDescent="0.35"/>
    <row r="174" s="2" customFormat="1" x14ac:dyDescent="0.35"/>
    <row r="175" s="2" customFormat="1" x14ac:dyDescent="0.35"/>
    <row r="176" s="2" customFormat="1" x14ac:dyDescent="0.35"/>
    <row r="177" s="2" customFormat="1" x14ac:dyDescent="0.35"/>
    <row r="178" s="2" customFormat="1" x14ac:dyDescent="0.35"/>
    <row r="179" s="2" customFormat="1" x14ac:dyDescent="0.35"/>
    <row r="180" s="2" customFormat="1" x14ac:dyDescent="0.35"/>
    <row r="181" s="2" customFormat="1" x14ac:dyDescent="0.35"/>
    <row r="182" s="2" customFormat="1" x14ac:dyDescent="0.35"/>
    <row r="183" s="2" customFormat="1" x14ac:dyDescent="0.35"/>
    <row r="184" s="2" customFormat="1" x14ac:dyDescent="0.35"/>
    <row r="185" s="2" customFormat="1" x14ac:dyDescent="0.35"/>
    <row r="186" s="2" customFormat="1" x14ac:dyDescent="0.35"/>
    <row r="187" s="2" customFormat="1" x14ac:dyDescent="0.35"/>
    <row r="188" s="2" customFormat="1" x14ac:dyDescent="0.35"/>
    <row r="189" s="2" customFormat="1" x14ac:dyDescent="0.35"/>
    <row r="190" s="2" customFormat="1" x14ac:dyDescent="0.35"/>
    <row r="191" s="2" customFormat="1" x14ac:dyDescent="0.35"/>
    <row r="192" s="2" customFormat="1" x14ac:dyDescent="0.35"/>
    <row r="193" s="2" customFormat="1" x14ac:dyDescent="0.35"/>
    <row r="194" s="2" customFormat="1" x14ac:dyDescent="0.35"/>
    <row r="195" s="2" customFormat="1" x14ac:dyDescent="0.35"/>
    <row r="196" s="2" customFormat="1" x14ac:dyDescent="0.35"/>
    <row r="197" s="2" customFormat="1" x14ac:dyDescent="0.35"/>
    <row r="198" s="2" customFormat="1" x14ac:dyDescent="0.35"/>
    <row r="199" s="2" customFormat="1" x14ac:dyDescent="0.35"/>
    <row r="200" s="2" customFormat="1" x14ac:dyDescent="0.35"/>
    <row r="201" s="2" customFormat="1" x14ac:dyDescent="0.35"/>
    <row r="202" s="2" customFormat="1" x14ac:dyDescent="0.35"/>
    <row r="203" s="2" customFormat="1" x14ac:dyDescent="0.35"/>
    <row r="204" s="2" customFormat="1" x14ac:dyDescent="0.35"/>
    <row r="205" s="2" customFormat="1" x14ac:dyDescent="0.35"/>
    <row r="206" s="2" customFormat="1" x14ac:dyDescent="0.35"/>
    <row r="207" s="2" customFormat="1" x14ac:dyDescent="0.35"/>
    <row r="208" s="2" customFormat="1" x14ac:dyDescent="0.35"/>
    <row r="209" s="2" customFormat="1" x14ac:dyDescent="0.35"/>
    <row r="210" s="2" customFormat="1" x14ac:dyDescent="0.35"/>
    <row r="211" s="2" customFormat="1" x14ac:dyDescent="0.35"/>
    <row r="212" s="2" customFormat="1" x14ac:dyDescent="0.35"/>
    <row r="213" s="2" customFormat="1" x14ac:dyDescent="0.35"/>
    <row r="214" s="2" customFormat="1" x14ac:dyDescent="0.35"/>
    <row r="215" s="2" customFormat="1" x14ac:dyDescent="0.35"/>
    <row r="216" s="2" customFormat="1" x14ac:dyDescent="0.35"/>
    <row r="217" s="2" customFormat="1" x14ac:dyDescent="0.35"/>
    <row r="218" s="2" customFormat="1" x14ac:dyDescent="0.35"/>
    <row r="219" s="2" customFormat="1" x14ac:dyDescent="0.35"/>
    <row r="220" s="2" customFormat="1" x14ac:dyDescent="0.35"/>
    <row r="221" s="2" customFormat="1" x14ac:dyDescent="0.35"/>
    <row r="222" s="2" customFormat="1" x14ac:dyDescent="0.35"/>
    <row r="223" s="2" customFormat="1" x14ac:dyDescent="0.35"/>
    <row r="224" s="2" customFormat="1" x14ac:dyDescent="0.35"/>
    <row r="225" s="2" customFormat="1" x14ac:dyDescent="0.35"/>
    <row r="226" s="2" customFormat="1" x14ac:dyDescent="0.35"/>
    <row r="227" s="2" customFormat="1" x14ac:dyDescent="0.35"/>
    <row r="228" s="2" customFormat="1" x14ac:dyDescent="0.35"/>
    <row r="229" s="2" customFormat="1" x14ac:dyDescent="0.35"/>
    <row r="230" s="2" customFormat="1" x14ac:dyDescent="0.35"/>
    <row r="231" s="2" customFormat="1" x14ac:dyDescent="0.35"/>
    <row r="232" s="2" customFormat="1" x14ac:dyDescent="0.35"/>
    <row r="233" s="2" customFormat="1" x14ac:dyDescent="0.35"/>
    <row r="234" s="2" customFormat="1" x14ac:dyDescent="0.35"/>
    <row r="235" s="2" customFormat="1" x14ac:dyDescent="0.35"/>
    <row r="236" s="2" customFormat="1" x14ac:dyDescent="0.35"/>
    <row r="237" s="2" customFormat="1" x14ac:dyDescent="0.35"/>
    <row r="238" s="2" customFormat="1" x14ac:dyDescent="0.35"/>
    <row r="239" s="2" customFormat="1" x14ac:dyDescent="0.35"/>
    <row r="240" s="2" customFormat="1" x14ac:dyDescent="0.35"/>
    <row r="241" s="2" customFormat="1" x14ac:dyDescent="0.35"/>
    <row r="242" s="2" customFormat="1" x14ac:dyDescent="0.35"/>
    <row r="243" s="2" customFormat="1" x14ac:dyDescent="0.35"/>
    <row r="244" s="2" customFormat="1" x14ac:dyDescent="0.35"/>
    <row r="245" s="2" customFormat="1" x14ac:dyDescent="0.35"/>
    <row r="246" s="2" customFormat="1" x14ac:dyDescent="0.35"/>
    <row r="247" s="2" customFormat="1" x14ac:dyDescent="0.35"/>
    <row r="248" s="2" customFormat="1" x14ac:dyDescent="0.35"/>
    <row r="249" s="2" customFormat="1" x14ac:dyDescent="0.35"/>
    <row r="250" s="2" customFormat="1" x14ac:dyDescent="0.35"/>
    <row r="251" s="2" customFormat="1" x14ac:dyDescent="0.35"/>
    <row r="252" s="2" customFormat="1" x14ac:dyDescent="0.35"/>
    <row r="253" s="2" customFormat="1" x14ac:dyDescent="0.35"/>
    <row r="254" s="2" customFormat="1" x14ac:dyDescent="0.35"/>
    <row r="255" s="2" customFormat="1" x14ac:dyDescent="0.35"/>
    <row r="256" s="2" customFormat="1" x14ac:dyDescent="0.35"/>
    <row r="257" s="2" customFormat="1" x14ac:dyDescent="0.35"/>
    <row r="258" s="2" customFormat="1" x14ac:dyDescent="0.35"/>
    <row r="259" s="2" customFormat="1" x14ac:dyDescent="0.35"/>
    <row r="260" s="2" customFormat="1" x14ac:dyDescent="0.35"/>
    <row r="261" s="2" customFormat="1" x14ac:dyDescent="0.35"/>
    <row r="262" s="2" customFormat="1" x14ac:dyDescent="0.35"/>
    <row r="263" s="2" customFormat="1" x14ac:dyDescent="0.35"/>
    <row r="264" s="2" customFormat="1" x14ac:dyDescent="0.35"/>
    <row r="265" s="2" customFormat="1" x14ac:dyDescent="0.35"/>
    <row r="266" s="2" customFormat="1" x14ac:dyDescent="0.35"/>
    <row r="267" s="2" customFormat="1" x14ac:dyDescent="0.35"/>
    <row r="268" s="2" customFormat="1" x14ac:dyDescent="0.35"/>
    <row r="269" s="2" customFormat="1" x14ac:dyDescent="0.35"/>
    <row r="270" s="2" customFormat="1" x14ac:dyDescent="0.35"/>
    <row r="271" s="2" customFormat="1" x14ac:dyDescent="0.35"/>
    <row r="272" s="2" customFormat="1" x14ac:dyDescent="0.35"/>
    <row r="273" s="2" customFormat="1" x14ac:dyDescent="0.35"/>
    <row r="274" s="2" customFormat="1" x14ac:dyDescent="0.35"/>
    <row r="275" s="2" customFormat="1" x14ac:dyDescent="0.35"/>
    <row r="276" s="2" customFormat="1" x14ac:dyDescent="0.35"/>
    <row r="277" s="2" customFormat="1" x14ac:dyDescent="0.35"/>
    <row r="278" s="2" customFormat="1" x14ac:dyDescent="0.35"/>
    <row r="279" s="2" customFormat="1" x14ac:dyDescent="0.35"/>
    <row r="280" s="2" customFormat="1" x14ac:dyDescent="0.35"/>
    <row r="281" s="2" customFormat="1" x14ac:dyDescent="0.35"/>
    <row r="282" s="2" customFormat="1" x14ac:dyDescent="0.35"/>
    <row r="283" s="2" customFormat="1" x14ac:dyDescent="0.35"/>
    <row r="284" s="2" customFormat="1" x14ac:dyDescent="0.35"/>
    <row r="285" s="2" customFormat="1" x14ac:dyDescent="0.35"/>
    <row r="286" s="2" customFormat="1" x14ac:dyDescent="0.35"/>
    <row r="287" s="2" customFormat="1" x14ac:dyDescent="0.35"/>
    <row r="288" s="2" customFormat="1" x14ac:dyDescent="0.35"/>
    <row r="289" s="2" customFormat="1" x14ac:dyDescent="0.35"/>
    <row r="290" s="2" customFormat="1" x14ac:dyDescent="0.35"/>
    <row r="291" s="2" customFormat="1" x14ac:dyDescent="0.35"/>
    <row r="292" s="2" customFormat="1" x14ac:dyDescent="0.35"/>
    <row r="293" s="2" customFormat="1" x14ac:dyDescent="0.35"/>
    <row r="294" s="2" customFormat="1" x14ac:dyDescent="0.35"/>
    <row r="295" s="2" customFormat="1" x14ac:dyDescent="0.35"/>
    <row r="296" s="2" customFormat="1" x14ac:dyDescent="0.35"/>
    <row r="297" s="2" customFormat="1" x14ac:dyDescent="0.35"/>
    <row r="298" s="2" customFormat="1" x14ac:dyDescent="0.35"/>
    <row r="299" s="2" customFormat="1" x14ac:dyDescent="0.35"/>
    <row r="300" s="2" customFormat="1" x14ac:dyDescent="0.35"/>
    <row r="301" s="2" customFormat="1" x14ac:dyDescent="0.35"/>
    <row r="302" s="2" customFormat="1" x14ac:dyDescent="0.35"/>
    <row r="303" s="2" customFormat="1" x14ac:dyDescent="0.35"/>
    <row r="304" s="2" customFormat="1" x14ac:dyDescent="0.35"/>
    <row r="305" s="2" customFormat="1" x14ac:dyDescent="0.35"/>
    <row r="306" s="2" customFormat="1" x14ac:dyDescent="0.35"/>
    <row r="307" s="2" customFormat="1" x14ac:dyDescent="0.35"/>
    <row r="308" s="2" customFormat="1" x14ac:dyDescent="0.35"/>
    <row r="309" s="2" customFormat="1" x14ac:dyDescent="0.35"/>
    <row r="310" s="2" customFormat="1" x14ac:dyDescent="0.35"/>
    <row r="311" s="2" customFormat="1" x14ac:dyDescent="0.35"/>
    <row r="312" s="2" customFormat="1" x14ac:dyDescent="0.35"/>
    <row r="313" s="2" customFormat="1" x14ac:dyDescent="0.35"/>
    <row r="314" s="2" customFormat="1" x14ac:dyDescent="0.35"/>
    <row r="315" s="2" customFormat="1" x14ac:dyDescent="0.35"/>
    <row r="316" s="2" customFormat="1" x14ac:dyDescent="0.35"/>
    <row r="317" s="2" customFormat="1" x14ac:dyDescent="0.35"/>
    <row r="318" s="2" customFormat="1" x14ac:dyDescent="0.35"/>
    <row r="319" s="2" customFormat="1" x14ac:dyDescent="0.35"/>
    <row r="320" s="2" customFormat="1" x14ac:dyDescent="0.35"/>
    <row r="321" s="2" customFormat="1" x14ac:dyDescent="0.35"/>
    <row r="322" s="2" customFormat="1" x14ac:dyDescent="0.35"/>
    <row r="323" s="2" customFormat="1" x14ac:dyDescent="0.35"/>
    <row r="324" s="2" customFormat="1" x14ac:dyDescent="0.35"/>
    <row r="325" s="2" customFormat="1" x14ac:dyDescent="0.35"/>
    <row r="326" s="2" customFormat="1" x14ac:dyDescent="0.35"/>
    <row r="327" s="2" customFormat="1" x14ac:dyDescent="0.35"/>
    <row r="328" s="2" customFormat="1" x14ac:dyDescent="0.35"/>
    <row r="329" s="2" customFormat="1" x14ac:dyDescent="0.35"/>
    <row r="330" s="2" customFormat="1" x14ac:dyDescent="0.35"/>
    <row r="331" s="2" customFormat="1" x14ac:dyDescent="0.35"/>
    <row r="332" s="2" customFormat="1" x14ac:dyDescent="0.35"/>
    <row r="333" s="2" customFormat="1" x14ac:dyDescent="0.35"/>
    <row r="334" s="2" customFormat="1" x14ac:dyDescent="0.35"/>
    <row r="335" s="2" customFormat="1" x14ac:dyDescent="0.35"/>
    <row r="336" s="2" customFormat="1" x14ac:dyDescent="0.35"/>
    <row r="337" s="2" customFormat="1" x14ac:dyDescent="0.35"/>
    <row r="338" s="2" customFormat="1" x14ac:dyDescent="0.35"/>
    <row r="339" s="2" customFormat="1" x14ac:dyDescent="0.35"/>
    <row r="340" s="2" customFormat="1" x14ac:dyDescent="0.35"/>
    <row r="341" s="2" customFormat="1" x14ac:dyDescent="0.35"/>
    <row r="342" s="2" customFormat="1" x14ac:dyDescent="0.35"/>
    <row r="343" s="2" customFormat="1" x14ac:dyDescent="0.35"/>
    <row r="344" s="2" customFormat="1" x14ac:dyDescent="0.35"/>
    <row r="345" s="2" customFormat="1" x14ac:dyDescent="0.35"/>
    <row r="346" s="2" customFormat="1" x14ac:dyDescent="0.35"/>
    <row r="347" s="2" customFormat="1" x14ac:dyDescent="0.35"/>
    <row r="348" s="2" customFormat="1" x14ac:dyDescent="0.35"/>
    <row r="349" s="2" customFormat="1" x14ac:dyDescent="0.35"/>
    <row r="350" s="2" customFormat="1" x14ac:dyDescent="0.35"/>
    <row r="351" s="2" customFormat="1" x14ac:dyDescent="0.35"/>
    <row r="352" s="2" customFormat="1" x14ac:dyDescent="0.35"/>
    <row r="353" s="2" customFormat="1" x14ac:dyDescent="0.35"/>
    <row r="354" s="2" customFormat="1" x14ac:dyDescent="0.35"/>
    <row r="355" s="2" customFormat="1" x14ac:dyDescent="0.35"/>
    <row r="356" s="2" customFormat="1" x14ac:dyDescent="0.35"/>
    <row r="357" s="2" customFormat="1" x14ac:dyDescent="0.35"/>
    <row r="358" s="2" customFormat="1" x14ac:dyDescent="0.35"/>
    <row r="359" s="2" customFormat="1" x14ac:dyDescent="0.35"/>
    <row r="360" s="2" customFormat="1" x14ac:dyDescent="0.35"/>
    <row r="361" s="2" customFormat="1" x14ac:dyDescent="0.35"/>
    <row r="362" s="2" customFormat="1" x14ac:dyDescent="0.35"/>
    <row r="363" s="2" customFormat="1" x14ac:dyDescent="0.35"/>
    <row r="364" s="2" customFormat="1" x14ac:dyDescent="0.35"/>
    <row r="365" s="2" customFormat="1" x14ac:dyDescent="0.35"/>
    <row r="366" s="2" customFormat="1" x14ac:dyDescent="0.35"/>
    <row r="367" s="2" customFormat="1" x14ac:dyDescent="0.35"/>
    <row r="368" s="2" customFormat="1" x14ac:dyDescent="0.35"/>
    <row r="369" s="2" customFormat="1" x14ac:dyDescent="0.35"/>
    <row r="370" s="2" customFormat="1" x14ac:dyDescent="0.35"/>
    <row r="371" s="2" customFormat="1" x14ac:dyDescent="0.35"/>
    <row r="372" s="2" customFormat="1" x14ac:dyDescent="0.35"/>
    <row r="373" s="2" customFormat="1" x14ac:dyDescent="0.35"/>
    <row r="374" s="2" customFormat="1" x14ac:dyDescent="0.35"/>
    <row r="375" s="2" customFormat="1" x14ac:dyDescent="0.35"/>
    <row r="376" s="2" customFormat="1" x14ac:dyDescent="0.35"/>
    <row r="377" s="2" customFormat="1" x14ac:dyDescent="0.35"/>
    <row r="378" s="2" customFormat="1" x14ac:dyDescent="0.35"/>
    <row r="379" s="2" customFormat="1" x14ac:dyDescent="0.35"/>
    <row r="380" s="2" customFormat="1" x14ac:dyDescent="0.35"/>
    <row r="381" s="2" customFormat="1" x14ac:dyDescent="0.35"/>
    <row r="382" s="2" customFormat="1" x14ac:dyDescent="0.35"/>
    <row r="383" s="2" customFormat="1" x14ac:dyDescent="0.35"/>
    <row r="384" s="2" customFormat="1" x14ac:dyDescent="0.35"/>
    <row r="385" s="2" customFormat="1" x14ac:dyDescent="0.35"/>
    <row r="386" s="2" customFormat="1" x14ac:dyDescent="0.35"/>
    <row r="387" s="2" customFormat="1" x14ac:dyDescent="0.35"/>
    <row r="388" s="2" customFormat="1" x14ac:dyDescent="0.35"/>
    <row r="389" s="2" customFormat="1" x14ac:dyDescent="0.35"/>
    <row r="390" s="2" customFormat="1" x14ac:dyDescent="0.35"/>
    <row r="391" s="2" customFormat="1" x14ac:dyDescent="0.35"/>
    <row r="392" s="2" customFormat="1" x14ac:dyDescent="0.35"/>
    <row r="393" s="2" customFormat="1" x14ac:dyDescent="0.35"/>
    <row r="394" s="2" customFormat="1" x14ac:dyDescent="0.35"/>
    <row r="395" s="2" customFormat="1" x14ac:dyDescent="0.35"/>
    <row r="396" s="2" customFormat="1" x14ac:dyDescent="0.35"/>
    <row r="397" s="2" customFormat="1" x14ac:dyDescent="0.35"/>
    <row r="398" s="2" customFormat="1" x14ac:dyDescent="0.35"/>
    <row r="399" s="2" customFormat="1" x14ac:dyDescent="0.35"/>
    <row r="400" s="2" customFormat="1" x14ac:dyDescent="0.35"/>
    <row r="401" s="2" customFormat="1" x14ac:dyDescent="0.35"/>
    <row r="402" s="2" customFormat="1" x14ac:dyDescent="0.35"/>
    <row r="403" s="2" customFormat="1" x14ac:dyDescent="0.35"/>
    <row r="404" s="2" customFormat="1" x14ac:dyDescent="0.35"/>
    <row r="405" s="2" customFormat="1" x14ac:dyDescent="0.35"/>
    <row r="406" s="2" customFormat="1" x14ac:dyDescent="0.35"/>
    <row r="407" s="2" customFormat="1" x14ac:dyDescent="0.35"/>
    <row r="408" s="2" customFormat="1" x14ac:dyDescent="0.35"/>
    <row r="409" s="2" customFormat="1" x14ac:dyDescent="0.35"/>
    <row r="410" s="2" customFormat="1" x14ac:dyDescent="0.35"/>
    <row r="411" s="2" customFormat="1" x14ac:dyDescent="0.35"/>
    <row r="412" s="2" customFormat="1" x14ac:dyDescent="0.35"/>
    <row r="413" s="2" customFormat="1" x14ac:dyDescent="0.35"/>
    <row r="414" s="2" customFormat="1" x14ac:dyDescent="0.35"/>
    <row r="415" s="2" customFormat="1" x14ac:dyDescent="0.35"/>
    <row r="416" s="2" customFormat="1" x14ac:dyDescent="0.35"/>
    <row r="417" s="2" customFormat="1" x14ac:dyDescent="0.35"/>
    <row r="418" s="2" customFormat="1" x14ac:dyDescent="0.35"/>
    <row r="419" s="2" customFormat="1" x14ac:dyDescent="0.35"/>
    <row r="420" s="2" customFormat="1" x14ac:dyDescent="0.35"/>
    <row r="421" s="2" customFormat="1" x14ac:dyDescent="0.35"/>
    <row r="422" s="2" customFormat="1" x14ac:dyDescent="0.35"/>
    <row r="423" s="2" customFormat="1" x14ac:dyDescent="0.35"/>
    <row r="424" s="2" customFormat="1" x14ac:dyDescent="0.35"/>
    <row r="425" s="2" customFormat="1" x14ac:dyDescent="0.35"/>
    <row r="426" s="2" customFormat="1" x14ac:dyDescent="0.35"/>
    <row r="427" s="2" customFormat="1" x14ac:dyDescent="0.35"/>
    <row r="428" s="2" customFormat="1" x14ac:dyDescent="0.35"/>
    <row r="429" s="2" customFormat="1" x14ac:dyDescent="0.35"/>
    <row r="430" s="2" customFormat="1" x14ac:dyDescent="0.35"/>
    <row r="431" s="2" customFormat="1" x14ac:dyDescent="0.35"/>
    <row r="432" s="2" customFormat="1" x14ac:dyDescent="0.35"/>
    <row r="433" s="2" customFormat="1" x14ac:dyDescent="0.35"/>
    <row r="434" s="2" customFormat="1" x14ac:dyDescent="0.35"/>
    <row r="435" s="2" customFormat="1" x14ac:dyDescent="0.35"/>
    <row r="436" s="2" customFormat="1" x14ac:dyDescent="0.35"/>
    <row r="437" s="2" customFormat="1" x14ac:dyDescent="0.35"/>
    <row r="438" s="2" customFormat="1" x14ac:dyDescent="0.35"/>
    <row r="439" s="2" customFormat="1" x14ac:dyDescent="0.35"/>
    <row r="440" s="2" customFormat="1" x14ac:dyDescent="0.35"/>
    <row r="441" s="2" customFormat="1" x14ac:dyDescent="0.35"/>
    <row r="442" s="2" customFormat="1" x14ac:dyDescent="0.35"/>
    <row r="443" s="2" customFormat="1" x14ac:dyDescent="0.35"/>
    <row r="444" s="2" customFormat="1" x14ac:dyDescent="0.35"/>
    <row r="445" s="2" customFormat="1" x14ac:dyDescent="0.35"/>
    <row r="446" s="2" customFormat="1" x14ac:dyDescent="0.35"/>
    <row r="447" s="2" customFormat="1" x14ac:dyDescent="0.35"/>
    <row r="448" s="2" customFormat="1" x14ac:dyDescent="0.35"/>
    <row r="449" s="2" customFormat="1" x14ac:dyDescent="0.35"/>
    <row r="450" s="2" customFormat="1" x14ac:dyDescent="0.35"/>
    <row r="451" s="2" customFormat="1" x14ac:dyDescent="0.35"/>
    <row r="452" s="2" customFormat="1" x14ac:dyDescent="0.35"/>
    <row r="453" s="2" customFormat="1" x14ac:dyDescent="0.35"/>
    <row r="454" s="2" customFormat="1" x14ac:dyDescent="0.35"/>
    <row r="455" s="2" customFormat="1" x14ac:dyDescent="0.35"/>
  </sheetData>
  <hyperlinks>
    <hyperlink ref="B43" location="Índice!A1" display="Volver al índice" xr:uid="{00000000-0004-0000-04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333"/>
  <sheetViews>
    <sheetView showGridLines="0" zoomScale="90" zoomScaleNormal="90" workbookViewId="0">
      <pane ySplit="2" topLeftCell="A3" activePane="bottomLeft" state="frozen"/>
      <selection pane="bottomLeft"/>
    </sheetView>
  </sheetViews>
  <sheetFormatPr baseColWidth="10" defaultColWidth="11.453125" defaultRowHeight="14.5" x14ac:dyDescent="0.35"/>
  <cols>
    <col min="1" max="1" width="2.7265625" style="2" customWidth="1"/>
    <col min="2" max="2" width="60.1796875" style="4" customWidth="1"/>
    <col min="3" max="6" width="14.7265625" style="4" customWidth="1"/>
    <col min="7" max="13" width="14.7265625" style="2" customWidth="1"/>
    <col min="14" max="16384" width="11.453125" style="2"/>
  </cols>
  <sheetData>
    <row r="1" spans="2:12" ht="21" x14ac:dyDescent="0.35">
      <c r="B1" s="19" t="s">
        <v>10</v>
      </c>
      <c r="C1" s="2"/>
      <c r="D1" s="2"/>
      <c r="E1" s="2"/>
      <c r="F1" s="2"/>
    </row>
    <row r="2" spans="2:12" ht="18.75" customHeight="1" x14ac:dyDescent="0.35">
      <c r="B2" s="2" t="s">
        <v>74</v>
      </c>
      <c r="C2" s="2"/>
      <c r="D2" s="2"/>
      <c r="E2" s="2"/>
      <c r="F2" s="2"/>
    </row>
    <row r="3" spans="2:12" ht="18.75" customHeight="1" x14ac:dyDescent="0.35">
      <c r="B3" s="2"/>
      <c r="C3" s="2"/>
      <c r="D3" s="2"/>
      <c r="E3" s="2"/>
      <c r="F3" s="2"/>
    </row>
    <row r="4" spans="2:12" x14ac:dyDescent="0.35">
      <c r="B4" s="81" t="s">
        <v>11</v>
      </c>
      <c r="C4" s="2"/>
      <c r="D4" s="2"/>
      <c r="E4" s="2"/>
      <c r="F4" s="2"/>
    </row>
    <row r="5" spans="2:12" ht="41.25" customHeight="1" x14ac:dyDescent="0.35">
      <c r="B5" s="18" t="s">
        <v>75</v>
      </c>
      <c r="C5" s="1" t="s">
        <v>100</v>
      </c>
      <c r="D5" s="1" t="s">
        <v>101</v>
      </c>
      <c r="E5" s="2"/>
      <c r="F5" s="2"/>
    </row>
    <row r="6" spans="2:12" x14ac:dyDescent="0.35">
      <c r="B6" s="25" t="s">
        <v>80</v>
      </c>
      <c r="C6" s="135">
        <v>136485</v>
      </c>
      <c r="D6" s="26">
        <v>0.8161600070019237</v>
      </c>
      <c r="E6" s="2"/>
      <c r="F6" s="2"/>
    </row>
    <row r="7" spans="2:12" x14ac:dyDescent="0.35">
      <c r="B7" s="25" t="s">
        <v>81</v>
      </c>
      <c r="C7" s="135">
        <v>376609</v>
      </c>
      <c r="D7" s="26">
        <v>0.81612859648190084</v>
      </c>
      <c r="E7" s="2"/>
      <c r="F7" s="2"/>
    </row>
    <row r="8" spans="2:12" x14ac:dyDescent="0.35">
      <c r="B8" s="27" t="s">
        <v>82</v>
      </c>
      <c r="C8" s="135">
        <v>618506</v>
      </c>
      <c r="D8" s="26">
        <v>0.87189309894294853</v>
      </c>
      <c r="E8" s="2"/>
      <c r="F8" s="2"/>
    </row>
    <row r="9" spans="2:12" x14ac:dyDescent="0.35">
      <c r="B9" s="20" t="s">
        <v>83</v>
      </c>
      <c r="C9" s="50">
        <v>1131600</v>
      </c>
      <c r="D9" s="6">
        <v>0.84661195316633997</v>
      </c>
      <c r="E9" s="2"/>
      <c r="F9" s="2"/>
    </row>
    <row r="10" spans="2:12" x14ac:dyDescent="0.35">
      <c r="B10" s="82"/>
      <c r="C10" s="2"/>
      <c r="D10" s="2"/>
      <c r="E10" s="2"/>
      <c r="F10" s="2"/>
      <c r="I10" s="7"/>
      <c r="J10" s="7"/>
      <c r="K10" s="7"/>
      <c r="L10" s="7"/>
    </row>
    <row r="11" spans="2:12" x14ac:dyDescent="0.35">
      <c r="B11" s="82"/>
      <c r="C11" s="2"/>
      <c r="D11" s="2"/>
      <c r="E11" s="2"/>
      <c r="F11" s="2"/>
      <c r="K11" s="3"/>
      <c r="L11" s="3"/>
    </row>
    <row r="12" spans="2:12" x14ac:dyDescent="0.35">
      <c r="B12" s="81" t="s">
        <v>12</v>
      </c>
      <c r="C12" s="2"/>
      <c r="D12" s="2"/>
      <c r="E12" s="2"/>
      <c r="F12" s="2"/>
      <c r="K12" s="3"/>
      <c r="L12" s="3"/>
    </row>
    <row r="13" spans="2:12" ht="26" x14ac:dyDescent="0.35">
      <c r="B13" s="28" t="s">
        <v>75</v>
      </c>
      <c r="C13" s="30" t="s">
        <v>102</v>
      </c>
      <c r="D13" s="30" t="s">
        <v>103</v>
      </c>
      <c r="E13" s="30" t="s">
        <v>104</v>
      </c>
      <c r="F13" s="1" t="s">
        <v>105</v>
      </c>
      <c r="K13" s="103"/>
      <c r="L13" s="103"/>
    </row>
    <row r="14" spans="2:12" x14ac:dyDescent="0.35">
      <c r="B14" s="87" t="s">
        <v>80</v>
      </c>
      <c r="C14" s="26">
        <v>0.71374342884956499</v>
      </c>
      <c r="D14" s="26">
        <v>0.78089757042185892</v>
      </c>
      <c r="E14" s="26">
        <v>0.75052211485122844</v>
      </c>
      <c r="F14" s="104">
        <f>(+D14-C14)*100</f>
        <v>6.7154141572293931</v>
      </c>
      <c r="K14" s="3"/>
      <c r="L14" s="3"/>
    </row>
    <row r="15" spans="2:12" x14ac:dyDescent="0.35">
      <c r="B15" s="87" t="s">
        <v>81</v>
      </c>
      <c r="C15" s="26">
        <v>0.72764627730508102</v>
      </c>
      <c r="D15" s="26">
        <v>0.76773130503831821</v>
      </c>
      <c r="E15" s="26">
        <v>0.74666509770705902</v>
      </c>
      <c r="F15" s="104">
        <f>(+D15-C15)*100</f>
        <v>4.0085027733237188</v>
      </c>
      <c r="K15" s="3"/>
      <c r="L15" s="3"/>
    </row>
    <row r="16" spans="2:12" x14ac:dyDescent="0.35">
      <c r="B16" s="87" t="s">
        <v>82</v>
      </c>
      <c r="C16" s="26">
        <v>0.784165380473691</v>
      </c>
      <c r="D16" s="26">
        <v>0.85013277430777312</v>
      </c>
      <c r="E16" s="26">
        <v>0.82096824146559833</v>
      </c>
      <c r="F16" s="104">
        <f>(+D16-C16)*100</f>
        <v>6.5967393834082122</v>
      </c>
      <c r="K16" s="103"/>
      <c r="L16" s="103"/>
    </row>
    <row r="17" spans="2:12" x14ac:dyDescent="0.35">
      <c r="B17" s="29" t="s">
        <v>83</v>
      </c>
      <c r="C17" s="6">
        <v>0.74813334046225766</v>
      </c>
      <c r="D17" s="6">
        <v>0.80866454204103011</v>
      </c>
      <c r="E17" s="6">
        <v>0.77991049080296826</v>
      </c>
      <c r="F17" s="105">
        <f>(+D17-C17)*100</f>
        <v>6.0531201578772453</v>
      </c>
      <c r="K17" s="3"/>
      <c r="L17" s="3"/>
    </row>
    <row r="18" spans="2:12" x14ac:dyDescent="0.35">
      <c r="B18" s="82" t="s">
        <v>106</v>
      </c>
      <c r="C18" s="10"/>
      <c r="D18" s="10"/>
      <c r="E18" s="10"/>
      <c r="F18" s="10"/>
      <c r="G18" s="10"/>
      <c r="H18" s="10"/>
      <c r="K18" s="3"/>
      <c r="L18" s="3"/>
    </row>
    <row r="19" spans="2:12" x14ac:dyDescent="0.35">
      <c r="B19" s="52"/>
      <c r="C19" s="10"/>
      <c r="D19" s="10"/>
      <c r="E19" s="10"/>
      <c r="F19" s="10"/>
      <c r="G19" s="10"/>
      <c r="H19" s="10"/>
      <c r="K19" s="103"/>
      <c r="L19" s="103"/>
    </row>
    <row r="20" spans="2:12" x14ac:dyDescent="0.35">
      <c r="B20" s="81" t="s">
        <v>13</v>
      </c>
      <c r="C20" s="10"/>
      <c r="D20" s="10"/>
      <c r="E20" s="10"/>
      <c r="F20" s="10"/>
      <c r="G20" s="10"/>
      <c r="H20" s="10"/>
      <c r="K20" s="3"/>
      <c r="L20" s="3"/>
    </row>
    <row r="21" spans="2:12" ht="26" x14ac:dyDescent="0.35">
      <c r="B21" s="28" t="s">
        <v>75</v>
      </c>
      <c r="C21" s="30" t="s">
        <v>102</v>
      </c>
      <c r="D21" s="30" t="s">
        <v>103</v>
      </c>
      <c r="E21" s="30" t="s">
        <v>104</v>
      </c>
      <c r="F21" s="1" t="s">
        <v>105</v>
      </c>
      <c r="K21" s="3"/>
      <c r="L21" s="3"/>
    </row>
    <row r="22" spans="2:12" x14ac:dyDescent="0.35">
      <c r="B22" s="25" t="s">
        <v>80</v>
      </c>
      <c r="C22" s="26">
        <v>0.77489904729877301</v>
      </c>
      <c r="D22" s="26">
        <v>0.8469638254046622</v>
      </c>
      <c r="E22" s="26">
        <v>0.8161600070019237</v>
      </c>
      <c r="F22" s="104">
        <f>(+D22-C22)*100</f>
        <v>7.2064778105889182</v>
      </c>
      <c r="K22" s="103"/>
      <c r="L22" s="103"/>
    </row>
    <row r="23" spans="2:12" x14ac:dyDescent="0.35">
      <c r="B23" s="25" t="s">
        <v>81</v>
      </c>
      <c r="C23" s="26">
        <v>0.79642421377858075</v>
      </c>
      <c r="D23" s="26">
        <v>0.83861161362309666</v>
      </c>
      <c r="E23" s="26">
        <v>0.81612859648190084</v>
      </c>
      <c r="F23" s="104">
        <f>(+D23-C23)*100</f>
        <v>4.2187399844515916</v>
      </c>
      <c r="K23" s="3"/>
      <c r="L23" s="3"/>
    </row>
    <row r="24" spans="2:12" x14ac:dyDescent="0.35">
      <c r="B24" s="27" t="s">
        <v>82</v>
      </c>
      <c r="C24" s="26">
        <v>0.84184448541851808</v>
      </c>
      <c r="D24" s="26">
        <v>0.89517655690347486</v>
      </c>
      <c r="E24" s="26">
        <v>0.87189309894294853</v>
      </c>
      <c r="F24" s="104">
        <f>(+D24-C24)*100</f>
        <v>5.3332071484956778</v>
      </c>
    </row>
    <row r="25" spans="2:12" x14ac:dyDescent="0.35">
      <c r="B25" s="29" t="s">
        <v>83</v>
      </c>
      <c r="C25" s="6">
        <v>0.81723318440469639</v>
      </c>
      <c r="D25" s="6">
        <v>0.87240841469530561</v>
      </c>
      <c r="E25" s="6">
        <v>0.84661195316633997</v>
      </c>
      <c r="F25" s="105">
        <f>(+D25-C25)*100</f>
        <v>5.5175230290609223</v>
      </c>
    </row>
    <row r="26" spans="2:12" x14ac:dyDescent="0.35">
      <c r="B26" s="82" t="s">
        <v>107</v>
      </c>
      <c r="C26" s="10"/>
      <c r="D26" s="10"/>
      <c r="E26" s="10"/>
      <c r="F26" s="10"/>
      <c r="G26" s="10"/>
      <c r="H26" s="10"/>
    </row>
    <row r="27" spans="2:12" x14ac:dyDescent="0.35">
      <c r="B27" s="41"/>
      <c r="C27" s="10"/>
      <c r="D27" s="10"/>
      <c r="E27" s="10"/>
      <c r="F27" s="10"/>
      <c r="G27" s="10"/>
      <c r="H27" s="10"/>
    </row>
    <row r="28" spans="2:12" x14ac:dyDescent="0.35">
      <c r="B28" s="81" t="s">
        <v>14</v>
      </c>
      <c r="C28" s="2"/>
      <c r="D28" s="2"/>
      <c r="E28" s="2"/>
      <c r="F28" s="2"/>
    </row>
    <row r="29" spans="2:12" ht="39.75" customHeight="1" x14ac:dyDescent="0.35">
      <c r="B29" s="28" t="s">
        <v>75</v>
      </c>
      <c r="C29" s="1" t="s">
        <v>100</v>
      </c>
      <c r="D29" s="1" t="s">
        <v>101</v>
      </c>
      <c r="E29" s="2"/>
      <c r="F29" s="2"/>
    </row>
    <row r="30" spans="2:12" x14ac:dyDescent="0.35">
      <c r="B30" s="87" t="s">
        <v>80</v>
      </c>
      <c r="C30" s="106">
        <v>122188</v>
      </c>
      <c r="D30" s="26">
        <v>0.81538794931535796</v>
      </c>
      <c r="E30" s="2"/>
      <c r="F30" s="2"/>
    </row>
    <row r="31" spans="2:12" x14ac:dyDescent="0.35">
      <c r="B31" s="87" t="s">
        <v>86</v>
      </c>
      <c r="C31" s="106">
        <v>14297</v>
      </c>
      <c r="D31" s="26">
        <v>0.82275832725130493</v>
      </c>
      <c r="E31" s="2"/>
      <c r="F31" s="2"/>
    </row>
    <row r="32" spans="2:12" x14ac:dyDescent="0.35">
      <c r="B32" s="87" t="s">
        <v>81</v>
      </c>
      <c r="C32" s="106">
        <v>376609</v>
      </c>
      <c r="D32" s="26">
        <v>0.81612859648190084</v>
      </c>
      <c r="E32" s="2"/>
      <c r="F32" s="2"/>
    </row>
    <row r="33" spans="2:6" x14ac:dyDescent="0.35">
      <c r="B33" s="87" t="s">
        <v>87</v>
      </c>
      <c r="C33" s="106">
        <v>170702</v>
      </c>
      <c r="D33" s="26">
        <v>0.86521941098785549</v>
      </c>
      <c r="E33" s="2"/>
      <c r="F33" s="2"/>
    </row>
    <row r="34" spans="2:6" x14ac:dyDescent="0.35">
      <c r="B34" s="87" t="s">
        <v>88</v>
      </c>
      <c r="C34" s="106">
        <v>182451</v>
      </c>
      <c r="D34" s="26">
        <v>0.86276578275000804</v>
      </c>
      <c r="E34" s="2"/>
      <c r="F34" s="2"/>
    </row>
    <row r="35" spans="2:6" x14ac:dyDescent="0.35">
      <c r="B35" s="87" t="s">
        <v>89</v>
      </c>
      <c r="C35" s="106">
        <v>265353</v>
      </c>
      <c r="D35" s="26">
        <v>0.88246203861160089</v>
      </c>
      <c r="E35" s="2"/>
      <c r="F35" s="2"/>
    </row>
    <row r="36" spans="2:6" x14ac:dyDescent="0.35">
      <c r="B36" s="29" t="s">
        <v>83</v>
      </c>
      <c r="C36" s="107">
        <v>1131600</v>
      </c>
      <c r="D36" s="6">
        <v>0.84661195316636595</v>
      </c>
      <c r="E36" s="2"/>
      <c r="F36" s="2"/>
    </row>
    <row r="37" spans="2:6" x14ac:dyDescent="0.35">
      <c r="B37" s="82"/>
    </row>
    <row r="38" spans="2:6" x14ac:dyDescent="0.35">
      <c r="B38" s="80"/>
    </row>
    <row r="39" spans="2:6" ht="16.5" x14ac:dyDescent="0.35">
      <c r="B39" s="81" t="s">
        <v>108</v>
      </c>
      <c r="C39" s="2"/>
      <c r="D39" s="2"/>
      <c r="E39" s="2"/>
      <c r="F39" s="2"/>
    </row>
    <row r="40" spans="2:6" ht="26" x14ac:dyDescent="0.35">
      <c r="B40" s="28" t="s">
        <v>75</v>
      </c>
      <c r="C40" s="30" t="s">
        <v>102</v>
      </c>
      <c r="D40" s="30" t="s">
        <v>103</v>
      </c>
      <c r="E40" s="30" t="s">
        <v>104</v>
      </c>
      <c r="F40" s="1" t="s">
        <v>105</v>
      </c>
    </row>
    <row r="41" spans="2:6" x14ac:dyDescent="0.35">
      <c r="B41" s="87" t="s">
        <v>80</v>
      </c>
      <c r="C41" s="26">
        <v>0.7179380167840862</v>
      </c>
      <c r="D41" s="26">
        <v>0.78218616632917115</v>
      </c>
      <c r="E41" s="26">
        <v>0.7524573076581198</v>
      </c>
      <c r="F41" s="104">
        <f t="shared" ref="F41:F47" si="0">(+D41-C41)*100</f>
        <v>6.4248149545084949</v>
      </c>
    </row>
    <row r="42" spans="2:6" x14ac:dyDescent="0.35">
      <c r="B42" s="87" t="s">
        <v>86</v>
      </c>
      <c r="C42" s="26">
        <v>0.67416636476053948</v>
      </c>
      <c r="D42" s="26">
        <v>0.77249139828006119</v>
      </c>
      <c r="E42" s="26">
        <v>0.7357948548144323</v>
      </c>
      <c r="F42" s="104">
        <f t="shared" si="0"/>
        <v>9.8325033519521714</v>
      </c>
    </row>
    <row r="43" spans="2:6" x14ac:dyDescent="0.35">
      <c r="B43" s="87" t="s">
        <v>81</v>
      </c>
      <c r="C43" s="26">
        <v>0.72764627730508102</v>
      </c>
      <c r="D43" s="26">
        <v>0.76773130503831821</v>
      </c>
      <c r="E43" s="26">
        <v>0.74666509770705902</v>
      </c>
      <c r="F43" s="104">
        <f t="shared" si="0"/>
        <v>4.0085027733237188</v>
      </c>
    </row>
    <row r="44" spans="2:6" x14ac:dyDescent="0.35">
      <c r="B44" s="87" t="s">
        <v>87</v>
      </c>
      <c r="C44" s="26">
        <v>0.76974859949141972</v>
      </c>
      <c r="D44" s="26">
        <v>0.84504659460568909</v>
      </c>
      <c r="E44" s="26">
        <v>0.80977464062973303</v>
      </c>
      <c r="F44" s="104">
        <f t="shared" si="0"/>
        <v>7.5297995114269378</v>
      </c>
    </row>
    <row r="45" spans="2:6" x14ac:dyDescent="0.35">
      <c r="B45" s="87" t="s">
        <v>88</v>
      </c>
      <c r="C45" s="26">
        <v>0.77870090270937842</v>
      </c>
      <c r="D45" s="26">
        <v>0.84312764182114608</v>
      </c>
      <c r="E45" s="26">
        <v>0.81186440522183145</v>
      </c>
      <c r="F45" s="104">
        <f t="shared" si="0"/>
        <v>6.4426739111767661</v>
      </c>
    </row>
    <row r="46" spans="2:6" x14ac:dyDescent="0.35">
      <c r="B46" s="87" t="s">
        <v>89</v>
      </c>
      <c r="C46" s="26">
        <v>0.79878245086983957</v>
      </c>
      <c r="D46" s="26">
        <v>0.85671886790798746</v>
      </c>
      <c r="E46" s="26">
        <v>0.83363856592126184</v>
      </c>
      <c r="F46" s="104">
        <f t="shared" si="0"/>
        <v>5.7936417038147887</v>
      </c>
    </row>
    <row r="47" spans="2:6" x14ac:dyDescent="0.35">
      <c r="B47" s="29" t="s">
        <v>83</v>
      </c>
      <c r="C47" s="6">
        <v>0.7481333404622581</v>
      </c>
      <c r="D47" s="6">
        <v>0.80866454204102833</v>
      </c>
      <c r="E47" s="6">
        <v>0.7799104908029667</v>
      </c>
      <c r="F47" s="105">
        <f t="shared" si="0"/>
        <v>6.0531201578770233</v>
      </c>
    </row>
    <row r="48" spans="2:6" x14ac:dyDescent="0.35">
      <c r="B48" s="82" t="s">
        <v>109</v>
      </c>
      <c r="C48" s="5"/>
      <c r="D48" s="5"/>
      <c r="E48" s="5"/>
      <c r="F48" s="5"/>
    </row>
    <row r="49" spans="2:7" x14ac:dyDescent="0.35">
      <c r="C49" s="5"/>
      <c r="D49" s="5"/>
      <c r="E49" s="5"/>
      <c r="F49" s="5"/>
    </row>
    <row r="50" spans="2:7" x14ac:dyDescent="0.35">
      <c r="B50" s="81" t="s">
        <v>14</v>
      </c>
      <c r="C50" s="7"/>
      <c r="D50" s="7"/>
      <c r="E50" s="7"/>
      <c r="F50" s="7"/>
    </row>
    <row r="51" spans="2:7" ht="26" x14ac:dyDescent="0.35">
      <c r="B51" s="28" t="s">
        <v>75</v>
      </c>
      <c r="C51" s="30" t="s">
        <v>102</v>
      </c>
      <c r="D51" s="30" t="s">
        <v>103</v>
      </c>
      <c r="E51" s="30" t="s">
        <v>104</v>
      </c>
      <c r="F51" s="1" t="s">
        <v>105</v>
      </c>
      <c r="G51" s="108"/>
    </row>
    <row r="52" spans="2:7" x14ac:dyDescent="0.35">
      <c r="B52" s="87" t="s">
        <v>80</v>
      </c>
      <c r="C52" s="26">
        <v>0.77419741916974327</v>
      </c>
      <c r="D52" s="26">
        <v>0.846971584461786</v>
      </c>
      <c r="E52" s="26">
        <v>0.81538794931535796</v>
      </c>
      <c r="F52" s="104">
        <f t="shared" ref="F52:F57" si="1">(+D52-C52)*100</f>
        <v>7.2774165292042721</v>
      </c>
    </row>
    <row r="53" spans="2:7" x14ac:dyDescent="0.35">
      <c r="B53" s="87" t="s">
        <v>86</v>
      </c>
      <c r="C53" s="26">
        <v>0.78190462780221193</v>
      </c>
      <c r="D53" s="26">
        <v>0.84690410933170324</v>
      </c>
      <c r="E53" s="26">
        <v>0.82275832725130493</v>
      </c>
      <c r="F53" s="104">
        <f t="shared" si="1"/>
        <v>6.4999481529491305</v>
      </c>
    </row>
    <row r="54" spans="2:7" x14ac:dyDescent="0.35">
      <c r="B54" s="87" t="s">
        <v>81</v>
      </c>
      <c r="C54" s="26">
        <v>0.79642421377852912</v>
      </c>
      <c r="D54" s="26">
        <v>0.83861161362309322</v>
      </c>
      <c r="E54" s="26">
        <v>0.81612859648190084</v>
      </c>
      <c r="F54" s="104">
        <f t="shared" si="1"/>
        <v>4.21873998445641</v>
      </c>
    </row>
    <row r="55" spans="2:7" x14ac:dyDescent="0.35">
      <c r="B55" s="87" t="s">
        <v>87</v>
      </c>
      <c r="C55" s="26">
        <v>0.83452454410750376</v>
      </c>
      <c r="D55" s="26">
        <v>0.89175524984257959</v>
      </c>
      <c r="E55" s="26">
        <v>0.86521941098785549</v>
      </c>
      <c r="F55" s="104">
        <f t="shared" si="1"/>
        <v>5.7230705735075826</v>
      </c>
    </row>
    <row r="56" spans="2:7" x14ac:dyDescent="0.35">
      <c r="B56" s="87" t="s">
        <v>88</v>
      </c>
      <c r="C56" s="26">
        <v>0.83593854127635603</v>
      </c>
      <c r="D56" s="26">
        <v>0.88811492330056607</v>
      </c>
      <c r="E56" s="26">
        <v>0.86276578275000804</v>
      </c>
      <c r="F56" s="104">
        <f t="shared" si="1"/>
        <v>5.2176382024210044</v>
      </c>
    </row>
    <row r="57" spans="2:7" x14ac:dyDescent="0.35">
      <c r="B57" s="87" t="s">
        <v>89</v>
      </c>
      <c r="C57" s="26">
        <v>0.8526320356821061</v>
      </c>
      <c r="D57" s="26">
        <v>0.90115812321485655</v>
      </c>
      <c r="E57" s="26">
        <v>0.88246203861160089</v>
      </c>
      <c r="F57" s="104">
        <f t="shared" si="1"/>
        <v>4.852608753275045</v>
      </c>
    </row>
    <row r="58" spans="2:7" x14ac:dyDescent="0.35">
      <c r="B58" s="29" t="s">
        <v>83</v>
      </c>
      <c r="C58" s="6">
        <v>0.8172331844046008</v>
      </c>
      <c r="D58" s="6">
        <v>0.87240841469521957</v>
      </c>
      <c r="E58" s="6">
        <v>0.84661195316636595</v>
      </c>
      <c r="F58" s="105">
        <f t="shared" ref="F58" si="2">(+D58-C58)*100</f>
        <v>5.5175230290618771</v>
      </c>
    </row>
    <row r="59" spans="2:7" x14ac:dyDescent="0.35">
      <c r="B59" s="82" t="s">
        <v>107</v>
      </c>
    </row>
    <row r="61" spans="2:7" ht="16.5" x14ac:dyDescent="0.35">
      <c r="B61" s="81" t="s">
        <v>110</v>
      </c>
      <c r="C61" s="10"/>
      <c r="D61" s="10"/>
      <c r="E61" s="10"/>
      <c r="F61" s="2"/>
    </row>
    <row r="62" spans="2:7" ht="27.5" x14ac:dyDescent="0.35">
      <c r="B62" s="28" t="s">
        <v>111</v>
      </c>
      <c r="C62" s="1" t="s">
        <v>112</v>
      </c>
      <c r="D62" s="1" t="s">
        <v>113</v>
      </c>
      <c r="E62" s="10"/>
      <c r="F62" s="2"/>
    </row>
    <row r="63" spans="2:7" x14ac:dyDescent="0.35">
      <c r="B63" s="87" t="s">
        <v>114</v>
      </c>
      <c r="C63" s="26">
        <v>0.76914051189690913</v>
      </c>
      <c r="D63" s="26">
        <v>0.83451216818476148</v>
      </c>
      <c r="E63" s="109"/>
      <c r="F63" s="103"/>
    </row>
    <row r="64" spans="2:7" x14ac:dyDescent="0.35">
      <c r="B64" s="87" t="s">
        <v>115</v>
      </c>
      <c r="C64" s="26">
        <v>0.76993993568714714</v>
      </c>
      <c r="D64" s="26">
        <v>0.82796551225645432</v>
      </c>
      <c r="E64" s="109"/>
      <c r="F64" s="103"/>
    </row>
    <row r="65" spans="2:6" x14ac:dyDescent="0.35">
      <c r="B65" s="87" t="s">
        <v>116</v>
      </c>
      <c r="C65" s="26">
        <v>0.79454964606706302</v>
      </c>
      <c r="D65" s="26">
        <v>0.84940614034872686</v>
      </c>
      <c r="E65" s="109"/>
      <c r="F65" s="103"/>
    </row>
    <row r="66" spans="2:6" x14ac:dyDescent="0.35">
      <c r="B66" s="87" t="s">
        <v>117</v>
      </c>
      <c r="C66" s="26">
        <v>0.73906811901171632</v>
      </c>
      <c r="D66" s="26">
        <v>0.80010537677841909</v>
      </c>
      <c r="E66" s="109"/>
      <c r="F66" s="103"/>
    </row>
    <row r="67" spans="2:6" x14ac:dyDescent="0.35">
      <c r="B67" s="87" t="s">
        <v>118</v>
      </c>
      <c r="C67" s="26">
        <v>0.83916195394034698</v>
      </c>
      <c r="D67" s="26">
        <v>0.90352742382535844</v>
      </c>
      <c r="E67" s="109"/>
      <c r="F67" s="103"/>
    </row>
    <row r="68" spans="2:6" x14ac:dyDescent="0.35">
      <c r="B68" s="87" t="s">
        <v>119</v>
      </c>
      <c r="C68" s="26">
        <v>0.77968568359718982</v>
      </c>
      <c r="D68" s="26">
        <v>0.82296788848443569</v>
      </c>
      <c r="E68" s="109"/>
      <c r="F68" s="103"/>
    </row>
    <row r="69" spans="2:6" x14ac:dyDescent="0.35">
      <c r="B69" s="87" t="s">
        <v>120</v>
      </c>
      <c r="C69" s="26">
        <v>0.80809123265219485</v>
      </c>
      <c r="D69" s="26">
        <v>0.87771230215329932</v>
      </c>
      <c r="E69" s="109"/>
      <c r="F69" s="103"/>
    </row>
    <row r="70" spans="2:6" x14ac:dyDescent="0.35">
      <c r="B70" s="87" t="s">
        <v>121</v>
      </c>
      <c r="C70" s="26">
        <v>0.80411332464027474</v>
      </c>
      <c r="D70" s="26">
        <v>0.86893889801376412</v>
      </c>
      <c r="E70" s="109"/>
      <c r="F70" s="103"/>
    </row>
    <row r="71" spans="2:6" x14ac:dyDescent="0.35">
      <c r="B71" s="87" t="s">
        <v>122</v>
      </c>
      <c r="C71" s="26">
        <v>0.83321245857117177</v>
      </c>
      <c r="D71" s="26">
        <v>0.89545540189486805</v>
      </c>
      <c r="E71" s="109"/>
      <c r="F71" s="103"/>
    </row>
    <row r="72" spans="2:6" x14ac:dyDescent="0.35">
      <c r="B72" s="87" t="s">
        <v>123</v>
      </c>
      <c r="C72" s="26">
        <v>0.72569100779223528</v>
      </c>
      <c r="D72" s="26">
        <v>0.79151170823557004</v>
      </c>
      <c r="E72" s="109"/>
      <c r="F72" s="103"/>
    </row>
    <row r="73" spans="2:6" x14ac:dyDescent="0.35">
      <c r="B73" s="29" t="s">
        <v>83</v>
      </c>
      <c r="C73" s="6">
        <v>0.77991049080300856</v>
      </c>
      <c r="D73" s="6">
        <v>0.84661195316628979</v>
      </c>
      <c r="E73" s="10"/>
      <c r="F73" s="103"/>
    </row>
    <row r="74" spans="2:6" x14ac:dyDescent="0.35">
      <c r="B74" s="41"/>
      <c r="C74" s="10"/>
      <c r="D74" s="10"/>
      <c r="E74" s="10"/>
      <c r="F74" s="2"/>
    </row>
    <row r="75" spans="2:6" ht="16.5" x14ac:dyDescent="0.35">
      <c r="B75" s="81" t="s">
        <v>124</v>
      </c>
      <c r="C75" s="10"/>
      <c r="D75" s="10"/>
      <c r="E75" s="10"/>
      <c r="F75" s="2"/>
    </row>
    <row r="76" spans="2:6" ht="27.5" x14ac:dyDescent="0.35">
      <c r="B76" s="28" t="s">
        <v>111</v>
      </c>
      <c r="C76" s="1" t="s">
        <v>112</v>
      </c>
      <c r="D76" s="1" t="s">
        <v>113</v>
      </c>
      <c r="E76" s="10"/>
      <c r="F76" s="2"/>
    </row>
    <row r="77" spans="2:6" x14ac:dyDescent="0.35">
      <c r="B77" s="87" t="s">
        <v>114</v>
      </c>
      <c r="C77" s="26">
        <v>0.78544441937822251</v>
      </c>
      <c r="D77" s="26">
        <v>0.85151393791916719</v>
      </c>
      <c r="E77" s="10"/>
      <c r="F77" s="2"/>
    </row>
    <row r="78" spans="2:6" x14ac:dyDescent="0.35">
      <c r="B78" s="87" t="s">
        <v>115</v>
      </c>
      <c r="C78" s="26">
        <v>0.78650081621730328</v>
      </c>
      <c r="D78" s="26">
        <v>0.82805003498298368</v>
      </c>
      <c r="E78" s="10"/>
      <c r="F78" s="2"/>
    </row>
    <row r="79" spans="2:6" x14ac:dyDescent="0.35">
      <c r="B79" s="87" t="s">
        <v>116</v>
      </c>
      <c r="C79" s="26">
        <v>0.86257503380159617</v>
      </c>
      <c r="D79" s="26">
        <v>0.88828046751288448</v>
      </c>
      <c r="E79" s="10"/>
      <c r="F79" s="2"/>
    </row>
    <row r="80" spans="2:6" x14ac:dyDescent="0.35">
      <c r="B80" s="87" t="s">
        <v>117</v>
      </c>
      <c r="C80" s="26">
        <v>0.73580664916250393</v>
      </c>
      <c r="D80" s="26">
        <v>0.79935199508480137</v>
      </c>
      <c r="E80" s="10"/>
      <c r="F80" s="2"/>
    </row>
    <row r="81" spans="2:6" x14ac:dyDescent="0.35">
      <c r="B81" s="87" t="s">
        <v>118</v>
      </c>
      <c r="C81" s="26">
        <v>0.88303183048780121</v>
      </c>
      <c r="D81" s="26">
        <v>0.92305163213558472</v>
      </c>
      <c r="E81" s="10"/>
      <c r="F81" s="2"/>
    </row>
    <row r="82" spans="2:6" x14ac:dyDescent="0.35">
      <c r="B82" s="87" t="s">
        <v>119</v>
      </c>
      <c r="C82" s="26">
        <v>0.79036614624639179</v>
      </c>
      <c r="D82" s="26">
        <v>0.82569983610628095</v>
      </c>
      <c r="E82" s="10"/>
      <c r="F82" s="2"/>
    </row>
    <row r="83" spans="2:6" x14ac:dyDescent="0.35">
      <c r="B83" s="87" t="s">
        <v>120</v>
      </c>
      <c r="C83" s="26">
        <v>0.87069044390627426</v>
      </c>
      <c r="D83" s="26">
        <v>0.91002981768298408</v>
      </c>
      <c r="E83" s="10"/>
      <c r="F83" s="2"/>
    </row>
    <row r="84" spans="2:6" x14ac:dyDescent="0.35">
      <c r="B84" s="87" t="s">
        <v>121</v>
      </c>
      <c r="C84" s="26">
        <v>0.83049221806650664</v>
      </c>
      <c r="D84" s="26">
        <v>0.87998837788041528</v>
      </c>
      <c r="E84" s="10"/>
      <c r="F84" s="2"/>
    </row>
    <row r="85" spans="2:6" x14ac:dyDescent="0.35">
      <c r="B85" s="87" t="s">
        <v>122</v>
      </c>
      <c r="C85" s="26">
        <v>0.86835054814621415</v>
      </c>
      <c r="D85" s="26">
        <v>0.91111268934866785</v>
      </c>
      <c r="E85" s="10"/>
      <c r="F85" s="2"/>
    </row>
    <row r="86" spans="2:6" x14ac:dyDescent="0.35">
      <c r="B86" s="87" t="s">
        <v>123</v>
      </c>
      <c r="C86" s="26">
        <v>0.73478904100189213</v>
      </c>
      <c r="D86" s="26">
        <v>0.80342197424494188</v>
      </c>
      <c r="E86" s="10"/>
      <c r="F86" s="2"/>
    </row>
    <row r="87" spans="2:6" x14ac:dyDescent="0.35">
      <c r="B87" s="29" t="s">
        <v>83</v>
      </c>
      <c r="C87" s="6">
        <v>0.82096824146560865</v>
      </c>
      <c r="D87" s="6">
        <v>0.87189309894299494</v>
      </c>
      <c r="E87" s="10"/>
      <c r="F87" s="2"/>
    </row>
    <row r="88" spans="2:6" x14ac:dyDescent="0.35">
      <c r="B88" s="41"/>
      <c r="C88" s="10"/>
      <c r="D88" s="10"/>
      <c r="E88" s="10"/>
      <c r="F88" s="2"/>
    </row>
    <row r="89" spans="2:6" ht="16.5" x14ac:dyDescent="0.35">
      <c r="B89" s="81" t="s">
        <v>125</v>
      </c>
      <c r="C89" s="10"/>
      <c r="D89" s="10"/>
      <c r="E89" s="10"/>
      <c r="F89" s="2"/>
    </row>
    <row r="90" spans="2:6" ht="27.5" x14ac:dyDescent="0.35">
      <c r="B90" s="28" t="s">
        <v>111</v>
      </c>
      <c r="C90" s="1" t="s">
        <v>112</v>
      </c>
      <c r="D90" s="1" t="s">
        <v>113</v>
      </c>
      <c r="E90" s="10"/>
      <c r="F90" s="2"/>
    </row>
    <row r="91" spans="2:6" x14ac:dyDescent="0.35">
      <c r="B91" s="87" t="s">
        <v>114</v>
      </c>
      <c r="C91" s="26">
        <v>0.76182306518854226</v>
      </c>
      <c r="D91" s="26">
        <v>0.8297455244030284</v>
      </c>
      <c r="E91" s="10"/>
      <c r="F91" s="2"/>
    </row>
    <row r="92" spans="2:6" x14ac:dyDescent="0.35">
      <c r="B92" s="87" t="s">
        <v>115</v>
      </c>
      <c r="C92" s="26">
        <v>0.75788608532436719</v>
      </c>
      <c r="D92" s="26">
        <v>0.8271182028878491</v>
      </c>
      <c r="E92" s="10"/>
      <c r="F92" s="2"/>
    </row>
    <row r="93" spans="2:6" x14ac:dyDescent="0.35">
      <c r="B93" s="87" t="s">
        <v>116</v>
      </c>
      <c r="C93" s="26">
        <v>0.75117297284437456</v>
      </c>
      <c r="D93" s="26">
        <v>0.8074313834715231</v>
      </c>
      <c r="E93" s="10"/>
      <c r="F93" s="2"/>
    </row>
    <row r="94" spans="2:6" x14ac:dyDescent="0.35">
      <c r="B94" s="87" t="s">
        <v>117</v>
      </c>
      <c r="C94" s="26">
        <v>0.76771786141673881</v>
      </c>
      <c r="D94" s="26">
        <v>0.80922908204981214</v>
      </c>
      <c r="E94" s="10"/>
      <c r="F94" s="2"/>
    </row>
    <row r="95" spans="2:6" x14ac:dyDescent="0.35">
      <c r="B95" s="87" t="s">
        <v>118</v>
      </c>
      <c r="C95" s="26">
        <v>0.7783607907266612</v>
      </c>
      <c r="D95" s="26">
        <v>0.87017302779681227</v>
      </c>
      <c r="E95" s="10"/>
      <c r="F95" s="2"/>
    </row>
    <row r="96" spans="2:6" x14ac:dyDescent="0.35">
      <c r="B96" s="87" t="s">
        <v>119</v>
      </c>
      <c r="C96" s="26">
        <v>0.67171120699925624</v>
      </c>
      <c r="D96" s="26">
        <v>0.74411944173974554</v>
      </c>
      <c r="E96" s="10"/>
      <c r="F96" s="2"/>
    </row>
    <row r="97" spans="2:6" x14ac:dyDescent="0.35">
      <c r="B97" s="87" t="s">
        <v>120</v>
      </c>
      <c r="C97" s="26">
        <v>0.737859652533431</v>
      </c>
      <c r="D97" s="26">
        <v>0.82122725129457341</v>
      </c>
      <c r="E97" s="10"/>
      <c r="F97" s="2"/>
    </row>
    <row r="98" spans="2:6" x14ac:dyDescent="0.35">
      <c r="B98" s="87" t="s">
        <v>121</v>
      </c>
      <c r="C98" s="26">
        <v>0.67690988054184154</v>
      </c>
      <c r="D98" s="26">
        <v>0.79840315269348094</v>
      </c>
      <c r="E98" s="10"/>
      <c r="F98" s="2"/>
    </row>
    <row r="99" spans="2:6" x14ac:dyDescent="0.35">
      <c r="B99" s="87" t="s">
        <v>122</v>
      </c>
      <c r="C99" s="26">
        <v>0.7708615718752333</v>
      </c>
      <c r="D99" s="26">
        <v>0.8417346895110065</v>
      </c>
      <c r="E99" s="10"/>
      <c r="F99" s="2"/>
    </row>
    <row r="100" spans="2:6" x14ac:dyDescent="0.35">
      <c r="B100" s="87" t="s">
        <v>123</v>
      </c>
      <c r="C100" s="26">
        <v>0.7266316254023143</v>
      </c>
      <c r="D100" s="26">
        <v>0.79021936788677549</v>
      </c>
      <c r="E100" s="10"/>
      <c r="F100" s="2"/>
    </row>
    <row r="101" spans="2:6" x14ac:dyDescent="0.35">
      <c r="B101" s="29" t="s">
        <v>83</v>
      </c>
      <c r="C101" s="6">
        <v>0.74666509770702449</v>
      </c>
      <c r="D101" s="6">
        <v>0.81612859648180303</v>
      </c>
      <c r="E101" s="10"/>
      <c r="F101" s="2"/>
    </row>
    <row r="102" spans="2:6" x14ac:dyDescent="0.35">
      <c r="B102" s="41"/>
      <c r="C102" s="10"/>
      <c r="D102" s="10"/>
      <c r="E102" s="10"/>
      <c r="F102" s="2"/>
    </row>
    <row r="103" spans="2:6" ht="16.5" x14ac:dyDescent="0.35">
      <c r="B103" s="81" t="s">
        <v>126</v>
      </c>
      <c r="C103" s="10"/>
      <c r="D103" s="10"/>
      <c r="E103" s="10"/>
      <c r="F103" s="2"/>
    </row>
    <row r="104" spans="2:6" ht="27.5" x14ac:dyDescent="0.35">
      <c r="B104" s="28" t="s">
        <v>111</v>
      </c>
      <c r="C104" s="1" t="s">
        <v>112</v>
      </c>
      <c r="D104" s="1" t="s">
        <v>113</v>
      </c>
      <c r="E104" s="10"/>
      <c r="F104" s="2"/>
    </row>
    <row r="105" spans="2:6" x14ac:dyDescent="0.35">
      <c r="B105" s="87" t="s">
        <v>114</v>
      </c>
      <c r="C105" s="26">
        <v>0.76796054925444657</v>
      </c>
      <c r="D105" s="26">
        <v>0.81757821155629418</v>
      </c>
      <c r="E105" s="10"/>
      <c r="F105" s="2"/>
    </row>
    <row r="106" spans="2:6" x14ac:dyDescent="0.35">
      <c r="B106" s="87" t="s">
        <v>115</v>
      </c>
      <c r="C106" s="26">
        <v>0.74067046792351787</v>
      </c>
      <c r="D106" s="26">
        <v>0.82836909161574601</v>
      </c>
      <c r="E106" s="10"/>
      <c r="F106" s="2"/>
    </row>
    <row r="107" spans="2:6" x14ac:dyDescent="0.35">
      <c r="B107" s="87" t="s">
        <v>116</v>
      </c>
      <c r="C107" s="26">
        <v>0.73483363118943101</v>
      </c>
      <c r="D107" s="26">
        <v>0.79797656387258387</v>
      </c>
      <c r="E107" s="10"/>
      <c r="F107" s="2"/>
    </row>
    <row r="108" spans="2:6" x14ac:dyDescent="0.35">
      <c r="B108" s="87" t="s">
        <v>117</v>
      </c>
      <c r="C108" s="26">
        <v>0.74084691203335273</v>
      </c>
      <c r="D108" s="26">
        <v>0.8004559249932276</v>
      </c>
      <c r="E108" s="10"/>
      <c r="F108" s="2"/>
    </row>
    <row r="109" spans="2:6" x14ac:dyDescent="0.35">
      <c r="B109" s="87" t="s">
        <v>118</v>
      </c>
      <c r="C109" s="26">
        <v>0.72690679799423386</v>
      </c>
      <c r="D109" s="26">
        <v>0.80121320089237313</v>
      </c>
      <c r="E109" s="10"/>
      <c r="F109" s="2"/>
    </row>
    <row r="110" spans="2:6" x14ac:dyDescent="0.35">
      <c r="B110" s="87" t="s">
        <v>119</v>
      </c>
      <c r="C110" s="26">
        <v>0.71847494882378626</v>
      </c>
      <c r="D110" s="26">
        <v>0.83184773452630623</v>
      </c>
      <c r="E110" s="10"/>
      <c r="F110" s="2"/>
    </row>
    <row r="111" spans="2:6" x14ac:dyDescent="0.35">
      <c r="B111" s="87" t="s">
        <v>120</v>
      </c>
      <c r="C111" s="26">
        <v>0.7807004151813477</v>
      </c>
      <c r="D111" s="26">
        <v>0.85593128012174147</v>
      </c>
      <c r="E111" s="10"/>
      <c r="F111" s="2"/>
    </row>
    <row r="112" spans="2:6" x14ac:dyDescent="0.35">
      <c r="B112" s="87" t="s">
        <v>121</v>
      </c>
      <c r="C112" s="26">
        <v>0.86606133979015321</v>
      </c>
      <c r="D112" s="26">
        <v>0.90290300546448088</v>
      </c>
      <c r="E112" s="10"/>
      <c r="F112" s="2"/>
    </row>
    <row r="113" spans="2:6" x14ac:dyDescent="0.35">
      <c r="B113" s="87" t="s">
        <v>122</v>
      </c>
      <c r="C113" s="26">
        <v>0.78515270738845322</v>
      </c>
      <c r="D113" s="26">
        <v>0.86136571667624051</v>
      </c>
      <c r="E113" s="10"/>
      <c r="F113" s="2"/>
    </row>
    <row r="114" spans="2:6" x14ac:dyDescent="0.35">
      <c r="B114" s="87" t="s">
        <v>123</v>
      </c>
      <c r="C114" s="26">
        <v>0.70980479878954739</v>
      </c>
      <c r="D114" s="26">
        <v>0.7589329418922065</v>
      </c>
      <c r="E114" s="10"/>
      <c r="F114" s="2"/>
    </row>
    <row r="115" spans="2:6" x14ac:dyDescent="0.35">
      <c r="B115" s="29" t="s">
        <v>83</v>
      </c>
      <c r="C115" s="6">
        <v>0.75052211485119713</v>
      </c>
      <c r="D115" s="6">
        <v>0.8161600070019055</v>
      </c>
      <c r="E115" s="10"/>
      <c r="F115" s="2"/>
    </row>
    <row r="116" spans="2:6" x14ac:dyDescent="0.35">
      <c r="B116" s="41"/>
      <c r="C116" s="10"/>
      <c r="D116" s="10"/>
      <c r="E116" s="10"/>
      <c r="F116" s="2"/>
    </row>
    <row r="117" spans="2:6" ht="16.5" x14ac:dyDescent="0.35">
      <c r="B117" s="81" t="s">
        <v>127</v>
      </c>
      <c r="C117" s="2"/>
      <c r="D117" s="2"/>
      <c r="E117" s="2"/>
      <c r="F117" s="2"/>
    </row>
    <row r="118" spans="2:6" ht="26" x14ac:dyDescent="0.35">
      <c r="B118" s="28" t="s">
        <v>111</v>
      </c>
      <c r="C118" s="1" t="s">
        <v>102</v>
      </c>
      <c r="D118" s="1" t="s">
        <v>103</v>
      </c>
      <c r="E118" s="30" t="s">
        <v>104</v>
      </c>
      <c r="F118" s="1" t="s">
        <v>105</v>
      </c>
    </row>
    <row r="119" spans="2:6" x14ac:dyDescent="0.35">
      <c r="B119" s="87" t="s">
        <v>114</v>
      </c>
      <c r="C119" s="26">
        <v>0.74524010576497124</v>
      </c>
      <c r="D119" s="26">
        <v>0.78880195045917834</v>
      </c>
      <c r="E119" s="26">
        <v>0.76914051189689847</v>
      </c>
      <c r="F119" s="104">
        <f>(+D119-C119)*100</f>
        <v>4.3561844694207092</v>
      </c>
    </row>
    <row r="120" spans="2:6" x14ac:dyDescent="0.35">
      <c r="B120" s="87" t="s">
        <v>115</v>
      </c>
      <c r="C120" s="26">
        <v>0.7251859440317987</v>
      </c>
      <c r="D120" s="26">
        <v>0.79757915523089939</v>
      </c>
      <c r="E120" s="26">
        <v>0.76993993568714569</v>
      </c>
      <c r="F120" s="104">
        <f t="shared" ref="F120:F128" si="3">(+D120-C120)*100</f>
        <v>7.2393211199100698</v>
      </c>
    </row>
    <row r="121" spans="2:6" x14ac:dyDescent="0.35">
      <c r="B121" s="87" t="s">
        <v>116</v>
      </c>
      <c r="C121" s="26">
        <v>0.74884120331163939</v>
      </c>
      <c r="D121" s="26">
        <v>0.81952121816765078</v>
      </c>
      <c r="E121" s="26">
        <v>0.79454964606705913</v>
      </c>
      <c r="F121" s="104">
        <f t="shared" si="3"/>
        <v>7.0680014856011386</v>
      </c>
    </row>
    <row r="122" spans="2:6" x14ac:dyDescent="0.35">
      <c r="B122" s="87" t="s">
        <v>117</v>
      </c>
      <c r="C122" s="26">
        <v>0.72798530008823636</v>
      </c>
      <c r="D122" s="26">
        <v>0.75210720502453388</v>
      </c>
      <c r="E122" s="26">
        <v>0.73906811901171832</v>
      </c>
      <c r="F122" s="104">
        <f t="shared" si="3"/>
        <v>2.4121904936297511</v>
      </c>
    </row>
    <row r="123" spans="2:6" x14ac:dyDescent="0.35">
      <c r="B123" s="87" t="s">
        <v>118</v>
      </c>
      <c r="C123" s="26">
        <v>0.81468623107189875</v>
      </c>
      <c r="D123" s="26">
        <v>0.84933267201649543</v>
      </c>
      <c r="E123" s="26">
        <v>0.83916195394034776</v>
      </c>
      <c r="F123" s="104">
        <f t="shared" si="3"/>
        <v>3.4646440944596679</v>
      </c>
    </row>
    <row r="124" spans="2:6" x14ac:dyDescent="0.35">
      <c r="B124" s="87" t="s">
        <v>119</v>
      </c>
      <c r="C124" s="26">
        <v>0.77574702960959463</v>
      </c>
      <c r="D124" s="26">
        <v>0.78256049111982362</v>
      </c>
      <c r="E124" s="26">
        <v>0.77968568359718993</v>
      </c>
      <c r="F124" s="104">
        <f t="shared" si="3"/>
        <v>0.68134615102289908</v>
      </c>
    </row>
    <row r="125" spans="2:6" x14ac:dyDescent="0.35">
      <c r="B125" s="87" t="s">
        <v>120</v>
      </c>
      <c r="C125" s="26">
        <v>0.78687165694537831</v>
      </c>
      <c r="D125" s="26">
        <v>0.81512022837960074</v>
      </c>
      <c r="E125" s="26">
        <v>0.80809123265219984</v>
      </c>
      <c r="F125" s="104">
        <f t="shared" si="3"/>
        <v>2.8248571434222436</v>
      </c>
    </row>
    <row r="126" spans="2:6" x14ac:dyDescent="0.35">
      <c r="B126" s="87" t="s">
        <v>121</v>
      </c>
      <c r="C126" s="26">
        <v>0.76891029098714792</v>
      </c>
      <c r="D126" s="26">
        <v>0.82261570650126581</v>
      </c>
      <c r="E126" s="26">
        <v>0.80411332464027452</v>
      </c>
      <c r="F126" s="104">
        <f t="shared" si="3"/>
        <v>5.3705415514117893</v>
      </c>
    </row>
    <row r="127" spans="2:6" x14ac:dyDescent="0.35">
      <c r="B127" s="87" t="s">
        <v>122</v>
      </c>
      <c r="C127" s="26">
        <v>0.82338481850882861</v>
      </c>
      <c r="D127" s="26">
        <v>0.83640296439420747</v>
      </c>
      <c r="E127" s="26">
        <v>0.8332124585711721</v>
      </c>
      <c r="F127" s="104">
        <f t="shared" si="3"/>
        <v>1.3018145885378862</v>
      </c>
    </row>
    <row r="128" spans="2:6" x14ac:dyDescent="0.35">
      <c r="B128" s="87" t="s">
        <v>123</v>
      </c>
      <c r="C128" s="26">
        <v>0.72343395053569126</v>
      </c>
      <c r="D128" s="26">
        <v>0.73516060230946567</v>
      </c>
      <c r="E128" s="26">
        <v>0.72569100779222606</v>
      </c>
      <c r="F128" s="104">
        <f t="shared" si="3"/>
        <v>1.172665177377441</v>
      </c>
    </row>
    <row r="129" spans="2:6" x14ac:dyDescent="0.35">
      <c r="B129" s="29" t="s">
        <v>83</v>
      </c>
      <c r="C129" s="6">
        <v>0.74813334046220537</v>
      </c>
      <c r="D129" s="6">
        <v>0.8086645420410018</v>
      </c>
      <c r="E129" s="6">
        <v>0.77991049080338359</v>
      </c>
      <c r="F129" s="105">
        <f>(+D129-C129)*100</f>
        <v>6.0531201578796434</v>
      </c>
    </row>
    <row r="130" spans="2:6" x14ac:dyDescent="0.35">
      <c r="B130" s="82" t="s">
        <v>128</v>
      </c>
      <c r="C130" s="10"/>
      <c r="D130" s="10"/>
      <c r="E130" s="10"/>
      <c r="F130" s="2"/>
    </row>
    <row r="131" spans="2:6" x14ac:dyDescent="0.35">
      <c r="B131" s="41"/>
      <c r="C131" s="10"/>
      <c r="D131" s="10"/>
      <c r="E131" s="10"/>
      <c r="F131" s="2"/>
    </row>
    <row r="132" spans="2:6" x14ac:dyDescent="0.35">
      <c r="B132" s="81" t="s">
        <v>21</v>
      </c>
      <c r="C132" s="2"/>
      <c r="D132" s="2"/>
      <c r="E132" s="2"/>
      <c r="F132" s="2"/>
    </row>
    <row r="133" spans="2:6" ht="26" x14ac:dyDescent="0.35">
      <c r="B133" s="28" t="s">
        <v>111</v>
      </c>
      <c r="C133" s="1" t="s">
        <v>102</v>
      </c>
      <c r="D133" s="1" t="s">
        <v>103</v>
      </c>
      <c r="E133" s="30" t="s">
        <v>104</v>
      </c>
      <c r="F133" s="1" t="s">
        <v>105</v>
      </c>
    </row>
    <row r="134" spans="2:6" x14ac:dyDescent="0.35">
      <c r="B134" s="87" t="s">
        <v>114</v>
      </c>
      <c r="C134" s="26">
        <v>0.8175713380681654</v>
      </c>
      <c r="D134" s="26">
        <v>0.84869752369053475</v>
      </c>
      <c r="E134" s="26">
        <v>0.83451216818477791</v>
      </c>
      <c r="F134" s="104">
        <f t="shared" ref="F134:F143" si="4">(+D134-C134)*100</f>
        <v>3.1126185622369351</v>
      </c>
    </row>
    <row r="135" spans="2:6" x14ac:dyDescent="0.35">
      <c r="B135" s="87" t="s">
        <v>115</v>
      </c>
      <c r="C135" s="26">
        <v>0.80395649533216884</v>
      </c>
      <c r="D135" s="26">
        <v>0.84245617309410858</v>
      </c>
      <c r="E135" s="26">
        <v>0.82796551225644877</v>
      </c>
      <c r="F135" s="104">
        <f t="shared" si="4"/>
        <v>3.8499677761939743</v>
      </c>
    </row>
    <row r="136" spans="2:6" x14ac:dyDescent="0.35">
      <c r="B136" s="87" t="s">
        <v>116</v>
      </c>
      <c r="C136" s="26">
        <v>0.81670105501245704</v>
      </c>
      <c r="D136" s="26">
        <v>0.869626291656586</v>
      </c>
      <c r="E136" s="26">
        <v>0.84940614034873141</v>
      </c>
      <c r="F136" s="104">
        <f>(+D136-C136)*100</f>
        <v>5.2925236644128955</v>
      </c>
    </row>
    <row r="137" spans="2:6" x14ac:dyDescent="0.35">
      <c r="B137" s="87" t="s">
        <v>117</v>
      </c>
      <c r="C137" s="26">
        <v>0.78910418629819334</v>
      </c>
      <c r="D137" s="26">
        <v>0.81428134063639857</v>
      </c>
      <c r="E137" s="26">
        <v>0.80010537677841553</v>
      </c>
      <c r="F137" s="104">
        <f t="shared" si="4"/>
        <v>2.5177154338205221</v>
      </c>
    </row>
    <row r="138" spans="2:6" x14ac:dyDescent="0.35">
      <c r="B138" s="87" t="s">
        <v>118</v>
      </c>
      <c r="C138" s="26">
        <v>0.88329752998254618</v>
      </c>
      <c r="D138" s="26">
        <v>0.91229382553075011</v>
      </c>
      <c r="E138" s="26">
        <v>0.90352742382534779</v>
      </c>
      <c r="F138" s="104">
        <f t="shared" si="4"/>
        <v>2.8996295548203932</v>
      </c>
    </row>
    <row r="139" spans="2:6" x14ac:dyDescent="0.35">
      <c r="B139" s="87" t="s">
        <v>119</v>
      </c>
      <c r="C139" s="26">
        <v>0.81936478655611733</v>
      </c>
      <c r="D139" s="26">
        <v>0.82565651492329029</v>
      </c>
      <c r="E139" s="26">
        <v>0.82296788848442903</v>
      </c>
      <c r="F139" s="104">
        <f t="shared" si="4"/>
        <v>0.62917283671729551</v>
      </c>
    </row>
    <row r="140" spans="2:6" x14ac:dyDescent="0.35">
      <c r="B140" s="87" t="s">
        <v>120</v>
      </c>
      <c r="C140" s="26">
        <v>0.85907589447815591</v>
      </c>
      <c r="D140" s="26">
        <v>0.8844902567970141</v>
      </c>
      <c r="E140" s="26">
        <v>0.87771230215330198</v>
      </c>
      <c r="F140" s="104">
        <f t="shared" si="4"/>
        <v>2.5414362318858186</v>
      </c>
    </row>
    <row r="141" spans="2:6" x14ac:dyDescent="0.35">
      <c r="B141" s="87" t="s">
        <v>121</v>
      </c>
      <c r="C141" s="26">
        <v>0.84540825064138236</v>
      </c>
      <c r="D141" s="26">
        <v>0.88166158538823103</v>
      </c>
      <c r="E141" s="26">
        <v>0.86893889801376656</v>
      </c>
      <c r="F141" s="104">
        <f t="shared" si="4"/>
        <v>3.6253334746848664</v>
      </c>
    </row>
    <row r="142" spans="2:6" x14ac:dyDescent="0.35">
      <c r="B142" s="87" t="s">
        <v>122</v>
      </c>
      <c r="C142" s="26">
        <v>0.88332469475188446</v>
      </c>
      <c r="D142" s="26">
        <v>0.89959051760351294</v>
      </c>
      <c r="E142" s="26">
        <v>0.89545540189489325</v>
      </c>
      <c r="F142" s="104">
        <f t="shared" si="4"/>
        <v>1.6265822851628475</v>
      </c>
    </row>
    <row r="143" spans="2:6" x14ac:dyDescent="0.35">
      <c r="B143" s="87" t="s">
        <v>123</v>
      </c>
      <c r="C143" s="26">
        <v>0.78808216358635441</v>
      </c>
      <c r="D143" s="26">
        <v>0.80597097955506436</v>
      </c>
      <c r="E143" s="26">
        <v>0.79151170823560102</v>
      </c>
      <c r="F143" s="104">
        <f t="shared" si="4"/>
        <v>1.7888815968709948</v>
      </c>
    </row>
    <row r="144" spans="2:6" x14ac:dyDescent="0.35">
      <c r="B144" s="29" t="s">
        <v>83</v>
      </c>
      <c r="C144" s="6">
        <v>0.81723318440464432</v>
      </c>
      <c r="D144" s="6">
        <v>0.87240841469524377</v>
      </c>
      <c r="E144" s="6">
        <v>0.84661195316611759</v>
      </c>
      <c r="F144" s="105">
        <f t="shared" ref="F144" si="5">(+D144-C144)*100</f>
        <v>5.5175230290599453</v>
      </c>
    </row>
    <row r="145" spans="2:6" x14ac:dyDescent="0.35">
      <c r="B145" s="82" t="s">
        <v>107</v>
      </c>
      <c r="C145" s="10"/>
      <c r="D145" s="10"/>
      <c r="E145" s="10"/>
      <c r="F145" s="2"/>
    </row>
    <row r="146" spans="2:6" x14ac:dyDescent="0.35">
      <c r="B146" s="52"/>
      <c r="C146" s="10"/>
      <c r="D146" s="10"/>
      <c r="E146" s="10"/>
      <c r="F146" s="2"/>
    </row>
    <row r="147" spans="2:6" ht="16.5" x14ac:dyDescent="0.35">
      <c r="B147" s="81" t="s">
        <v>129</v>
      </c>
      <c r="C147" s="10"/>
      <c r="D147" s="10"/>
      <c r="E147" s="10"/>
      <c r="F147" s="2"/>
    </row>
    <row r="148" spans="2:6" ht="26" x14ac:dyDescent="0.35">
      <c r="B148" s="28" t="s">
        <v>130</v>
      </c>
      <c r="C148" s="1" t="s">
        <v>102</v>
      </c>
      <c r="D148" s="1" t="s">
        <v>103</v>
      </c>
      <c r="E148" s="30" t="s">
        <v>104</v>
      </c>
      <c r="F148" s="1" t="s">
        <v>105</v>
      </c>
    </row>
    <row r="149" spans="2:6" x14ac:dyDescent="0.35">
      <c r="B149" s="87" t="s">
        <v>131</v>
      </c>
      <c r="C149" s="26">
        <v>0.744849357190429</v>
      </c>
      <c r="D149" s="26">
        <v>0.78385162697851685</v>
      </c>
      <c r="E149" s="26">
        <v>0.76679146129326592</v>
      </c>
      <c r="F149" s="104">
        <f>(+D149-C149)*100</f>
        <v>3.9002269788087851</v>
      </c>
    </row>
    <row r="150" spans="2:6" x14ac:dyDescent="0.35">
      <c r="B150" s="87" t="s">
        <v>132</v>
      </c>
      <c r="C150" s="26">
        <v>0.72494957758425149</v>
      </c>
      <c r="D150" s="26">
        <v>0.79786783826421792</v>
      </c>
      <c r="E150" s="26">
        <v>0.77000701715679121</v>
      </c>
      <c r="F150" s="104">
        <f t="shared" ref="F150:F159" si="6">(+D150-C150)*100</f>
        <v>7.2918260679966433</v>
      </c>
    </row>
    <row r="151" spans="2:6" x14ac:dyDescent="0.35">
      <c r="B151" s="87" t="s">
        <v>133</v>
      </c>
      <c r="C151" s="26">
        <v>0.74898573900331777</v>
      </c>
      <c r="D151" s="26">
        <v>0.83846922076495001</v>
      </c>
      <c r="E151" s="26">
        <v>0.80083730562501443</v>
      </c>
      <c r="F151" s="104">
        <f t="shared" si="6"/>
        <v>8.9483481761632238</v>
      </c>
    </row>
    <row r="152" spans="2:6" x14ac:dyDescent="0.35">
      <c r="B152" s="87" t="s">
        <v>134</v>
      </c>
      <c r="C152" s="26">
        <v>0.72941829341930686</v>
      </c>
      <c r="D152" s="26">
        <v>0.75159281990820515</v>
      </c>
      <c r="E152" s="26">
        <v>0.73979045906370289</v>
      </c>
      <c r="F152" s="104">
        <f t="shared" si="6"/>
        <v>2.2174526488898283</v>
      </c>
    </row>
    <row r="153" spans="2:6" x14ac:dyDescent="0.35">
      <c r="B153" s="87" t="s">
        <v>135</v>
      </c>
      <c r="C153" s="26">
        <v>0.86075835391851563</v>
      </c>
      <c r="D153" s="26">
        <v>0.91075474921046151</v>
      </c>
      <c r="E153" s="26">
        <v>0.89383187255412111</v>
      </c>
      <c r="F153" s="104">
        <f t="shared" si="6"/>
        <v>4.9996395291945888</v>
      </c>
    </row>
    <row r="154" spans="2:6" x14ac:dyDescent="0.35">
      <c r="B154" s="87" t="s">
        <v>120</v>
      </c>
      <c r="C154" s="26">
        <v>0.8223794430137068</v>
      </c>
      <c r="D154" s="26">
        <v>0.81472108398320986</v>
      </c>
      <c r="E154" s="26">
        <v>0.81591654634189914</v>
      </c>
      <c r="F154" s="104">
        <f t="shared" si="6"/>
        <v>-0.76583590304969418</v>
      </c>
    </row>
    <row r="155" spans="2:6" x14ac:dyDescent="0.35">
      <c r="B155" s="87" t="s">
        <v>136</v>
      </c>
      <c r="C155" s="26">
        <v>0.72091968612342427</v>
      </c>
      <c r="D155" s="26">
        <v>0.74632737543569905</v>
      </c>
      <c r="E155" s="26">
        <v>0.72594405271471696</v>
      </c>
      <c r="F155" s="104">
        <f t="shared" si="6"/>
        <v>2.5407689312274773</v>
      </c>
    </row>
    <row r="156" spans="2:6" x14ac:dyDescent="0.35">
      <c r="B156" s="87" t="s">
        <v>137</v>
      </c>
      <c r="C156" s="26">
        <v>0.81371624736812731</v>
      </c>
      <c r="D156" s="26">
        <v>0.82935246654090944</v>
      </c>
      <c r="E156" s="26">
        <v>0.82566855703177866</v>
      </c>
      <c r="F156" s="104">
        <f t="shared" si="6"/>
        <v>1.5636219172782129</v>
      </c>
    </row>
    <row r="157" spans="2:6" x14ac:dyDescent="0.35">
      <c r="B157" s="87" t="s">
        <v>138</v>
      </c>
      <c r="C157" s="26">
        <v>0.75238069373030858</v>
      </c>
      <c r="D157" s="26">
        <v>0.79276502484064104</v>
      </c>
      <c r="E157" s="26">
        <v>0.77409713758102683</v>
      </c>
      <c r="F157" s="104">
        <f t="shared" si="6"/>
        <v>4.0384331110332461</v>
      </c>
    </row>
    <row r="158" spans="2:6" x14ac:dyDescent="0.35">
      <c r="B158" s="87" t="s">
        <v>139</v>
      </c>
      <c r="C158" s="26">
        <v>0.73870410544878351</v>
      </c>
      <c r="D158" s="26">
        <v>0.75402331094259101</v>
      </c>
      <c r="E158" s="26">
        <v>0.7411145980171161</v>
      </c>
      <c r="F158" s="104">
        <f t="shared" si="6"/>
        <v>1.5319205493807497</v>
      </c>
    </row>
    <row r="159" spans="2:6" x14ac:dyDescent="0.35">
      <c r="B159" s="29" t="s">
        <v>140</v>
      </c>
      <c r="C159" s="6">
        <v>0.74813334046221958</v>
      </c>
      <c r="D159" s="6">
        <v>0.8086645420410149</v>
      </c>
      <c r="E159" s="6">
        <v>0.77991049080337782</v>
      </c>
      <c r="F159" s="105">
        <f t="shared" si="6"/>
        <v>6.0531201578795324</v>
      </c>
    </row>
    <row r="160" spans="2:6" x14ac:dyDescent="0.35">
      <c r="B160" s="82" t="s">
        <v>106</v>
      </c>
      <c r="C160" s="10"/>
      <c r="D160" s="10"/>
      <c r="E160" s="10"/>
      <c r="F160" s="2"/>
    </row>
    <row r="161" spans="2:6" x14ac:dyDescent="0.35">
      <c r="B161" s="41"/>
      <c r="C161" s="10"/>
      <c r="D161" s="10"/>
      <c r="E161" s="10"/>
      <c r="F161" s="2"/>
    </row>
    <row r="162" spans="2:6" x14ac:dyDescent="0.35">
      <c r="B162" s="81" t="s">
        <v>23</v>
      </c>
      <c r="C162" s="10"/>
      <c r="D162" s="10"/>
      <c r="E162" s="10"/>
      <c r="F162" s="2"/>
    </row>
    <row r="163" spans="2:6" ht="26" x14ac:dyDescent="0.35">
      <c r="B163" s="28" t="s">
        <v>130</v>
      </c>
      <c r="C163" s="1" t="s">
        <v>102</v>
      </c>
      <c r="D163" s="1" t="s">
        <v>103</v>
      </c>
      <c r="E163" s="30" t="s">
        <v>104</v>
      </c>
      <c r="F163" s="1" t="s">
        <v>105</v>
      </c>
    </row>
    <row r="164" spans="2:6" x14ac:dyDescent="0.35">
      <c r="B164" s="87" t="s">
        <v>131</v>
      </c>
      <c r="C164" s="26">
        <v>0.81920525996535232</v>
      </c>
      <c r="D164" s="26">
        <v>0.84574511047322254</v>
      </c>
      <c r="E164" s="26">
        <v>0.83401367817146066</v>
      </c>
      <c r="F164" s="104">
        <f>(+D164-C164)*100</f>
        <v>2.6539850507870222</v>
      </c>
    </row>
    <row r="165" spans="2:6" x14ac:dyDescent="0.35">
      <c r="B165" s="87" t="s">
        <v>132</v>
      </c>
      <c r="C165" s="26">
        <v>0.80366910363593558</v>
      </c>
      <c r="D165" s="26">
        <v>0.84248922984986463</v>
      </c>
      <c r="E165" s="26">
        <v>0.82788252248098271</v>
      </c>
      <c r="F165" s="104">
        <f t="shared" ref="F165:F174" si="7">(+D165-C165)*100</f>
        <v>3.8820126213929051</v>
      </c>
    </row>
    <row r="166" spans="2:6" x14ac:dyDescent="0.35">
      <c r="B166" s="87" t="s">
        <v>133</v>
      </c>
      <c r="C166" s="26">
        <v>0.81734073205994051</v>
      </c>
      <c r="D166" s="26">
        <v>0.8832846109842134</v>
      </c>
      <c r="E166" s="26">
        <v>0.8554545953321987</v>
      </c>
      <c r="F166" s="104">
        <f t="shared" si="7"/>
        <v>6.5943878924272887</v>
      </c>
    </row>
    <row r="167" spans="2:6" x14ac:dyDescent="0.35">
      <c r="B167" s="87" t="s">
        <v>134</v>
      </c>
      <c r="C167" s="26">
        <v>0.79164210366792498</v>
      </c>
      <c r="D167" s="26">
        <v>0.8171865062018161</v>
      </c>
      <c r="E167" s="26">
        <v>0.80299743190229167</v>
      </c>
      <c r="F167" s="104">
        <f t="shared" si="7"/>
        <v>2.554440253389112</v>
      </c>
    </row>
    <row r="168" spans="2:6" x14ac:dyDescent="0.35">
      <c r="B168" s="87" t="s">
        <v>135</v>
      </c>
      <c r="C168" s="26">
        <v>0.89956163886381724</v>
      </c>
      <c r="D168" s="26">
        <v>0.94216477603765225</v>
      </c>
      <c r="E168" s="26">
        <v>0.92760018024122692</v>
      </c>
      <c r="F168" s="104">
        <f t="shared" si="7"/>
        <v>4.260313717383502</v>
      </c>
    </row>
    <row r="169" spans="2:6" x14ac:dyDescent="0.35">
      <c r="B169" s="87" t="s">
        <v>120</v>
      </c>
      <c r="C169" s="26">
        <v>0.87945567763315946</v>
      </c>
      <c r="D169" s="26">
        <v>0.88510931685359895</v>
      </c>
      <c r="E169" s="26">
        <v>0.88397732402883611</v>
      </c>
      <c r="F169" s="104">
        <f t="shared" si="7"/>
        <v>0.56536392204394881</v>
      </c>
    </row>
    <row r="170" spans="2:6" x14ac:dyDescent="0.35">
      <c r="B170" s="87" t="s">
        <v>136</v>
      </c>
      <c r="C170" s="26">
        <v>0.7868379841502553</v>
      </c>
      <c r="D170" s="26">
        <v>0.81701105596894885</v>
      </c>
      <c r="E170" s="26">
        <v>0.79325381990338528</v>
      </c>
      <c r="F170" s="104">
        <f t="shared" si="7"/>
        <v>3.0173071818693553</v>
      </c>
    </row>
    <row r="171" spans="2:6" x14ac:dyDescent="0.35">
      <c r="B171" s="87" t="s">
        <v>137</v>
      </c>
      <c r="C171" s="26">
        <v>0.87987754210109448</v>
      </c>
      <c r="D171" s="26">
        <v>0.89659236701334988</v>
      </c>
      <c r="E171" s="26">
        <v>0.89253996589647644</v>
      </c>
      <c r="F171" s="104">
        <f t="shared" si="7"/>
        <v>1.6714824912255399</v>
      </c>
    </row>
    <row r="172" spans="2:6" x14ac:dyDescent="0.35">
      <c r="B172" s="87" t="s">
        <v>138</v>
      </c>
      <c r="C172" s="26">
        <v>0.82456415943546135</v>
      </c>
      <c r="D172" s="26">
        <v>0.84565324905527484</v>
      </c>
      <c r="E172" s="26">
        <v>0.83563572983848122</v>
      </c>
      <c r="F172" s="104">
        <f t="shared" si="7"/>
        <v>2.1089089619813484</v>
      </c>
    </row>
    <row r="173" spans="2:6" x14ac:dyDescent="0.35">
      <c r="B173" s="87" t="s">
        <v>139</v>
      </c>
      <c r="C173" s="26">
        <v>0.79486488494326579</v>
      </c>
      <c r="D173" s="26">
        <v>0.80629346631801802</v>
      </c>
      <c r="E173" s="26">
        <v>0.79640708174307739</v>
      </c>
      <c r="F173" s="104">
        <f t="shared" si="7"/>
        <v>1.1428581374752222</v>
      </c>
    </row>
    <row r="174" spans="2:6" x14ac:dyDescent="0.35">
      <c r="B174" s="29" t="s">
        <v>140</v>
      </c>
      <c r="C174" s="6">
        <v>0.81723318440464221</v>
      </c>
      <c r="D174" s="6">
        <v>0.87240841469529384</v>
      </c>
      <c r="E174" s="6">
        <v>0.84661195316612492</v>
      </c>
      <c r="F174" s="105">
        <f t="shared" si="7"/>
        <v>5.5175230290651633</v>
      </c>
    </row>
    <row r="175" spans="2:6" x14ac:dyDescent="0.35">
      <c r="B175" s="82" t="s">
        <v>107</v>
      </c>
      <c r="C175" s="10"/>
      <c r="D175" s="10"/>
      <c r="E175" s="10"/>
      <c r="F175" s="2"/>
    </row>
    <row r="176" spans="2:6" x14ac:dyDescent="0.35">
      <c r="B176" s="41"/>
      <c r="C176" s="10"/>
      <c r="D176" s="10"/>
      <c r="E176" s="10"/>
      <c r="F176" s="2"/>
    </row>
    <row r="177" spans="2:11" x14ac:dyDescent="0.35">
      <c r="B177" s="81" t="s">
        <v>141</v>
      </c>
      <c r="C177" s="2"/>
      <c r="D177" s="2"/>
      <c r="E177" s="2"/>
      <c r="F177" s="2"/>
    </row>
    <row r="178" spans="2:11" x14ac:dyDescent="0.35">
      <c r="B178" s="28" t="s">
        <v>75</v>
      </c>
      <c r="C178" s="1" t="s">
        <v>142</v>
      </c>
      <c r="D178" s="1" t="s">
        <v>143</v>
      </c>
      <c r="E178" s="1" t="s">
        <v>144</v>
      </c>
      <c r="F178" s="1" t="s">
        <v>145</v>
      </c>
      <c r="G178" s="1" t="s">
        <v>146</v>
      </c>
      <c r="H178" s="1" t="s">
        <v>147</v>
      </c>
      <c r="I178" s="1" t="s">
        <v>148</v>
      </c>
    </row>
    <row r="179" spans="2:11" x14ac:dyDescent="0.35">
      <c r="B179" s="87" t="s">
        <v>80</v>
      </c>
      <c r="C179" s="26">
        <v>0.84113121588239947</v>
      </c>
      <c r="D179" s="26">
        <v>0.80748216423635011</v>
      </c>
      <c r="E179" s="26">
        <v>0.83738121728803683</v>
      </c>
      <c r="F179" s="26">
        <v>0.8484683598736753</v>
      </c>
      <c r="G179" s="26">
        <v>0.91320687526143007</v>
      </c>
      <c r="H179" s="26">
        <v>0.85750741555899979</v>
      </c>
      <c r="I179" s="26">
        <v>0.75052211485121467</v>
      </c>
      <c r="J179" s="103"/>
      <c r="K179" s="103"/>
    </row>
    <row r="180" spans="2:11" x14ac:dyDescent="0.35">
      <c r="B180" s="87" t="s">
        <v>81</v>
      </c>
      <c r="C180" s="26">
        <v>0.79327727013804517</v>
      </c>
      <c r="D180" s="26">
        <v>0.80774183236608932</v>
      </c>
      <c r="E180" s="26">
        <v>0.82054434618078986</v>
      </c>
      <c r="F180" s="26">
        <v>0.87597700459938632</v>
      </c>
      <c r="G180" s="26">
        <v>0.85660793229174415</v>
      </c>
      <c r="H180" s="26">
        <v>0.8412498240720454</v>
      </c>
      <c r="I180" s="26">
        <v>0.74666509770710454</v>
      </c>
      <c r="J180" s="103"/>
      <c r="K180" s="103"/>
    </row>
    <row r="181" spans="2:11" x14ac:dyDescent="0.35">
      <c r="B181" s="87" t="s">
        <v>82</v>
      </c>
      <c r="C181" s="26">
        <v>0.8625342520791448</v>
      </c>
      <c r="D181" s="26">
        <v>0.88913495119882735</v>
      </c>
      <c r="E181" s="26">
        <v>0.91741072788137268</v>
      </c>
      <c r="F181" s="26">
        <v>0.91202680364486965</v>
      </c>
      <c r="G181" s="26">
        <v>0.89598279556783134</v>
      </c>
      <c r="H181" s="26">
        <v>0.86192757283921717</v>
      </c>
      <c r="I181" s="26">
        <v>0.82096824146561631</v>
      </c>
      <c r="J181" s="103"/>
      <c r="K181" s="103"/>
    </row>
    <row r="182" spans="2:11" x14ac:dyDescent="0.35">
      <c r="B182" s="29" t="s">
        <v>83</v>
      </c>
      <c r="C182" s="6">
        <v>0.85496395891555632</v>
      </c>
      <c r="D182" s="6">
        <v>0.87931165567926317</v>
      </c>
      <c r="E182" s="6">
        <v>0.90355404303662201</v>
      </c>
      <c r="F182" s="6">
        <v>0.89870239526447715</v>
      </c>
      <c r="G182" s="6">
        <v>0.88316105918153698</v>
      </c>
      <c r="H182" s="6">
        <v>0.85307411567285607</v>
      </c>
      <c r="I182" s="6">
        <v>0.77991049080293684</v>
      </c>
      <c r="J182" s="103"/>
      <c r="K182" s="103"/>
    </row>
    <row r="183" spans="2:11" x14ac:dyDescent="0.35">
      <c r="B183" s="2"/>
      <c r="C183" s="7"/>
      <c r="D183" s="7"/>
      <c r="E183" s="7"/>
      <c r="F183" s="7"/>
      <c r="G183" s="7"/>
      <c r="H183" s="53"/>
    </row>
    <row r="184" spans="2:11" x14ac:dyDescent="0.35">
      <c r="B184" s="81" t="s">
        <v>149</v>
      </c>
      <c r="C184" s="7"/>
      <c r="D184" s="7"/>
      <c r="E184" s="7"/>
      <c r="F184" s="7"/>
      <c r="G184" s="7"/>
      <c r="H184" s="53"/>
    </row>
    <row r="185" spans="2:11" x14ac:dyDescent="0.35">
      <c r="B185" s="28" t="s">
        <v>75</v>
      </c>
      <c r="C185" s="1" t="s">
        <v>142</v>
      </c>
      <c r="D185" s="1" t="s">
        <v>143</v>
      </c>
      <c r="E185" s="1" t="s">
        <v>144</v>
      </c>
      <c r="F185" s="1" t="s">
        <v>145</v>
      </c>
      <c r="G185" s="1" t="s">
        <v>146</v>
      </c>
      <c r="H185" s="1" t="s">
        <v>147</v>
      </c>
      <c r="I185" s="1" t="s">
        <v>148</v>
      </c>
    </row>
    <row r="186" spans="2:11" x14ac:dyDescent="0.35">
      <c r="B186" s="87" t="s">
        <v>80</v>
      </c>
      <c r="C186" s="26">
        <v>0.84361242890860122</v>
      </c>
      <c r="D186" s="26">
        <v>0.80664989507439444</v>
      </c>
      <c r="E186" s="26">
        <v>0.83559286456386594</v>
      </c>
      <c r="F186" s="26">
        <v>0.84738443700345856</v>
      </c>
      <c r="G186" s="26">
        <v>0.9088306102391549</v>
      </c>
      <c r="H186" s="26">
        <v>0.85281892405822934</v>
      </c>
      <c r="I186" s="26">
        <v>0.75245730765811236</v>
      </c>
    </row>
    <row r="187" spans="2:11" x14ac:dyDescent="0.35">
      <c r="B187" s="87" t="s">
        <v>86</v>
      </c>
      <c r="C187" s="26"/>
      <c r="D187" s="26"/>
      <c r="E187" s="26">
        <v>0.90444444444444438</v>
      </c>
      <c r="F187" s="26">
        <v>0.86940711315711316</v>
      </c>
      <c r="G187" s="26">
        <v>0.95315120578563706</v>
      </c>
      <c r="H187" s="26">
        <v>0.89934566800153048</v>
      </c>
      <c r="I187" s="26">
        <v>0.73579485481443696</v>
      </c>
    </row>
    <row r="188" spans="2:11" x14ac:dyDescent="0.35">
      <c r="B188" s="87" t="s">
        <v>81</v>
      </c>
      <c r="C188" s="26">
        <v>0.79327727013804517</v>
      </c>
      <c r="D188" s="26">
        <v>0.80774183236608932</v>
      </c>
      <c r="E188" s="26">
        <v>0.82054434618078986</v>
      </c>
      <c r="F188" s="26">
        <v>0.87597700459938632</v>
      </c>
      <c r="G188" s="26">
        <v>0.85660793229174415</v>
      </c>
      <c r="H188" s="26">
        <v>0.8412498240720454</v>
      </c>
      <c r="I188" s="26">
        <v>0.74666509770710454</v>
      </c>
    </row>
    <row r="189" spans="2:11" x14ac:dyDescent="0.35">
      <c r="B189" s="87" t="s">
        <v>87</v>
      </c>
      <c r="C189" s="26">
        <v>0.85254949275941661</v>
      </c>
      <c r="D189" s="26">
        <v>0.88123211421971304</v>
      </c>
      <c r="E189" s="26">
        <v>0.9126694547852392</v>
      </c>
      <c r="F189" s="26">
        <v>0.90970584985398228</v>
      </c>
      <c r="G189" s="26">
        <v>0.89312860014194151</v>
      </c>
      <c r="H189" s="26">
        <v>0.8563731214085728</v>
      </c>
      <c r="I189" s="26">
        <v>0.80977464062972349</v>
      </c>
    </row>
    <row r="190" spans="2:11" x14ac:dyDescent="0.35">
      <c r="B190" s="87" t="s">
        <v>88</v>
      </c>
      <c r="C190" s="26">
        <v>0.8555915025700912</v>
      </c>
      <c r="D190" s="26">
        <v>0.88533780333720646</v>
      </c>
      <c r="E190" s="26">
        <v>0.9117535043072903</v>
      </c>
      <c r="F190" s="26">
        <v>0.90171898749078538</v>
      </c>
      <c r="G190" s="26">
        <v>0.88698021652757886</v>
      </c>
      <c r="H190" s="26">
        <v>0.84858436449437091</v>
      </c>
      <c r="I190" s="26">
        <v>0.81186440522183334</v>
      </c>
    </row>
    <row r="191" spans="2:11" x14ac:dyDescent="0.35">
      <c r="B191" s="87" t="s">
        <v>89</v>
      </c>
      <c r="C191" s="26">
        <v>0.8780249863489934</v>
      </c>
      <c r="D191" s="26">
        <v>0.89879519805215236</v>
      </c>
      <c r="E191" s="26">
        <v>0.92504843753857569</v>
      </c>
      <c r="F191" s="26">
        <v>0.92049288224228365</v>
      </c>
      <c r="G191" s="26">
        <v>0.90359812364450431</v>
      </c>
      <c r="H191" s="26">
        <v>0.87354017801226036</v>
      </c>
      <c r="I191" s="26">
        <v>0.83363856592120822</v>
      </c>
    </row>
    <row r="192" spans="2:11" x14ac:dyDescent="0.35">
      <c r="B192" s="29" t="s">
        <v>83</v>
      </c>
      <c r="C192" s="6">
        <v>0.85496395891555932</v>
      </c>
      <c r="D192" s="6">
        <v>0.87931165567925829</v>
      </c>
      <c r="E192" s="6">
        <v>0.90355404303662346</v>
      </c>
      <c r="F192" s="6">
        <v>0.89870239526447138</v>
      </c>
      <c r="G192" s="6">
        <v>0.88316105918154075</v>
      </c>
      <c r="H192" s="6">
        <v>0.85307411567285985</v>
      </c>
      <c r="I192" s="6">
        <v>0.77991049080293673</v>
      </c>
    </row>
    <row r="193" spans="2:10" x14ac:dyDescent="0.35">
      <c r="B193" s="82" t="s">
        <v>150</v>
      </c>
      <c r="C193" s="7"/>
      <c r="D193" s="7"/>
      <c r="E193" s="7"/>
      <c r="F193" s="7"/>
      <c r="G193" s="7"/>
      <c r="H193" s="7"/>
    </row>
    <row r="194" spans="2:10" x14ac:dyDescent="0.35">
      <c r="B194" s="2"/>
      <c r="C194" s="7"/>
      <c r="D194" s="7"/>
      <c r="E194" s="7"/>
      <c r="F194" s="7"/>
      <c r="G194" s="7"/>
      <c r="H194" s="7"/>
    </row>
    <row r="195" spans="2:10" x14ac:dyDescent="0.35">
      <c r="B195" s="81" t="s">
        <v>151</v>
      </c>
      <c r="C195" s="7"/>
      <c r="D195" s="7"/>
      <c r="E195" s="7"/>
      <c r="F195" s="7"/>
      <c r="G195" s="7"/>
      <c r="H195" s="7"/>
    </row>
    <row r="196" spans="2:10" x14ac:dyDescent="0.35">
      <c r="B196" s="28" t="s">
        <v>152</v>
      </c>
      <c r="C196" s="1" t="s">
        <v>142</v>
      </c>
      <c r="D196" s="1" t="s">
        <v>143</v>
      </c>
      <c r="E196" s="1" t="s">
        <v>144</v>
      </c>
      <c r="F196" s="1" t="s">
        <v>145</v>
      </c>
      <c r="G196" s="1" t="s">
        <v>146</v>
      </c>
      <c r="H196" s="1" t="s">
        <v>147</v>
      </c>
      <c r="I196" s="1" t="s">
        <v>148</v>
      </c>
    </row>
    <row r="197" spans="2:10" x14ac:dyDescent="0.35">
      <c r="B197" s="87" t="s">
        <v>102</v>
      </c>
      <c r="C197" s="26">
        <v>0.84286422400367955</v>
      </c>
      <c r="D197" s="26">
        <v>0.86303531807118739</v>
      </c>
      <c r="E197" s="26">
        <v>0.87742125770232149</v>
      </c>
      <c r="F197" s="26">
        <v>0.87302059612031269</v>
      </c>
      <c r="G197" s="26">
        <v>0.85291294138191631</v>
      </c>
      <c r="H197" s="26">
        <v>0.82219806636563508</v>
      </c>
      <c r="I197" s="26">
        <v>0.7481333404622611</v>
      </c>
    </row>
    <row r="198" spans="2:10" x14ac:dyDescent="0.35">
      <c r="B198" s="87" t="s">
        <v>103</v>
      </c>
      <c r="C198" s="26">
        <v>0.86777072311820302</v>
      </c>
      <c r="D198" s="26">
        <v>0.89525446894813765</v>
      </c>
      <c r="E198" s="26">
        <v>0.92357762099330543</v>
      </c>
      <c r="F198" s="26">
        <v>0.91982275959423287</v>
      </c>
      <c r="G198" s="26">
        <v>0.90874922057802299</v>
      </c>
      <c r="H198" s="26">
        <v>0.88012514731723324</v>
      </c>
      <c r="I198" s="26">
        <v>0.80866454204102056</v>
      </c>
    </row>
    <row r="199" spans="2:10" x14ac:dyDescent="0.35">
      <c r="B199" s="29" t="s">
        <v>83</v>
      </c>
      <c r="C199" s="6">
        <v>0.85496395891555765</v>
      </c>
      <c r="D199" s="6">
        <v>0.87931165567925951</v>
      </c>
      <c r="E199" s="6">
        <v>0.90355404303661457</v>
      </c>
      <c r="F199" s="6">
        <v>0.89870239526446793</v>
      </c>
      <c r="G199" s="6">
        <v>0.88316105918157184</v>
      </c>
      <c r="H199" s="6">
        <v>0.85307411567296176</v>
      </c>
      <c r="I199" s="6">
        <v>0.77991049080304808</v>
      </c>
    </row>
    <row r="200" spans="2:10" x14ac:dyDescent="0.35">
      <c r="B200" s="29" t="s">
        <v>153</v>
      </c>
      <c r="C200" s="79">
        <f>100*(+C198-C197)</f>
        <v>2.4906499114523473</v>
      </c>
      <c r="D200" s="79">
        <f>100*(+D198-D197)</f>
        <v>3.2219150876950264</v>
      </c>
      <c r="E200" s="79">
        <f t="shared" ref="E200:G200" si="8">100*(+E198-E197)</f>
        <v>4.6156363290983933</v>
      </c>
      <c r="F200" s="79">
        <f t="shared" si="8"/>
        <v>4.6802163473920189</v>
      </c>
      <c r="G200" s="79">
        <f t="shared" si="8"/>
        <v>5.5836279196106675</v>
      </c>
      <c r="H200" s="79">
        <f>100*(+H198-H197)</f>
        <v>5.7927080951598153</v>
      </c>
      <c r="I200" s="79">
        <f>100*(+I198-I197)</f>
        <v>6.0531201578759468</v>
      </c>
    </row>
    <row r="201" spans="2:10" x14ac:dyDescent="0.35">
      <c r="B201" s="82" t="s">
        <v>154</v>
      </c>
      <c r="C201" s="42"/>
      <c r="D201" s="42"/>
      <c r="E201" s="42"/>
      <c r="F201" s="42"/>
      <c r="G201" s="42"/>
      <c r="H201" s="42"/>
      <c r="I201" s="42"/>
    </row>
    <row r="202" spans="2:10" x14ac:dyDescent="0.35">
      <c r="B202" s="41"/>
      <c r="C202" s="42"/>
      <c r="D202" s="42"/>
      <c r="E202" s="42"/>
      <c r="F202" s="42"/>
      <c r="G202" s="42"/>
      <c r="H202" s="42"/>
      <c r="I202" s="42"/>
    </row>
    <row r="203" spans="2:10" ht="16.5" x14ac:dyDescent="0.35">
      <c r="B203" s="81" t="s">
        <v>155</v>
      </c>
      <c r="C203" s="42"/>
      <c r="D203" s="42"/>
      <c r="E203" s="42"/>
      <c r="F203" s="42"/>
      <c r="G203" s="42"/>
      <c r="H203" s="42"/>
      <c r="I203" s="42"/>
      <c r="J203" s="42"/>
    </row>
    <row r="204" spans="2:10" ht="27.5" x14ac:dyDescent="0.35">
      <c r="B204" s="28" t="s">
        <v>156</v>
      </c>
      <c r="C204" s="1" t="s">
        <v>112</v>
      </c>
      <c r="D204" s="1" t="s">
        <v>113</v>
      </c>
      <c r="E204" s="42"/>
      <c r="F204" s="42"/>
      <c r="G204" s="42"/>
      <c r="H204" s="42"/>
      <c r="I204" s="42"/>
      <c r="J204" s="42"/>
    </row>
    <row r="205" spans="2:10" x14ac:dyDescent="0.35">
      <c r="B205" s="87" t="s">
        <v>157</v>
      </c>
      <c r="C205" s="26">
        <v>0.96667312205356393</v>
      </c>
      <c r="D205" s="26">
        <v>0.97458772448091324</v>
      </c>
      <c r="E205" s="42"/>
      <c r="F205" s="42"/>
      <c r="G205" s="42"/>
      <c r="H205" s="42"/>
      <c r="I205" s="42"/>
      <c r="J205" s="42"/>
    </row>
    <row r="206" spans="2:10" x14ac:dyDescent="0.35">
      <c r="B206" s="87" t="s">
        <v>158</v>
      </c>
      <c r="C206" s="26">
        <v>0.93148087583391448</v>
      </c>
      <c r="D206" s="26">
        <v>0.95183989802844404</v>
      </c>
      <c r="E206" s="42"/>
      <c r="F206" s="42"/>
      <c r="G206" s="42"/>
      <c r="H206" s="42"/>
      <c r="I206" s="42"/>
      <c r="J206" s="42"/>
    </row>
    <row r="207" spans="2:10" x14ac:dyDescent="0.35">
      <c r="B207" s="87" t="s">
        <v>159</v>
      </c>
      <c r="C207" s="26">
        <v>0.92823566309918026</v>
      </c>
      <c r="D207" s="26">
        <v>0.94674119803183976</v>
      </c>
      <c r="E207" s="42"/>
      <c r="F207" s="42"/>
      <c r="G207" s="42"/>
      <c r="H207" s="42"/>
      <c r="I207" s="42"/>
      <c r="J207" s="42"/>
    </row>
    <row r="208" spans="2:10" x14ac:dyDescent="0.35">
      <c r="B208" s="87" t="s">
        <v>160</v>
      </c>
      <c r="C208" s="26">
        <v>0.93138157194470117</v>
      </c>
      <c r="D208" s="26">
        <v>0.94521028163956611</v>
      </c>
      <c r="E208" s="42"/>
      <c r="F208" s="42"/>
      <c r="G208" s="42"/>
      <c r="H208" s="42"/>
      <c r="I208" s="42"/>
      <c r="J208" s="42"/>
    </row>
    <row r="209" spans="2:10" x14ac:dyDescent="0.35">
      <c r="B209" s="87" t="s">
        <v>161</v>
      </c>
      <c r="C209" s="26">
        <v>0.90693904994867391</v>
      </c>
      <c r="D209" s="26">
        <v>0.94103157394860548</v>
      </c>
      <c r="E209" s="42"/>
      <c r="F209" s="42"/>
      <c r="G209" s="42"/>
      <c r="H209" s="42"/>
      <c r="I209" s="42"/>
      <c r="J209" s="42"/>
    </row>
    <row r="210" spans="2:10" x14ac:dyDescent="0.35">
      <c r="B210" s="87" t="s">
        <v>162</v>
      </c>
      <c r="C210" s="26">
        <v>0.9072742559560375</v>
      </c>
      <c r="D210" s="26">
        <v>0.93795419232498956</v>
      </c>
      <c r="E210" s="42"/>
      <c r="F210" s="42"/>
      <c r="G210" s="42"/>
      <c r="H210" s="42"/>
      <c r="I210" s="42"/>
      <c r="J210" s="42"/>
    </row>
    <row r="211" spans="2:10" x14ac:dyDescent="0.35">
      <c r="B211" s="87" t="s">
        <v>163</v>
      </c>
      <c r="C211" s="26">
        <v>0.91089500080479213</v>
      </c>
      <c r="D211" s="26">
        <v>0.93658990615461801</v>
      </c>
      <c r="E211" s="42"/>
      <c r="F211" s="42"/>
      <c r="G211" s="42"/>
      <c r="H211" s="42"/>
      <c r="I211" s="42"/>
      <c r="J211" s="42"/>
    </row>
    <row r="212" spans="2:10" x14ac:dyDescent="0.35">
      <c r="B212" s="87" t="s">
        <v>164</v>
      </c>
      <c r="C212" s="26">
        <v>0.93081342152018143</v>
      </c>
      <c r="D212" s="26">
        <v>0.93333540633470757</v>
      </c>
      <c r="E212" s="42"/>
      <c r="F212" s="42"/>
      <c r="G212" s="42"/>
      <c r="H212" s="42"/>
      <c r="I212" s="42"/>
      <c r="J212" s="42"/>
    </row>
    <row r="213" spans="2:10" x14ac:dyDescent="0.35">
      <c r="B213" s="87" t="s">
        <v>165</v>
      </c>
      <c r="C213" s="26">
        <v>0.92076707368763588</v>
      </c>
      <c r="D213" s="26">
        <v>0.93274565235264317</v>
      </c>
      <c r="E213" s="42"/>
      <c r="F213" s="42"/>
      <c r="G213" s="42"/>
      <c r="H213" s="42"/>
      <c r="I213" s="42"/>
      <c r="J213" s="42"/>
    </row>
    <row r="214" spans="2:10" x14ac:dyDescent="0.35">
      <c r="B214" s="87" t="s">
        <v>166</v>
      </c>
      <c r="C214" s="26">
        <v>0.90173094414247446</v>
      </c>
      <c r="D214" s="26">
        <v>0.92806538141978812</v>
      </c>
      <c r="E214" s="42"/>
      <c r="F214" s="42"/>
      <c r="G214" s="42"/>
      <c r="H214" s="42"/>
      <c r="I214" s="42"/>
      <c r="J214" s="42"/>
    </row>
    <row r="215" spans="2:10" x14ac:dyDescent="0.35">
      <c r="B215" s="52"/>
      <c r="C215" s="110"/>
      <c r="D215" s="110"/>
      <c r="E215" s="42"/>
      <c r="F215" s="42"/>
      <c r="G215" s="42"/>
      <c r="H215" s="42"/>
      <c r="I215" s="42"/>
      <c r="J215" s="42"/>
    </row>
    <row r="216" spans="2:10" ht="16.5" x14ac:dyDescent="0.35">
      <c r="B216" s="81" t="s">
        <v>167</v>
      </c>
      <c r="C216" s="51"/>
      <c r="D216" s="51"/>
      <c r="E216" s="42"/>
      <c r="F216" s="42"/>
      <c r="G216" s="42"/>
      <c r="H216" s="42"/>
      <c r="I216" s="42"/>
      <c r="J216" s="42"/>
    </row>
    <row r="217" spans="2:10" ht="27.5" x14ac:dyDescent="0.35">
      <c r="B217" s="28" t="s">
        <v>156</v>
      </c>
      <c r="C217" s="1" t="s">
        <v>112</v>
      </c>
      <c r="D217" s="1" t="s">
        <v>113</v>
      </c>
      <c r="E217" s="42"/>
      <c r="F217" s="42"/>
      <c r="G217" s="42"/>
      <c r="H217" s="42"/>
      <c r="I217" s="42"/>
      <c r="J217" s="42"/>
    </row>
    <row r="218" spans="2:10" x14ac:dyDescent="0.35">
      <c r="B218" s="87" t="s">
        <v>168</v>
      </c>
      <c r="C218" s="26">
        <v>0.57517008631878563</v>
      </c>
      <c r="D218" s="26">
        <v>0.79004187957477734</v>
      </c>
      <c r="E218" s="42"/>
      <c r="F218" s="42"/>
      <c r="G218" s="42"/>
      <c r="H218" s="42"/>
      <c r="I218" s="42"/>
      <c r="J218" s="42"/>
    </row>
    <row r="219" spans="2:10" x14ac:dyDescent="0.35">
      <c r="B219" s="87" t="s">
        <v>169</v>
      </c>
      <c r="C219" s="26">
        <v>0.68638226456770068</v>
      </c>
      <c r="D219" s="26">
        <v>0.78349533570688046</v>
      </c>
      <c r="E219" s="42"/>
      <c r="F219" s="42"/>
      <c r="G219" s="42"/>
      <c r="H219" s="42"/>
      <c r="I219" s="42"/>
      <c r="J219" s="42"/>
    </row>
    <row r="220" spans="2:10" x14ac:dyDescent="0.35">
      <c r="B220" s="87" t="s">
        <v>170</v>
      </c>
      <c r="C220" s="26">
        <v>0.65266099476437911</v>
      </c>
      <c r="D220" s="26">
        <v>0.77881742749803007</v>
      </c>
      <c r="E220" s="42"/>
      <c r="F220" s="42"/>
      <c r="G220" s="42"/>
      <c r="H220" s="42"/>
      <c r="I220" s="42"/>
      <c r="J220" s="42"/>
    </row>
    <row r="221" spans="2:10" x14ac:dyDescent="0.35">
      <c r="B221" s="87" t="s">
        <v>171</v>
      </c>
      <c r="C221" s="26">
        <v>0.67575032029386362</v>
      </c>
      <c r="D221" s="26">
        <v>0.77754822409755486</v>
      </c>
      <c r="E221" s="42"/>
      <c r="F221" s="42"/>
      <c r="G221" s="42"/>
      <c r="H221" s="42"/>
      <c r="I221" s="42"/>
      <c r="J221" s="42"/>
    </row>
    <row r="222" spans="2:10" x14ac:dyDescent="0.35">
      <c r="B222" s="87" t="s">
        <v>172</v>
      </c>
      <c r="C222" s="26">
        <v>0.67161581094385048</v>
      </c>
      <c r="D222" s="26">
        <v>0.77738251330668084</v>
      </c>
      <c r="E222" s="42"/>
      <c r="F222" s="42"/>
      <c r="G222" s="42"/>
      <c r="H222" s="42"/>
      <c r="I222" s="42"/>
      <c r="J222" s="42"/>
    </row>
    <row r="223" spans="2:10" x14ac:dyDescent="0.35">
      <c r="B223" s="87" t="s">
        <v>173</v>
      </c>
      <c r="C223" s="26">
        <v>0.67868603364302282</v>
      </c>
      <c r="D223" s="26">
        <v>0.77117556407781152</v>
      </c>
      <c r="E223" s="42"/>
      <c r="F223" s="42"/>
      <c r="G223" s="42"/>
      <c r="H223" s="42"/>
      <c r="I223" s="42"/>
      <c r="J223" s="42"/>
    </row>
    <row r="224" spans="2:10" x14ac:dyDescent="0.35">
      <c r="B224" s="87" t="s">
        <v>174</v>
      </c>
      <c r="C224" s="26">
        <v>0.73717452768737346</v>
      </c>
      <c r="D224" s="26">
        <v>0.76925898910676704</v>
      </c>
      <c r="E224" s="42"/>
      <c r="F224" s="42"/>
      <c r="G224" s="42"/>
      <c r="H224" s="42"/>
      <c r="I224" s="42"/>
      <c r="J224" s="42"/>
    </row>
    <row r="225" spans="2:10" x14ac:dyDescent="0.35">
      <c r="B225" s="87" t="s">
        <v>175</v>
      </c>
      <c r="C225" s="26">
        <v>0.69760018558215231</v>
      </c>
      <c r="D225" s="26">
        <v>0.75808837279534858</v>
      </c>
      <c r="E225" s="42"/>
      <c r="F225" s="42"/>
      <c r="G225" s="42"/>
      <c r="H225" s="42"/>
      <c r="I225" s="42"/>
      <c r="J225" s="42"/>
    </row>
    <row r="226" spans="2:10" x14ac:dyDescent="0.35">
      <c r="B226" s="87" t="s">
        <v>176</v>
      </c>
      <c r="C226" s="26">
        <v>0.60154531556178326</v>
      </c>
      <c r="D226" s="26">
        <v>0.71720881917768242</v>
      </c>
      <c r="E226" s="42"/>
      <c r="F226" s="42"/>
      <c r="G226" s="42"/>
      <c r="H226" s="42"/>
      <c r="I226" s="42"/>
      <c r="J226" s="42"/>
    </row>
    <row r="227" spans="2:10" x14ac:dyDescent="0.35">
      <c r="B227" s="87" t="s">
        <v>177</v>
      </c>
      <c r="C227" s="26">
        <v>0.5909421606777463</v>
      </c>
      <c r="D227" s="26">
        <v>0.6952185426174935</v>
      </c>
      <c r="E227" s="42"/>
      <c r="F227" s="42"/>
      <c r="G227" s="42"/>
      <c r="H227" s="42"/>
      <c r="I227" s="42"/>
      <c r="J227" s="42"/>
    </row>
    <row r="228" spans="2:10" x14ac:dyDescent="0.35">
      <c r="B228" s="2"/>
      <c r="C228" s="2"/>
      <c r="D228" s="2"/>
      <c r="E228" s="2"/>
      <c r="F228" s="2"/>
      <c r="I228" s="42"/>
      <c r="J228" s="42"/>
    </row>
    <row r="229" spans="2:10" ht="16.5" x14ac:dyDescent="0.35">
      <c r="B229" s="81" t="s">
        <v>178</v>
      </c>
      <c r="C229" s="51"/>
      <c r="D229" s="51"/>
      <c r="E229" s="42"/>
      <c r="F229" s="42"/>
      <c r="G229" s="42"/>
      <c r="H229" s="42"/>
      <c r="I229" s="42"/>
      <c r="J229" s="42"/>
    </row>
    <row r="230" spans="2:10" ht="27.5" x14ac:dyDescent="0.35">
      <c r="B230" s="28" t="s">
        <v>156</v>
      </c>
      <c r="C230" s="1" t="s">
        <v>112</v>
      </c>
      <c r="D230" s="1" t="s">
        <v>113</v>
      </c>
      <c r="E230" s="42"/>
      <c r="F230" s="42"/>
      <c r="G230" s="42"/>
      <c r="H230" s="42"/>
      <c r="I230" s="42"/>
      <c r="J230" s="42"/>
    </row>
    <row r="231" spans="2:10" x14ac:dyDescent="0.35">
      <c r="B231" s="87" t="s">
        <v>179</v>
      </c>
      <c r="C231" s="26">
        <v>0.85522359584859609</v>
      </c>
      <c r="D231" s="26">
        <v>0.92165923670938665</v>
      </c>
      <c r="E231" s="42"/>
      <c r="F231" s="42"/>
      <c r="G231" s="42"/>
      <c r="H231" s="42"/>
      <c r="I231" s="42"/>
      <c r="J231" s="42"/>
    </row>
    <row r="232" spans="2:10" x14ac:dyDescent="0.35">
      <c r="B232" s="87" t="s">
        <v>180</v>
      </c>
      <c r="C232" s="26">
        <v>0.80872229250245253</v>
      </c>
      <c r="D232" s="26">
        <v>0.90568039973679204</v>
      </c>
      <c r="E232" s="42"/>
      <c r="F232" s="42"/>
      <c r="G232" s="42"/>
      <c r="H232" s="42"/>
      <c r="I232" s="42"/>
      <c r="J232" s="42"/>
    </row>
    <row r="233" spans="2:10" x14ac:dyDescent="0.35">
      <c r="B233" s="87" t="s">
        <v>181</v>
      </c>
      <c r="C233" s="26">
        <v>0.81155554141259245</v>
      </c>
      <c r="D233" s="26">
        <v>0.89153110532698399</v>
      </c>
      <c r="E233" s="42"/>
      <c r="F233" s="42"/>
      <c r="G233" s="42"/>
      <c r="H233" s="42"/>
      <c r="I233" s="42"/>
      <c r="J233" s="42"/>
    </row>
    <row r="234" spans="2:10" x14ac:dyDescent="0.35">
      <c r="B234" s="87" t="s">
        <v>182</v>
      </c>
      <c r="C234" s="26">
        <v>0.84129362337094904</v>
      </c>
      <c r="D234" s="26">
        <v>0.88932093101922127</v>
      </c>
      <c r="E234" s="42"/>
      <c r="F234" s="42"/>
      <c r="G234" s="42"/>
      <c r="H234" s="42"/>
      <c r="I234" s="42"/>
      <c r="J234" s="42"/>
    </row>
    <row r="235" spans="2:10" x14ac:dyDescent="0.35">
      <c r="B235" s="87" t="s">
        <v>183</v>
      </c>
      <c r="C235" s="26">
        <v>0.86211362668492186</v>
      </c>
      <c r="D235" s="26">
        <v>0.87705477780561381</v>
      </c>
      <c r="E235" s="42"/>
      <c r="F235" s="42"/>
      <c r="G235" s="42"/>
      <c r="H235" s="42"/>
      <c r="I235" s="42"/>
      <c r="J235" s="42"/>
    </row>
    <row r="236" spans="2:10" x14ac:dyDescent="0.35">
      <c r="B236" s="87" t="s">
        <v>184</v>
      </c>
      <c r="C236" s="26">
        <v>0.74652468240508096</v>
      </c>
      <c r="D236" s="26">
        <v>0.87065306226868244</v>
      </c>
      <c r="E236" s="42"/>
      <c r="F236" s="42"/>
      <c r="G236" s="42"/>
      <c r="H236" s="42"/>
      <c r="I236" s="42"/>
      <c r="J236" s="42"/>
    </row>
    <row r="237" spans="2:10" x14ac:dyDescent="0.35">
      <c r="B237" s="87" t="s">
        <v>185</v>
      </c>
      <c r="C237" s="26">
        <v>0.78987534714328678</v>
      </c>
      <c r="D237" s="26">
        <v>0.86403495239226669</v>
      </c>
      <c r="E237" s="42"/>
      <c r="F237" s="42"/>
      <c r="G237" s="42"/>
      <c r="H237" s="42"/>
      <c r="I237" s="42"/>
      <c r="J237" s="42"/>
    </row>
    <row r="238" spans="2:10" x14ac:dyDescent="0.35">
      <c r="B238" s="87" t="s">
        <v>186</v>
      </c>
      <c r="C238" s="26">
        <v>0.7757144588402497</v>
      </c>
      <c r="D238" s="26">
        <v>0.86401561840531416</v>
      </c>
      <c r="E238" s="42"/>
      <c r="F238" s="42"/>
      <c r="G238" s="42"/>
      <c r="H238" s="42"/>
      <c r="I238" s="42"/>
      <c r="J238" s="42"/>
    </row>
    <row r="239" spans="2:10" x14ac:dyDescent="0.35">
      <c r="B239" s="87" t="s">
        <v>158</v>
      </c>
      <c r="C239" s="26">
        <v>0.82401775603501892</v>
      </c>
      <c r="D239" s="26">
        <v>0.86241188884052267</v>
      </c>
      <c r="E239" s="42"/>
      <c r="F239" s="42"/>
      <c r="G239" s="42"/>
      <c r="H239" s="42"/>
      <c r="I239" s="42"/>
      <c r="J239" s="42"/>
    </row>
    <row r="240" spans="2:10" x14ac:dyDescent="0.35">
      <c r="B240" s="87" t="s">
        <v>187</v>
      </c>
      <c r="C240" s="26">
        <v>0.78171999855378738</v>
      </c>
      <c r="D240" s="26">
        <v>0.86111583102274236</v>
      </c>
      <c r="E240" s="42"/>
      <c r="F240" s="42"/>
      <c r="G240" s="42"/>
      <c r="H240" s="42"/>
      <c r="I240" s="42"/>
      <c r="J240" s="42"/>
    </row>
    <row r="241" spans="2:10" x14ac:dyDescent="0.35">
      <c r="B241" s="41"/>
      <c r="C241" s="51"/>
      <c r="D241" s="51"/>
      <c r="E241" s="42"/>
      <c r="F241" s="42"/>
      <c r="G241" s="42"/>
      <c r="H241" s="42"/>
      <c r="I241" s="42"/>
      <c r="J241" s="42"/>
    </row>
    <row r="242" spans="2:10" x14ac:dyDescent="0.35">
      <c r="B242" s="81" t="s">
        <v>30</v>
      </c>
      <c r="C242" s="51"/>
      <c r="D242" s="51"/>
      <c r="E242" s="42"/>
      <c r="F242" s="42"/>
      <c r="G242" s="42"/>
      <c r="H242" s="42"/>
      <c r="I242" s="42"/>
      <c r="J242" s="42"/>
    </row>
    <row r="243" spans="2:10" ht="27.5" x14ac:dyDescent="0.35">
      <c r="B243" s="28" t="s">
        <v>156</v>
      </c>
      <c r="C243" s="1" t="s">
        <v>112</v>
      </c>
      <c r="D243" s="1" t="s">
        <v>113</v>
      </c>
      <c r="E243" s="42"/>
      <c r="F243" s="42"/>
      <c r="G243" s="42"/>
      <c r="H243" s="42"/>
      <c r="I243" s="42"/>
      <c r="J243" s="42"/>
    </row>
    <row r="244" spans="2:10" x14ac:dyDescent="0.35">
      <c r="B244" s="87" t="s">
        <v>188</v>
      </c>
      <c r="C244" s="26">
        <v>0.73357175603164915</v>
      </c>
      <c r="D244" s="26">
        <v>0.76019494865296011</v>
      </c>
      <c r="E244" s="42"/>
      <c r="F244" s="42"/>
      <c r="G244" s="42"/>
      <c r="H244" s="42"/>
      <c r="I244" s="42"/>
      <c r="J244" s="42"/>
    </row>
    <row r="245" spans="2:10" x14ac:dyDescent="0.35">
      <c r="B245" s="87" t="s">
        <v>189</v>
      </c>
      <c r="C245" s="26">
        <v>0.68434831953436015</v>
      </c>
      <c r="D245" s="26">
        <v>0.7587065950577615</v>
      </c>
      <c r="E245" s="42"/>
      <c r="F245" s="42"/>
      <c r="G245" s="42"/>
      <c r="H245" s="42"/>
      <c r="I245" s="42"/>
      <c r="J245" s="42"/>
    </row>
    <row r="246" spans="2:10" x14ac:dyDescent="0.35">
      <c r="B246" s="87" t="s">
        <v>190</v>
      </c>
      <c r="C246" s="26">
        <v>0.68082722964364295</v>
      </c>
      <c r="D246" s="26">
        <v>0.74580905287282862</v>
      </c>
      <c r="E246" s="42"/>
      <c r="F246" s="42"/>
      <c r="G246" s="42"/>
      <c r="H246" s="42"/>
      <c r="I246" s="42"/>
      <c r="J246" s="42"/>
    </row>
    <row r="247" spans="2:10" x14ac:dyDescent="0.35">
      <c r="B247" s="87" t="s">
        <v>191</v>
      </c>
      <c r="C247" s="26">
        <v>0.67171120699925624</v>
      </c>
      <c r="D247" s="26">
        <v>0.74411944173974554</v>
      </c>
      <c r="E247" s="42"/>
      <c r="F247" s="42"/>
      <c r="G247" s="42"/>
      <c r="H247" s="42"/>
      <c r="I247" s="42"/>
      <c r="J247" s="42"/>
    </row>
    <row r="248" spans="2:10" x14ac:dyDescent="0.35">
      <c r="B248" s="87" t="s">
        <v>192</v>
      </c>
      <c r="C248" s="26">
        <v>0.64148408197439166</v>
      </c>
      <c r="D248" s="26">
        <v>0.73840323091201299</v>
      </c>
      <c r="E248" s="42"/>
      <c r="F248" s="42"/>
      <c r="G248" s="42"/>
      <c r="H248" s="42"/>
      <c r="I248" s="42"/>
      <c r="J248" s="42"/>
    </row>
    <row r="249" spans="2:10" x14ac:dyDescent="0.35">
      <c r="B249" s="87" t="s">
        <v>193</v>
      </c>
      <c r="C249" s="26">
        <v>0.65364110139531117</v>
      </c>
      <c r="D249" s="26">
        <v>0.73777452556097711</v>
      </c>
      <c r="E249" s="42"/>
      <c r="F249" s="42"/>
      <c r="G249" s="42"/>
      <c r="H249" s="42"/>
      <c r="I249" s="42"/>
      <c r="J249" s="42"/>
    </row>
    <row r="250" spans="2:10" x14ac:dyDescent="0.35">
      <c r="B250" s="87" t="s">
        <v>194</v>
      </c>
      <c r="C250" s="26">
        <v>0.68227530303236061</v>
      </c>
      <c r="D250" s="26">
        <v>0.7367890427784699</v>
      </c>
      <c r="E250" s="42"/>
      <c r="F250" s="42"/>
      <c r="G250" s="42"/>
      <c r="H250" s="42"/>
      <c r="I250" s="42"/>
      <c r="J250" s="42"/>
    </row>
    <row r="251" spans="2:10" x14ac:dyDescent="0.35">
      <c r="B251" s="87" t="s">
        <v>195</v>
      </c>
      <c r="C251" s="26">
        <v>0.70692112280447816</v>
      </c>
      <c r="D251" s="26">
        <v>0.73625550713511367</v>
      </c>
      <c r="E251" s="42"/>
      <c r="F251" s="42"/>
      <c r="G251" s="42"/>
      <c r="H251" s="42"/>
      <c r="I251" s="42"/>
      <c r="J251" s="42"/>
    </row>
    <row r="252" spans="2:10" x14ac:dyDescent="0.35">
      <c r="B252" s="87" t="s">
        <v>196</v>
      </c>
      <c r="C252" s="26">
        <v>0.64645987748810352</v>
      </c>
      <c r="D252" s="26">
        <v>0.72072150045649885</v>
      </c>
      <c r="E252" s="42"/>
      <c r="F252" s="42"/>
      <c r="G252" s="42"/>
      <c r="H252" s="42"/>
      <c r="I252" s="42"/>
      <c r="J252" s="42"/>
    </row>
    <row r="253" spans="2:10" x14ac:dyDescent="0.35">
      <c r="B253" s="87" t="s">
        <v>197</v>
      </c>
      <c r="C253" s="26">
        <v>0.62613807035788827</v>
      </c>
      <c r="D253" s="26">
        <v>0.69887623410162092</v>
      </c>
      <c r="E253" s="42"/>
      <c r="F253" s="42"/>
      <c r="G253" s="42"/>
      <c r="H253" s="42"/>
      <c r="I253" s="42"/>
      <c r="J253" s="42"/>
    </row>
    <row r="254" spans="2:10" x14ac:dyDescent="0.35">
      <c r="B254" s="41"/>
      <c r="C254" s="51"/>
      <c r="D254" s="51"/>
      <c r="E254" s="42"/>
      <c r="F254" s="42"/>
      <c r="G254" s="42"/>
      <c r="H254" s="42"/>
      <c r="I254" s="42"/>
      <c r="J254" s="42"/>
    </row>
    <row r="255" spans="2:10" x14ac:dyDescent="0.35">
      <c r="B255" s="81" t="s">
        <v>31</v>
      </c>
      <c r="C255" s="51"/>
      <c r="D255" s="51"/>
      <c r="E255" s="42"/>
      <c r="F255" s="42"/>
      <c r="G255" s="42"/>
      <c r="H255" s="42"/>
      <c r="I255" s="42"/>
      <c r="J255" s="42"/>
    </row>
    <row r="256" spans="2:10" ht="27.5" x14ac:dyDescent="0.35">
      <c r="B256" s="28" t="s">
        <v>156</v>
      </c>
      <c r="C256" s="1" t="s">
        <v>112</v>
      </c>
      <c r="D256" s="1" t="s">
        <v>113</v>
      </c>
      <c r="E256" s="42"/>
      <c r="F256" s="42"/>
      <c r="G256" s="42"/>
      <c r="H256" s="42"/>
      <c r="I256" s="42"/>
      <c r="J256" s="42"/>
    </row>
    <row r="257" spans="2:10" x14ac:dyDescent="0.35">
      <c r="B257" s="76" t="s">
        <v>182</v>
      </c>
      <c r="C257" s="111">
        <v>0.91932486894892895</v>
      </c>
      <c r="D257" s="111">
        <v>0.95269312569685727</v>
      </c>
      <c r="E257" s="42"/>
      <c r="F257" s="42"/>
      <c r="G257" s="42"/>
      <c r="H257" s="42"/>
      <c r="I257" s="42"/>
      <c r="J257" s="42"/>
    </row>
    <row r="258" spans="2:10" x14ac:dyDescent="0.35">
      <c r="B258" s="76" t="s">
        <v>198</v>
      </c>
      <c r="C258" s="111">
        <v>0.82592766118529448</v>
      </c>
      <c r="D258" s="111">
        <v>0.89618586181086168</v>
      </c>
      <c r="E258" s="42"/>
      <c r="F258" s="42"/>
      <c r="G258" s="42"/>
      <c r="H258" s="42"/>
      <c r="I258" s="42"/>
      <c r="J258" s="42"/>
    </row>
    <row r="259" spans="2:10" x14ac:dyDescent="0.35">
      <c r="B259" s="76" t="s">
        <v>199</v>
      </c>
      <c r="C259" s="111">
        <v>0.81790816858177529</v>
      </c>
      <c r="D259" s="111">
        <v>0.88372843502689125</v>
      </c>
      <c r="E259" s="42"/>
      <c r="F259" s="42"/>
      <c r="G259" s="42"/>
      <c r="H259" s="42"/>
      <c r="I259" s="42"/>
      <c r="J259" s="42"/>
    </row>
    <row r="260" spans="2:10" x14ac:dyDescent="0.35">
      <c r="B260" s="76" t="s">
        <v>200</v>
      </c>
      <c r="C260" s="111">
        <v>0.79580856685831769</v>
      </c>
      <c r="D260" s="111">
        <v>0.87454639578818738</v>
      </c>
      <c r="E260" s="42"/>
      <c r="F260" s="42"/>
      <c r="G260" s="42"/>
      <c r="H260" s="42"/>
      <c r="I260" s="42"/>
      <c r="J260" s="42"/>
    </row>
    <row r="261" spans="2:10" x14ac:dyDescent="0.35">
      <c r="B261" s="76" t="s">
        <v>201</v>
      </c>
      <c r="C261" s="111">
        <v>0.78741332218158522</v>
      </c>
      <c r="D261" s="111">
        <v>0.8648074709058764</v>
      </c>
      <c r="E261" s="42"/>
      <c r="F261" s="42"/>
      <c r="G261" s="42"/>
      <c r="H261" s="42"/>
      <c r="I261" s="42"/>
      <c r="J261" s="42"/>
    </row>
    <row r="262" spans="2:10" x14ac:dyDescent="0.35">
      <c r="B262" s="76" t="s">
        <v>202</v>
      </c>
      <c r="C262" s="111">
        <v>0.80308004331626304</v>
      </c>
      <c r="D262" s="111">
        <v>0.86387316747118259</v>
      </c>
      <c r="E262" s="42"/>
      <c r="F262" s="42"/>
      <c r="G262" s="42"/>
      <c r="H262" s="42"/>
      <c r="I262" s="42"/>
      <c r="J262" s="42"/>
    </row>
    <row r="263" spans="2:10" x14ac:dyDescent="0.35">
      <c r="B263" s="76" t="s">
        <v>203</v>
      </c>
      <c r="C263" s="111">
        <v>0.77060485455150951</v>
      </c>
      <c r="D263" s="111">
        <v>0.85159943678928451</v>
      </c>
      <c r="E263" s="42"/>
      <c r="F263" s="42"/>
      <c r="G263" s="42"/>
      <c r="H263" s="42"/>
      <c r="I263" s="42"/>
      <c r="J263" s="42"/>
    </row>
    <row r="264" spans="2:10" x14ac:dyDescent="0.35">
      <c r="B264" s="76" t="s">
        <v>204</v>
      </c>
      <c r="C264" s="111">
        <v>0.75805369033217174</v>
      </c>
      <c r="D264" s="111">
        <v>0.8449341474623504</v>
      </c>
      <c r="E264" s="42"/>
      <c r="F264" s="42"/>
      <c r="G264" s="42"/>
      <c r="H264" s="42"/>
      <c r="I264" s="42"/>
      <c r="J264" s="42"/>
    </row>
    <row r="265" spans="2:10" x14ac:dyDescent="0.35">
      <c r="B265" s="76" t="s">
        <v>185</v>
      </c>
      <c r="C265" s="111">
        <v>0.80257174983533874</v>
      </c>
      <c r="D265" s="111">
        <v>0.84266736412220888</v>
      </c>
      <c r="E265" s="42"/>
      <c r="F265" s="42"/>
      <c r="G265" s="42"/>
      <c r="H265" s="42"/>
      <c r="I265" s="42"/>
      <c r="J265" s="42"/>
    </row>
    <row r="266" spans="2:10" x14ac:dyDescent="0.35">
      <c r="B266" s="76" t="s">
        <v>205</v>
      </c>
      <c r="C266" s="111">
        <v>0.80721550408286813</v>
      </c>
      <c r="D266" s="111">
        <v>0.83621808368375494</v>
      </c>
      <c r="E266" s="42"/>
      <c r="F266" s="42"/>
      <c r="G266" s="42"/>
      <c r="H266" s="42"/>
      <c r="I266" s="42"/>
      <c r="J266" s="42"/>
    </row>
    <row r="267" spans="2:10" x14ac:dyDescent="0.35">
      <c r="B267" s="41"/>
      <c r="C267" s="51"/>
      <c r="D267" s="51"/>
      <c r="E267" s="42"/>
      <c r="F267" s="42"/>
      <c r="G267" s="42"/>
      <c r="H267" s="42"/>
      <c r="I267" s="42"/>
      <c r="J267" s="42"/>
    </row>
    <row r="268" spans="2:10" x14ac:dyDescent="0.35">
      <c r="B268" s="81" t="s">
        <v>32</v>
      </c>
      <c r="C268" s="51"/>
      <c r="D268" s="51"/>
      <c r="E268" s="42"/>
      <c r="F268" s="42"/>
      <c r="G268" s="42"/>
      <c r="H268" s="42"/>
      <c r="I268" s="42"/>
      <c r="J268" s="42"/>
    </row>
    <row r="269" spans="2:10" ht="27.5" x14ac:dyDescent="0.35">
      <c r="B269" s="28" t="s">
        <v>156</v>
      </c>
      <c r="C269" s="1" t="s">
        <v>112</v>
      </c>
      <c r="D269" s="1" t="s">
        <v>113</v>
      </c>
      <c r="E269" s="42"/>
      <c r="F269" s="42"/>
      <c r="G269" s="42"/>
      <c r="H269" s="42"/>
      <c r="I269" s="42"/>
      <c r="J269" s="42"/>
    </row>
    <row r="270" spans="2:10" x14ac:dyDescent="0.35">
      <c r="B270" s="87" t="s">
        <v>189</v>
      </c>
      <c r="C270" s="26">
        <v>0.73697831358609456</v>
      </c>
      <c r="D270" s="26">
        <v>0.79185324035891069</v>
      </c>
      <c r="E270" s="42"/>
      <c r="F270" s="42"/>
      <c r="G270" s="42"/>
      <c r="H270" s="42"/>
      <c r="I270" s="42"/>
      <c r="J270" s="42"/>
    </row>
    <row r="271" spans="2:10" x14ac:dyDescent="0.35">
      <c r="B271" s="87" t="s">
        <v>206</v>
      </c>
      <c r="C271" s="26">
        <v>0.68087860914751908</v>
      </c>
      <c r="D271" s="26">
        <v>0.79149362877360219</v>
      </c>
      <c r="E271" s="42"/>
      <c r="F271" s="42"/>
      <c r="G271" s="42"/>
      <c r="H271" s="42"/>
      <c r="I271" s="42"/>
      <c r="J271" s="42"/>
    </row>
    <row r="272" spans="2:10" x14ac:dyDescent="0.35">
      <c r="B272" s="87" t="s">
        <v>207</v>
      </c>
      <c r="C272" s="26">
        <v>0.75736948316717567</v>
      </c>
      <c r="D272" s="26">
        <v>0.77888476366204085</v>
      </c>
      <c r="E272" s="42"/>
      <c r="F272" s="42"/>
      <c r="G272" s="42"/>
      <c r="H272" s="42"/>
      <c r="I272" s="42"/>
      <c r="J272" s="42"/>
    </row>
    <row r="273" spans="2:10" x14ac:dyDescent="0.35">
      <c r="B273" s="87" t="s">
        <v>208</v>
      </c>
      <c r="C273" s="26">
        <v>0.70850482809400239</v>
      </c>
      <c r="D273" s="26">
        <v>0.77228422621199744</v>
      </c>
      <c r="E273" s="42"/>
      <c r="F273" s="42"/>
      <c r="G273" s="42"/>
      <c r="H273" s="42"/>
      <c r="I273" s="42"/>
      <c r="J273" s="42"/>
    </row>
    <row r="274" spans="2:10" x14ac:dyDescent="0.35">
      <c r="B274" s="87" t="s">
        <v>192</v>
      </c>
      <c r="C274" s="26">
        <v>0.70796701316578947</v>
      </c>
      <c r="D274" s="26">
        <v>0.76113647154566733</v>
      </c>
      <c r="E274" s="42"/>
      <c r="F274" s="42"/>
      <c r="G274" s="42"/>
      <c r="H274" s="42"/>
      <c r="I274" s="42"/>
      <c r="J274" s="42"/>
    </row>
    <row r="275" spans="2:10" x14ac:dyDescent="0.35">
      <c r="B275" s="87" t="s">
        <v>209</v>
      </c>
      <c r="C275" s="26">
        <v>0.65860051613169635</v>
      </c>
      <c r="D275" s="26">
        <v>0.75376280563674225</v>
      </c>
      <c r="E275" s="42"/>
      <c r="F275" s="42"/>
      <c r="G275" s="42"/>
      <c r="H275" s="42"/>
      <c r="I275" s="42"/>
      <c r="J275" s="42"/>
    </row>
    <row r="276" spans="2:10" x14ac:dyDescent="0.35">
      <c r="B276" s="87" t="s">
        <v>210</v>
      </c>
      <c r="C276" s="26">
        <v>0.71740479646139987</v>
      </c>
      <c r="D276" s="26">
        <v>0.74872727008897533</v>
      </c>
      <c r="E276" s="42"/>
      <c r="F276" s="42"/>
      <c r="G276" s="42"/>
      <c r="H276" s="42"/>
      <c r="I276" s="42"/>
      <c r="J276" s="42"/>
    </row>
    <row r="277" spans="2:10" x14ac:dyDescent="0.35">
      <c r="B277" s="87" t="s">
        <v>193</v>
      </c>
      <c r="C277" s="26">
        <v>0.68955516870326194</v>
      </c>
      <c r="D277" s="26">
        <v>0.74178884554116553</v>
      </c>
      <c r="E277" s="42"/>
      <c r="F277" s="42"/>
      <c r="G277" s="42"/>
      <c r="H277" s="42"/>
      <c r="I277" s="42"/>
      <c r="J277" s="42"/>
    </row>
    <row r="278" spans="2:10" x14ac:dyDescent="0.35">
      <c r="B278" s="87" t="s">
        <v>194</v>
      </c>
      <c r="C278" s="26">
        <v>0.66521491538665067</v>
      </c>
      <c r="D278" s="26">
        <v>0.73782573408360863</v>
      </c>
      <c r="E278" s="42"/>
      <c r="F278" s="42"/>
      <c r="G278" s="42"/>
      <c r="H278" s="42"/>
      <c r="I278" s="42"/>
      <c r="J278" s="42"/>
    </row>
    <row r="279" spans="2:10" x14ac:dyDescent="0.35">
      <c r="B279" s="87" t="s">
        <v>195</v>
      </c>
      <c r="C279" s="26">
        <v>0.70713923733664852</v>
      </c>
      <c r="D279" s="26">
        <v>0.72129317043082841</v>
      </c>
      <c r="E279" s="42"/>
      <c r="F279" s="42"/>
      <c r="G279" s="42"/>
      <c r="H279" s="42"/>
      <c r="I279" s="42"/>
      <c r="J279" s="42"/>
    </row>
    <row r="280" spans="2:10" x14ac:dyDescent="0.35">
      <c r="B280" s="41"/>
      <c r="C280" s="42"/>
      <c r="D280" s="42"/>
      <c r="E280" s="42"/>
      <c r="F280" s="42"/>
      <c r="G280" s="42"/>
      <c r="H280" s="42"/>
      <c r="I280" s="42"/>
      <c r="J280" s="42"/>
    </row>
    <row r="281" spans="2:10" ht="16.5" x14ac:dyDescent="0.35">
      <c r="B281" s="81" t="s">
        <v>211</v>
      </c>
      <c r="C281" s="42"/>
      <c r="D281" s="42"/>
      <c r="E281" s="42"/>
      <c r="F281" s="42"/>
      <c r="G281" s="42"/>
      <c r="H281" s="42"/>
      <c r="I281" s="42"/>
      <c r="J281" s="42"/>
    </row>
    <row r="282" spans="2:10" ht="26" x14ac:dyDescent="0.35">
      <c r="B282" s="28" t="s">
        <v>212</v>
      </c>
      <c r="C282" s="1" t="s">
        <v>213</v>
      </c>
      <c r="D282" s="1" t="s">
        <v>214</v>
      </c>
      <c r="E282" s="1" t="s">
        <v>215</v>
      </c>
      <c r="F282" s="1" t="s">
        <v>216</v>
      </c>
      <c r="G282" s="1" t="s">
        <v>217</v>
      </c>
      <c r="H282" s="1" t="s">
        <v>218</v>
      </c>
      <c r="I282" s="42"/>
      <c r="J282" s="42"/>
    </row>
    <row r="283" spans="2:10" x14ac:dyDescent="0.35">
      <c r="B283" s="87" t="s">
        <v>219</v>
      </c>
      <c r="C283" s="100">
        <v>0.89586372190560726</v>
      </c>
      <c r="D283" s="100">
        <v>0.92154825917812089</v>
      </c>
      <c r="E283" s="100">
        <v>0.81129144792886165</v>
      </c>
      <c r="F283" s="100">
        <v>0.89210327665146205</v>
      </c>
      <c r="G283" s="100">
        <v>0.85340844036928065</v>
      </c>
      <c r="H283" s="100">
        <v>0.90595589170953994</v>
      </c>
      <c r="I283" s="42"/>
      <c r="J283" s="42"/>
    </row>
    <row r="284" spans="2:10" x14ac:dyDescent="0.35">
      <c r="B284" s="87" t="s">
        <v>220</v>
      </c>
      <c r="C284" s="100">
        <v>0.75453440010749506</v>
      </c>
      <c r="D284" s="100">
        <v>0.86721665753186961</v>
      </c>
      <c r="E284" s="100">
        <v>0.74365595098336701</v>
      </c>
      <c r="F284" s="100">
        <v>0.86181735240223301</v>
      </c>
      <c r="G284" s="100">
        <v>0.75014162255420047</v>
      </c>
      <c r="H284" s="100">
        <v>0.86493315646078828</v>
      </c>
      <c r="I284" s="42"/>
      <c r="J284" s="42"/>
    </row>
    <row r="285" spans="2:10" x14ac:dyDescent="0.35">
      <c r="B285" s="87" t="s">
        <v>163</v>
      </c>
      <c r="C285" s="100">
        <v>0.91719189403362444</v>
      </c>
      <c r="D285" s="100">
        <v>0.94333767284802972</v>
      </c>
      <c r="E285" s="100">
        <v>0.8803714242117765</v>
      </c>
      <c r="F285" s="100">
        <v>0.90325226112844548</v>
      </c>
      <c r="G285" s="100">
        <v>0.91089500080479135</v>
      </c>
      <c r="H285" s="100">
        <v>0.93658990615461912</v>
      </c>
      <c r="I285" s="42"/>
      <c r="J285" s="42"/>
    </row>
    <row r="286" spans="2:10" x14ac:dyDescent="0.35">
      <c r="B286" s="87" t="s">
        <v>162</v>
      </c>
      <c r="C286" s="100">
        <v>0.90776015706592805</v>
      </c>
      <c r="D286" s="100">
        <v>0.93831882535167899</v>
      </c>
      <c r="E286" s="100">
        <v>0.78780332056194124</v>
      </c>
      <c r="F286" s="100">
        <v>0.84894466598900109</v>
      </c>
      <c r="G286" s="100">
        <v>0.9072742559560385</v>
      </c>
      <c r="H286" s="100">
        <v>0.93795419232499155</v>
      </c>
      <c r="I286" s="42"/>
      <c r="J286" s="42"/>
    </row>
    <row r="287" spans="2:10" x14ac:dyDescent="0.35">
      <c r="B287" s="87" t="s">
        <v>159</v>
      </c>
      <c r="C287" s="100">
        <v>0.92940279737204268</v>
      </c>
      <c r="D287" s="100">
        <v>0.94851069017843814</v>
      </c>
      <c r="E287" s="100">
        <v>0.90903300110039398</v>
      </c>
      <c r="F287" s="100">
        <v>0.91502758532127604</v>
      </c>
      <c r="G287" s="100">
        <v>0.92823566309918093</v>
      </c>
      <c r="H287" s="100">
        <v>0.94674119803183776</v>
      </c>
      <c r="I287" s="42"/>
      <c r="J287" s="42"/>
    </row>
    <row r="288" spans="2:10" x14ac:dyDescent="0.35">
      <c r="B288" s="87" t="s">
        <v>221</v>
      </c>
      <c r="C288" s="100">
        <v>0.91872925873449884</v>
      </c>
      <c r="D288" s="100">
        <v>0.94682238930828744</v>
      </c>
      <c r="E288" s="100">
        <v>0.87315245595806901</v>
      </c>
      <c r="F288" s="100">
        <v>0.9132755414530066</v>
      </c>
      <c r="G288" s="100">
        <v>0.88681065092690259</v>
      </c>
      <c r="H288" s="100">
        <v>0.92314799704186845</v>
      </c>
      <c r="I288" s="42"/>
      <c r="J288" s="42"/>
    </row>
    <row r="289" spans="2:10" x14ac:dyDescent="0.35">
      <c r="B289" s="87" t="s">
        <v>222</v>
      </c>
      <c r="C289" s="100">
        <v>0.81910958359822006</v>
      </c>
      <c r="D289" s="100">
        <v>0.85028900239345562</v>
      </c>
      <c r="E289" s="100">
        <v>0.68810810035777137</v>
      </c>
      <c r="F289" s="100">
        <v>0.85004545461352643</v>
      </c>
      <c r="G289" s="100">
        <v>0.74353180480565351</v>
      </c>
      <c r="H289" s="100">
        <v>0.85014217214753129</v>
      </c>
      <c r="I289" s="42"/>
      <c r="J289" s="42"/>
    </row>
    <row r="290" spans="2:10" x14ac:dyDescent="0.35">
      <c r="B290" s="87" t="s">
        <v>223</v>
      </c>
      <c r="C290" s="100">
        <v>0.87381968268263799</v>
      </c>
      <c r="D290" s="100">
        <v>0.91692138233398179</v>
      </c>
      <c r="E290" s="100">
        <v>0.80548564072801099</v>
      </c>
      <c r="F290" s="100">
        <v>0.87093312958847047</v>
      </c>
      <c r="G290" s="100">
        <v>0.83532631814001534</v>
      </c>
      <c r="H290" s="100">
        <v>0.89054100253028678</v>
      </c>
      <c r="I290" s="42"/>
      <c r="J290" s="42"/>
    </row>
    <row r="291" spans="2:10" x14ac:dyDescent="0.35">
      <c r="B291" s="87" t="s">
        <v>224</v>
      </c>
      <c r="C291" s="100">
        <v>0.8751527724736321</v>
      </c>
      <c r="D291" s="100">
        <v>0.90500800313826391</v>
      </c>
      <c r="E291" s="100">
        <v>0.84997833262222344</v>
      </c>
      <c r="F291" s="100">
        <v>0.87476191238664991</v>
      </c>
      <c r="G291" s="100">
        <v>0.86677059056188765</v>
      </c>
      <c r="H291" s="100">
        <v>0.89464327479180283</v>
      </c>
      <c r="I291" s="42"/>
      <c r="J291" s="42"/>
    </row>
    <row r="292" spans="2:10" x14ac:dyDescent="0.35">
      <c r="B292" s="87" t="s">
        <v>225</v>
      </c>
      <c r="C292" s="100">
        <v>0.87098997774169262</v>
      </c>
      <c r="D292" s="100">
        <v>0.91191319437695673</v>
      </c>
      <c r="E292" s="100">
        <v>0.81007986228036744</v>
      </c>
      <c r="F292" s="100">
        <v>0.87421822648317271</v>
      </c>
      <c r="G292" s="100">
        <v>0.85041644846611641</v>
      </c>
      <c r="H292" s="100">
        <v>0.89997943202954267</v>
      </c>
      <c r="I292" s="42"/>
      <c r="J292" s="42"/>
    </row>
    <row r="293" spans="2:10" x14ac:dyDescent="0.35">
      <c r="B293" s="87" t="s">
        <v>226</v>
      </c>
      <c r="C293" s="100">
        <v>0.76991431184575876</v>
      </c>
      <c r="D293" s="100">
        <v>0.85923143485585496</v>
      </c>
      <c r="E293" s="100">
        <v>0.75022150364223594</v>
      </c>
      <c r="F293" s="100">
        <v>0.83911544591136811</v>
      </c>
      <c r="G293" s="100">
        <v>0.75981818010373581</v>
      </c>
      <c r="H293" s="100">
        <v>0.84848823951018981</v>
      </c>
      <c r="I293" s="42"/>
      <c r="J293" s="42"/>
    </row>
    <row r="294" spans="2:10" x14ac:dyDescent="0.35">
      <c r="B294" s="29" t="s">
        <v>83</v>
      </c>
      <c r="C294" s="101">
        <v>0.89627829589055996</v>
      </c>
      <c r="D294" s="101">
        <v>0.92651937953201924</v>
      </c>
      <c r="E294" s="101">
        <v>0.83675546973198545</v>
      </c>
      <c r="F294" s="101">
        <v>0.88501213177692828</v>
      </c>
      <c r="G294" s="101">
        <v>0.87829363100588675</v>
      </c>
      <c r="H294" s="101">
        <v>0.91319745357310278</v>
      </c>
      <c r="I294" s="129"/>
      <c r="J294" s="42"/>
    </row>
    <row r="295" spans="2:10" x14ac:dyDescent="0.35">
      <c r="B295" s="80" t="s">
        <v>227</v>
      </c>
      <c r="C295" s="42"/>
      <c r="D295" s="42"/>
      <c r="E295" s="82"/>
      <c r="F295" s="42"/>
      <c r="G295" s="42"/>
      <c r="H295" s="42"/>
      <c r="I295" s="42"/>
      <c r="J295" s="42"/>
    </row>
    <row r="296" spans="2:10" x14ac:dyDescent="0.35">
      <c r="B296" s="41"/>
      <c r="C296" s="42"/>
      <c r="D296" s="42"/>
      <c r="E296" s="42"/>
      <c r="F296" s="42"/>
      <c r="G296" s="42"/>
      <c r="H296" s="42"/>
      <c r="I296" s="42"/>
      <c r="J296" s="42"/>
    </row>
    <row r="297" spans="2:10" x14ac:dyDescent="0.35">
      <c r="B297" s="99" t="s">
        <v>34</v>
      </c>
      <c r="C297" s="42"/>
      <c r="D297" s="42"/>
      <c r="E297" s="42"/>
      <c r="F297" s="42"/>
      <c r="G297" s="42"/>
      <c r="H297" s="42"/>
      <c r="I297" s="42"/>
      <c r="J297" s="42"/>
    </row>
    <row r="298" spans="2:10" x14ac:dyDescent="0.35">
      <c r="B298" s="44" t="s">
        <v>228</v>
      </c>
      <c r="C298" s="45" t="s">
        <v>80</v>
      </c>
      <c r="D298" s="45" t="s">
        <v>81</v>
      </c>
      <c r="E298" s="45" t="s">
        <v>229</v>
      </c>
      <c r="F298" s="45" t="s">
        <v>83</v>
      </c>
      <c r="G298" s="42"/>
      <c r="I298" s="42"/>
      <c r="J298" s="42"/>
    </row>
    <row r="299" spans="2:10" x14ac:dyDescent="0.35">
      <c r="B299" s="87" t="s">
        <v>230</v>
      </c>
      <c r="C299" s="71">
        <v>0.8092634542660615</v>
      </c>
      <c r="D299" s="71">
        <v>0.80478272697279141</v>
      </c>
      <c r="E299" s="71">
        <v>0.85289038577962406</v>
      </c>
      <c r="F299" s="71">
        <v>0.82792234538778819</v>
      </c>
      <c r="G299" s="42"/>
      <c r="H299" s="42"/>
      <c r="I299" s="42"/>
      <c r="J299" s="42"/>
    </row>
    <row r="300" spans="2:10" x14ac:dyDescent="0.35">
      <c r="B300" s="87" t="s">
        <v>231</v>
      </c>
      <c r="C300" s="71">
        <v>0.79657567048153388</v>
      </c>
      <c r="D300" s="71">
        <v>0.81113461895480266</v>
      </c>
      <c r="E300" s="71">
        <v>0.90119967514186372</v>
      </c>
      <c r="F300" s="71">
        <v>0.89060295643367404</v>
      </c>
      <c r="G300" s="42"/>
      <c r="H300" s="42"/>
      <c r="I300" s="42"/>
      <c r="J300" s="42"/>
    </row>
    <row r="301" spans="2:10" x14ac:dyDescent="0.35">
      <c r="B301" s="87" t="s">
        <v>232</v>
      </c>
      <c r="C301" s="71">
        <v>0.81776064063211595</v>
      </c>
      <c r="D301" s="71">
        <v>0.8167541091592817</v>
      </c>
      <c r="E301" s="71">
        <v>0.87260358871485522</v>
      </c>
      <c r="F301" s="71">
        <v>0.84990842161653168</v>
      </c>
      <c r="G301" s="42"/>
      <c r="H301" s="42"/>
      <c r="I301" s="42"/>
      <c r="J301" s="42"/>
    </row>
    <row r="302" spans="2:10" x14ac:dyDescent="0.35">
      <c r="B302" s="87" t="s">
        <v>233</v>
      </c>
      <c r="C302" s="71">
        <v>0.8303768089130249</v>
      </c>
      <c r="D302" s="71">
        <v>0.82071563345790344</v>
      </c>
      <c r="E302" s="71">
        <v>0.83993216852375396</v>
      </c>
      <c r="F302" s="71">
        <v>0.82850119598001437</v>
      </c>
      <c r="G302" s="42"/>
      <c r="H302" s="42"/>
      <c r="I302" s="42"/>
      <c r="J302" s="42"/>
    </row>
    <row r="303" spans="2:10" x14ac:dyDescent="0.35">
      <c r="B303" s="87" t="s">
        <v>234</v>
      </c>
      <c r="C303" s="71">
        <v>0.83330525409910128</v>
      </c>
      <c r="D303" s="71">
        <v>0.83857696974699913</v>
      </c>
      <c r="E303" s="71">
        <v>0.87147922809294665</v>
      </c>
      <c r="F303" s="71">
        <v>0.84404061416626619</v>
      </c>
      <c r="G303" s="42"/>
      <c r="H303" s="42"/>
      <c r="I303" s="42"/>
      <c r="J303" s="42"/>
    </row>
    <row r="304" spans="2:10" x14ac:dyDescent="0.35">
      <c r="B304" s="29" t="s">
        <v>83</v>
      </c>
      <c r="C304" s="74">
        <v>0.81616000700191216</v>
      </c>
      <c r="D304" s="74">
        <v>0.8161285964819267</v>
      </c>
      <c r="E304" s="74">
        <v>0.87189309894302025</v>
      </c>
      <c r="F304" s="74">
        <v>0.84661195316621396</v>
      </c>
      <c r="G304" s="42"/>
      <c r="H304" s="42"/>
      <c r="I304" s="42"/>
      <c r="J304" s="42"/>
    </row>
    <row r="305" spans="2:10" x14ac:dyDescent="0.35">
      <c r="B305" s="80" t="s">
        <v>235</v>
      </c>
      <c r="C305" s="42"/>
      <c r="D305" s="42"/>
      <c r="E305" s="42"/>
      <c r="F305" s="42"/>
      <c r="G305" s="42"/>
      <c r="H305" s="42"/>
      <c r="I305" s="42"/>
      <c r="J305" s="42"/>
    </row>
    <row r="306" spans="2:10" x14ac:dyDescent="0.35">
      <c r="B306" s="41"/>
      <c r="C306" s="42"/>
      <c r="D306" s="42"/>
      <c r="E306" s="42"/>
      <c r="F306" s="42"/>
      <c r="G306" s="42"/>
      <c r="H306" s="42"/>
      <c r="I306" s="42"/>
      <c r="J306" s="42"/>
    </row>
    <row r="307" spans="2:10" x14ac:dyDescent="0.35">
      <c r="B307" s="99" t="s">
        <v>35</v>
      </c>
      <c r="C307" s="42"/>
      <c r="D307" s="42"/>
      <c r="E307" s="42"/>
      <c r="F307" s="42"/>
      <c r="G307" s="42"/>
    </row>
    <row r="308" spans="2:10" x14ac:dyDescent="0.35">
      <c r="B308" s="44" t="s">
        <v>228</v>
      </c>
      <c r="C308" s="45" t="s">
        <v>80</v>
      </c>
      <c r="D308" s="45" t="s">
        <v>81</v>
      </c>
      <c r="E308" s="45" t="s">
        <v>229</v>
      </c>
      <c r="F308" s="45" t="s">
        <v>83</v>
      </c>
      <c r="G308" s="42"/>
    </row>
    <row r="309" spans="2:10" x14ac:dyDescent="0.35">
      <c r="B309" s="87" t="s">
        <v>236</v>
      </c>
      <c r="C309" s="71">
        <v>0.81291596361976182</v>
      </c>
      <c r="D309" s="71">
        <v>0.80698829469068922</v>
      </c>
      <c r="E309" s="71">
        <v>0.85599432972680523</v>
      </c>
      <c r="F309" s="71">
        <v>0.83062072397111886</v>
      </c>
      <c r="G309" s="42"/>
    </row>
    <row r="310" spans="2:10" x14ac:dyDescent="0.35">
      <c r="B310" s="87" t="s">
        <v>231</v>
      </c>
      <c r="C310" s="71">
        <v>0.79657567048153388</v>
      </c>
      <c r="D310" s="71">
        <v>0.81113461895480266</v>
      </c>
      <c r="E310" s="71">
        <v>0.90119967514186372</v>
      </c>
      <c r="F310" s="71">
        <v>0.89060295643367404</v>
      </c>
      <c r="G310" s="42"/>
    </row>
    <row r="311" spans="2:10" x14ac:dyDescent="0.35">
      <c r="B311" s="87" t="s">
        <v>232</v>
      </c>
      <c r="C311" s="71">
        <v>0.81776064063211595</v>
      </c>
      <c r="D311" s="71">
        <v>0.8167541091592817</v>
      </c>
      <c r="E311" s="71">
        <v>0.87260358871485522</v>
      </c>
      <c r="F311" s="71">
        <v>0.84990842161653168</v>
      </c>
      <c r="G311" s="42"/>
    </row>
    <row r="312" spans="2:10" x14ac:dyDescent="0.35">
      <c r="B312" s="87" t="s">
        <v>233</v>
      </c>
      <c r="C312" s="71">
        <v>0.8303768089130249</v>
      </c>
      <c r="D312" s="71">
        <v>0.82071563345790344</v>
      </c>
      <c r="E312" s="71">
        <v>0.83993216852375396</v>
      </c>
      <c r="F312" s="71">
        <v>0.82850119598001437</v>
      </c>
      <c r="G312" s="42"/>
    </row>
    <row r="313" spans="2:10" x14ac:dyDescent="0.35">
      <c r="B313" s="87" t="s">
        <v>237</v>
      </c>
      <c r="C313" s="71">
        <v>0.76815861390146045</v>
      </c>
      <c r="D313" s="71">
        <v>0.76462963521297345</v>
      </c>
      <c r="E313" s="71">
        <v>0.81349881200677987</v>
      </c>
      <c r="F313" s="71">
        <v>0.79022224662151397</v>
      </c>
      <c r="G313" s="42"/>
    </row>
    <row r="314" spans="2:10" x14ac:dyDescent="0.35">
      <c r="B314" s="87" t="s">
        <v>234</v>
      </c>
      <c r="C314" s="71">
        <v>0.83330525409910128</v>
      </c>
      <c r="D314" s="71">
        <v>0.83857696974699913</v>
      </c>
      <c r="E314" s="71">
        <v>0.87147922809294665</v>
      </c>
      <c r="F314" s="71">
        <v>0.84404061416626619</v>
      </c>
      <c r="G314" s="42"/>
    </row>
    <row r="315" spans="2:10" x14ac:dyDescent="0.35">
      <c r="B315" s="29" t="s">
        <v>83</v>
      </c>
      <c r="C315" s="74">
        <v>0.81616000700191216</v>
      </c>
      <c r="D315" s="74">
        <v>0.8161285964819267</v>
      </c>
      <c r="E315" s="74">
        <v>0.87189309894302025</v>
      </c>
      <c r="F315" s="74">
        <v>0.84661195316621396</v>
      </c>
      <c r="G315" s="42"/>
    </row>
    <row r="316" spans="2:10" x14ac:dyDescent="0.35">
      <c r="B316" s="2"/>
      <c r="C316" s="53"/>
      <c r="D316" s="53"/>
      <c r="E316" s="7"/>
      <c r="F316" s="7"/>
    </row>
    <row r="317" spans="2:10" x14ac:dyDescent="0.35">
      <c r="B317" s="99" t="s">
        <v>36</v>
      </c>
      <c r="C317" s="53"/>
      <c r="D317" s="53"/>
      <c r="E317" s="7"/>
      <c r="F317" s="7"/>
    </row>
    <row r="318" spans="2:10" x14ac:dyDescent="0.35">
      <c r="B318" s="46" t="s">
        <v>238</v>
      </c>
      <c r="C318" s="45" t="s">
        <v>80</v>
      </c>
      <c r="D318" s="45" t="s">
        <v>81</v>
      </c>
      <c r="E318" s="45" t="s">
        <v>229</v>
      </c>
      <c r="F318" s="45" t="s">
        <v>83</v>
      </c>
    </row>
    <row r="319" spans="2:10" x14ac:dyDescent="0.35">
      <c r="B319" s="83" t="s">
        <v>239</v>
      </c>
      <c r="C319" s="71">
        <v>0.80587584941089652</v>
      </c>
      <c r="D319" s="71">
        <v>0.80877351864824043</v>
      </c>
      <c r="E319" s="71">
        <v>0.87726350528106245</v>
      </c>
      <c r="F319" s="71">
        <v>0.85415818424402579</v>
      </c>
    </row>
    <row r="320" spans="2:10" x14ac:dyDescent="0.35">
      <c r="B320" s="83" t="s">
        <v>240</v>
      </c>
      <c r="C320" s="71">
        <v>0.82487671068748691</v>
      </c>
      <c r="D320" s="71">
        <v>0.81711750815379613</v>
      </c>
      <c r="E320" s="71">
        <v>0.84202285950718525</v>
      </c>
      <c r="F320" s="71">
        <v>0.82672273066101121</v>
      </c>
    </row>
    <row r="321" spans="2:6" x14ac:dyDescent="0.35">
      <c r="B321" s="83" t="s">
        <v>234</v>
      </c>
      <c r="C321" s="71">
        <v>0.83330525409910128</v>
      </c>
      <c r="D321" s="71">
        <v>0.83857696974699913</v>
      </c>
      <c r="E321" s="71">
        <v>0.87147922809294665</v>
      </c>
      <c r="F321" s="71">
        <v>0.84404061416626619</v>
      </c>
    </row>
    <row r="322" spans="2:6" x14ac:dyDescent="0.35">
      <c r="B322" s="36" t="s">
        <v>83</v>
      </c>
      <c r="C322" s="54">
        <v>0.81616000700192137</v>
      </c>
      <c r="D322" s="54">
        <v>0.81612859648186697</v>
      </c>
      <c r="E322" s="55">
        <v>0.87189309894300304</v>
      </c>
      <c r="F322" s="55">
        <v>0.84661195316620885</v>
      </c>
    </row>
    <row r="323" spans="2:6" x14ac:dyDescent="0.35">
      <c r="B323" s="2"/>
      <c r="C323" s="52"/>
      <c r="D323" s="52"/>
      <c r="E323" s="2"/>
      <c r="F323" s="2"/>
    </row>
    <row r="324" spans="2:6" x14ac:dyDescent="0.35">
      <c r="B324" s="2"/>
      <c r="C324" s="52"/>
      <c r="D324" s="52"/>
      <c r="E324" s="2"/>
      <c r="F324" s="2"/>
    </row>
    <row r="325" spans="2:6" x14ac:dyDescent="0.35">
      <c r="B325" s="22" t="s">
        <v>98</v>
      </c>
      <c r="C325" s="52"/>
      <c r="D325" s="52"/>
      <c r="E325" s="2"/>
      <c r="F325" s="2"/>
    </row>
    <row r="326" spans="2:6" x14ac:dyDescent="0.35">
      <c r="B326" s="9" t="s">
        <v>99</v>
      </c>
      <c r="C326" s="52"/>
      <c r="D326" s="52"/>
      <c r="E326" s="2"/>
      <c r="F326" s="2"/>
    </row>
    <row r="327" spans="2:6" x14ac:dyDescent="0.35">
      <c r="B327" s="2"/>
      <c r="C327" s="52"/>
      <c r="D327" s="52"/>
      <c r="E327" s="2"/>
      <c r="F327" s="2"/>
    </row>
    <row r="328" spans="2:6" x14ac:dyDescent="0.35">
      <c r="B328" s="2"/>
      <c r="C328" s="2"/>
      <c r="D328" s="2"/>
      <c r="E328" s="2"/>
      <c r="F328" s="2"/>
    </row>
    <row r="329" spans="2:6" x14ac:dyDescent="0.35">
      <c r="B329" s="2"/>
      <c r="C329" s="2"/>
      <c r="D329" s="2"/>
      <c r="E329" s="2"/>
      <c r="F329" s="2"/>
    </row>
    <row r="330" spans="2:6" x14ac:dyDescent="0.35">
      <c r="B330" s="2"/>
      <c r="C330" s="2"/>
      <c r="D330" s="2"/>
      <c r="E330" s="2"/>
      <c r="F330" s="2"/>
    </row>
    <row r="331" spans="2:6" x14ac:dyDescent="0.35">
      <c r="B331" s="2"/>
      <c r="C331" s="2"/>
      <c r="D331" s="2"/>
      <c r="E331" s="2"/>
      <c r="F331" s="2"/>
    </row>
    <row r="332" spans="2:6" x14ac:dyDescent="0.35">
      <c r="B332" s="2"/>
      <c r="C332" s="2"/>
      <c r="D332" s="2"/>
      <c r="E332" s="2"/>
      <c r="F332" s="2"/>
    </row>
    <row r="333" spans="2:6" x14ac:dyDescent="0.35">
      <c r="B333" s="2"/>
      <c r="C333" s="2"/>
      <c r="D333" s="2"/>
      <c r="E333" s="2"/>
      <c r="F333" s="2"/>
    </row>
  </sheetData>
  <sortState xmlns:xlrd2="http://schemas.microsoft.com/office/spreadsheetml/2017/richdata2" ref="B283:H294">
    <sortCondition ref="B283:B294"/>
  </sortState>
  <phoneticPr fontId="15" type="noConversion"/>
  <hyperlinks>
    <hyperlink ref="B326" location="Índice!A1" display="Volver al índice" xr:uid="{00000000-0004-0000-01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271"/>
  <sheetViews>
    <sheetView showGridLines="0" zoomScale="90" zoomScaleNormal="90" workbookViewId="0">
      <pane ySplit="2" topLeftCell="A3" activePane="bottomLeft" state="frozen"/>
      <selection pane="bottomLeft" activeCell="F51" sqref="F51"/>
    </sheetView>
  </sheetViews>
  <sheetFormatPr baseColWidth="10" defaultColWidth="11.54296875" defaultRowHeight="14.5" x14ac:dyDescent="0.35"/>
  <cols>
    <col min="1" max="1" width="2.7265625" style="2" customWidth="1"/>
    <col min="2" max="2" width="37.7265625" style="4" customWidth="1"/>
    <col min="3" max="3" width="13.7265625" style="4" customWidth="1"/>
    <col min="4" max="14" width="13.7265625" style="2" customWidth="1"/>
    <col min="15" max="16384" width="11.54296875" style="2"/>
  </cols>
  <sheetData>
    <row r="1" spans="2:18" ht="21" x14ac:dyDescent="0.35">
      <c r="B1" s="96" t="s">
        <v>37</v>
      </c>
      <c r="C1" s="52"/>
      <c r="D1" s="52"/>
    </row>
    <row r="2" spans="2:18" ht="22.5" customHeight="1" x14ac:dyDescent="0.35">
      <c r="B2" s="2" t="s">
        <v>74</v>
      </c>
      <c r="C2" s="52"/>
      <c r="D2" s="52"/>
    </row>
    <row r="3" spans="2:18" x14ac:dyDescent="0.35">
      <c r="B3" s="52"/>
      <c r="C3" s="52"/>
      <c r="D3" s="52"/>
    </row>
    <row r="4" spans="2:18" x14ac:dyDescent="0.35">
      <c r="B4" s="89"/>
      <c r="C4" s="89"/>
      <c r="D4" s="52"/>
    </row>
    <row r="5" spans="2:18" x14ac:dyDescent="0.35">
      <c r="B5" s="81" t="s">
        <v>38</v>
      </c>
      <c r="C5" s="52"/>
      <c r="D5" s="52"/>
      <c r="E5" s="52"/>
      <c r="F5" s="52"/>
      <c r="G5" s="52"/>
      <c r="H5" s="52"/>
      <c r="I5" s="52"/>
      <c r="J5" s="52"/>
      <c r="K5" s="52"/>
      <c r="L5" s="52"/>
      <c r="M5" s="52"/>
      <c r="N5" s="52"/>
      <c r="O5" s="52"/>
      <c r="P5" s="52"/>
      <c r="Q5" s="52"/>
      <c r="R5" s="52"/>
    </row>
    <row r="6" spans="2:18" ht="30" customHeight="1" x14ac:dyDescent="0.35">
      <c r="B6" s="18" t="s">
        <v>75</v>
      </c>
      <c r="C6" s="70">
        <v>2016</v>
      </c>
      <c r="D6" s="70">
        <v>2017</v>
      </c>
      <c r="E6" s="70">
        <v>2018</v>
      </c>
      <c r="F6" s="70">
        <v>2019</v>
      </c>
      <c r="G6" s="70">
        <v>2020</v>
      </c>
      <c r="H6" s="70">
        <v>2021</v>
      </c>
      <c r="I6" s="70">
        <v>2022</v>
      </c>
      <c r="J6" s="70">
        <v>2023</v>
      </c>
      <c r="K6" s="70">
        <v>2024</v>
      </c>
      <c r="L6" s="1" t="s">
        <v>241</v>
      </c>
      <c r="M6" s="1" t="s">
        <v>242</v>
      </c>
      <c r="N6" s="1" t="s">
        <v>243</v>
      </c>
      <c r="O6" s="52"/>
      <c r="P6" s="52"/>
      <c r="Q6" s="52"/>
      <c r="R6" s="52"/>
    </row>
    <row r="7" spans="2:18" x14ac:dyDescent="0.35">
      <c r="B7" s="25" t="s">
        <v>80</v>
      </c>
      <c r="C7" s="26">
        <v>0.81006775445031498</v>
      </c>
      <c r="D7" s="26">
        <v>0.82129101715887898</v>
      </c>
      <c r="E7" s="26">
        <v>0.82539505176719696</v>
      </c>
      <c r="F7" s="26">
        <v>0.82459987280250502</v>
      </c>
      <c r="G7" s="26">
        <v>0.80004954270022499</v>
      </c>
      <c r="H7" s="26">
        <v>0.80755790379935599</v>
      </c>
      <c r="I7" s="26">
        <v>0.81518094698545895</v>
      </c>
      <c r="J7" s="26">
        <v>0.82262507225806303</v>
      </c>
      <c r="K7" s="26">
        <v>0.81616000700192404</v>
      </c>
      <c r="L7" s="58">
        <f>(K7-C7)*100</f>
        <v>0.60922525516090564</v>
      </c>
      <c r="M7" s="58">
        <f>100*(K7-G7)</f>
        <v>1.6110464301699046</v>
      </c>
      <c r="N7" s="58">
        <f>(K7-J7)*100</f>
        <v>-0.6465065256138991</v>
      </c>
      <c r="O7" s="52"/>
      <c r="P7" s="92"/>
      <c r="Q7" s="52"/>
      <c r="R7" s="52"/>
    </row>
    <row r="8" spans="2:18" x14ac:dyDescent="0.35">
      <c r="B8" s="25" t="s">
        <v>81</v>
      </c>
      <c r="C8" s="26">
        <v>0.80121108377597094</v>
      </c>
      <c r="D8" s="26">
        <v>0.82577358990596605</v>
      </c>
      <c r="E8" s="26">
        <v>0.81663153900581897</v>
      </c>
      <c r="F8" s="26">
        <v>0.811361527465565</v>
      </c>
      <c r="G8" s="26">
        <v>0.78264969112854399</v>
      </c>
      <c r="H8" s="26">
        <v>0.78714877339620604</v>
      </c>
      <c r="I8" s="26">
        <v>0.78994577616602202</v>
      </c>
      <c r="J8" s="26">
        <v>0.80180506123860595</v>
      </c>
      <c r="K8" s="26">
        <v>0.81612859648189495</v>
      </c>
      <c r="L8" s="58">
        <f>(K8-C8)*100</f>
        <v>1.4917512705924008</v>
      </c>
      <c r="M8" s="58">
        <f>100*(K8-G8)</f>
        <v>3.3478905353350963</v>
      </c>
      <c r="N8" s="58">
        <f>(K8-J8)*100</f>
        <v>1.4323535243288998</v>
      </c>
      <c r="O8" s="52"/>
    </row>
    <row r="9" spans="2:18" x14ac:dyDescent="0.35">
      <c r="B9" s="25" t="s">
        <v>82</v>
      </c>
      <c r="C9" s="26">
        <v>0.83118025062818002</v>
      </c>
      <c r="D9" s="26">
        <v>0.83973889977941196</v>
      </c>
      <c r="E9" s="26">
        <v>0.84803262386033196</v>
      </c>
      <c r="F9" s="26">
        <v>0.878022665346052</v>
      </c>
      <c r="G9" s="26">
        <v>0.90909652868582302</v>
      </c>
      <c r="H9" s="26">
        <v>0.89257303877956296</v>
      </c>
      <c r="I9" s="26">
        <v>0.85292701296951901</v>
      </c>
      <c r="J9" s="26">
        <v>0.86220591277711001</v>
      </c>
      <c r="K9" s="26">
        <v>0.87189309894297395</v>
      </c>
      <c r="L9" s="58">
        <f>(K9-C9)*100</f>
        <v>4.0712848314793941</v>
      </c>
      <c r="M9" s="58">
        <f>100*(K9-G9)</f>
        <v>-3.720342974284907</v>
      </c>
      <c r="N9" s="58">
        <f>(K9-J9)*100</f>
        <v>0.9687186165863948</v>
      </c>
      <c r="O9" s="52"/>
      <c r="P9" s="92"/>
      <c r="Q9" s="52"/>
      <c r="R9" s="52"/>
    </row>
    <row r="10" spans="2:18" x14ac:dyDescent="0.35">
      <c r="B10" s="20" t="s">
        <v>83</v>
      </c>
      <c r="C10" s="6">
        <v>0.81896121001658595</v>
      </c>
      <c r="D10" s="6">
        <v>0.83314928331514604</v>
      </c>
      <c r="E10" s="6">
        <v>0.83554642072854002</v>
      </c>
      <c r="F10" s="6">
        <v>0.85061103804137606</v>
      </c>
      <c r="G10" s="6">
        <v>0.85757977493502102</v>
      </c>
      <c r="H10" s="6">
        <v>0.84963734453198303</v>
      </c>
      <c r="I10" s="6">
        <v>0.82794370072085699</v>
      </c>
      <c r="J10" s="6">
        <v>0.83714122357112497</v>
      </c>
      <c r="K10" s="6">
        <v>0.84661195316626203</v>
      </c>
      <c r="L10" s="59">
        <f>(K10-C10)*100</f>
        <v>2.7650743149676082</v>
      </c>
      <c r="M10" s="59">
        <f>100*(K10-G10)</f>
        <v>-1.096782176875899</v>
      </c>
      <c r="N10" s="59">
        <f>(K10-J10)*100</f>
        <v>0.94707295951370618</v>
      </c>
      <c r="O10" s="52"/>
      <c r="P10" s="92"/>
      <c r="Q10" s="52"/>
      <c r="R10" s="52"/>
    </row>
    <row r="11" spans="2:18" x14ac:dyDescent="0.35">
      <c r="B11" s="84"/>
      <c r="C11" s="84"/>
      <c r="D11" s="52"/>
      <c r="E11" s="52"/>
      <c r="F11" s="52"/>
      <c r="G11" s="52"/>
      <c r="H11" s="52"/>
      <c r="I11" s="52"/>
      <c r="J11" s="52"/>
      <c r="K11" s="52"/>
      <c r="L11" s="52"/>
      <c r="M11" s="52"/>
      <c r="N11" s="52"/>
      <c r="O11" s="52"/>
      <c r="P11" s="92"/>
      <c r="Q11" s="52"/>
      <c r="R11" s="52"/>
    </row>
    <row r="12" spans="2:18" x14ac:dyDescent="0.35">
      <c r="B12" s="81" t="s">
        <v>39</v>
      </c>
      <c r="C12" s="52"/>
      <c r="D12" s="52"/>
      <c r="E12" s="52"/>
      <c r="F12" s="52"/>
      <c r="G12" s="52"/>
      <c r="H12" s="52"/>
      <c r="I12" s="52"/>
      <c r="J12" s="52"/>
      <c r="K12" s="52"/>
      <c r="L12" s="52"/>
      <c r="M12" s="52"/>
      <c r="N12" s="52"/>
      <c r="O12" s="52"/>
      <c r="P12" s="92"/>
      <c r="Q12" s="52"/>
      <c r="R12" s="52"/>
    </row>
    <row r="13" spans="2:18" ht="30" customHeight="1" x14ac:dyDescent="0.35">
      <c r="B13" s="18" t="s">
        <v>244</v>
      </c>
      <c r="C13" s="70">
        <v>2016</v>
      </c>
      <c r="D13" s="70">
        <v>2017</v>
      </c>
      <c r="E13" s="70">
        <v>2018</v>
      </c>
      <c r="F13" s="70">
        <v>2019</v>
      </c>
      <c r="G13" s="70">
        <v>2020</v>
      </c>
      <c r="H13" s="70">
        <v>2021</v>
      </c>
      <c r="I13" s="70">
        <v>2022</v>
      </c>
      <c r="J13" s="70">
        <v>2023</v>
      </c>
      <c r="K13" s="70">
        <v>2024</v>
      </c>
      <c r="L13" s="1" t="s">
        <v>241</v>
      </c>
      <c r="M13" s="1" t="s">
        <v>242</v>
      </c>
      <c r="N13" s="1" t="s">
        <v>243</v>
      </c>
      <c r="O13" s="52"/>
      <c r="P13" s="92"/>
      <c r="Q13" s="52"/>
      <c r="R13" s="52"/>
    </row>
    <row r="14" spans="2:18" x14ac:dyDescent="0.35">
      <c r="B14" s="60" t="s">
        <v>245</v>
      </c>
      <c r="C14" s="61">
        <v>0.83509461152165598</v>
      </c>
      <c r="D14" s="61">
        <v>0.844053374204351</v>
      </c>
      <c r="E14" s="61">
        <v>0.85185970520957699</v>
      </c>
      <c r="F14" s="61">
        <v>0.88291649310695797</v>
      </c>
      <c r="G14" s="61">
        <v>0.91459171078674395</v>
      </c>
      <c r="H14" s="61">
        <v>0.89751189670399001</v>
      </c>
      <c r="I14" s="61">
        <v>0.85755324810286404</v>
      </c>
      <c r="J14" s="61">
        <v>0.86595462971917003</v>
      </c>
      <c r="K14" s="61">
        <v>0.87548677792599805</v>
      </c>
      <c r="L14" s="58">
        <f t="shared" ref="L14:L19" si="0">(K14-C14)*100</f>
        <v>4.0392166404342067</v>
      </c>
      <c r="M14" s="58">
        <f t="shared" ref="M14:M19" si="1">100*(K14-G14)</f>
        <v>-3.91049328607459</v>
      </c>
      <c r="N14" s="58">
        <f t="shared" ref="N14:N19" si="2">(K14-J14)*100</f>
        <v>0.95321482068280172</v>
      </c>
      <c r="O14" s="52"/>
      <c r="P14" s="92"/>
      <c r="Q14" s="52"/>
      <c r="R14" s="52"/>
    </row>
    <row r="15" spans="2:18" x14ac:dyDescent="0.35">
      <c r="B15" s="60" t="s">
        <v>246</v>
      </c>
      <c r="C15" s="61">
        <v>0.817584988390191</v>
      </c>
      <c r="D15" s="61">
        <v>0.83596232080863897</v>
      </c>
      <c r="E15" s="61">
        <v>0.82827271561082805</v>
      </c>
      <c r="F15" s="61">
        <v>0.82983943285985395</v>
      </c>
      <c r="G15" s="61">
        <v>0.81155527004947303</v>
      </c>
      <c r="H15" s="61">
        <v>0.80304622617924903</v>
      </c>
      <c r="I15" s="61">
        <v>0.81158585303766995</v>
      </c>
      <c r="J15" s="61">
        <v>0.81900891890355398</v>
      </c>
      <c r="K15" s="61">
        <v>0.82819851019850899</v>
      </c>
      <c r="L15" s="58">
        <f t="shared" si="0"/>
        <v>1.0613521808317983</v>
      </c>
      <c r="M15" s="58">
        <f t="shared" si="1"/>
        <v>1.6643240149035954</v>
      </c>
      <c r="N15" s="58">
        <f t="shared" si="2"/>
        <v>0.91895912949550018</v>
      </c>
      <c r="O15" s="52"/>
      <c r="P15" s="92"/>
      <c r="Q15" s="52"/>
      <c r="R15" s="52"/>
    </row>
    <row r="16" spans="2:18" x14ac:dyDescent="0.35">
      <c r="B16" s="60" t="s">
        <v>247</v>
      </c>
      <c r="C16" s="61">
        <v>0.77030662347114898</v>
      </c>
      <c r="D16" s="61">
        <v>0.826521124010275</v>
      </c>
      <c r="E16" s="61">
        <v>0.84163112544032903</v>
      </c>
      <c r="F16" s="61">
        <v>0.85130690102001705</v>
      </c>
      <c r="G16" s="61">
        <v>0.88378589975196398</v>
      </c>
      <c r="H16" s="61">
        <v>0.85457041697250902</v>
      </c>
      <c r="I16" s="61">
        <v>0.83780228700890502</v>
      </c>
      <c r="J16" s="61">
        <v>0.84906029343689104</v>
      </c>
      <c r="K16" s="61">
        <v>0.850762281092866</v>
      </c>
      <c r="L16" s="58">
        <f t="shared" si="0"/>
        <v>8.0455657621717016</v>
      </c>
      <c r="M16" s="58">
        <f t="shared" si="1"/>
        <v>-3.3023618659097975</v>
      </c>
      <c r="N16" s="58">
        <f t="shared" si="2"/>
        <v>0.17019876559749569</v>
      </c>
      <c r="O16" s="52"/>
      <c r="P16" s="92"/>
      <c r="Q16" s="52"/>
      <c r="R16" s="52"/>
    </row>
    <row r="17" spans="2:20" x14ac:dyDescent="0.35">
      <c r="B17" s="60" t="s">
        <v>248</v>
      </c>
      <c r="C17" s="61">
        <v>0.76340805800314404</v>
      </c>
      <c r="D17" s="61">
        <v>0.79559020693260296</v>
      </c>
      <c r="E17" s="61">
        <v>0.81534835809679396</v>
      </c>
      <c r="F17" s="61">
        <v>0.86882423891538196</v>
      </c>
      <c r="G17" s="61">
        <v>0.91489268010328195</v>
      </c>
      <c r="H17" s="61">
        <v>0.87685540031267695</v>
      </c>
      <c r="I17" s="61">
        <v>0.81146661675514498</v>
      </c>
      <c r="J17" s="61">
        <v>0.81720795949522596</v>
      </c>
      <c r="K17" s="61">
        <v>0.82807798989217796</v>
      </c>
      <c r="L17" s="58">
        <f t="shared" si="0"/>
        <v>6.4669931889033911</v>
      </c>
      <c r="M17" s="58">
        <f t="shared" si="1"/>
        <v>-8.6814690211103986</v>
      </c>
      <c r="N17" s="58">
        <f t="shared" si="2"/>
        <v>1.0870030396952002</v>
      </c>
      <c r="O17" s="52"/>
      <c r="P17" s="92"/>
      <c r="Q17" s="52"/>
      <c r="R17" s="52"/>
    </row>
    <row r="18" spans="2:20" x14ac:dyDescent="0.35">
      <c r="B18" s="60" t="s">
        <v>249</v>
      </c>
      <c r="C18" s="61">
        <v>0.79633449389014999</v>
      </c>
      <c r="D18" s="61">
        <v>0.81461561030841101</v>
      </c>
      <c r="E18" s="61">
        <v>0.81265316587868797</v>
      </c>
      <c r="F18" s="61">
        <v>0.80691334310340002</v>
      </c>
      <c r="G18" s="61">
        <v>0.77624044007363302</v>
      </c>
      <c r="H18" s="61">
        <v>0.78891929791212301</v>
      </c>
      <c r="I18" s="61">
        <v>0.783943577027716</v>
      </c>
      <c r="J18" s="61">
        <v>0.79757098997825404</v>
      </c>
      <c r="K18" s="61">
        <v>0.80583382210145704</v>
      </c>
      <c r="L18" s="58">
        <f t="shared" si="0"/>
        <v>0.94993282113070565</v>
      </c>
      <c r="M18" s="58">
        <f t="shared" si="1"/>
        <v>2.9593382027824022</v>
      </c>
      <c r="N18" s="58">
        <f t="shared" si="2"/>
        <v>0.82628321232030011</v>
      </c>
      <c r="O18" s="52"/>
      <c r="P18" s="92"/>
      <c r="Q18" s="52"/>
      <c r="R18" s="52"/>
    </row>
    <row r="19" spans="2:20" x14ac:dyDescent="0.35">
      <c r="B19" s="62" t="s">
        <v>140</v>
      </c>
      <c r="C19" s="54">
        <v>0.81896121001658595</v>
      </c>
      <c r="D19" s="54">
        <v>0.83314928331514604</v>
      </c>
      <c r="E19" s="54">
        <v>0.83554642072854002</v>
      </c>
      <c r="F19" s="54">
        <v>0.85061103804137606</v>
      </c>
      <c r="G19" s="54">
        <v>0.85757977493502102</v>
      </c>
      <c r="H19" s="54">
        <v>0.84963734453198303</v>
      </c>
      <c r="I19" s="54">
        <v>0.82794370072085699</v>
      </c>
      <c r="J19" s="54">
        <v>0.83714122357112497</v>
      </c>
      <c r="K19" s="54">
        <v>0.84661195316626203</v>
      </c>
      <c r="L19" s="59">
        <f t="shared" si="0"/>
        <v>2.7650743149676082</v>
      </c>
      <c r="M19" s="59">
        <f t="shared" si="1"/>
        <v>-1.096782176875899</v>
      </c>
      <c r="N19" s="59">
        <f t="shared" si="2"/>
        <v>0.94707295951370618</v>
      </c>
      <c r="O19" s="52"/>
      <c r="P19" s="92"/>
      <c r="Q19" s="52"/>
      <c r="R19" s="52"/>
    </row>
    <row r="20" spans="2:20" x14ac:dyDescent="0.35">
      <c r="B20" s="63"/>
      <c r="C20" s="63"/>
      <c r="D20" s="64"/>
      <c r="E20" s="64"/>
      <c r="F20" s="64"/>
      <c r="G20" s="64"/>
      <c r="H20" s="64"/>
      <c r="I20" s="64"/>
      <c r="J20" s="64"/>
      <c r="K20" s="64"/>
      <c r="L20" s="64"/>
      <c r="M20" s="64"/>
      <c r="N20" s="64"/>
      <c r="O20" s="52"/>
      <c r="P20" s="92"/>
      <c r="Q20" s="64"/>
      <c r="R20" s="64"/>
      <c r="S20" s="64"/>
      <c r="T20" s="64"/>
    </row>
    <row r="21" spans="2:20" x14ac:dyDescent="0.35">
      <c r="B21" s="90" t="s">
        <v>40</v>
      </c>
      <c r="C21" s="85"/>
      <c r="D21" s="86"/>
      <c r="E21" s="86"/>
      <c r="F21" s="86"/>
      <c r="G21" s="86"/>
      <c r="H21" s="86"/>
      <c r="I21" s="86"/>
      <c r="J21" s="86"/>
      <c r="K21" s="86"/>
      <c r="L21" s="53"/>
      <c r="M21" s="53"/>
      <c r="N21" s="53"/>
      <c r="O21" s="52"/>
      <c r="P21" s="92"/>
      <c r="Q21" s="53"/>
      <c r="R21" s="53"/>
      <c r="S21" s="53"/>
      <c r="T21" s="53"/>
    </row>
    <row r="22" spans="2:20" ht="30" customHeight="1" x14ac:dyDescent="0.35">
      <c r="B22" s="18" t="s">
        <v>250</v>
      </c>
      <c r="C22" s="70">
        <v>2016</v>
      </c>
      <c r="D22" s="70">
        <v>2017</v>
      </c>
      <c r="E22" s="70">
        <v>2018</v>
      </c>
      <c r="F22" s="70">
        <v>2019</v>
      </c>
      <c r="G22" s="70">
        <v>2020</v>
      </c>
      <c r="H22" s="70">
        <v>2021</v>
      </c>
      <c r="I22" s="70">
        <v>2022</v>
      </c>
      <c r="J22" s="70">
        <v>2023</v>
      </c>
      <c r="K22" s="70">
        <v>2024</v>
      </c>
      <c r="L22" s="1" t="s">
        <v>241</v>
      </c>
      <c r="M22" s="1" t="s">
        <v>242</v>
      </c>
      <c r="N22" s="1" t="s">
        <v>243</v>
      </c>
      <c r="O22" s="52"/>
      <c r="P22" s="92"/>
      <c r="Q22" s="52"/>
      <c r="R22" s="52"/>
    </row>
    <row r="23" spans="2:20" x14ac:dyDescent="0.35">
      <c r="B23" s="65" t="s">
        <v>251</v>
      </c>
      <c r="C23" s="6">
        <v>0.81006775445031498</v>
      </c>
      <c r="D23" s="6">
        <v>0.82129101715887898</v>
      </c>
      <c r="E23" s="6">
        <v>0.82539505176719696</v>
      </c>
      <c r="F23" s="6">
        <v>0.82459987280250502</v>
      </c>
      <c r="G23" s="6">
        <v>0.80004954270022499</v>
      </c>
      <c r="H23" s="6">
        <v>0.80755790379935599</v>
      </c>
      <c r="I23" s="6">
        <v>0.81518094698545895</v>
      </c>
      <c r="J23" s="6">
        <v>0.82262507225806303</v>
      </c>
      <c r="K23" s="74">
        <v>0.81616000700192404</v>
      </c>
      <c r="L23" s="59">
        <f>(K23-C23)*100</f>
        <v>0.60922525516090564</v>
      </c>
      <c r="M23" s="59">
        <f>100*(K23-G23)</f>
        <v>1.6110464301699046</v>
      </c>
      <c r="N23" s="59">
        <f>(K23-J23)*100</f>
        <v>-0.6465065256138991</v>
      </c>
      <c r="O23" s="52"/>
    </row>
    <row r="24" spans="2:20" x14ac:dyDescent="0.35">
      <c r="B24" s="112" t="s">
        <v>249</v>
      </c>
      <c r="C24" s="71">
        <v>0.81006775445031498</v>
      </c>
      <c r="D24" s="71">
        <v>0.82129101715887898</v>
      </c>
      <c r="E24" s="71">
        <v>0.82539505176719696</v>
      </c>
      <c r="F24" s="71">
        <v>0.82459987280250502</v>
      </c>
      <c r="G24" s="71">
        <v>0.80004954270022499</v>
      </c>
      <c r="H24" s="71">
        <v>0.80755790379935599</v>
      </c>
      <c r="I24" s="71">
        <v>0.81518094698545895</v>
      </c>
      <c r="J24" s="71">
        <v>0.82262507225806303</v>
      </c>
      <c r="K24" s="71">
        <v>0.81616000700192404</v>
      </c>
      <c r="L24" s="58">
        <f t="shared" ref="L24:L34" si="3">(K24-C24)*100</f>
        <v>0.60922525516090564</v>
      </c>
      <c r="M24" s="58">
        <f t="shared" ref="M24:M34" si="4">100*(K24-G24)</f>
        <v>1.6110464301699046</v>
      </c>
      <c r="N24" s="58">
        <f t="shared" ref="N24:N34" si="5">(K24-J24)*100</f>
        <v>-0.6465065256138991</v>
      </c>
      <c r="O24" s="52"/>
    </row>
    <row r="25" spans="2:20" x14ac:dyDescent="0.35">
      <c r="B25" s="65" t="s">
        <v>252</v>
      </c>
      <c r="C25" s="6">
        <v>0.80121108377597094</v>
      </c>
      <c r="D25" s="6">
        <v>0.82577358990596605</v>
      </c>
      <c r="E25" s="6">
        <v>0.81663153900581897</v>
      </c>
      <c r="F25" s="6">
        <v>0.811361527465565</v>
      </c>
      <c r="G25" s="6">
        <v>0.78264969112854399</v>
      </c>
      <c r="H25" s="6">
        <v>0.78714877339620604</v>
      </c>
      <c r="I25" s="6">
        <v>0.78994577616602202</v>
      </c>
      <c r="J25" s="6">
        <v>0.80180506123860595</v>
      </c>
      <c r="K25" s="74">
        <v>0.81612859648189495</v>
      </c>
      <c r="L25" s="59">
        <f t="shared" si="3"/>
        <v>1.4917512705924008</v>
      </c>
      <c r="M25" s="59">
        <f t="shared" si="4"/>
        <v>3.3478905353350963</v>
      </c>
      <c r="N25" s="59">
        <f t="shared" si="5"/>
        <v>1.4323535243288998</v>
      </c>
      <c r="O25" s="52"/>
    </row>
    <row r="26" spans="2:20" x14ac:dyDescent="0.35">
      <c r="B26" s="112" t="s">
        <v>253</v>
      </c>
      <c r="C26" s="71">
        <v>0.81804824106030005</v>
      </c>
      <c r="D26" s="71">
        <v>0.83916994733247496</v>
      </c>
      <c r="E26" s="71">
        <v>0.82992690002137504</v>
      </c>
      <c r="F26" s="71">
        <v>0.82874489929778605</v>
      </c>
      <c r="G26" s="71">
        <v>0.80676848246433097</v>
      </c>
      <c r="H26" s="71">
        <v>0.80034074308149805</v>
      </c>
      <c r="I26" s="71">
        <v>0.81156256350564904</v>
      </c>
      <c r="J26" s="71">
        <v>0.81955750213043599</v>
      </c>
      <c r="K26" s="71">
        <v>0.82918838421017804</v>
      </c>
      <c r="L26" s="58">
        <f t="shared" si="3"/>
        <v>1.114014314987799</v>
      </c>
      <c r="M26" s="58">
        <f t="shared" si="4"/>
        <v>2.2419901745847071</v>
      </c>
      <c r="N26" s="58">
        <f t="shared" si="5"/>
        <v>0.96308820797420536</v>
      </c>
      <c r="O26" s="52"/>
    </row>
    <row r="27" spans="2:20" x14ac:dyDescent="0.35">
      <c r="B27" s="112" t="s">
        <v>249</v>
      </c>
      <c r="C27" s="71">
        <v>0.78404145317147</v>
      </c>
      <c r="D27" s="71">
        <v>0.81191904318253505</v>
      </c>
      <c r="E27" s="71">
        <v>0.80253931646585397</v>
      </c>
      <c r="F27" s="71">
        <v>0.79141672566975996</v>
      </c>
      <c r="G27" s="71">
        <v>0.75105419390680295</v>
      </c>
      <c r="H27" s="71">
        <v>0.76835074558557603</v>
      </c>
      <c r="I27" s="71">
        <v>0.75894175493961702</v>
      </c>
      <c r="J27" s="71">
        <v>0.77444248408070204</v>
      </c>
      <c r="K27" s="71">
        <v>0.79145441975772901</v>
      </c>
      <c r="L27" s="58">
        <f t="shared" si="3"/>
        <v>0.74129665862590066</v>
      </c>
      <c r="M27" s="58">
        <f t="shared" si="4"/>
        <v>4.0400225850926059</v>
      </c>
      <c r="N27" s="58">
        <f t="shared" si="5"/>
        <v>1.7011935677026968</v>
      </c>
      <c r="O27" s="52"/>
    </row>
    <row r="28" spans="2:20" x14ac:dyDescent="0.35">
      <c r="B28" s="65" t="s">
        <v>229</v>
      </c>
      <c r="C28" s="6">
        <v>0.83118025062818002</v>
      </c>
      <c r="D28" s="6">
        <v>0.83973889977941196</v>
      </c>
      <c r="E28" s="6">
        <v>0.84803262386033196</v>
      </c>
      <c r="F28" s="6">
        <v>0.878022665346052</v>
      </c>
      <c r="G28" s="6">
        <v>0.90909652868582302</v>
      </c>
      <c r="H28" s="6">
        <v>0.89257303877956296</v>
      </c>
      <c r="I28" s="6">
        <v>0.85292701296951901</v>
      </c>
      <c r="J28" s="6">
        <v>0.86220591277711001</v>
      </c>
      <c r="K28" s="74">
        <v>0.87189309894297395</v>
      </c>
      <c r="L28" s="59">
        <f t="shared" si="3"/>
        <v>4.0712848314793941</v>
      </c>
      <c r="M28" s="59">
        <f t="shared" si="4"/>
        <v>-3.720342974284907</v>
      </c>
      <c r="N28" s="59">
        <f t="shared" si="5"/>
        <v>0.9687186165863948</v>
      </c>
      <c r="O28" s="52"/>
    </row>
    <row r="29" spans="2:20" x14ac:dyDescent="0.35">
      <c r="B29" s="112" t="s">
        <v>254</v>
      </c>
      <c r="C29" s="71">
        <v>0.83509461152165598</v>
      </c>
      <c r="D29" s="71">
        <v>0.844053374204351</v>
      </c>
      <c r="E29" s="71">
        <v>0.85185970520957699</v>
      </c>
      <c r="F29" s="71">
        <v>0.88291649310695797</v>
      </c>
      <c r="G29" s="71">
        <v>0.91459171078674395</v>
      </c>
      <c r="H29" s="71">
        <v>0.89751189670399001</v>
      </c>
      <c r="I29" s="71">
        <v>0.85755324810286404</v>
      </c>
      <c r="J29" s="71">
        <v>0.86595462971917003</v>
      </c>
      <c r="K29" s="71">
        <v>0.87548677792599805</v>
      </c>
      <c r="L29" s="58">
        <f t="shared" si="3"/>
        <v>4.0392166404342067</v>
      </c>
      <c r="M29" s="58">
        <f t="shared" si="4"/>
        <v>-3.91049328607459</v>
      </c>
      <c r="N29" s="58">
        <f t="shared" si="5"/>
        <v>0.95321482068280172</v>
      </c>
      <c r="O29" s="52"/>
      <c r="P29" s="92"/>
      <c r="Q29" s="52"/>
      <c r="R29" s="52"/>
    </row>
    <row r="30" spans="2:20" x14ac:dyDescent="0.35">
      <c r="B30" s="112" t="s">
        <v>253</v>
      </c>
      <c r="C30" s="71">
        <v>0.81431028628876101</v>
      </c>
      <c r="D30" s="71">
        <v>0.81201882558487704</v>
      </c>
      <c r="E30" s="71">
        <v>0.81493584892830395</v>
      </c>
      <c r="F30" s="71">
        <v>0.84063257460757601</v>
      </c>
      <c r="G30" s="71">
        <v>0.87299493184925703</v>
      </c>
      <c r="H30" s="71">
        <v>0.85010359393609003</v>
      </c>
      <c r="I30" s="71">
        <v>0.812299666949863</v>
      </c>
      <c r="J30" s="71">
        <v>0.79034101721752104</v>
      </c>
      <c r="K30" s="71">
        <v>0.75700390342034596</v>
      </c>
      <c r="L30" s="58">
        <f t="shared" si="3"/>
        <v>-5.7306382868415051</v>
      </c>
      <c r="M30" s="58">
        <f t="shared" si="4"/>
        <v>-11.599102842891106</v>
      </c>
      <c r="N30" s="58">
        <f t="shared" si="5"/>
        <v>-3.3337113797175078</v>
      </c>
      <c r="O30" s="52"/>
      <c r="P30" s="92"/>
      <c r="Q30" s="52"/>
      <c r="R30" s="52"/>
    </row>
    <row r="31" spans="2:20" x14ac:dyDescent="0.35">
      <c r="B31" s="112" t="s">
        <v>247</v>
      </c>
      <c r="C31" s="71">
        <v>0.77030662347114898</v>
      </c>
      <c r="D31" s="71">
        <v>0.826521124010275</v>
      </c>
      <c r="E31" s="71">
        <v>0.84163112544032903</v>
      </c>
      <c r="F31" s="71">
        <v>0.85130690102001705</v>
      </c>
      <c r="G31" s="71">
        <v>0.88378589975196398</v>
      </c>
      <c r="H31" s="71">
        <v>0.85457041697250902</v>
      </c>
      <c r="I31" s="71">
        <v>0.83780228700890502</v>
      </c>
      <c r="J31" s="71">
        <v>0.84906029343689104</v>
      </c>
      <c r="K31" s="71">
        <v>0.850762281092866</v>
      </c>
      <c r="L31" s="58">
        <f t="shared" si="3"/>
        <v>8.0455657621717016</v>
      </c>
      <c r="M31" s="58">
        <f t="shared" si="4"/>
        <v>-3.3023618659097975</v>
      </c>
      <c r="N31" s="58">
        <f t="shared" si="5"/>
        <v>0.17019876559749569</v>
      </c>
      <c r="O31" s="52"/>
      <c r="P31" s="92"/>
      <c r="Q31" s="52"/>
      <c r="R31" s="52"/>
    </row>
    <row r="32" spans="2:20" x14ac:dyDescent="0.35">
      <c r="B32" s="60" t="s">
        <v>255</v>
      </c>
      <c r="C32" s="61">
        <v>0.76340805800314404</v>
      </c>
      <c r="D32" s="61">
        <v>0.79559020693260296</v>
      </c>
      <c r="E32" s="61">
        <v>0.81534835809679396</v>
      </c>
      <c r="F32" s="61">
        <v>0.86882423891538196</v>
      </c>
      <c r="G32" s="61">
        <v>0.91489268010328195</v>
      </c>
      <c r="H32" s="61">
        <v>0.87685540031267695</v>
      </c>
      <c r="I32" s="61">
        <v>0.81146661675514498</v>
      </c>
      <c r="J32" s="61">
        <v>0.81720795949522596</v>
      </c>
      <c r="K32" s="71">
        <v>0.82807798989217796</v>
      </c>
      <c r="L32" s="58">
        <f t="shared" si="3"/>
        <v>6.4669931889033911</v>
      </c>
      <c r="M32" s="58">
        <f t="shared" si="4"/>
        <v>-8.6814690211103986</v>
      </c>
      <c r="N32" s="58">
        <f t="shared" si="5"/>
        <v>1.0870030396952002</v>
      </c>
      <c r="O32" s="52"/>
      <c r="P32" s="92"/>
      <c r="Q32" s="52"/>
      <c r="R32" s="52"/>
    </row>
    <row r="33" spans="2:20" x14ac:dyDescent="0.35">
      <c r="B33" s="112" t="s">
        <v>249</v>
      </c>
      <c r="C33" s="71">
        <v>0.80673612980373099</v>
      </c>
      <c r="D33" s="71">
        <v>0.79932866444000705</v>
      </c>
      <c r="E33" s="71">
        <v>0.81342025222209702</v>
      </c>
      <c r="F33" s="71">
        <v>0.81360196157249798</v>
      </c>
      <c r="G33" s="71">
        <v>0.80552173412563199</v>
      </c>
      <c r="H33" s="71">
        <v>0.81259622334631598</v>
      </c>
      <c r="I33" s="71">
        <v>0.77302787499899395</v>
      </c>
      <c r="J33" s="71">
        <v>0.81064788674049204</v>
      </c>
      <c r="K33" s="71">
        <v>0.83046371468628399</v>
      </c>
      <c r="L33" s="58">
        <f t="shared" si="3"/>
        <v>2.3727584882552999</v>
      </c>
      <c r="M33" s="58">
        <f t="shared" si="4"/>
        <v>2.4941980560652</v>
      </c>
      <c r="N33" s="58">
        <f t="shared" si="5"/>
        <v>1.9815827945791953</v>
      </c>
      <c r="O33" s="52"/>
      <c r="P33" s="92"/>
      <c r="Q33" s="52"/>
      <c r="R33" s="52"/>
    </row>
    <row r="34" spans="2:20" x14ac:dyDescent="0.35">
      <c r="B34" s="65" t="s">
        <v>140</v>
      </c>
      <c r="C34" s="6">
        <v>0.81896121001658595</v>
      </c>
      <c r="D34" s="6">
        <v>0.83314928331514604</v>
      </c>
      <c r="E34" s="6">
        <v>0.83554642072854002</v>
      </c>
      <c r="F34" s="6">
        <v>0.85061103804137606</v>
      </c>
      <c r="G34" s="6">
        <v>0.85757977493502102</v>
      </c>
      <c r="H34" s="6">
        <v>0.84963734453198303</v>
      </c>
      <c r="I34" s="6">
        <v>0.82794370072085699</v>
      </c>
      <c r="J34" s="6">
        <v>0.83714122357112497</v>
      </c>
      <c r="K34" s="6">
        <v>0.84661195316626203</v>
      </c>
      <c r="L34" s="59">
        <f t="shared" si="3"/>
        <v>2.7650743149676082</v>
      </c>
      <c r="M34" s="59">
        <f t="shared" si="4"/>
        <v>-1.096782176875899</v>
      </c>
      <c r="N34" s="59">
        <f t="shared" si="5"/>
        <v>0.94707295951370618</v>
      </c>
      <c r="O34" s="52"/>
      <c r="P34" s="92"/>
      <c r="Q34" s="52"/>
      <c r="R34" s="52"/>
    </row>
    <row r="35" spans="2:20" x14ac:dyDescent="0.35">
      <c r="B35" s="52"/>
      <c r="C35" s="52"/>
      <c r="D35" s="52"/>
      <c r="E35" s="52"/>
      <c r="F35" s="52"/>
      <c r="G35" s="52"/>
      <c r="H35" s="52"/>
      <c r="I35" s="52"/>
      <c r="J35" s="52"/>
      <c r="K35" s="52"/>
      <c r="L35" s="52"/>
      <c r="M35" s="52"/>
      <c r="N35" s="52"/>
      <c r="O35" s="52"/>
      <c r="P35" s="92"/>
      <c r="Q35" s="52"/>
      <c r="R35" s="52"/>
    </row>
    <row r="36" spans="2:20" x14ac:dyDescent="0.35">
      <c r="B36" s="90" t="s">
        <v>41</v>
      </c>
      <c r="C36" s="85"/>
      <c r="D36" s="86"/>
      <c r="E36" s="86"/>
      <c r="F36" s="86"/>
      <c r="G36" s="86"/>
      <c r="H36" s="86"/>
      <c r="I36" s="86"/>
      <c r="J36" s="86"/>
      <c r="K36" s="86"/>
      <c r="L36" s="53"/>
      <c r="M36" s="53"/>
      <c r="N36" s="53"/>
      <c r="O36" s="52"/>
      <c r="P36" s="92"/>
      <c r="Q36" s="53"/>
      <c r="R36" s="53"/>
      <c r="S36" s="53"/>
      <c r="T36" s="53"/>
    </row>
    <row r="37" spans="2:20" ht="30" customHeight="1" x14ac:dyDescent="0.35">
      <c r="B37" s="18" t="s">
        <v>256</v>
      </c>
      <c r="C37" s="70">
        <v>2016</v>
      </c>
      <c r="D37" s="70">
        <v>2017</v>
      </c>
      <c r="E37" s="70">
        <v>2018</v>
      </c>
      <c r="F37" s="70">
        <v>2019</v>
      </c>
      <c r="G37" s="70">
        <v>2020</v>
      </c>
      <c r="H37" s="70">
        <v>2021</v>
      </c>
      <c r="I37" s="70">
        <v>2022</v>
      </c>
      <c r="J37" s="70">
        <v>2023</v>
      </c>
      <c r="K37" s="70">
        <v>2024</v>
      </c>
      <c r="L37" s="1" t="s">
        <v>241</v>
      </c>
      <c r="M37" s="1" t="s">
        <v>242</v>
      </c>
      <c r="N37" s="1" t="s">
        <v>243</v>
      </c>
      <c r="O37" s="52"/>
      <c r="P37" s="92"/>
      <c r="Q37" s="53"/>
      <c r="R37" s="53"/>
      <c r="S37" s="53"/>
    </row>
    <row r="38" spans="2:20" x14ac:dyDescent="0.35">
      <c r="B38" s="66" t="s">
        <v>114</v>
      </c>
      <c r="C38" s="71">
        <v>0.81600709453091702</v>
      </c>
      <c r="D38" s="71">
        <v>0.82877643050564398</v>
      </c>
      <c r="E38" s="71">
        <v>0.83051620254708203</v>
      </c>
      <c r="F38" s="71">
        <v>0.83834164187164195</v>
      </c>
      <c r="G38" s="71">
        <v>0.84475923382478602</v>
      </c>
      <c r="H38" s="71">
        <v>0.82748156983728405</v>
      </c>
      <c r="I38" s="71">
        <v>0.81485378365517303</v>
      </c>
      <c r="J38" s="71">
        <v>0.82502834137376502</v>
      </c>
      <c r="K38" s="71">
        <v>0.83451216818476903</v>
      </c>
      <c r="L38" s="58">
        <f t="shared" ref="L38:L48" si="6">(K38-C38)*100</f>
        <v>1.8505073653852011</v>
      </c>
      <c r="M38" s="58">
        <f t="shared" ref="M38:M48" si="7">100*(K38-G38)</f>
        <v>-1.0247065640016984</v>
      </c>
      <c r="N38" s="58">
        <f t="shared" ref="N38:N48" si="8">(K38-J38)*100</f>
        <v>0.94838268110040147</v>
      </c>
      <c r="O38" s="52"/>
      <c r="P38" s="92"/>
      <c r="Q38" s="53"/>
      <c r="R38" s="53"/>
      <c r="S38" s="53"/>
    </row>
    <row r="39" spans="2:20" x14ac:dyDescent="0.35">
      <c r="B39" s="66" t="s">
        <v>115</v>
      </c>
      <c r="C39" s="71">
        <v>0.79623243781048203</v>
      </c>
      <c r="D39" s="71">
        <v>0.81479048955268496</v>
      </c>
      <c r="E39" s="71">
        <v>0.81970166842112502</v>
      </c>
      <c r="F39" s="71">
        <v>0.84011017121313802</v>
      </c>
      <c r="G39" s="71">
        <v>0.84829292074055296</v>
      </c>
      <c r="H39" s="71">
        <v>0.85361773661518003</v>
      </c>
      <c r="I39" s="71">
        <v>0.80873364020553695</v>
      </c>
      <c r="J39" s="71">
        <v>0.82341454863275798</v>
      </c>
      <c r="K39" s="71">
        <v>0.82796551225645398</v>
      </c>
      <c r="L39" s="58">
        <f t="shared" si="6"/>
        <v>3.1733074445971954</v>
      </c>
      <c r="M39" s="58">
        <f t="shared" si="7"/>
        <v>-2.0327408484098974</v>
      </c>
      <c r="N39" s="58">
        <f t="shared" si="8"/>
        <v>0.45509636236960027</v>
      </c>
      <c r="O39" s="52"/>
      <c r="P39" s="92"/>
      <c r="Q39" s="53"/>
      <c r="R39" s="53"/>
      <c r="S39" s="53"/>
    </row>
    <row r="40" spans="2:20" x14ac:dyDescent="0.35">
      <c r="B40" s="66" t="s">
        <v>116</v>
      </c>
      <c r="C40" s="71">
        <v>0.80514253648504697</v>
      </c>
      <c r="D40" s="71">
        <v>0.82065377195935396</v>
      </c>
      <c r="E40" s="71">
        <v>0.82238817157171795</v>
      </c>
      <c r="F40" s="71">
        <v>0.83718913077597601</v>
      </c>
      <c r="G40" s="71">
        <v>0.81215829748652801</v>
      </c>
      <c r="H40" s="71">
        <v>0.81960078686758397</v>
      </c>
      <c r="I40" s="71">
        <v>0.82976390114909204</v>
      </c>
      <c r="J40" s="71">
        <v>0.84318802516409297</v>
      </c>
      <c r="K40" s="71">
        <v>0.84940614034872497</v>
      </c>
      <c r="L40" s="58">
        <f t="shared" si="6"/>
        <v>4.4263603863678007</v>
      </c>
      <c r="M40" s="58">
        <f t="shared" si="7"/>
        <v>3.7247842862196956</v>
      </c>
      <c r="N40" s="58">
        <f t="shared" si="8"/>
        <v>0.62181151846320004</v>
      </c>
      <c r="O40" s="52"/>
      <c r="P40" s="92"/>
      <c r="Q40" s="53"/>
      <c r="R40" s="53"/>
      <c r="S40" s="53"/>
    </row>
    <row r="41" spans="2:20" x14ac:dyDescent="0.35">
      <c r="B41" s="66" t="s">
        <v>117</v>
      </c>
      <c r="C41" s="71">
        <v>0.76121382197258003</v>
      </c>
      <c r="D41" s="71">
        <v>0.77104160367184404</v>
      </c>
      <c r="E41" s="71">
        <v>0.79103437481265004</v>
      </c>
      <c r="F41" s="71">
        <v>0.84013061002298095</v>
      </c>
      <c r="G41" s="71">
        <v>0.87480478077844603</v>
      </c>
      <c r="H41" s="71">
        <v>0.84346795222691096</v>
      </c>
      <c r="I41" s="71">
        <v>0.77722157602087305</v>
      </c>
      <c r="J41" s="71">
        <v>0.78638612757285098</v>
      </c>
      <c r="K41" s="71">
        <v>0.80010537677841798</v>
      </c>
      <c r="L41" s="58">
        <f t="shared" si="6"/>
        <v>3.8891554805837947</v>
      </c>
      <c r="M41" s="58">
        <f t="shared" si="7"/>
        <v>-7.4699404000028053</v>
      </c>
      <c r="N41" s="58">
        <f t="shared" si="8"/>
        <v>1.3719249205566997</v>
      </c>
      <c r="O41" s="52"/>
      <c r="P41" s="92"/>
      <c r="Q41" s="53"/>
      <c r="R41" s="53"/>
      <c r="S41" s="53"/>
    </row>
    <row r="42" spans="2:20" x14ac:dyDescent="0.35">
      <c r="B42" s="66" t="s">
        <v>118</v>
      </c>
      <c r="C42" s="71">
        <v>0.86236272488871801</v>
      </c>
      <c r="D42" s="71">
        <v>0.87459037708791898</v>
      </c>
      <c r="E42" s="71">
        <v>0.87856669027145995</v>
      </c>
      <c r="F42" s="71">
        <v>0.886505283384737</v>
      </c>
      <c r="G42" s="71">
        <v>0.89630226502623001</v>
      </c>
      <c r="H42" s="71">
        <v>0.89216061183018502</v>
      </c>
      <c r="I42" s="71">
        <v>0.87805348407723904</v>
      </c>
      <c r="J42" s="71">
        <v>0.88787100292350496</v>
      </c>
      <c r="K42" s="71">
        <v>0.903527423825354</v>
      </c>
      <c r="L42" s="58">
        <f t="shared" si="6"/>
        <v>4.1164698936635986</v>
      </c>
      <c r="M42" s="58">
        <f t="shared" si="7"/>
        <v>0.72251587991239985</v>
      </c>
      <c r="N42" s="58">
        <f t="shared" si="8"/>
        <v>1.5656420901849044</v>
      </c>
      <c r="O42" s="52"/>
      <c r="P42" s="92"/>
      <c r="Q42" s="53"/>
      <c r="R42" s="53"/>
      <c r="S42" s="53"/>
    </row>
    <row r="43" spans="2:20" x14ac:dyDescent="0.35">
      <c r="B43" s="66" t="s">
        <v>119</v>
      </c>
      <c r="C43" s="71">
        <v>0.78970325645183304</v>
      </c>
      <c r="D43" s="71">
        <v>0.80007493635174298</v>
      </c>
      <c r="E43" s="71">
        <v>0.79986075143593205</v>
      </c>
      <c r="F43" s="71">
        <v>0.83949050258673297</v>
      </c>
      <c r="G43" s="71">
        <v>0.89575870825333503</v>
      </c>
      <c r="H43" s="71">
        <v>0.86363223297434999</v>
      </c>
      <c r="I43" s="71">
        <v>0.79959746216264704</v>
      </c>
      <c r="J43" s="71">
        <v>0.81967449764151601</v>
      </c>
      <c r="K43" s="71">
        <v>0.82296788848444302</v>
      </c>
      <c r="L43" s="58">
        <f t="shared" si="6"/>
        <v>3.3264632032609986</v>
      </c>
      <c r="M43" s="58">
        <f t="shared" si="7"/>
        <v>-7.2790819768892012</v>
      </c>
      <c r="N43" s="58">
        <f t="shared" si="8"/>
        <v>0.32933908429270131</v>
      </c>
      <c r="O43" s="52"/>
      <c r="P43" s="92"/>
      <c r="Q43" s="53"/>
      <c r="R43" s="53"/>
      <c r="S43" s="53"/>
    </row>
    <row r="44" spans="2:20" x14ac:dyDescent="0.35">
      <c r="B44" s="66" t="s">
        <v>120</v>
      </c>
      <c r="C44" s="71">
        <v>0.86133850255670796</v>
      </c>
      <c r="D44" s="71">
        <v>0.87518785909928898</v>
      </c>
      <c r="E44" s="71">
        <v>0.87714741376887195</v>
      </c>
      <c r="F44" s="71">
        <v>0.88018727589014301</v>
      </c>
      <c r="G44" s="71">
        <v>0.87791564734712901</v>
      </c>
      <c r="H44" s="71">
        <v>0.87889629064632202</v>
      </c>
      <c r="I44" s="71">
        <v>0.86443920461366197</v>
      </c>
      <c r="J44" s="71">
        <v>0.867193824154742</v>
      </c>
      <c r="K44" s="71">
        <v>0.87771230215328799</v>
      </c>
      <c r="L44" s="58">
        <f t="shared" si="6"/>
        <v>1.637379959658003</v>
      </c>
      <c r="M44" s="58">
        <f t="shared" si="7"/>
        <v>-2.0334519384102023E-2</v>
      </c>
      <c r="N44" s="58">
        <f t="shared" si="8"/>
        <v>1.0518477998545994</v>
      </c>
      <c r="O44" s="52"/>
      <c r="P44" s="92"/>
      <c r="Q44" s="53"/>
      <c r="R44" s="53"/>
      <c r="S44" s="53"/>
    </row>
    <row r="45" spans="2:20" x14ac:dyDescent="0.35">
      <c r="B45" s="66" t="s">
        <v>121</v>
      </c>
      <c r="C45" s="71">
        <v>0.83123337561525301</v>
      </c>
      <c r="D45" s="71">
        <v>0.85209099870339999</v>
      </c>
      <c r="E45" s="71">
        <v>0.85133123324589299</v>
      </c>
      <c r="F45" s="71">
        <v>0.867990515101002</v>
      </c>
      <c r="G45" s="71">
        <v>0.88045595778596597</v>
      </c>
      <c r="H45" s="71">
        <v>0.87256484941285395</v>
      </c>
      <c r="I45" s="71">
        <v>0.85850765881966795</v>
      </c>
      <c r="J45" s="71">
        <v>0.87285538427603804</v>
      </c>
      <c r="K45" s="71">
        <v>0.86893889801376301</v>
      </c>
      <c r="L45" s="58">
        <f t="shared" si="6"/>
        <v>3.7705522398509994</v>
      </c>
      <c r="M45" s="58">
        <f t="shared" si="7"/>
        <v>-1.1517059772202964</v>
      </c>
      <c r="N45" s="58">
        <f t="shared" si="8"/>
        <v>-0.39164862622750318</v>
      </c>
      <c r="O45" s="52"/>
      <c r="P45" s="92"/>
      <c r="Q45" s="53"/>
      <c r="R45" s="53"/>
      <c r="S45" s="53"/>
    </row>
    <row r="46" spans="2:20" x14ac:dyDescent="0.35">
      <c r="B46" s="66" t="s">
        <v>122</v>
      </c>
      <c r="C46" s="71">
        <v>0.86859576026669105</v>
      </c>
      <c r="D46" s="71">
        <v>0.87846914605314697</v>
      </c>
      <c r="E46" s="71">
        <v>0.88125999284633905</v>
      </c>
      <c r="F46" s="71">
        <v>0.89960886731922296</v>
      </c>
      <c r="G46" s="71">
        <v>0.91770889489438501</v>
      </c>
      <c r="H46" s="71">
        <v>0.91032463009354103</v>
      </c>
      <c r="I46" s="71">
        <v>0.87952906782128304</v>
      </c>
      <c r="J46" s="71">
        <v>0.88381524402996403</v>
      </c>
      <c r="K46" s="71">
        <v>0.89545540189490502</v>
      </c>
      <c r="L46" s="58">
        <f t="shared" si="6"/>
        <v>2.685964162821397</v>
      </c>
      <c r="M46" s="58">
        <f t="shared" si="7"/>
        <v>-2.2253492999479985</v>
      </c>
      <c r="N46" s="58">
        <f t="shared" si="8"/>
        <v>1.1640157864940992</v>
      </c>
      <c r="O46" s="52"/>
      <c r="P46" s="92"/>
      <c r="Q46" s="53"/>
      <c r="R46" s="53"/>
      <c r="S46" s="53"/>
    </row>
    <row r="47" spans="2:20" x14ac:dyDescent="0.35">
      <c r="B47" s="66" t="s">
        <v>123</v>
      </c>
      <c r="C47" s="71">
        <v>0.76713547867591103</v>
      </c>
      <c r="D47" s="71">
        <v>0.783846635507636</v>
      </c>
      <c r="E47" s="71">
        <v>0.78382575621273798</v>
      </c>
      <c r="F47" s="71">
        <v>0.80228884611766405</v>
      </c>
      <c r="G47" s="71">
        <v>0.79870962225561504</v>
      </c>
      <c r="H47" s="71">
        <v>0.78918078911847001</v>
      </c>
      <c r="I47" s="71">
        <v>0.76871648380461399</v>
      </c>
      <c r="J47" s="71">
        <v>0.78140673464644905</v>
      </c>
      <c r="K47" s="71">
        <v>0.79151170823558104</v>
      </c>
      <c r="L47" s="58">
        <f t="shared" si="6"/>
        <v>2.4376229559670004</v>
      </c>
      <c r="M47" s="58">
        <f t="shared" si="7"/>
        <v>-0.71979140200340019</v>
      </c>
      <c r="N47" s="58">
        <f t="shared" si="8"/>
        <v>1.0104973589131983</v>
      </c>
      <c r="O47" s="52"/>
      <c r="P47" s="92"/>
      <c r="Q47" s="53"/>
      <c r="R47" s="53"/>
      <c r="S47" s="53"/>
    </row>
    <row r="48" spans="2:20" x14ac:dyDescent="0.35">
      <c r="B48" s="68" t="s">
        <v>140</v>
      </c>
      <c r="C48" s="6">
        <v>0.81896121001658595</v>
      </c>
      <c r="D48" s="6">
        <v>0.83314928331514604</v>
      </c>
      <c r="E48" s="6">
        <v>0.83554642072854002</v>
      </c>
      <c r="F48" s="6">
        <v>0.85061103804137606</v>
      </c>
      <c r="G48" s="6">
        <v>0.85757977493502102</v>
      </c>
      <c r="H48" s="6">
        <v>0.84963734453198303</v>
      </c>
      <c r="I48" s="6">
        <v>0.82794370072085699</v>
      </c>
      <c r="J48" s="6">
        <v>0.83714122357112497</v>
      </c>
      <c r="K48" s="6">
        <v>0.84661195316626203</v>
      </c>
      <c r="L48" s="58">
        <f t="shared" si="6"/>
        <v>2.7650743149676082</v>
      </c>
      <c r="M48" s="58">
        <f t="shared" si="7"/>
        <v>-1.096782176875899</v>
      </c>
      <c r="N48" s="58">
        <f t="shared" si="8"/>
        <v>0.94707295951370618</v>
      </c>
      <c r="O48" s="52"/>
      <c r="P48" s="92"/>
      <c r="Q48" s="53"/>
      <c r="R48" s="53"/>
      <c r="S48" s="53"/>
    </row>
    <row r="49" spans="2:19" x14ac:dyDescent="0.35">
      <c r="B49" s="67"/>
      <c r="C49" s="53"/>
      <c r="D49" s="53"/>
      <c r="E49" s="53"/>
      <c r="F49" s="53"/>
      <c r="G49" s="53"/>
      <c r="H49" s="52"/>
      <c r="I49" s="52"/>
      <c r="J49" s="52"/>
      <c r="K49" s="52"/>
      <c r="L49" s="52"/>
      <c r="M49" s="52"/>
      <c r="N49" s="53"/>
      <c r="O49" s="52"/>
      <c r="P49" s="92"/>
      <c r="Q49" s="53"/>
      <c r="R49" s="53"/>
      <c r="S49" s="53"/>
    </row>
    <row r="50" spans="2:19" x14ac:dyDescent="0.35">
      <c r="B50" s="90" t="s">
        <v>257</v>
      </c>
      <c r="C50" s="53"/>
      <c r="D50" s="53"/>
      <c r="E50" s="53"/>
      <c r="F50" s="53"/>
      <c r="G50" s="53"/>
      <c r="H50" s="52"/>
      <c r="I50" s="52"/>
      <c r="J50" s="52"/>
      <c r="K50" s="52"/>
      <c r="L50" s="52"/>
      <c r="M50" s="52"/>
      <c r="N50" s="53"/>
      <c r="O50" s="52"/>
      <c r="P50" s="92"/>
      <c r="Q50" s="52"/>
      <c r="R50" s="52"/>
    </row>
    <row r="51" spans="2:19" ht="30" customHeight="1" x14ac:dyDescent="0.35">
      <c r="B51" s="18" t="s">
        <v>258</v>
      </c>
      <c r="C51" s="70">
        <v>2016</v>
      </c>
      <c r="D51" s="70">
        <v>2017</v>
      </c>
      <c r="E51" s="70">
        <v>2018</v>
      </c>
      <c r="F51" s="70">
        <v>2019</v>
      </c>
      <c r="G51" s="70">
        <v>2020</v>
      </c>
      <c r="H51" s="70">
        <v>2021</v>
      </c>
      <c r="I51" s="70">
        <v>2022</v>
      </c>
      <c r="J51" s="70">
        <v>2023</v>
      </c>
      <c r="K51" s="70">
        <v>2024</v>
      </c>
      <c r="L51" s="1" t="s">
        <v>241</v>
      </c>
      <c r="M51" s="1" t="s">
        <v>242</v>
      </c>
      <c r="N51" s="1" t="s">
        <v>243</v>
      </c>
      <c r="O51" s="52"/>
      <c r="P51" s="92"/>
      <c r="Q51" s="52"/>
      <c r="R51" s="52"/>
    </row>
    <row r="52" spans="2:19" x14ac:dyDescent="0.35">
      <c r="B52" s="68" t="s">
        <v>259</v>
      </c>
      <c r="C52" s="6">
        <v>0.82895730774826804</v>
      </c>
      <c r="D52" s="88">
        <v>0.84101442160728102</v>
      </c>
      <c r="E52" s="6">
        <v>0.84510425555964297</v>
      </c>
      <c r="F52" s="74">
        <v>0.86844851906613996</v>
      </c>
      <c r="G52" s="74">
        <v>0.88764804172581802</v>
      </c>
      <c r="H52" s="74">
        <v>0.87164462186553304</v>
      </c>
      <c r="I52" s="74">
        <v>0.84399468745778805</v>
      </c>
      <c r="J52" s="74">
        <v>0.85144234004910102</v>
      </c>
      <c r="K52" s="74">
        <v>0.86038502250360405</v>
      </c>
      <c r="L52" s="59">
        <f t="shared" ref="L52:L74" si="9">(K52-C52)*100</f>
        <v>3.1427714755336011</v>
      </c>
      <c r="M52" s="59">
        <f t="shared" ref="M52:M74" si="10">100*(K52-G52)</f>
        <v>-2.7263019222213969</v>
      </c>
      <c r="N52" s="59">
        <f t="shared" ref="N52:N74" si="11">(K52-J52)*100</f>
        <v>0.89426824545030259</v>
      </c>
      <c r="O52" s="52"/>
      <c r="P52" s="92"/>
      <c r="Q52" s="52"/>
      <c r="R52" s="52"/>
    </row>
    <row r="53" spans="2:19" x14ac:dyDescent="0.35">
      <c r="B53" s="66" t="s">
        <v>114</v>
      </c>
      <c r="C53" s="26">
        <v>0.82440358892771504</v>
      </c>
      <c r="D53" s="26">
        <v>0.83628941702674997</v>
      </c>
      <c r="E53" s="26">
        <v>0.84153535294509696</v>
      </c>
      <c r="F53" s="71">
        <v>0.85952075098934999</v>
      </c>
      <c r="G53" s="71">
        <v>0.87721453440973096</v>
      </c>
      <c r="H53" s="71">
        <v>0.84968834315986996</v>
      </c>
      <c r="I53" s="71">
        <v>0.83430910646325995</v>
      </c>
      <c r="J53" s="71">
        <v>0.83972745029412899</v>
      </c>
      <c r="K53" s="71">
        <v>0.84821246740955702</v>
      </c>
      <c r="L53" s="58">
        <f t="shared" si="9"/>
        <v>2.3808878481841989</v>
      </c>
      <c r="M53" s="58">
        <f t="shared" si="10"/>
        <v>-2.9002067000173937</v>
      </c>
      <c r="N53" s="58">
        <f t="shared" si="11"/>
        <v>0.84850171154280396</v>
      </c>
      <c r="O53" s="52"/>
      <c r="P53" s="92"/>
      <c r="Q53" s="52"/>
      <c r="R53" s="52"/>
    </row>
    <row r="54" spans="2:19" x14ac:dyDescent="0.35">
      <c r="B54" s="66" t="s">
        <v>115</v>
      </c>
      <c r="C54" s="26">
        <v>0.79616475205794401</v>
      </c>
      <c r="D54" s="26">
        <v>0.81467255124080495</v>
      </c>
      <c r="E54" s="26">
        <v>0.82364708266356501</v>
      </c>
      <c r="F54" s="71">
        <v>0.85677146732304899</v>
      </c>
      <c r="G54" s="71">
        <v>0.88157188702824396</v>
      </c>
      <c r="H54" s="71">
        <v>0.874509429225371</v>
      </c>
      <c r="I54" s="71">
        <v>0.80698781938693798</v>
      </c>
      <c r="J54" s="71">
        <v>0.82133951389220505</v>
      </c>
      <c r="K54" s="71">
        <v>0.82716368989553701</v>
      </c>
      <c r="L54" s="58">
        <f t="shared" si="9"/>
        <v>3.0998937837592999</v>
      </c>
      <c r="M54" s="58">
        <f t="shared" si="10"/>
        <v>-5.4408197132706952</v>
      </c>
      <c r="N54" s="58">
        <f t="shared" si="11"/>
        <v>0.58241760033319601</v>
      </c>
      <c r="O54" s="52"/>
      <c r="P54" s="92"/>
      <c r="Q54" s="52"/>
      <c r="R54" s="52"/>
    </row>
    <row r="55" spans="2:19" x14ac:dyDescent="0.35">
      <c r="B55" s="66" t="s">
        <v>116</v>
      </c>
      <c r="C55" s="26">
        <v>0.81399570258137299</v>
      </c>
      <c r="D55" s="26">
        <v>0.82759656138201398</v>
      </c>
      <c r="E55" s="26">
        <v>0.82886956700238001</v>
      </c>
      <c r="F55" s="71">
        <v>0.85164459843438001</v>
      </c>
      <c r="G55" s="71">
        <v>0.836856471583864</v>
      </c>
      <c r="H55" s="71">
        <v>0.83202466532920405</v>
      </c>
      <c r="I55" s="71">
        <v>0.84163374354600395</v>
      </c>
      <c r="J55" s="71">
        <v>0.85660702052134496</v>
      </c>
      <c r="K55" s="71">
        <v>0.86202250010945702</v>
      </c>
      <c r="L55" s="58">
        <f t="shared" si="9"/>
        <v>4.8026797528084035</v>
      </c>
      <c r="M55" s="58">
        <f t="shared" si="10"/>
        <v>2.5166028525593021</v>
      </c>
      <c r="N55" s="58">
        <f t="shared" si="11"/>
        <v>0.54154795881120599</v>
      </c>
      <c r="O55" s="52"/>
      <c r="P55" s="92"/>
      <c r="Q55" s="52"/>
      <c r="R55" s="52"/>
    </row>
    <row r="56" spans="2:19" x14ac:dyDescent="0.35">
      <c r="B56" s="66" t="s">
        <v>117</v>
      </c>
      <c r="C56" s="26">
        <v>0.75550738091512104</v>
      </c>
      <c r="D56" s="26">
        <v>0.765316582570015</v>
      </c>
      <c r="E56" s="26">
        <v>0.78805769477999099</v>
      </c>
      <c r="F56" s="71">
        <v>0.84225053278147299</v>
      </c>
      <c r="G56" s="71">
        <v>0.87970390808632604</v>
      </c>
      <c r="H56" s="71">
        <v>0.84753993192284804</v>
      </c>
      <c r="I56" s="71">
        <v>0.77782266902215003</v>
      </c>
      <c r="J56" s="71">
        <v>0.78698111614419397</v>
      </c>
      <c r="K56" s="71">
        <v>0.80101814733450005</v>
      </c>
      <c r="L56" s="58">
        <f t="shared" si="9"/>
        <v>4.5510766419379012</v>
      </c>
      <c r="M56" s="58">
        <f t="shared" si="10"/>
        <v>-7.8685760751825988</v>
      </c>
      <c r="N56" s="58">
        <f t="shared" si="11"/>
        <v>1.4037031190306082</v>
      </c>
      <c r="O56" s="52"/>
      <c r="P56" s="92"/>
      <c r="Q56" s="52"/>
      <c r="R56" s="52"/>
    </row>
    <row r="57" spans="2:19" x14ac:dyDescent="0.35">
      <c r="B57" s="66" t="s">
        <v>118</v>
      </c>
      <c r="C57" s="26">
        <v>0.86999977956862595</v>
      </c>
      <c r="D57" s="26">
        <v>0.88252758709164403</v>
      </c>
      <c r="E57" s="26">
        <v>0.88692364136736901</v>
      </c>
      <c r="F57" s="71">
        <v>0.90062657941871704</v>
      </c>
      <c r="G57" s="71">
        <v>0.91407206406905706</v>
      </c>
      <c r="H57" s="71">
        <v>0.90919710267040899</v>
      </c>
      <c r="I57" s="71">
        <v>0.89477034235116404</v>
      </c>
      <c r="J57" s="71">
        <v>0.902091640149423</v>
      </c>
      <c r="K57" s="71">
        <v>0.91565621636705696</v>
      </c>
      <c r="L57" s="58">
        <f t="shared" si="9"/>
        <v>4.5656436798431006</v>
      </c>
      <c r="M57" s="58">
        <f t="shared" si="10"/>
        <v>0.15841522979999079</v>
      </c>
      <c r="N57" s="58">
        <f t="shared" si="11"/>
        <v>1.3564576217633961</v>
      </c>
      <c r="O57" s="52"/>
      <c r="P57" s="92"/>
      <c r="Q57" s="52"/>
      <c r="R57" s="52"/>
    </row>
    <row r="58" spans="2:19" x14ac:dyDescent="0.35">
      <c r="B58" s="66" t="s">
        <v>119</v>
      </c>
      <c r="C58" s="26">
        <v>0.78866936459460102</v>
      </c>
      <c r="D58" s="26">
        <v>0.79936552402012895</v>
      </c>
      <c r="E58" s="26">
        <v>0.79901115862951699</v>
      </c>
      <c r="F58" s="71">
        <v>0.84271888594655897</v>
      </c>
      <c r="G58" s="71">
        <v>0.90220834599573996</v>
      </c>
      <c r="H58" s="71">
        <v>0.86843307528393399</v>
      </c>
      <c r="I58" s="71">
        <v>0.80360100009888902</v>
      </c>
      <c r="J58" s="71">
        <v>0.82160981586080795</v>
      </c>
      <c r="K58" s="71">
        <v>0.82575392561664196</v>
      </c>
      <c r="L58" s="58">
        <f t="shared" si="9"/>
        <v>3.7084561022040941</v>
      </c>
      <c r="M58" s="58">
        <f t="shared" si="10"/>
        <v>-7.6454420379097998</v>
      </c>
      <c r="N58" s="58">
        <f t="shared" si="11"/>
        <v>0.41441097558340134</v>
      </c>
      <c r="O58" s="52"/>
      <c r="P58" s="92"/>
      <c r="Q58" s="52"/>
      <c r="R58" s="52"/>
    </row>
    <row r="59" spans="2:19" x14ac:dyDescent="0.35">
      <c r="B59" s="66" t="s">
        <v>120</v>
      </c>
      <c r="C59" s="26">
        <v>0.87078708133510896</v>
      </c>
      <c r="D59" s="26">
        <v>0.88390986915053305</v>
      </c>
      <c r="E59" s="26">
        <v>0.88588590471417294</v>
      </c>
      <c r="F59" s="71">
        <v>0.89388349628483998</v>
      </c>
      <c r="G59" s="71">
        <v>0.90984712978455495</v>
      </c>
      <c r="H59" s="71">
        <v>0.90589727911214502</v>
      </c>
      <c r="I59" s="71">
        <v>0.89685310899708304</v>
      </c>
      <c r="J59" s="71">
        <v>0.89720244505049696</v>
      </c>
      <c r="K59" s="71">
        <v>0.90587603388171201</v>
      </c>
      <c r="L59" s="58">
        <f t="shared" si="9"/>
        <v>3.5088952546603047</v>
      </c>
      <c r="M59" s="58">
        <f t="shared" si="10"/>
        <v>-0.39710959028429471</v>
      </c>
      <c r="N59" s="58">
        <f t="shared" si="11"/>
        <v>0.86735888312150511</v>
      </c>
      <c r="O59" s="52"/>
      <c r="P59" s="92"/>
      <c r="Q59" s="52"/>
      <c r="R59" s="52"/>
    </row>
    <row r="60" spans="2:19" x14ac:dyDescent="0.35">
      <c r="B60" s="66" t="s">
        <v>121</v>
      </c>
      <c r="C60" s="26">
        <v>0.83790285763295902</v>
      </c>
      <c r="D60" s="26">
        <v>0.85158320697276002</v>
      </c>
      <c r="E60" s="26">
        <v>0.85998099160102703</v>
      </c>
      <c r="F60" s="71">
        <v>0.87635103951924398</v>
      </c>
      <c r="G60" s="71">
        <v>0.88756510730686</v>
      </c>
      <c r="H60" s="71">
        <v>0.875618298981508</v>
      </c>
      <c r="I60" s="71">
        <v>0.86466013862626301</v>
      </c>
      <c r="J60" s="71">
        <v>0.87501347150711195</v>
      </c>
      <c r="K60" s="71">
        <v>0.872661710967083</v>
      </c>
      <c r="L60" s="58">
        <f t="shared" si="9"/>
        <v>3.4758853334123985</v>
      </c>
      <c r="M60" s="58">
        <f t="shared" si="10"/>
        <v>-1.4903396339776998</v>
      </c>
      <c r="N60" s="58">
        <f t="shared" si="11"/>
        <v>-0.23517605400289465</v>
      </c>
      <c r="O60" s="52"/>
      <c r="P60" s="92"/>
      <c r="Q60" s="52"/>
      <c r="R60" s="52"/>
    </row>
    <row r="61" spans="2:19" x14ac:dyDescent="0.35">
      <c r="B61" s="66" t="s">
        <v>122</v>
      </c>
      <c r="C61" s="26">
        <v>0.87575985967032999</v>
      </c>
      <c r="D61" s="26">
        <v>0.88374361389464795</v>
      </c>
      <c r="E61" s="26">
        <v>0.88808403705940597</v>
      </c>
      <c r="F61" s="71">
        <v>0.91421356229608597</v>
      </c>
      <c r="G61" s="71">
        <v>0.94206147485444403</v>
      </c>
      <c r="H61" s="71">
        <v>0.93267291844045197</v>
      </c>
      <c r="I61" s="71">
        <v>0.89808724323312095</v>
      </c>
      <c r="J61" s="71">
        <v>0.89956028275906597</v>
      </c>
      <c r="K61" s="71">
        <v>0.90996086748184202</v>
      </c>
      <c r="L61" s="58">
        <f t="shared" si="9"/>
        <v>3.420100781151203</v>
      </c>
      <c r="M61" s="58">
        <f t="shared" si="10"/>
        <v>-3.2100607372602008</v>
      </c>
      <c r="N61" s="58">
        <f t="shared" si="11"/>
        <v>1.0400584722776052</v>
      </c>
      <c r="O61" s="52"/>
      <c r="P61" s="92"/>
      <c r="Q61" s="52"/>
      <c r="R61" s="52"/>
    </row>
    <row r="62" spans="2:19" x14ac:dyDescent="0.35">
      <c r="B62" s="66" t="s">
        <v>123</v>
      </c>
      <c r="C62" s="26">
        <v>0.77717714006690697</v>
      </c>
      <c r="D62" s="26">
        <v>0.79241648298535405</v>
      </c>
      <c r="E62" s="26">
        <v>0.79658889744869599</v>
      </c>
      <c r="F62" s="71">
        <v>0.82463991139089499</v>
      </c>
      <c r="G62" s="71">
        <v>0.83866037817321104</v>
      </c>
      <c r="H62" s="71">
        <v>0.81482467708173201</v>
      </c>
      <c r="I62" s="71">
        <v>0.780372155589101</v>
      </c>
      <c r="J62" s="71">
        <v>0.79301271525470196</v>
      </c>
      <c r="K62" s="71">
        <v>0.80359585957489599</v>
      </c>
      <c r="L62" s="58">
        <f t="shared" si="9"/>
        <v>2.6418719507989019</v>
      </c>
      <c r="M62" s="58">
        <f t="shared" si="10"/>
        <v>-3.5064518598315053</v>
      </c>
      <c r="N62" s="58">
        <f t="shared" si="11"/>
        <v>1.0583144320194027</v>
      </c>
      <c r="O62" s="52"/>
      <c r="P62" s="92"/>
      <c r="Q62" s="52"/>
      <c r="R62" s="52"/>
    </row>
    <row r="63" spans="2:19" x14ac:dyDescent="0.35">
      <c r="B63" s="68" t="s">
        <v>260</v>
      </c>
      <c r="C63" s="6">
        <v>0.79633449389014999</v>
      </c>
      <c r="D63" s="6">
        <v>0.81461561030841101</v>
      </c>
      <c r="E63" s="6">
        <v>0.81265316587868797</v>
      </c>
      <c r="F63" s="74">
        <v>0.80691334310340002</v>
      </c>
      <c r="G63" s="74">
        <v>0.77624044007363302</v>
      </c>
      <c r="H63" s="74">
        <v>0.78891929791212301</v>
      </c>
      <c r="I63" s="74">
        <v>0.783943577027716</v>
      </c>
      <c r="J63" s="74">
        <v>0.79757098997825404</v>
      </c>
      <c r="K63" s="74">
        <v>0.80583382210145704</v>
      </c>
      <c r="L63" s="59">
        <f t="shared" si="9"/>
        <v>0.94993282113070565</v>
      </c>
      <c r="M63" s="59">
        <f t="shared" si="10"/>
        <v>2.9593382027824022</v>
      </c>
      <c r="N63" s="59">
        <f t="shared" si="11"/>
        <v>0.82628321232030011</v>
      </c>
      <c r="O63" s="52"/>
      <c r="P63" s="92"/>
      <c r="Q63" s="52"/>
      <c r="R63" s="52"/>
    </row>
    <row r="64" spans="2:19" x14ac:dyDescent="0.35">
      <c r="B64" s="66" t="s">
        <v>114</v>
      </c>
      <c r="C64" s="71">
        <v>0.80465586091960295</v>
      </c>
      <c r="D64" s="71">
        <v>0.81809781530073</v>
      </c>
      <c r="E64" s="71">
        <v>0.81423628292246097</v>
      </c>
      <c r="F64" s="71">
        <v>0.80551336984590505</v>
      </c>
      <c r="G64" s="71">
        <v>0.78734825656437002</v>
      </c>
      <c r="H64" s="71">
        <v>0.78702209896023301</v>
      </c>
      <c r="I64" s="71">
        <v>0.77956758552140704</v>
      </c>
      <c r="J64" s="71">
        <v>0.79764801713850697</v>
      </c>
      <c r="K64" s="71">
        <v>0.80678806602935205</v>
      </c>
      <c r="L64" s="58">
        <f t="shared" si="9"/>
        <v>0.21322051097490968</v>
      </c>
      <c r="M64" s="58">
        <f t="shared" si="10"/>
        <v>1.9439809464982027</v>
      </c>
      <c r="N64" s="58">
        <f t="shared" si="11"/>
        <v>0.91400488908450761</v>
      </c>
      <c r="O64" s="52"/>
      <c r="P64" s="92"/>
      <c r="Q64" s="52"/>
      <c r="R64" s="52"/>
    </row>
    <row r="65" spans="2:18" x14ac:dyDescent="0.35">
      <c r="B65" s="66" t="s">
        <v>115</v>
      </c>
      <c r="C65" s="71">
        <v>0.79640292030897997</v>
      </c>
      <c r="D65" s="71">
        <v>0.81508256233419396</v>
      </c>
      <c r="E65" s="71">
        <v>0.80982228047217497</v>
      </c>
      <c r="F65" s="71">
        <v>0.79911353864895995</v>
      </c>
      <c r="G65" s="71">
        <v>0.75151331549651601</v>
      </c>
      <c r="H65" s="71">
        <v>0.79267702605536605</v>
      </c>
      <c r="I65" s="71">
        <v>0.81379742535363597</v>
      </c>
      <c r="J65" s="71">
        <v>0.82942852571829795</v>
      </c>
      <c r="K65" s="71">
        <v>0.83036350389762803</v>
      </c>
      <c r="L65" s="58">
        <f t="shared" si="9"/>
        <v>3.3960583588648063</v>
      </c>
      <c r="M65" s="58">
        <f t="shared" si="10"/>
        <v>7.8850188401112025</v>
      </c>
      <c r="N65" s="58">
        <f t="shared" si="11"/>
        <v>9.3497817933008154E-2</v>
      </c>
      <c r="O65" s="52"/>
      <c r="P65" s="92"/>
      <c r="Q65" s="52"/>
      <c r="R65" s="52"/>
    </row>
    <row r="66" spans="2:18" x14ac:dyDescent="0.35">
      <c r="B66" s="66" t="s">
        <v>116</v>
      </c>
      <c r="C66" s="71">
        <v>0.76998819935449903</v>
      </c>
      <c r="D66" s="71">
        <v>0.79211326073504695</v>
      </c>
      <c r="E66" s="71">
        <v>0.79462030311704002</v>
      </c>
      <c r="F66" s="71">
        <v>0.77650728052200202</v>
      </c>
      <c r="G66" s="71">
        <v>0.70390089118753696</v>
      </c>
      <c r="H66" s="71">
        <v>0.76402498716187905</v>
      </c>
      <c r="I66" s="71">
        <v>0.78188069026875395</v>
      </c>
      <c r="J66" s="71">
        <v>0.79161405917757899</v>
      </c>
      <c r="K66" s="71">
        <v>0.79532784787990896</v>
      </c>
      <c r="L66" s="58">
        <f t="shared" si="9"/>
        <v>2.533964852540993</v>
      </c>
      <c r="M66" s="58">
        <f t="shared" si="10"/>
        <v>9.1426956692371988</v>
      </c>
      <c r="N66" s="58">
        <f t="shared" si="11"/>
        <v>0.37137887023299676</v>
      </c>
      <c r="O66" s="52"/>
      <c r="P66" s="92"/>
      <c r="Q66" s="52"/>
      <c r="R66" s="52"/>
    </row>
    <row r="67" spans="2:18" x14ac:dyDescent="0.35">
      <c r="B67" s="66" t="s">
        <v>117</v>
      </c>
      <c r="C67" s="71">
        <v>0.79818563591785796</v>
      </c>
      <c r="D67" s="71">
        <v>0.81755047916065504</v>
      </c>
      <c r="E67" s="71">
        <v>0.81789679039782304</v>
      </c>
      <c r="F67" s="71">
        <v>0.81804570376661601</v>
      </c>
      <c r="G67" s="71">
        <v>0.81526460713703497</v>
      </c>
      <c r="H67" s="71">
        <v>0.78273710240040895</v>
      </c>
      <c r="I67" s="71">
        <v>0.76604735104798305</v>
      </c>
      <c r="J67" s="71">
        <v>0.77509506203312795</v>
      </c>
      <c r="K67" s="71">
        <v>0.78424786853133899</v>
      </c>
      <c r="L67" s="58">
        <f t="shared" si="9"/>
        <v>-1.3937767386518973</v>
      </c>
      <c r="M67" s="58">
        <f t="shared" si="10"/>
        <v>-3.1016738605695982</v>
      </c>
      <c r="N67" s="58">
        <f t="shared" si="11"/>
        <v>0.91528064982110413</v>
      </c>
      <c r="O67" s="52"/>
      <c r="P67" s="92"/>
      <c r="Q67" s="52"/>
      <c r="R67" s="52"/>
    </row>
    <row r="68" spans="2:18" x14ac:dyDescent="0.35">
      <c r="B68" s="66" t="s">
        <v>118</v>
      </c>
      <c r="C68" s="71">
        <v>0.81383465985133197</v>
      </c>
      <c r="D68" s="71">
        <v>0.82561698842499498</v>
      </c>
      <c r="E68" s="71">
        <v>0.83074547297926604</v>
      </c>
      <c r="F68" s="71">
        <v>0.80740049877245801</v>
      </c>
      <c r="G68" s="71">
        <v>0.793664553524147</v>
      </c>
      <c r="H68" s="71">
        <v>0.794252909910662</v>
      </c>
      <c r="I68" s="71">
        <v>0.77400762988206195</v>
      </c>
      <c r="J68" s="71">
        <v>0.79053710635219698</v>
      </c>
      <c r="K68" s="71">
        <v>0.80438702913622595</v>
      </c>
      <c r="L68" s="58">
        <f t="shared" si="9"/>
        <v>-0.94476307151060146</v>
      </c>
      <c r="M68" s="58">
        <f t="shared" si="10"/>
        <v>1.0722475612078952</v>
      </c>
      <c r="N68" s="58">
        <f t="shared" si="11"/>
        <v>1.3849922784028967</v>
      </c>
      <c r="O68" s="52"/>
      <c r="P68" s="92"/>
      <c r="Q68" s="52"/>
      <c r="R68" s="52"/>
    </row>
    <row r="69" spans="2:18" x14ac:dyDescent="0.35">
      <c r="B69" s="66" t="s">
        <v>119</v>
      </c>
      <c r="C69" s="71">
        <v>0.80497924371959895</v>
      </c>
      <c r="D69" s="71">
        <v>0.81118279805056603</v>
      </c>
      <c r="E69" s="71">
        <v>0.81292296829618504</v>
      </c>
      <c r="F69" s="71">
        <v>0.79038910518318894</v>
      </c>
      <c r="G69" s="71">
        <v>0.79765565039112096</v>
      </c>
      <c r="H69" s="71">
        <v>0.80135115510564303</v>
      </c>
      <c r="I69" s="71">
        <v>0.75122279604824904</v>
      </c>
      <c r="J69" s="71">
        <v>0.79178264413393795</v>
      </c>
      <c r="K69" s="71">
        <v>0.77795835023507898</v>
      </c>
      <c r="L69" s="58">
        <f t="shared" si="9"/>
        <v>-2.702089348451997</v>
      </c>
      <c r="M69" s="58">
        <f t="shared" si="10"/>
        <v>-1.9697300156041986</v>
      </c>
      <c r="N69" s="58">
        <f t="shared" si="11"/>
        <v>-1.3824293898858975</v>
      </c>
      <c r="O69" s="52"/>
      <c r="P69" s="92"/>
      <c r="Q69" s="52"/>
      <c r="R69" s="52"/>
    </row>
    <row r="70" spans="2:18" x14ac:dyDescent="0.35">
      <c r="B70" s="66" t="s">
        <v>120</v>
      </c>
      <c r="C70" s="71">
        <v>0.83596084144717797</v>
      </c>
      <c r="D70" s="71">
        <v>0.85641515745182795</v>
      </c>
      <c r="E70" s="71">
        <v>0.86149198218494305</v>
      </c>
      <c r="F70" s="71">
        <v>0.85774281395268603</v>
      </c>
      <c r="G70" s="71">
        <v>0.82332273046115501</v>
      </c>
      <c r="H70" s="71">
        <v>0.83287811204335704</v>
      </c>
      <c r="I70" s="71">
        <v>0.81011898586090603</v>
      </c>
      <c r="J70" s="71">
        <v>0.81733057640700701</v>
      </c>
      <c r="K70" s="71">
        <v>0.83033360131089995</v>
      </c>
      <c r="L70" s="58">
        <f t="shared" si="9"/>
        <v>-0.56272401362780222</v>
      </c>
      <c r="M70" s="58">
        <f t="shared" si="10"/>
        <v>0.70108708497449435</v>
      </c>
      <c r="N70" s="58">
        <f t="shared" si="11"/>
        <v>1.3003024903892935</v>
      </c>
      <c r="O70" s="52"/>
      <c r="P70" s="92"/>
      <c r="Q70" s="52"/>
      <c r="R70" s="52"/>
    </row>
    <row r="71" spans="2:18" x14ac:dyDescent="0.35">
      <c r="B71" s="66" t="s">
        <v>121</v>
      </c>
      <c r="C71" s="71">
        <v>0.79052999684052805</v>
      </c>
      <c r="D71" s="71">
        <v>0.85525045799428401</v>
      </c>
      <c r="E71" s="71">
        <v>0.80011695739356903</v>
      </c>
      <c r="F71" s="71">
        <v>0.815719790649724</v>
      </c>
      <c r="G71" s="71">
        <v>0.83440574711440796</v>
      </c>
      <c r="H71" s="71">
        <v>0.85116617673291695</v>
      </c>
      <c r="I71" s="71">
        <v>0.810612029596811</v>
      </c>
      <c r="J71" s="71">
        <v>0.853126981874197</v>
      </c>
      <c r="K71" s="71">
        <v>0.83033062852112705</v>
      </c>
      <c r="L71" s="58">
        <f t="shared" si="9"/>
        <v>3.9800631680598997</v>
      </c>
      <c r="M71" s="58">
        <f t="shared" si="10"/>
        <v>-0.40751185932809131</v>
      </c>
      <c r="N71" s="58">
        <f t="shared" si="11"/>
        <v>-2.2796353353069954</v>
      </c>
      <c r="O71" s="52"/>
      <c r="P71" s="92"/>
      <c r="Q71" s="52"/>
      <c r="R71" s="52"/>
    </row>
    <row r="72" spans="2:18" x14ac:dyDescent="0.35">
      <c r="B72" s="66" t="s">
        <v>122</v>
      </c>
      <c r="C72" s="71">
        <v>0.85062135102486502</v>
      </c>
      <c r="D72" s="71">
        <v>0.86440948108604698</v>
      </c>
      <c r="E72" s="71">
        <v>0.86256483285504204</v>
      </c>
      <c r="F72" s="71">
        <v>0.85875594612443595</v>
      </c>
      <c r="G72" s="71">
        <v>0.84340826845543604</v>
      </c>
      <c r="H72" s="71">
        <v>0.84682350230203396</v>
      </c>
      <c r="I72" s="71">
        <v>0.82987778775531795</v>
      </c>
      <c r="J72" s="71">
        <v>0.84242216374113499</v>
      </c>
      <c r="K72" s="71">
        <v>0.85380926876957897</v>
      </c>
      <c r="L72" s="58">
        <f t="shared" si="9"/>
        <v>0.31879177447139417</v>
      </c>
      <c r="M72" s="58">
        <f t="shared" si="10"/>
        <v>1.0401000314142927</v>
      </c>
      <c r="N72" s="58">
        <f t="shared" si="11"/>
        <v>1.1387105028443978</v>
      </c>
      <c r="O72" s="52"/>
      <c r="P72" s="92"/>
      <c r="Q72" s="52"/>
      <c r="R72" s="52"/>
    </row>
    <row r="73" spans="2:18" x14ac:dyDescent="0.35">
      <c r="B73" s="66" t="s">
        <v>123</v>
      </c>
      <c r="C73" s="71">
        <v>0.75029182147864204</v>
      </c>
      <c r="D73" s="71">
        <v>0.767603147682836</v>
      </c>
      <c r="E73" s="71">
        <v>0.75760492491637998</v>
      </c>
      <c r="F73" s="71">
        <v>0.75410354745936803</v>
      </c>
      <c r="G73" s="71">
        <v>0.70451110766335601</v>
      </c>
      <c r="H73" s="71">
        <v>0.72572136239127705</v>
      </c>
      <c r="I73" s="71">
        <v>0.73993942448301298</v>
      </c>
      <c r="J73" s="71">
        <v>0.75276736292676405</v>
      </c>
      <c r="K73" s="71">
        <v>0.76032328429037099</v>
      </c>
      <c r="L73" s="58">
        <f t="shared" si="9"/>
        <v>1.0031462811728953</v>
      </c>
      <c r="M73" s="58">
        <f t="shared" si="10"/>
        <v>5.5812176627014987</v>
      </c>
      <c r="N73" s="58">
        <f t="shared" si="11"/>
        <v>0.75559213636069433</v>
      </c>
      <c r="O73" s="52"/>
      <c r="P73" s="92"/>
      <c r="Q73" s="52"/>
      <c r="R73" s="52"/>
    </row>
    <row r="74" spans="2:18" x14ac:dyDescent="0.35">
      <c r="B74" s="68" t="s">
        <v>140</v>
      </c>
      <c r="C74" s="74">
        <v>0.81896121001658595</v>
      </c>
      <c r="D74" s="6">
        <v>0.83314928331514604</v>
      </c>
      <c r="E74" s="6">
        <v>0.83554642072854002</v>
      </c>
      <c r="F74" s="74">
        <v>0.85061103804137606</v>
      </c>
      <c r="G74" s="74">
        <v>0.85757977493502102</v>
      </c>
      <c r="H74" s="74">
        <v>0.84963734453198303</v>
      </c>
      <c r="I74" s="74">
        <v>0.82794370072085699</v>
      </c>
      <c r="J74" s="74">
        <v>0.83714122357112497</v>
      </c>
      <c r="K74" s="74">
        <v>0.84661195316626203</v>
      </c>
      <c r="L74" s="59">
        <f t="shared" si="9"/>
        <v>2.7650743149676082</v>
      </c>
      <c r="M74" s="59">
        <f t="shared" si="10"/>
        <v>-1.096782176875899</v>
      </c>
      <c r="N74" s="59">
        <f t="shared" si="11"/>
        <v>0.94707295951370618</v>
      </c>
      <c r="O74" s="52"/>
      <c r="P74" s="92"/>
      <c r="Q74" s="52"/>
      <c r="R74" s="52"/>
    </row>
    <row r="75" spans="2:18" x14ac:dyDescent="0.35">
      <c r="B75" s="91" t="s">
        <v>261</v>
      </c>
      <c r="C75" s="86"/>
      <c r="D75" s="86"/>
      <c r="E75" s="86"/>
      <c r="F75" s="86"/>
      <c r="G75" s="86"/>
      <c r="H75" s="52"/>
      <c r="I75" s="52"/>
      <c r="J75" s="52"/>
      <c r="K75" s="52"/>
      <c r="L75" s="52"/>
      <c r="M75" s="52"/>
      <c r="N75" s="53"/>
      <c r="O75" s="52"/>
      <c r="P75" s="92"/>
      <c r="Q75" s="52"/>
      <c r="R75" s="52"/>
    </row>
    <row r="76" spans="2:18" x14ac:dyDescent="0.35">
      <c r="B76" s="52"/>
      <c r="C76" s="52"/>
      <c r="D76" s="52"/>
      <c r="E76" s="52"/>
      <c r="F76" s="52"/>
      <c r="G76" s="52"/>
      <c r="H76" s="52"/>
      <c r="I76" s="52"/>
      <c r="J76" s="52"/>
      <c r="K76" s="52"/>
      <c r="L76" s="52"/>
      <c r="M76" s="52"/>
      <c r="N76" s="53"/>
      <c r="O76" s="52"/>
      <c r="P76" s="92"/>
      <c r="Q76" s="52"/>
      <c r="R76" s="52"/>
    </row>
    <row r="77" spans="2:18" x14ac:dyDescent="0.35">
      <c r="B77" s="90" t="s">
        <v>262</v>
      </c>
      <c r="C77" s="86"/>
      <c r="D77" s="86"/>
      <c r="E77" s="86"/>
      <c r="F77" s="86"/>
      <c r="G77" s="86"/>
      <c r="H77" s="52"/>
      <c r="I77" s="52"/>
      <c r="J77" s="52"/>
      <c r="K77" s="52"/>
      <c r="L77" s="52"/>
      <c r="M77" s="52"/>
      <c r="N77" s="52"/>
      <c r="O77" s="52"/>
      <c r="P77" s="92"/>
      <c r="Q77" s="52"/>
      <c r="R77" s="52"/>
    </row>
    <row r="78" spans="2:18" ht="30" customHeight="1" x14ac:dyDescent="0.35">
      <c r="B78" s="18" t="s">
        <v>263</v>
      </c>
      <c r="C78" s="70">
        <v>2016</v>
      </c>
      <c r="D78" s="70">
        <v>2017</v>
      </c>
      <c r="E78" s="70">
        <v>2018</v>
      </c>
      <c r="F78" s="70">
        <v>2019</v>
      </c>
      <c r="G78" s="70">
        <v>2020</v>
      </c>
      <c r="H78" s="70">
        <v>2021</v>
      </c>
      <c r="I78" s="70">
        <v>2022</v>
      </c>
      <c r="J78" s="70">
        <v>2023</v>
      </c>
      <c r="K78" s="70">
        <v>2024</v>
      </c>
      <c r="L78" s="1" t="s">
        <v>241</v>
      </c>
      <c r="M78" s="1" t="s">
        <v>242</v>
      </c>
      <c r="N78" s="1" t="s">
        <v>243</v>
      </c>
      <c r="O78" s="52"/>
      <c r="P78" s="92"/>
      <c r="Q78" s="52"/>
      <c r="R78" s="52"/>
    </row>
    <row r="79" spans="2:18" x14ac:dyDescent="0.35">
      <c r="B79" s="69" t="s">
        <v>264</v>
      </c>
      <c r="C79" s="71">
        <v>0.82779387328920295</v>
      </c>
      <c r="D79" s="71">
        <v>0.84013715586334203</v>
      </c>
      <c r="E79" s="71">
        <v>0.84373672124275001</v>
      </c>
      <c r="F79" s="71">
        <v>0.867086080903401</v>
      </c>
      <c r="G79" s="71">
        <v>0.87911904239752103</v>
      </c>
      <c r="H79" s="71">
        <v>0.87018577811778397</v>
      </c>
      <c r="I79" s="71">
        <v>0.84542345757170001</v>
      </c>
      <c r="J79" s="71">
        <v>0.852311746335639</v>
      </c>
      <c r="K79" s="71">
        <v>0.85901479186489704</v>
      </c>
      <c r="L79" s="58">
        <f t="shared" ref="L79:L84" si="12">(K79-C79)*100</f>
        <v>3.122091857569409</v>
      </c>
      <c r="M79" s="58">
        <f t="shared" ref="M79:M84" si="13">100*(K79-G79)</f>
        <v>-2.0104250532623991</v>
      </c>
      <c r="N79" s="58">
        <f t="shared" ref="N79:N84" si="14">(K79-J79)*100</f>
        <v>0.67030455292580449</v>
      </c>
      <c r="O79" s="52"/>
      <c r="P79" s="92"/>
      <c r="Q79" s="52"/>
      <c r="R79" s="52"/>
    </row>
    <row r="80" spans="2:18" x14ac:dyDescent="0.35">
      <c r="B80" s="69" t="s">
        <v>265</v>
      </c>
      <c r="C80" s="71">
        <v>0.80091606958628103</v>
      </c>
      <c r="D80" s="71">
        <v>0.82085858228061204</v>
      </c>
      <c r="E80" s="71">
        <v>0.81819090764056401</v>
      </c>
      <c r="F80" s="71">
        <v>0.81415029186551202</v>
      </c>
      <c r="G80" s="71">
        <v>0.79302109726695702</v>
      </c>
      <c r="H80" s="71">
        <v>0.795637507671619</v>
      </c>
      <c r="I80" s="71">
        <v>0.80270798354084205</v>
      </c>
      <c r="J80" s="71">
        <v>0.815346282816789</v>
      </c>
      <c r="K80" s="71">
        <v>0.81820188626582702</v>
      </c>
      <c r="L80" s="58">
        <f t="shared" si="12"/>
        <v>1.7285816679545984</v>
      </c>
      <c r="M80" s="58">
        <f t="shared" si="13"/>
        <v>2.5180788998869996</v>
      </c>
      <c r="N80" s="58">
        <f t="shared" si="14"/>
        <v>0.28556034490380133</v>
      </c>
      <c r="O80" s="52"/>
      <c r="P80" s="92"/>
      <c r="Q80" s="52"/>
      <c r="R80" s="52"/>
    </row>
    <row r="81" spans="2:18" x14ac:dyDescent="0.35">
      <c r="B81" s="69" t="s">
        <v>266</v>
      </c>
      <c r="C81" s="71">
        <v>0.76521772090296702</v>
      </c>
      <c r="D81" s="71">
        <v>0.88288080295619498</v>
      </c>
      <c r="E81" s="71">
        <v>0.85833884972276298</v>
      </c>
      <c r="F81" s="71">
        <v>0.83612950336716796</v>
      </c>
      <c r="G81" s="71">
        <v>0.84738791854157003</v>
      </c>
      <c r="H81" s="71">
        <v>0.83944257365019603</v>
      </c>
      <c r="I81" s="71">
        <v>0.85064125561189596</v>
      </c>
      <c r="J81" s="71">
        <v>0.82290152981708697</v>
      </c>
      <c r="K81" s="71">
        <v>0.83574490023530501</v>
      </c>
      <c r="L81" s="58">
        <f t="shared" si="12"/>
        <v>7.052717933233799</v>
      </c>
      <c r="M81" s="58">
        <f t="shared" si="13"/>
        <v>-1.1643018306265018</v>
      </c>
      <c r="N81" s="58">
        <f t="shared" si="14"/>
        <v>1.2843370418218036</v>
      </c>
      <c r="O81" s="52"/>
      <c r="P81" s="92"/>
      <c r="Q81" s="52"/>
      <c r="R81" s="52"/>
    </row>
    <row r="82" spans="2:18" x14ac:dyDescent="0.35">
      <c r="B82" s="69" t="s">
        <v>267</v>
      </c>
      <c r="C82" s="71">
        <v>0.70686675984043101</v>
      </c>
      <c r="D82" s="71">
        <v>0.71457698089225596</v>
      </c>
      <c r="E82" s="71">
        <v>0.74257119951472705</v>
      </c>
      <c r="F82" s="71">
        <v>0.71163266831080596</v>
      </c>
      <c r="G82" s="71">
        <v>0.74764792187861295</v>
      </c>
      <c r="H82" s="71">
        <v>0.74371207256324701</v>
      </c>
      <c r="I82" s="71">
        <v>0.71182953557996398</v>
      </c>
      <c r="J82" s="71">
        <v>0.75370642655911202</v>
      </c>
      <c r="K82" s="71">
        <v>0.79542666443942101</v>
      </c>
      <c r="L82" s="58">
        <f t="shared" si="12"/>
        <v>8.8559904598989991</v>
      </c>
      <c r="M82" s="58">
        <f t="shared" si="13"/>
        <v>4.7778742560808052</v>
      </c>
      <c r="N82" s="58">
        <f t="shared" si="14"/>
        <v>4.1720237880308986</v>
      </c>
      <c r="O82" s="52"/>
      <c r="P82" s="92"/>
      <c r="Q82" s="52"/>
      <c r="R82" s="52"/>
    </row>
    <row r="83" spans="2:18" x14ac:dyDescent="0.35">
      <c r="B83" s="69" t="s">
        <v>268</v>
      </c>
      <c r="C83" s="71">
        <v>0.83977203016534996</v>
      </c>
      <c r="D83" s="71">
        <v>0.83803613831828605</v>
      </c>
      <c r="E83" s="71">
        <v>0.84412023091692601</v>
      </c>
      <c r="F83" s="71">
        <v>0.85431900081522705</v>
      </c>
      <c r="G83" s="71">
        <v>0.79274664453385302</v>
      </c>
      <c r="H83" s="71">
        <v>0.87126625593247797</v>
      </c>
      <c r="I83" s="71">
        <v>0.82045887961983699</v>
      </c>
      <c r="J83" s="71">
        <v>0.89014184573410204</v>
      </c>
      <c r="K83" s="71">
        <v>0.92011497014603905</v>
      </c>
      <c r="L83" s="58">
        <f t="shared" si="12"/>
        <v>8.0342939980689092</v>
      </c>
      <c r="M83" s="58">
        <f t="shared" si="13"/>
        <v>12.736832561218602</v>
      </c>
      <c r="N83" s="58">
        <f t="shared" si="14"/>
        <v>2.9973124411937002</v>
      </c>
      <c r="O83" s="52"/>
      <c r="P83" s="92"/>
      <c r="Q83" s="52"/>
      <c r="R83" s="52"/>
    </row>
    <row r="84" spans="2:18" x14ac:dyDescent="0.35">
      <c r="B84" s="75" t="s">
        <v>140</v>
      </c>
      <c r="C84" s="6">
        <v>0.81896121001658595</v>
      </c>
      <c r="D84" s="6">
        <v>0.83314928331514604</v>
      </c>
      <c r="E84" s="6">
        <v>0.83554642072854002</v>
      </c>
      <c r="F84" s="6">
        <v>0.85061103804137606</v>
      </c>
      <c r="G84" s="74">
        <v>0.85757977493502102</v>
      </c>
      <c r="H84" s="74">
        <v>0.84963734453198303</v>
      </c>
      <c r="I84" s="74">
        <v>0.82794370072085699</v>
      </c>
      <c r="J84" s="74">
        <v>0.83714122357112497</v>
      </c>
      <c r="K84" s="74">
        <v>0.84661195316626203</v>
      </c>
      <c r="L84" s="59">
        <f t="shared" si="12"/>
        <v>2.7650743149676082</v>
      </c>
      <c r="M84" s="59">
        <f t="shared" si="13"/>
        <v>-1.096782176875899</v>
      </c>
      <c r="N84" s="59">
        <f t="shared" si="14"/>
        <v>0.94707295951370618</v>
      </c>
      <c r="O84" s="52"/>
      <c r="P84" s="92"/>
      <c r="Q84" s="52"/>
      <c r="R84" s="52"/>
    </row>
    <row r="85" spans="2:18" x14ac:dyDescent="0.35">
      <c r="B85" s="85"/>
      <c r="C85" s="86"/>
      <c r="D85" s="86"/>
      <c r="E85" s="86"/>
      <c r="F85" s="86"/>
      <c r="G85" s="86"/>
      <c r="H85" s="52"/>
      <c r="I85" s="52"/>
      <c r="J85" s="52"/>
      <c r="K85" s="52"/>
      <c r="L85" s="52"/>
      <c r="M85" s="52"/>
      <c r="N85" s="52"/>
      <c r="O85" s="52"/>
      <c r="P85" s="92"/>
      <c r="Q85" s="52"/>
      <c r="R85" s="52"/>
    </row>
    <row r="86" spans="2:18" x14ac:dyDescent="0.35">
      <c r="B86" s="90" t="s">
        <v>44</v>
      </c>
      <c r="C86" s="53"/>
      <c r="D86" s="53"/>
      <c r="E86" s="53"/>
      <c r="F86" s="53"/>
      <c r="G86" s="53"/>
      <c r="H86" s="52"/>
      <c r="J86" s="52"/>
      <c r="K86" s="52"/>
      <c r="L86" s="52"/>
      <c r="M86" s="52"/>
      <c r="N86" s="52"/>
      <c r="O86" s="52"/>
      <c r="P86" s="92"/>
      <c r="Q86" s="52"/>
      <c r="R86" s="52"/>
    </row>
    <row r="87" spans="2:18" ht="30" customHeight="1" x14ac:dyDescent="0.35">
      <c r="B87" s="18" t="s">
        <v>269</v>
      </c>
      <c r="C87" s="70">
        <v>2016</v>
      </c>
      <c r="D87" s="70">
        <v>2017</v>
      </c>
      <c r="E87" s="70">
        <v>2018</v>
      </c>
      <c r="F87" s="70">
        <v>2019</v>
      </c>
      <c r="G87" s="70">
        <v>2020</v>
      </c>
      <c r="H87" s="70">
        <v>2021</v>
      </c>
      <c r="I87" s="70">
        <v>2022</v>
      </c>
      <c r="J87" s="70">
        <v>2023</v>
      </c>
      <c r="K87" s="70">
        <v>2024</v>
      </c>
      <c r="L87" s="1" t="s">
        <v>241</v>
      </c>
      <c r="M87" s="1" t="s">
        <v>242</v>
      </c>
      <c r="N87" s="1" t="s">
        <v>243</v>
      </c>
      <c r="O87" s="52"/>
      <c r="P87" s="92"/>
      <c r="Q87" s="52"/>
      <c r="R87" s="52"/>
    </row>
    <row r="88" spans="2:18" x14ac:dyDescent="0.35">
      <c r="B88" s="75" t="s">
        <v>270</v>
      </c>
      <c r="C88" s="6">
        <v>0.82895730774826804</v>
      </c>
      <c r="D88" s="88">
        <v>0.84101442160728102</v>
      </c>
      <c r="E88" s="6">
        <v>0.84510425555964297</v>
      </c>
      <c r="F88" s="74">
        <v>0.86844851906613996</v>
      </c>
      <c r="G88" s="74">
        <v>0.88764804172581802</v>
      </c>
      <c r="H88" s="74">
        <v>0.87164462186553304</v>
      </c>
      <c r="I88" s="74">
        <v>0.84399468745778805</v>
      </c>
      <c r="J88" s="74">
        <v>0.85144234004910102</v>
      </c>
      <c r="K88" s="74">
        <v>0.86038502250360405</v>
      </c>
      <c r="L88" s="59">
        <f t="shared" ref="L88:L100" si="15">(K88-C88)*100</f>
        <v>3.1427714755336011</v>
      </c>
      <c r="M88" s="59">
        <f t="shared" ref="M88:M100" si="16">100*(K88-G88)</f>
        <v>-2.7263019222213969</v>
      </c>
      <c r="N88" s="59">
        <f t="shared" ref="N88:N100" si="17">(K88-J88)*100</f>
        <v>0.89426824545030259</v>
      </c>
      <c r="O88" s="52"/>
      <c r="P88" s="92"/>
      <c r="Q88" s="52"/>
      <c r="R88" s="52"/>
    </row>
    <row r="89" spans="2:18" x14ac:dyDescent="0.35">
      <c r="B89" s="69" t="s">
        <v>264</v>
      </c>
      <c r="C89" s="71">
        <v>0.83196107618402504</v>
      </c>
      <c r="D89" s="71">
        <v>0.84305047767473296</v>
      </c>
      <c r="E89" s="71">
        <v>0.84819625172486801</v>
      </c>
      <c r="F89" s="71">
        <v>0.87713910677891604</v>
      </c>
      <c r="G89" s="71">
        <v>0.89979903359548596</v>
      </c>
      <c r="H89" s="71">
        <v>0.88357068185682897</v>
      </c>
      <c r="I89" s="71">
        <v>0.852767655550564</v>
      </c>
      <c r="J89" s="71">
        <v>0.85847039830040095</v>
      </c>
      <c r="K89" s="71">
        <v>0.86599300554672798</v>
      </c>
      <c r="L89" s="58">
        <f t="shared" si="15"/>
        <v>3.403192936270294</v>
      </c>
      <c r="M89" s="58">
        <f t="shared" si="16"/>
        <v>-3.3806028048757986</v>
      </c>
      <c r="N89" s="58">
        <f t="shared" si="17"/>
        <v>0.75226072463270288</v>
      </c>
      <c r="O89" s="52"/>
      <c r="P89" s="92"/>
      <c r="Q89" s="52"/>
      <c r="R89" s="52"/>
    </row>
    <row r="90" spans="2:18" x14ac:dyDescent="0.35">
      <c r="B90" s="69" t="s">
        <v>265</v>
      </c>
      <c r="C90" s="71">
        <v>0.81749783839675005</v>
      </c>
      <c r="D90" s="71">
        <v>0.83451843933360303</v>
      </c>
      <c r="E90" s="71">
        <v>0.83054432975171899</v>
      </c>
      <c r="F90" s="71">
        <v>0.83184978360682604</v>
      </c>
      <c r="G90" s="71">
        <v>0.828212735673301</v>
      </c>
      <c r="H90" s="71">
        <v>0.81794448230816696</v>
      </c>
      <c r="I90" s="71">
        <v>0.82041269270336303</v>
      </c>
      <c r="J90" s="71">
        <v>0.82879689865769102</v>
      </c>
      <c r="K90" s="71">
        <v>0.83010449609887105</v>
      </c>
      <c r="L90" s="58">
        <f t="shared" si="15"/>
        <v>1.2606657702120994</v>
      </c>
      <c r="M90" s="58">
        <f t="shared" si="16"/>
        <v>0.18917604255700438</v>
      </c>
      <c r="N90" s="58">
        <f t="shared" si="17"/>
        <v>0.13075974411800306</v>
      </c>
      <c r="O90" s="52"/>
      <c r="P90" s="92"/>
      <c r="Q90" s="52"/>
      <c r="R90" s="52"/>
    </row>
    <row r="91" spans="2:18" x14ac:dyDescent="0.35">
      <c r="B91" s="69" t="s">
        <v>266</v>
      </c>
      <c r="C91" s="71">
        <v>0.74817620686387398</v>
      </c>
      <c r="D91" s="71">
        <v>0.89475474408295996</v>
      </c>
      <c r="E91" s="71">
        <v>0.83821195118789504</v>
      </c>
      <c r="F91" s="71">
        <v>0.827250255598318</v>
      </c>
      <c r="G91" s="71">
        <v>0.86944546099762599</v>
      </c>
      <c r="H91" s="71">
        <v>0.84788585712876596</v>
      </c>
      <c r="I91" s="71">
        <v>0.86324548049457095</v>
      </c>
      <c r="J91" s="71">
        <v>0.84958284278645801</v>
      </c>
      <c r="K91" s="71">
        <v>0.87048659609185097</v>
      </c>
      <c r="L91" s="58">
        <f t="shared" si="15"/>
        <v>12.231038922797699</v>
      </c>
      <c r="M91" s="58">
        <f t="shared" si="16"/>
        <v>0.10411350942249875</v>
      </c>
      <c r="N91" s="58">
        <f t="shared" si="17"/>
        <v>2.0903753305392958</v>
      </c>
      <c r="O91" s="52"/>
      <c r="P91" s="92"/>
      <c r="Q91" s="52"/>
      <c r="R91" s="52"/>
    </row>
    <row r="92" spans="2:18" x14ac:dyDescent="0.35">
      <c r="B92" s="69" t="s">
        <v>267</v>
      </c>
      <c r="C92" s="71">
        <v>0.79204222147876602</v>
      </c>
      <c r="D92" s="71">
        <v>0.78568816262235597</v>
      </c>
      <c r="E92" s="71">
        <v>0.816554314938855</v>
      </c>
      <c r="F92" s="71">
        <v>0.77569394321873197</v>
      </c>
      <c r="G92" s="71">
        <v>0.79156507150431898</v>
      </c>
      <c r="H92" s="71">
        <v>0.77457293970443097</v>
      </c>
      <c r="I92" s="71">
        <v>0.74919258137543199</v>
      </c>
      <c r="J92" s="71">
        <v>0.79614049734698</v>
      </c>
      <c r="K92" s="71">
        <v>0.83596500931030504</v>
      </c>
      <c r="L92" s="58">
        <f t="shared" si="15"/>
        <v>4.3922787831539019</v>
      </c>
      <c r="M92" s="58">
        <f t="shared" si="16"/>
        <v>4.4399937805986056</v>
      </c>
      <c r="N92" s="58">
        <f t="shared" si="17"/>
        <v>3.9824511963325038</v>
      </c>
      <c r="O92" s="52"/>
      <c r="P92" s="92"/>
      <c r="Q92" s="52"/>
      <c r="R92" s="52"/>
    </row>
    <row r="93" spans="2:18" x14ac:dyDescent="0.35">
      <c r="B93" s="69" t="s">
        <v>268</v>
      </c>
      <c r="C93" s="71">
        <v>0.85004259351253897</v>
      </c>
      <c r="D93" s="71">
        <v>0.84965313349951699</v>
      </c>
      <c r="E93" s="71">
        <v>0.85556459600853796</v>
      </c>
      <c r="F93" s="71">
        <v>0.86659867996352402</v>
      </c>
      <c r="G93" s="71">
        <v>0.797397035028656</v>
      </c>
      <c r="H93" s="71">
        <v>0.87080558918363904</v>
      </c>
      <c r="I93" s="71">
        <v>0.81954506388067705</v>
      </c>
      <c r="J93" s="71">
        <v>0.89181970649127995</v>
      </c>
      <c r="K93" s="71">
        <v>0.91986407495107403</v>
      </c>
      <c r="L93" s="58">
        <f t="shared" si="15"/>
        <v>6.9821481438535056</v>
      </c>
      <c r="M93" s="58">
        <f t="shared" si="16"/>
        <v>12.246703992241804</v>
      </c>
      <c r="N93" s="58">
        <f t="shared" si="17"/>
        <v>2.8044368459794078</v>
      </c>
      <c r="O93" s="52"/>
      <c r="P93" s="92"/>
      <c r="Q93" s="52"/>
      <c r="R93" s="52"/>
    </row>
    <row r="94" spans="2:18" x14ac:dyDescent="0.35">
      <c r="B94" s="75" t="s">
        <v>260</v>
      </c>
      <c r="C94" s="74">
        <v>0.79633449389014999</v>
      </c>
      <c r="D94" s="74">
        <v>0.81461561030841101</v>
      </c>
      <c r="E94" s="74">
        <v>0.81265316587868797</v>
      </c>
      <c r="F94" s="74">
        <v>0.80691334310340002</v>
      </c>
      <c r="G94" s="74">
        <v>0.77624044007363302</v>
      </c>
      <c r="H94" s="74">
        <v>0.78891929791212301</v>
      </c>
      <c r="I94" s="74">
        <v>0.783943577027716</v>
      </c>
      <c r="J94" s="74">
        <v>0.79757098997825404</v>
      </c>
      <c r="K94" s="74">
        <v>0.80583382210145704</v>
      </c>
      <c r="L94" s="59">
        <f t="shared" si="15"/>
        <v>0.94993282113070565</v>
      </c>
      <c r="M94" s="59">
        <f t="shared" si="16"/>
        <v>2.9593382027824022</v>
      </c>
      <c r="N94" s="59">
        <f t="shared" si="17"/>
        <v>0.82628321232030011</v>
      </c>
      <c r="O94" s="52"/>
      <c r="P94" s="92"/>
      <c r="Q94" s="52"/>
      <c r="R94" s="52"/>
    </row>
    <row r="95" spans="2:18" x14ac:dyDescent="0.35">
      <c r="B95" s="69" t="s">
        <v>264</v>
      </c>
      <c r="C95" s="71">
        <v>0.81334608172735101</v>
      </c>
      <c r="D95" s="71">
        <v>0.82974827072525104</v>
      </c>
      <c r="E95" s="71">
        <v>0.82770639472420304</v>
      </c>
      <c r="F95" s="71">
        <v>0.83000311811749194</v>
      </c>
      <c r="G95" s="71">
        <v>0.79519344762976396</v>
      </c>
      <c r="H95" s="71">
        <v>0.81279597047417496</v>
      </c>
      <c r="I95" s="71">
        <v>0.81329273175475203</v>
      </c>
      <c r="J95" s="71">
        <v>0.82501965926273102</v>
      </c>
      <c r="K95" s="71">
        <v>0.82615685913086301</v>
      </c>
      <c r="L95" s="58">
        <f t="shared" si="15"/>
        <v>1.2810777403511997</v>
      </c>
      <c r="M95" s="58">
        <f t="shared" si="16"/>
        <v>3.0963411501099047</v>
      </c>
      <c r="N95" s="58">
        <f t="shared" si="17"/>
        <v>0.11371998681319884</v>
      </c>
      <c r="O95" s="52"/>
      <c r="P95" s="92"/>
      <c r="Q95" s="52"/>
      <c r="R95" s="52"/>
    </row>
    <row r="96" spans="2:18" x14ac:dyDescent="0.35">
      <c r="B96" s="69" t="s">
        <v>265</v>
      </c>
      <c r="C96" s="71">
        <v>0.78701552539965602</v>
      </c>
      <c r="D96" s="71">
        <v>0.80874513413686699</v>
      </c>
      <c r="E96" s="71">
        <v>0.80721606523786804</v>
      </c>
      <c r="F96" s="71">
        <v>0.79868918970168101</v>
      </c>
      <c r="G96" s="71">
        <v>0.76082545019229997</v>
      </c>
      <c r="H96" s="71">
        <v>0.77441401660366604</v>
      </c>
      <c r="I96" s="71">
        <v>0.78595251204345995</v>
      </c>
      <c r="J96" s="71">
        <v>0.80248927872813902</v>
      </c>
      <c r="K96" s="71">
        <v>0.80600878095649897</v>
      </c>
      <c r="L96" s="58">
        <f t="shared" si="15"/>
        <v>1.8993255556842947</v>
      </c>
      <c r="M96" s="58">
        <f t="shared" si="16"/>
        <v>4.5183330764198999</v>
      </c>
      <c r="N96" s="58">
        <f t="shared" si="17"/>
        <v>0.35195022283599497</v>
      </c>
      <c r="O96" s="52"/>
      <c r="P96" s="92"/>
      <c r="Q96" s="52"/>
      <c r="R96" s="52"/>
    </row>
    <row r="97" spans="2:18" x14ac:dyDescent="0.35">
      <c r="B97" s="69" t="s">
        <v>266</v>
      </c>
      <c r="C97" s="71">
        <v>0.78113391059287396</v>
      </c>
      <c r="D97" s="71">
        <v>0.87548531780730598</v>
      </c>
      <c r="E97" s="71">
        <v>0.872591769598968</v>
      </c>
      <c r="F97" s="71">
        <v>0.84377667752874197</v>
      </c>
      <c r="G97" s="71">
        <v>0.82363094668262105</v>
      </c>
      <c r="H97" s="71">
        <v>0.82974137434863304</v>
      </c>
      <c r="I97" s="71">
        <v>0.80876317201326997</v>
      </c>
      <c r="J97" s="71">
        <v>0.76562273426540794</v>
      </c>
      <c r="K97" s="71">
        <v>0.775440292103864</v>
      </c>
      <c r="L97" s="58">
        <f t="shared" si="15"/>
        <v>-0.5693618489009955</v>
      </c>
      <c r="M97" s="58">
        <f t="shared" si="16"/>
        <v>-4.8190654578757037</v>
      </c>
      <c r="N97" s="58">
        <f t="shared" si="17"/>
        <v>0.98175578384560591</v>
      </c>
      <c r="O97" s="52"/>
      <c r="P97" s="92"/>
      <c r="Q97" s="52"/>
      <c r="R97" s="52"/>
    </row>
    <row r="98" spans="2:18" x14ac:dyDescent="0.35">
      <c r="B98" s="69" t="s">
        <v>267</v>
      </c>
      <c r="C98" s="71">
        <v>0.60348435987202198</v>
      </c>
      <c r="D98" s="71">
        <v>0.64145107448329297</v>
      </c>
      <c r="E98" s="71">
        <v>0.67597616822583295</v>
      </c>
      <c r="F98" s="71">
        <v>0.65115296404572298</v>
      </c>
      <c r="G98" s="71">
        <v>0.70634770283201398</v>
      </c>
      <c r="H98" s="71">
        <v>0.71581949366366304</v>
      </c>
      <c r="I98" s="71">
        <v>0.67944160247934005</v>
      </c>
      <c r="J98" s="71">
        <v>0.71179434129383101</v>
      </c>
      <c r="K98" s="71">
        <v>0.74918977395589004</v>
      </c>
      <c r="L98" s="58">
        <f t="shared" si="15"/>
        <v>14.570541408386806</v>
      </c>
      <c r="M98" s="58">
        <f t="shared" si="16"/>
        <v>4.2842071123876053</v>
      </c>
      <c r="N98" s="58">
        <f t="shared" si="17"/>
        <v>3.7395432662059025</v>
      </c>
      <c r="O98" s="52"/>
      <c r="P98" s="92"/>
      <c r="Q98" s="52"/>
      <c r="R98" s="52"/>
    </row>
    <row r="99" spans="2:18" x14ac:dyDescent="0.35">
      <c r="B99" s="69" t="s">
        <v>268</v>
      </c>
      <c r="C99" s="71">
        <v>0.77828305221980199</v>
      </c>
      <c r="D99" s="71">
        <v>0.76770357038752701</v>
      </c>
      <c r="E99" s="71">
        <v>0.78811415006511998</v>
      </c>
      <c r="F99" s="71">
        <v>0.77614162549678301</v>
      </c>
      <c r="G99" s="71">
        <v>0.75331726980663105</v>
      </c>
      <c r="H99" s="71">
        <v>0.87885271797232001</v>
      </c>
      <c r="I99" s="71">
        <v>0.84167864299443296</v>
      </c>
      <c r="J99" s="71">
        <v>0.86222834404652604</v>
      </c>
      <c r="K99" s="71">
        <v>0.93872549019607798</v>
      </c>
      <c r="L99" s="58">
        <f t="shared" si="15"/>
        <v>16.044243797627601</v>
      </c>
      <c r="M99" s="58">
        <f t="shared" si="16"/>
        <v>18.540822038944693</v>
      </c>
      <c r="N99" s="58">
        <f t="shared" si="17"/>
        <v>7.6497146149551938</v>
      </c>
      <c r="O99" s="52"/>
      <c r="P99" s="92"/>
      <c r="Q99" s="52"/>
      <c r="R99" s="52"/>
    </row>
    <row r="100" spans="2:18" x14ac:dyDescent="0.35">
      <c r="B100" s="75" t="s">
        <v>140</v>
      </c>
      <c r="C100" s="6">
        <v>0.81896121001658595</v>
      </c>
      <c r="D100" s="6">
        <v>0.83314928331514604</v>
      </c>
      <c r="E100" s="6">
        <v>0.83554642072854002</v>
      </c>
      <c r="F100" s="6">
        <v>0.85061103804137606</v>
      </c>
      <c r="G100" s="74">
        <v>0.85757977493502102</v>
      </c>
      <c r="H100" s="74">
        <v>0.84963734453198303</v>
      </c>
      <c r="I100" s="74">
        <v>0.82794370072085699</v>
      </c>
      <c r="J100" s="74">
        <v>0.83714122357112497</v>
      </c>
      <c r="K100" s="74">
        <v>0.84661195316626203</v>
      </c>
      <c r="L100" s="59">
        <f t="shared" si="15"/>
        <v>2.7650743149676082</v>
      </c>
      <c r="M100" s="59">
        <f t="shared" si="16"/>
        <v>-1.096782176875899</v>
      </c>
      <c r="N100" s="59">
        <f t="shared" si="17"/>
        <v>0.94707295951370618</v>
      </c>
      <c r="O100" s="52"/>
      <c r="P100" s="92"/>
      <c r="Q100" s="52"/>
      <c r="R100" s="52"/>
    </row>
    <row r="101" spans="2:18" x14ac:dyDescent="0.35">
      <c r="B101" s="91" t="s">
        <v>261</v>
      </c>
      <c r="C101" s="53"/>
      <c r="D101" s="53"/>
      <c r="E101" s="53"/>
      <c r="F101" s="53"/>
      <c r="G101" s="53"/>
      <c r="H101" s="53"/>
      <c r="I101" s="53"/>
      <c r="J101" s="53"/>
      <c r="K101" s="53"/>
      <c r="L101" s="53"/>
      <c r="M101" s="53"/>
      <c r="N101" s="52"/>
      <c r="O101" s="52"/>
      <c r="P101" s="52"/>
      <c r="Q101" s="52"/>
    </row>
    <row r="102" spans="2:18" x14ac:dyDescent="0.35">
      <c r="B102" s="52"/>
      <c r="C102" s="52"/>
      <c r="D102" s="52"/>
      <c r="E102" s="52"/>
      <c r="F102" s="52"/>
      <c r="G102" s="52"/>
      <c r="H102" s="52"/>
      <c r="I102" s="52"/>
      <c r="J102" s="52"/>
      <c r="K102" s="52"/>
      <c r="L102" s="52"/>
      <c r="M102" s="52"/>
      <c r="N102" s="52"/>
      <c r="O102" s="52"/>
      <c r="P102" s="52"/>
      <c r="Q102" s="52"/>
    </row>
    <row r="103" spans="2:18" x14ac:dyDescent="0.35">
      <c r="B103" s="22" t="s">
        <v>98</v>
      </c>
      <c r="C103" s="89"/>
      <c r="D103" s="52"/>
      <c r="E103" s="52"/>
      <c r="F103" s="52"/>
      <c r="G103" s="52"/>
      <c r="H103" s="52"/>
      <c r="I103" s="52"/>
      <c r="J103" s="52"/>
      <c r="K103" s="52"/>
      <c r="L103" s="53"/>
      <c r="M103" s="53"/>
      <c r="N103" s="52"/>
      <c r="O103" s="52"/>
      <c r="P103" s="52"/>
      <c r="Q103" s="52"/>
    </row>
    <row r="104" spans="2:18" x14ac:dyDescent="0.35">
      <c r="B104" s="9" t="s">
        <v>99</v>
      </c>
      <c r="C104" s="89"/>
      <c r="D104" s="52"/>
      <c r="E104" s="52"/>
      <c r="F104" s="52"/>
      <c r="G104" s="52"/>
      <c r="H104" s="52"/>
      <c r="I104" s="52"/>
      <c r="J104" s="52"/>
      <c r="K104" s="52"/>
      <c r="L104" s="53"/>
      <c r="M104" s="53"/>
      <c r="N104" s="52"/>
      <c r="O104" s="52"/>
      <c r="P104" s="52"/>
      <c r="Q104" s="52"/>
    </row>
    <row r="105" spans="2:18" x14ac:dyDescent="0.35">
      <c r="B105" s="52"/>
      <c r="C105" s="52"/>
      <c r="D105" s="52"/>
      <c r="E105" s="52"/>
      <c r="F105" s="52"/>
      <c r="G105" s="52"/>
      <c r="H105" s="52"/>
      <c r="I105" s="52"/>
      <c r="J105" s="52"/>
      <c r="K105" s="52"/>
      <c r="L105" s="53"/>
      <c r="M105" s="53"/>
      <c r="N105" s="52"/>
      <c r="O105" s="52"/>
      <c r="P105" s="52"/>
      <c r="Q105" s="52"/>
    </row>
    <row r="106" spans="2:18" x14ac:dyDescent="0.35">
      <c r="B106" s="52"/>
      <c r="C106" s="52"/>
      <c r="D106" s="52"/>
      <c r="E106" s="52"/>
      <c r="F106" s="52"/>
      <c r="G106" s="52"/>
      <c r="H106" s="52"/>
      <c r="I106" s="52"/>
      <c r="J106" s="52"/>
      <c r="K106" s="52"/>
      <c r="L106" s="53"/>
      <c r="M106" s="53"/>
      <c r="N106" s="52"/>
      <c r="O106" s="52"/>
      <c r="P106" s="52"/>
      <c r="Q106" s="52"/>
    </row>
    <row r="107" spans="2:18" x14ac:dyDescent="0.35">
      <c r="B107" s="52"/>
      <c r="C107" s="52"/>
      <c r="D107" s="52"/>
      <c r="E107" s="52"/>
      <c r="F107" s="52"/>
      <c r="G107" s="52"/>
      <c r="H107" s="52"/>
      <c r="I107" s="52"/>
      <c r="J107" s="52"/>
      <c r="K107" s="52"/>
      <c r="L107" s="53"/>
      <c r="M107" s="53"/>
      <c r="N107" s="52"/>
      <c r="O107" s="52"/>
      <c r="P107" s="52"/>
      <c r="Q107" s="52"/>
    </row>
    <row r="108" spans="2:18" x14ac:dyDescent="0.35">
      <c r="B108" s="89"/>
      <c r="C108" s="89"/>
      <c r="D108" s="52"/>
      <c r="E108" s="52"/>
      <c r="F108" s="52"/>
      <c r="G108" s="52"/>
      <c r="H108" s="52"/>
      <c r="I108" s="52"/>
      <c r="J108" s="52"/>
      <c r="K108" s="52"/>
      <c r="L108" s="53"/>
      <c r="M108" s="53"/>
      <c r="N108" s="52"/>
      <c r="O108" s="52"/>
      <c r="P108" s="52"/>
      <c r="Q108" s="52"/>
    </row>
    <row r="109" spans="2:18" x14ac:dyDescent="0.35">
      <c r="B109" s="89"/>
      <c r="C109" s="89"/>
      <c r="D109" s="52"/>
      <c r="E109" s="52"/>
      <c r="F109" s="52"/>
      <c r="G109" s="52"/>
      <c r="H109" s="52"/>
      <c r="I109" s="52"/>
      <c r="J109" s="52"/>
      <c r="K109" s="52"/>
      <c r="L109" s="53"/>
      <c r="M109" s="53"/>
      <c r="N109" s="52"/>
      <c r="O109" s="52"/>
      <c r="P109" s="52"/>
      <c r="Q109" s="52"/>
    </row>
    <row r="110" spans="2:18" x14ac:dyDescent="0.35">
      <c r="B110" s="52"/>
      <c r="C110" s="52"/>
      <c r="D110" s="52"/>
      <c r="E110" s="52"/>
      <c r="F110" s="52"/>
      <c r="G110" s="52"/>
      <c r="H110" s="52"/>
      <c r="I110" s="52"/>
      <c r="J110" s="52"/>
      <c r="K110" s="52"/>
      <c r="L110" s="53"/>
      <c r="M110" s="53"/>
      <c r="N110" s="52"/>
      <c r="O110" s="52"/>
      <c r="P110" s="52"/>
      <c r="Q110" s="52"/>
    </row>
    <row r="111" spans="2:18" x14ac:dyDescent="0.35">
      <c r="B111" s="52"/>
      <c r="C111" s="52"/>
      <c r="D111" s="52"/>
      <c r="E111" s="52"/>
      <c r="F111" s="52"/>
      <c r="G111" s="52"/>
      <c r="H111" s="52"/>
      <c r="I111" s="52"/>
      <c r="J111" s="52"/>
      <c r="K111" s="52"/>
      <c r="L111" s="53"/>
      <c r="M111" s="53"/>
      <c r="N111" s="52"/>
      <c r="O111" s="52"/>
      <c r="P111" s="52"/>
      <c r="Q111" s="52"/>
    </row>
    <row r="112" spans="2:18" x14ac:dyDescent="0.35">
      <c r="B112" s="52"/>
      <c r="C112" s="52"/>
      <c r="D112" s="52"/>
      <c r="E112" s="52"/>
      <c r="F112" s="52"/>
      <c r="G112" s="52"/>
      <c r="H112" s="52"/>
      <c r="I112" s="52"/>
      <c r="J112" s="52"/>
      <c r="K112" s="52"/>
      <c r="L112" s="53"/>
      <c r="M112" s="53"/>
      <c r="N112" s="52"/>
      <c r="O112" s="52"/>
      <c r="P112" s="52"/>
      <c r="Q112" s="52"/>
    </row>
    <row r="113" spans="2:17" x14ac:dyDescent="0.35">
      <c r="B113" s="89"/>
      <c r="C113" s="89"/>
      <c r="D113" s="52"/>
      <c r="E113" s="52"/>
      <c r="F113" s="52"/>
      <c r="G113" s="52"/>
      <c r="H113" s="52"/>
      <c r="I113" s="52"/>
      <c r="J113" s="52"/>
      <c r="K113" s="52"/>
      <c r="L113" s="53"/>
      <c r="M113" s="53"/>
      <c r="N113" s="52"/>
      <c r="O113" s="52"/>
      <c r="P113" s="52"/>
      <c r="Q113" s="52"/>
    </row>
    <row r="114" spans="2:17" x14ac:dyDescent="0.35">
      <c r="B114" s="89"/>
      <c r="C114" s="89"/>
      <c r="D114" s="52"/>
      <c r="E114" s="52"/>
      <c r="F114" s="52"/>
      <c r="G114" s="52"/>
      <c r="H114" s="52"/>
      <c r="I114" s="52"/>
      <c r="J114" s="52"/>
      <c r="K114" s="52"/>
      <c r="L114" s="53"/>
      <c r="M114" s="53"/>
      <c r="N114" s="52"/>
      <c r="O114" s="52"/>
      <c r="P114" s="52"/>
      <c r="Q114" s="52"/>
    </row>
    <row r="115" spans="2:17" x14ac:dyDescent="0.35">
      <c r="B115" s="52"/>
      <c r="C115" s="52"/>
      <c r="D115" s="52"/>
      <c r="E115" s="52"/>
      <c r="F115" s="52"/>
      <c r="G115" s="52"/>
      <c r="H115" s="52"/>
      <c r="I115" s="52"/>
      <c r="J115" s="52"/>
      <c r="K115" s="52"/>
      <c r="L115" s="53"/>
      <c r="M115" s="53"/>
      <c r="N115" s="52"/>
      <c r="O115" s="52"/>
      <c r="P115" s="52"/>
      <c r="Q115" s="52"/>
    </row>
    <row r="116" spans="2:17" x14ac:dyDescent="0.35">
      <c r="B116" s="52"/>
      <c r="C116" s="52"/>
      <c r="D116" s="52"/>
      <c r="E116" s="52"/>
      <c r="F116" s="52"/>
      <c r="G116" s="52"/>
      <c r="H116" s="52"/>
      <c r="I116" s="52"/>
      <c r="J116" s="52"/>
      <c r="K116" s="52"/>
      <c r="L116" s="53"/>
      <c r="M116" s="53"/>
      <c r="N116" s="52"/>
      <c r="O116" s="52"/>
      <c r="P116" s="52"/>
      <c r="Q116" s="52"/>
    </row>
    <row r="117" spans="2:17" x14ac:dyDescent="0.35">
      <c r="B117" s="52"/>
      <c r="C117" s="52"/>
      <c r="D117" s="52"/>
      <c r="E117" s="52"/>
      <c r="F117" s="52"/>
      <c r="G117" s="52"/>
      <c r="H117" s="52"/>
      <c r="I117" s="52"/>
      <c r="J117" s="52"/>
      <c r="K117" s="52"/>
      <c r="L117" s="53"/>
      <c r="M117" s="53"/>
      <c r="N117" s="52"/>
      <c r="O117" s="52"/>
      <c r="P117" s="52"/>
      <c r="Q117" s="52"/>
    </row>
    <row r="118" spans="2:17" x14ac:dyDescent="0.35">
      <c r="B118" s="89"/>
      <c r="C118" s="89"/>
      <c r="D118" s="52"/>
      <c r="E118" s="52"/>
      <c r="F118" s="52"/>
      <c r="G118" s="52"/>
      <c r="H118" s="52"/>
      <c r="I118" s="52"/>
      <c r="J118" s="52"/>
      <c r="K118" s="52"/>
      <c r="L118" s="53"/>
      <c r="M118" s="53"/>
      <c r="N118" s="52"/>
      <c r="O118" s="52"/>
      <c r="P118" s="52"/>
      <c r="Q118" s="52"/>
    </row>
    <row r="119" spans="2:17" x14ac:dyDescent="0.35">
      <c r="B119" s="89"/>
      <c r="C119" s="89"/>
      <c r="D119" s="52"/>
      <c r="E119" s="52"/>
      <c r="F119" s="52"/>
      <c r="G119" s="52"/>
      <c r="H119" s="52"/>
      <c r="I119" s="52"/>
      <c r="J119" s="52"/>
      <c r="K119" s="52"/>
      <c r="L119" s="53"/>
      <c r="M119" s="53"/>
      <c r="N119" s="52"/>
      <c r="O119" s="52"/>
      <c r="P119" s="52"/>
      <c r="Q119" s="52"/>
    </row>
    <row r="120" spans="2:17" x14ac:dyDescent="0.35">
      <c r="B120" s="52"/>
      <c r="C120" s="52"/>
      <c r="D120" s="52"/>
      <c r="E120" s="52"/>
      <c r="F120" s="52"/>
      <c r="G120" s="52"/>
      <c r="H120" s="52"/>
      <c r="I120" s="52"/>
      <c r="J120" s="52"/>
      <c r="K120" s="52"/>
      <c r="L120" s="53"/>
      <c r="M120" s="53"/>
      <c r="N120" s="52"/>
      <c r="O120" s="52"/>
      <c r="P120" s="52"/>
      <c r="Q120" s="52"/>
    </row>
    <row r="121" spans="2:17" x14ac:dyDescent="0.35">
      <c r="B121" s="52"/>
      <c r="C121" s="52"/>
      <c r="D121" s="52"/>
      <c r="E121" s="52"/>
      <c r="F121" s="52"/>
      <c r="G121" s="52"/>
      <c r="H121" s="52"/>
      <c r="I121" s="52"/>
      <c r="J121" s="52"/>
      <c r="K121" s="52"/>
      <c r="L121" s="53"/>
      <c r="M121" s="53"/>
      <c r="N121" s="52"/>
      <c r="O121" s="52"/>
      <c r="P121" s="52"/>
      <c r="Q121" s="52"/>
    </row>
    <row r="122" spans="2:17" x14ac:dyDescent="0.35">
      <c r="B122" s="52"/>
      <c r="C122" s="52"/>
      <c r="D122" s="52"/>
      <c r="E122" s="52"/>
      <c r="F122" s="52"/>
      <c r="G122" s="52"/>
      <c r="H122" s="52"/>
      <c r="I122" s="52"/>
      <c r="J122" s="52"/>
      <c r="K122" s="52"/>
      <c r="L122" s="53"/>
      <c r="M122" s="53"/>
      <c r="N122" s="52"/>
      <c r="O122" s="52"/>
      <c r="P122" s="52"/>
      <c r="Q122" s="52"/>
    </row>
    <row r="123" spans="2:17" x14ac:dyDescent="0.35">
      <c r="B123" s="89"/>
      <c r="C123" s="89"/>
      <c r="D123" s="52"/>
      <c r="E123" s="52"/>
      <c r="F123" s="52"/>
      <c r="G123" s="52"/>
      <c r="H123" s="52"/>
      <c r="I123" s="52"/>
      <c r="J123" s="52"/>
      <c r="K123" s="52"/>
      <c r="L123" s="53"/>
      <c r="M123" s="53"/>
      <c r="N123" s="52"/>
      <c r="O123" s="52"/>
      <c r="P123" s="52"/>
      <c r="Q123" s="52"/>
    </row>
    <row r="124" spans="2:17" x14ac:dyDescent="0.35">
      <c r="B124" s="89"/>
      <c r="C124" s="89"/>
      <c r="D124" s="52"/>
      <c r="E124" s="52"/>
      <c r="F124" s="52"/>
      <c r="G124" s="52"/>
      <c r="H124" s="52"/>
      <c r="I124" s="52"/>
      <c r="J124" s="52"/>
      <c r="K124" s="52"/>
      <c r="L124" s="53"/>
      <c r="M124" s="53"/>
      <c r="N124" s="52"/>
      <c r="O124" s="52"/>
      <c r="P124" s="52"/>
      <c r="Q124" s="52"/>
    </row>
    <row r="125" spans="2:17" x14ac:dyDescent="0.35">
      <c r="B125" s="52"/>
      <c r="C125" s="52"/>
      <c r="D125" s="52"/>
      <c r="E125" s="52"/>
      <c r="F125" s="52"/>
      <c r="G125" s="52"/>
      <c r="H125" s="52"/>
      <c r="I125" s="52"/>
      <c r="J125" s="52"/>
      <c r="K125" s="52"/>
      <c r="L125" s="53"/>
      <c r="M125" s="53"/>
      <c r="N125" s="52"/>
      <c r="O125" s="52"/>
      <c r="P125" s="52"/>
      <c r="Q125" s="52"/>
    </row>
    <row r="126" spans="2:17" x14ac:dyDescent="0.35">
      <c r="B126" s="52"/>
      <c r="C126" s="52"/>
      <c r="D126" s="52"/>
      <c r="E126" s="52"/>
      <c r="F126" s="52"/>
      <c r="G126" s="52"/>
      <c r="H126" s="52"/>
      <c r="I126" s="52"/>
      <c r="J126" s="52"/>
      <c r="K126" s="52"/>
      <c r="L126" s="53"/>
      <c r="M126" s="53"/>
      <c r="N126" s="52"/>
      <c r="O126" s="52"/>
      <c r="P126" s="52"/>
      <c r="Q126" s="52"/>
    </row>
    <row r="127" spans="2:17" x14ac:dyDescent="0.35">
      <c r="B127" s="52"/>
      <c r="C127" s="52"/>
      <c r="D127" s="52"/>
      <c r="E127" s="52"/>
      <c r="F127" s="52"/>
      <c r="G127" s="52"/>
      <c r="H127" s="52"/>
      <c r="I127" s="52"/>
      <c r="J127" s="52"/>
      <c r="K127" s="52"/>
      <c r="L127" s="53"/>
      <c r="M127" s="53"/>
      <c r="N127" s="52"/>
      <c r="O127" s="52"/>
      <c r="P127" s="52"/>
      <c r="Q127" s="52"/>
    </row>
    <row r="128" spans="2:17" x14ac:dyDescent="0.35">
      <c r="B128" s="89"/>
      <c r="C128" s="89"/>
      <c r="D128" s="52"/>
      <c r="E128" s="52"/>
      <c r="F128" s="52"/>
      <c r="G128" s="52"/>
      <c r="H128" s="52"/>
      <c r="I128" s="52"/>
      <c r="J128" s="52"/>
      <c r="K128" s="52"/>
      <c r="L128" s="53"/>
      <c r="M128" s="53"/>
      <c r="N128" s="52"/>
      <c r="O128" s="52"/>
      <c r="P128" s="52"/>
      <c r="Q128" s="52"/>
    </row>
    <row r="129" spans="2:17" x14ac:dyDescent="0.35">
      <c r="B129" s="89"/>
      <c r="C129" s="89"/>
      <c r="D129" s="52"/>
      <c r="E129" s="52"/>
      <c r="F129" s="52"/>
      <c r="G129" s="52"/>
      <c r="H129" s="52"/>
      <c r="I129" s="52"/>
      <c r="J129" s="52"/>
      <c r="K129" s="52"/>
      <c r="L129" s="53"/>
      <c r="M129" s="53"/>
      <c r="N129" s="52"/>
      <c r="O129" s="52"/>
      <c r="P129" s="52"/>
      <c r="Q129" s="52"/>
    </row>
    <row r="130" spans="2:17" x14ac:dyDescent="0.35">
      <c r="B130" s="52"/>
      <c r="C130" s="52"/>
      <c r="D130" s="52"/>
      <c r="E130" s="52"/>
      <c r="F130" s="52"/>
      <c r="G130" s="52"/>
      <c r="H130" s="52"/>
      <c r="I130" s="52"/>
      <c r="J130" s="52"/>
      <c r="K130" s="52"/>
      <c r="L130" s="53"/>
      <c r="M130" s="53"/>
      <c r="N130" s="52"/>
      <c r="O130" s="52"/>
      <c r="P130" s="52"/>
      <c r="Q130" s="52"/>
    </row>
    <row r="131" spans="2:17" x14ac:dyDescent="0.35">
      <c r="B131" s="52"/>
      <c r="C131" s="52"/>
      <c r="D131" s="52"/>
      <c r="E131" s="52"/>
      <c r="F131" s="52"/>
      <c r="G131" s="52"/>
      <c r="H131" s="52"/>
      <c r="I131" s="52"/>
      <c r="J131" s="52"/>
      <c r="K131" s="52"/>
      <c r="L131" s="53"/>
      <c r="M131" s="53"/>
      <c r="N131" s="52"/>
      <c r="O131" s="52"/>
      <c r="P131" s="52"/>
      <c r="Q131" s="52"/>
    </row>
    <row r="132" spans="2:17" x14ac:dyDescent="0.35">
      <c r="B132" s="52"/>
      <c r="C132" s="52"/>
      <c r="D132" s="52"/>
      <c r="E132" s="52"/>
      <c r="F132" s="52"/>
      <c r="G132" s="52"/>
      <c r="H132" s="52"/>
      <c r="I132" s="52"/>
      <c r="J132" s="52"/>
      <c r="K132" s="52"/>
      <c r="L132" s="53"/>
      <c r="M132" s="53"/>
      <c r="N132" s="52"/>
      <c r="O132" s="52"/>
      <c r="P132" s="52"/>
      <c r="Q132" s="52"/>
    </row>
    <row r="133" spans="2:17" x14ac:dyDescent="0.35">
      <c r="B133" s="89"/>
      <c r="C133" s="89"/>
      <c r="D133" s="52"/>
      <c r="E133" s="52"/>
      <c r="F133" s="52"/>
      <c r="G133" s="52"/>
      <c r="H133" s="52"/>
      <c r="I133" s="52"/>
      <c r="J133" s="52"/>
      <c r="K133" s="52"/>
      <c r="L133" s="53"/>
      <c r="M133" s="53"/>
      <c r="N133" s="52"/>
      <c r="O133" s="52"/>
      <c r="P133" s="52"/>
      <c r="Q133" s="52"/>
    </row>
    <row r="134" spans="2:17" x14ac:dyDescent="0.35">
      <c r="B134" s="89"/>
      <c r="C134" s="89"/>
      <c r="D134" s="52"/>
      <c r="E134" s="52"/>
      <c r="F134" s="52"/>
      <c r="G134" s="52"/>
      <c r="H134" s="52"/>
      <c r="I134" s="52"/>
      <c r="J134" s="52"/>
      <c r="K134" s="52"/>
      <c r="L134" s="53"/>
      <c r="M134" s="53"/>
      <c r="N134" s="52"/>
      <c r="O134" s="52"/>
      <c r="P134" s="52"/>
      <c r="Q134" s="52"/>
    </row>
    <row r="135" spans="2:17" x14ac:dyDescent="0.35">
      <c r="B135" s="52"/>
      <c r="C135" s="52"/>
      <c r="D135" s="52"/>
      <c r="E135" s="52"/>
      <c r="F135" s="52"/>
      <c r="G135" s="52"/>
      <c r="H135" s="52"/>
      <c r="I135" s="52"/>
      <c r="J135" s="52"/>
      <c r="K135" s="52"/>
      <c r="L135" s="53"/>
      <c r="M135" s="53"/>
      <c r="N135" s="52"/>
      <c r="O135" s="52"/>
      <c r="P135" s="52"/>
      <c r="Q135" s="52"/>
    </row>
    <row r="136" spans="2:17" x14ac:dyDescent="0.35">
      <c r="B136" s="52"/>
      <c r="C136" s="52"/>
      <c r="D136" s="52"/>
      <c r="E136" s="52"/>
      <c r="F136" s="52"/>
      <c r="G136" s="52"/>
      <c r="H136" s="52"/>
      <c r="I136" s="52"/>
      <c r="J136" s="52"/>
      <c r="K136" s="52"/>
      <c r="L136" s="53"/>
      <c r="M136" s="53"/>
      <c r="N136" s="52"/>
      <c r="O136" s="52"/>
      <c r="P136" s="52"/>
      <c r="Q136" s="52"/>
    </row>
    <row r="137" spans="2:17" x14ac:dyDescent="0.35">
      <c r="B137" s="52"/>
      <c r="C137" s="52"/>
      <c r="D137" s="52"/>
      <c r="E137" s="52"/>
      <c r="F137" s="52"/>
      <c r="G137" s="52"/>
      <c r="H137" s="52"/>
      <c r="I137" s="52"/>
      <c r="J137" s="52"/>
      <c r="K137" s="52"/>
      <c r="L137" s="53"/>
      <c r="M137" s="53"/>
      <c r="N137" s="52"/>
      <c r="O137" s="52"/>
      <c r="P137" s="52"/>
      <c r="Q137" s="52"/>
    </row>
    <row r="138" spans="2:17" x14ac:dyDescent="0.35">
      <c r="B138" s="89"/>
      <c r="C138" s="89"/>
      <c r="D138" s="52"/>
      <c r="E138" s="52"/>
      <c r="F138" s="52"/>
      <c r="G138" s="52"/>
      <c r="H138" s="52"/>
      <c r="I138" s="52"/>
      <c r="J138" s="52"/>
      <c r="K138" s="52"/>
      <c r="L138" s="53"/>
      <c r="M138" s="53"/>
      <c r="N138" s="52"/>
      <c r="O138" s="52"/>
      <c r="P138" s="52"/>
      <c r="Q138" s="52"/>
    </row>
    <row r="139" spans="2:17" x14ac:dyDescent="0.35">
      <c r="B139" s="89"/>
      <c r="C139" s="89"/>
      <c r="D139" s="52"/>
      <c r="E139" s="52"/>
      <c r="F139" s="52"/>
      <c r="G139" s="52"/>
      <c r="H139" s="52"/>
      <c r="I139" s="52"/>
      <c r="J139" s="52"/>
      <c r="K139" s="52"/>
      <c r="L139" s="53"/>
      <c r="M139" s="53"/>
      <c r="N139" s="52"/>
      <c r="O139" s="52"/>
      <c r="P139" s="52"/>
      <c r="Q139" s="52"/>
    </row>
    <row r="140" spans="2:17" x14ac:dyDescent="0.35">
      <c r="B140" s="52"/>
      <c r="C140" s="52"/>
      <c r="D140" s="52"/>
      <c r="E140" s="52"/>
      <c r="F140" s="52"/>
      <c r="G140" s="52"/>
      <c r="H140" s="52"/>
      <c r="I140" s="52"/>
      <c r="J140" s="52"/>
      <c r="K140" s="52"/>
      <c r="L140" s="53"/>
      <c r="M140" s="53"/>
      <c r="N140" s="52"/>
      <c r="O140" s="52"/>
      <c r="P140" s="52"/>
      <c r="Q140" s="52"/>
    </row>
    <row r="141" spans="2:17" x14ac:dyDescent="0.35">
      <c r="B141" s="52"/>
      <c r="C141" s="52"/>
      <c r="D141" s="52"/>
      <c r="E141" s="52"/>
      <c r="F141" s="52"/>
      <c r="G141" s="52"/>
      <c r="H141" s="52"/>
      <c r="I141" s="52"/>
      <c r="J141" s="52"/>
      <c r="K141" s="52"/>
      <c r="L141" s="53"/>
      <c r="M141" s="53"/>
      <c r="N141" s="52"/>
      <c r="O141" s="52"/>
      <c r="P141" s="52"/>
      <c r="Q141" s="52"/>
    </row>
    <row r="142" spans="2:17" x14ac:dyDescent="0.35">
      <c r="B142" s="52"/>
      <c r="C142" s="52"/>
      <c r="D142" s="52"/>
      <c r="E142" s="52"/>
      <c r="F142" s="52"/>
      <c r="G142" s="52"/>
      <c r="H142" s="52"/>
      <c r="I142" s="52"/>
      <c r="J142" s="52"/>
      <c r="K142" s="52"/>
      <c r="L142" s="53"/>
      <c r="M142" s="53"/>
      <c r="N142" s="52"/>
      <c r="O142" s="52"/>
      <c r="P142" s="52"/>
      <c r="Q142" s="52"/>
    </row>
    <row r="143" spans="2:17" x14ac:dyDescent="0.35">
      <c r="B143" s="89"/>
      <c r="C143" s="89"/>
      <c r="D143" s="52"/>
      <c r="E143" s="52"/>
      <c r="F143" s="52"/>
      <c r="G143" s="52"/>
      <c r="H143" s="52"/>
      <c r="I143" s="52"/>
      <c r="J143" s="52"/>
      <c r="K143" s="52"/>
      <c r="L143" s="53"/>
      <c r="M143" s="53"/>
      <c r="N143" s="52"/>
      <c r="O143" s="52"/>
      <c r="P143" s="52"/>
      <c r="Q143" s="52"/>
    </row>
    <row r="144" spans="2:17" x14ac:dyDescent="0.35">
      <c r="B144" s="89"/>
      <c r="C144" s="89"/>
      <c r="D144" s="52"/>
      <c r="E144" s="52"/>
      <c r="F144" s="52"/>
      <c r="G144" s="52"/>
      <c r="H144" s="52"/>
      <c r="I144" s="52"/>
      <c r="J144" s="52"/>
      <c r="K144" s="52"/>
      <c r="L144" s="53"/>
      <c r="M144" s="53"/>
      <c r="N144" s="52"/>
      <c r="O144" s="52"/>
      <c r="P144" s="52"/>
      <c r="Q144" s="52"/>
    </row>
    <row r="145" spans="2:17" x14ac:dyDescent="0.35">
      <c r="B145" s="52"/>
      <c r="C145" s="52"/>
      <c r="D145" s="52"/>
      <c r="E145" s="52"/>
      <c r="F145" s="52"/>
      <c r="G145" s="52"/>
      <c r="H145" s="52"/>
      <c r="I145" s="52"/>
      <c r="J145" s="52"/>
      <c r="K145" s="52"/>
      <c r="L145" s="53"/>
      <c r="M145" s="53"/>
      <c r="N145" s="52"/>
      <c r="O145" s="52"/>
      <c r="P145" s="52"/>
      <c r="Q145" s="52"/>
    </row>
    <row r="146" spans="2:17" x14ac:dyDescent="0.35">
      <c r="B146" s="52"/>
      <c r="C146" s="52"/>
      <c r="D146" s="52"/>
      <c r="E146" s="52"/>
      <c r="F146" s="52"/>
      <c r="G146" s="52"/>
      <c r="H146" s="52"/>
      <c r="I146" s="52"/>
      <c r="J146" s="52"/>
      <c r="K146" s="52"/>
      <c r="L146" s="53"/>
      <c r="M146" s="53"/>
      <c r="N146" s="52"/>
      <c r="O146" s="52"/>
      <c r="P146" s="52"/>
      <c r="Q146" s="52"/>
    </row>
    <row r="147" spans="2:17" x14ac:dyDescent="0.35">
      <c r="B147" s="52"/>
      <c r="C147" s="52"/>
      <c r="D147" s="52"/>
      <c r="E147" s="52"/>
      <c r="F147" s="52"/>
      <c r="G147" s="52"/>
      <c r="H147" s="52"/>
      <c r="I147" s="52"/>
      <c r="J147" s="52"/>
      <c r="K147" s="52"/>
      <c r="L147" s="53"/>
      <c r="M147" s="53"/>
      <c r="N147" s="52"/>
      <c r="O147" s="52"/>
      <c r="P147" s="52"/>
      <c r="Q147" s="52"/>
    </row>
    <row r="148" spans="2:17" x14ac:dyDescent="0.35">
      <c r="B148" s="89"/>
      <c r="C148" s="89"/>
      <c r="D148" s="52"/>
      <c r="E148" s="52"/>
      <c r="F148" s="52"/>
      <c r="G148" s="52"/>
      <c r="H148" s="52"/>
      <c r="I148" s="52"/>
      <c r="J148" s="52"/>
      <c r="K148" s="52"/>
      <c r="L148" s="53"/>
      <c r="M148" s="53"/>
      <c r="N148" s="52"/>
      <c r="O148" s="52"/>
      <c r="P148" s="52"/>
      <c r="Q148" s="52"/>
    </row>
    <row r="149" spans="2:17" x14ac:dyDescent="0.35">
      <c r="B149" s="89"/>
      <c r="C149" s="89"/>
      <c r="D149" s="52"/>
      <c r="E149" s="52"/>
      <c r="F149" s="52"/>
      <c r="G149" s="52"/>
      <c r="H149" s="52"/>
      <c r="I149" s="52"/>
      <c r="J149" s="52"/>
      <c r="K149" s="52"/>
      <c r="L149" s="53"/>
      <c r="M149" s="53"/>
      <c r="N149" s="52"/>
      <c r="O149" s="52"/>
      <c r="P149" s="52"/>
      <c r="Q149" s="52"/>
    </row>
    <row r="150" spans="2:17" x14ac:dyDescent="0.35">
      <c r="B150" s="52"/>
      <c r="C150" s="52"/>
      <c r="D150" s="52"/>
      <c r="E150" s="52"/>
      <c r="F150" s="52"/>
      <c r="G150" s="52"/>
      <c r="H150" s="52"/>
      <c r="I150" s="52"/>
      <c r="J150" s="52"/>
      <c r="K150" s="52"/>
      <c r="L150" s="53"/>
      <c r="M150" s="53"/>
      <c r="N150" s="52"/>
      <c r="O150" s="52"/>
      <c r="P150" s="52"/>
      <c r="Q150" s="52"/>
    </row>
    <row r="151" spans="2:17" x14ac:dyDescent="0.35">
      <c r="B151" s="52"/>
      <c r="C151" s="52"/>
      <c r="D151" s="52"/>
      <c r="E151" s="52"/>
      <c r="F151" s="52"/>
      <c r="G151" s="52"/>
      <c r="H151" s="52"/>
      <c r="I151" s="52"/>
      <c r="J151" s="52"/>
      <c r="K151" s="52"/>
      <c r="L151" s="53"/>
      <c r="M151" s="53"/>
      <c r="N151" s="52"/>
      <c r="O151" s="52"/>
      <c r="P151" s="52"/>
      <c r="Q151" s="52"/>
    </row>
    <row r="152" spans="2:17" x14ac:dyDescent="0.35">
      <c r="B152" s="52"/>
      <c r="C152" s="52"/>
      <c r="D152" s="52"/>
      <c r="E152" s="52"/>
      <c r="F152" s="52"/>
      <c r="G152" s="52"/>
      <c r="H152" s="52"/>
      <c r="I152" s="52"/>
      <c r="J152" s="52"/>
      <c r="K152" s="52"/>
      <c r="L152" s="53"/>
      <c r="M152" s="53"/>
      <c r="N152" s="52"/>
      <c r="O152" s="52"/>
      <c r="P152" s="52"/>
      <c r="Q152" s="52"/>
    </row>
    <row r="153" spans="2:17" x14ac:dyDescent="0.35">
      <c r="B153" s="89"/>
      <c r="C153" s="89"/>
      <c r="D153" s="52"/>
      <c r="E153" s="52"/>
      <c r="F153" s="52"/>
      <c r="G153" s="52"/>
      <c r="H153" s="52"/>
      <c r="I153" s="52"/>
      <c r="J153" s="52"/>
      <c r="K153" s="52"/>
      <c r="L153" s="53"/>
      <c r="M153" s="53"/>
      <c r="N153" s="52"/>
      <c r="O153" s="52"/>
      <c r="P153" s="52"/>
      <c r="Q153" s="52"/>
    </row>
    <row r="154" spans="2:17" x14ac:dyDescent="0.35">
      <c r="B154" s="89"/>
      <c r="C154" s="89"/>
      <c r="D154" s="52"/>
      <c r="E154" s="52"/>
      <c r="F154" s="52"/>
      <c r="G154" s="52"/>
      <c r="H154" s="52"/>
      <c r="I154" s="52"/>
      <c r="J154" s="52"/>
      <c r="K154" s="52"/>
      <c r="L154" s="53"/>
      <c r="M154" s="53"/>
      <c r="N154" s="52"/>
      <c r="O154" s="52"/>
      <c r="P154" s="52"/>
      <c r="Q154" s="52"/>
    </row>
    <row r="155" spans="2:17" x14ac:dyDescent="0.35">
      <c r="B155" s="52"/>
      <c r="C155" s="52"/>
      <c r="D155" s="52"/>
      <c r="E155" s="52"/>
      <c r="F155" s="52"/>
      <c r="G155" s="52"/>
      <c r="H155" s="52"/>
      <c r="I155" s="52"/>
      <c r="J155" s="52"/>
      <c r="K155" s="52"/>
      <c r="L155" s="53"/>
      <c r="M155" s="53"/>
      <c r="N155" s="52"/>
      <c r="O155" s="52"/>
      <c r="P155" s="52"/>
      <c r="Q155" s="52"/>
    </row>
    <row r="156" spans="2:17" x14ac:dyDescent="0.35">
      <c r="B156" s="52"/>
      <c r="C156" s="52"/>
      <c r="D156" s="52"/>
      <c r="E156" s="52"/>
      <c r="F156" s="52"/>
      <c r="G156" s="52"/>
      <c r="H156" s="52"/>
      <c r="I156" s="52"/>
      <c r="J156" s="52"/>
      <c r="K156" s="52"/>
      <c r="L156" s="53"/>
      <c r="M156" s="53"/>
      <c r="N156" s="52"/>
      <c r="O156" s="52"/>
      <c r="P156" s="52"/>
      <c r="Q156" s="52"/>
    </row>
    <row r="157" spans="2:17" x14ac:dyDescent="0.35">
      <c r="B157" s="52"/>
      <c r="C157" s="52"/>
      <c r="D157" s="52"/>
      <c r="E157" s="52"/>
      <c r="F157" s="52"/>
      <c r="G157" s="52"/>
      <c r="H157" s="52"/>
      <c r="I157" s="52"/>
      <c r="J157" s="52"/>
      <c r="K157" s="52"/>
      <c r="L157" s="53"/>
      <c r="M157" s="53"/>
      <c r="N157" s="52"/>
      <c r="O157" s="52"/>
      <c r="P157" s="52"/>
      <c r="Q157" s="52"/>
    </row>
    <row r="158" spans="2:17" x14ac:dyDescent="0.35">
      <c r="B158" s="89"/>
      <c r="C158" s="89"/>
      <c r="D158" s="52"/>
      <c r="E158" s="52"/>
      <c r="F158" s="52"/>
      <c r="G158" s="52"/>
      <c r="H158" s="52"/>
      <c r="I158" s="52"/>
      <c r="J158" s="52"/>
      <c r="K158" s="52"/>
      <c r="L158" s="53"/>
      <c r="M158" s="53"/>
      <c r="N158" s="52"/>
      <c r="O158" s="52"/>
      <c r="P158" s="52"/>
      <c r="Q158" s="52"/>
    </row>
    <row r="159" spans="2:17" x14ac:dyDescent="0.35">
      <c r="B159" s="89"/>
      <c r="C159" s="89"/>
      <c r="D159" s="52"/>
      <c r="E159" s="52"/>
      <c r="F159" s="52"/>
      <c r="G159" s="52"/>
      <c r="H159" s="52"/>
      <c r="I159" s="52"/>
      <c r="J159" s="52"/>
      <c r="K159" s="52"/>
      <c r="L159" s="53"/>
      <c r="M159" s="53"/>
      <c r="N159" s="52"/>
      <c r="O159" s="52"/>
      <c r="P159" s="52"/>
      <c r="Q159" s="52"/>
    </row>
    <row r="160" spans="2:17" x14ac:dyDescent="0.35">
      <c r="B160" s="52"/>
      <c r="C160" s="52"/>
      <c r="D160" s="52"/>
      <c r="E160" s="52"/>
      <c r="F160" s="52"/>
      <c r="G160" s="52"/>
      <c r="H160" s="52"/>
      <c r="I160" s="52"/>
      <c r="J160" s="52"/>
      <c r="K160" s="52"/>
      <c r="L160" s="53"/>
      <c r="M160" s="53"/>
      <c r="N160" s="52"/>
      <c r="O160" s="52"/>
      <c r="P160" s="52"/>
      <c r="Q160" s="52"/>
    </row>
    <row r="161" spans="2:17" x14ac:dyDescent="0.35">
      <c r="B161" s="52"/>
      <c r="C161" s="52"/>
      <c r="D161" s="52"/>
      <c r="E161" s="52"/>
      <c r="F161" s="52"/>
      <c r="G161" s="52"/>
      <c r="H161" s="52"/>
      <c r="I161" s="52"/>
      <c r="J161" s="52"/>
      <c r="K161" s="52"/>
      <c r="L161" s="52"/>
      <c r="M161" s="52"/>
      <c r="N161" s="52"/>
      <c r="O161" s="52"/>
      <c r="P161" s="52"/>
      <c r="Q161" s="52"/>
    </row>
    <row r="162" spans="2:17" x14ac:dyDescent="0.35">
      <c r="B162" s="52"/>
      <c r="C162" s="52"/>
      <c r="D162" s="52"/>
      <c r="E162" s="52"/>
      <c r="F162" s="52"/>
      <c r="G162" s="52"/>
      <c r="H162" s="52"/>
      <c r="I162" s="52"/>
      <c r="J162" s="52"/>
      <c r="K162" s="52"/>
      <c r="L162" s="52"/>
      <c r="M162" s="52"/>
      <c r="N162" s="52"/>
      <c r="O162" s="52"/>
      <c r="P162" s="52"/>
      <c r="Q162" s="52"/>
    </row>
    <row r="163" spans="2:17" x14ac:dyDescent="0.35">
      <c r="B163" s="89"/>
      <c r="C163" s="89"/>
      <c r="D163" s="52"/>
      <c r="E163" s="52"/>
      <c r="F163" s="52"/>
      <c r="G163" s="52"/>
      <c r="H163" s="52"/>
      <c r="I163" s="52"/>
      <c r="J163" s="52"/>
      <c r="K163" s="52"/>
      <c r="L163" s="52"/>
      <c r="M163" s="52"/>
      <c r="N163" s="52"/>
      <c r="O163" s="52"/>
      <c r="P163" s="52"/>
      <c r="Q163" s="52"/>
    </row>
    <row r="164" spans="2:17" x14ac:dyDescent="0.35">
      <c r="B164" s="89"/>
      <c r="C164" s="89"/>
      <c r="D164" s="52"/>
      <c r="E164" s="52"/>
      <c r="F164" s="52"/>
      <c r="G164" s="52"/>
      <c r="H164" s="52"/>
      <c r="I164" s="52"/>
      <c r="J164" s="52"/>
      <c r="K164" s="52"/>
      <c r="L164" s="52"/>
      <c r="M164" s="52"/>
      <c r="N164" s="52"/>
      <c r="O164" s="52"/>
      <c r="P164" s="52"/>
      <c r="Q164" s="52"/>
    </row>
    <row r="165" spans="2:17" x14ac:dyDescent="0.35">
      <c r="B165" s="52"/>
      <c r="C165" s="52"/>
      <c r="D165" s="52"/>
      <c r="E165" s="52"/>
      <c r="F165" s="52"/>
      <c r="G165" s="52"/>
      <c r="H165" s="52"/>
      <c r="I165" s="52"/>
      <c r="J165" s="52"/>
      <c r="K165" s="52"/>
      <c r="L165" s="52"/>
      <c r="M165" s="52"/>
      <c r="N165" s="52"/>
      <c r="O165" s="52"/>
      <c r="P165" s="52"/>
      <c r="Q165" s="52"/>
    </row>
    <row r="166" spans="2:17" x14ac:dyDescent="0.35">
      <c r="B166" s="52"/>
      <c r="C166" s="52"/>
      <c r="D166" s="52"/>
      <c r="E166" s="52"/>
      <c r="F166" s="52"/>
      <c r="G166" s="52"/>
      <c r="H166" s="52"/>
      <c r="I166" s="52"/>
      <c r="J166" s="52"/>
      <c r="K166" s="52"/>
      <c r="L166" s="52"/>
      <c r="M166" s="52"/>
      <c r="N166" s="52"/>
      <c r="O166" s="52"/>
      <c r="P166" s="52"/>
      <c r="Q166" s="52"/>
    </row>
    <row r="167" spans="2:17" x14ac:dyDescent="0.35">
      <c r="B167" s="52"/>
      <c r="C167" s="52"/>
      <c r="D167" s="52"/>
      <c r="E167" s="52"/>
      <c r="F167" s="52"/>
      <c r="G167" s="52"/>
      <c r="H167" s="52"/>
      <c r="I167" s="52"/>
      <c r="J167" s="52"/>
      <c r="K167" s="52"/>
      <c r="L167" s="52"/>
      <c r="M167" s="52"/>
      <c r="N167" s="52"/>
      <c r="O167" s="52"/>
      <c r="P167" s="52"/>
      <c r="Q167" s="52"/>
    </row>
    <row r="168" spans="2:17" x14ac:dyDescent="0.35">
      <c r="B168" s="89"/>
      <c r="C168" s="89"/>
      <c r="D168" s="52"/>
      <c r="E168" s="52"/>
      <c r="F168" s="52"/>
      <c r="G168" s="52"/>
      <c r="H168" s="52"/>
      <c r="I168" s="52"/>
      <c r="J168" s="52"/>
      <c r="K168" s="52"/>
      <c r="L168" s="52"/>
      <c r="M168" s="52"/>
      <c r="N168" s="52"/>
      <c r="O168" s="52"/>
      <c r="P168" s="52"/>
      <c r="Q168" s="52"/>
    </row>
    <row r="169" spans="2:17" x14ac:dyDescent="0.35">
      <c r="B169" s="89"/>
      <c r="C169" s="89"/>
      <c r="D169" s="52"/>
      <c r="E169" s="52"/>
      <c r="F169" s="52"/>
      <c r="G169" s="52"/>
      <c r="H169" s="52"/>
      <c r="I169" s="52"/>
      <c r="J169" s="52"/>
      <c r="K169" s="52"/>
      <c r="L169" s="52"/>
      <c r="M169" s="52"/>
      <c r="N169" s="52"/>
      <c r="O169" s="52"/>
      <c r="P169" s="52"/>
      <c r="Q169" s="52"/>
    </row>
    <row r="170" spans="2:17" x14ac:dyDescent="0.35">
      <c r="B170" s="52"/>
      <c r="C170" s="52"/>
      <c r="D170" s="52"/>
      <c r="E170" s="52"/>
      <c r="F170" s="52"/>
      <c r="G170" s="52"/>
      <c r="H170" s="52"/>
      <c r="I170" s="52"/>
      <c r="J170" s="52"/>
      <c r="K170" s="52"/>
      <c r="L170" s="52"/>
      <c r="M170" s="52"/>
      <c r="N170" s="52"/>
      <c r="O170" s="52"/>
      <c r="P170" s="52"/>
      <c r="Q170" s="52"/>
    </row>
    <row r="171" spans="2:17" x14ac:dyDescent="0.35">
      <c r="B171" s="52"/>
      <c r="C171" s="52"/>
      <c r="D171" s="52"/>
      <c r="E171" s="52"/>
      <c r="F171" s="52"/>
      <c r="G171" s="52"/>
      <c r="H171" s="52"/>
      <c r="I171" s="52"/>
      <c r="J171" s="52"/>
      <c r="K171" s="52"/>
      <c r="L171" s="52"/>
      <c r="M171" s="52"/>
      <c r="N171" s="52"/>
      <c r="O171" s="52"/>
      <c r="P171" s="52"/>
      <c r="Q171" s="52"/>
    </row>
    <row r="172" spans="2:17" x14ac:dyDescent="0.35">
      <c r="B172" s="52"/>
      <c r="C172" s="52"/>
      <c r="D172" s="52"/>
      <c r="E172" s="52"/>
      <c r="F172" s="52"/>
      <c r="G172" s="52"/>
      <c r="H172" s="52"/>
      <c r="I172" s="52"/>
      <c r="J172" s="52"/>
      <c r="K172" s="52"/>
      <c r="L172" s="52"/>
      <c r="M172" s="52"/>
      <c r="N172" s="52"/>
      <c r="O172" s="52"/>
      <c r="P172" s="52"/>
      <c r="Q172" s="52"/>
    </row>
    <row r="173" spans="2:17" x14ac:dyDescent="0.35">
      <c r="B173" s="89"/>
      <c r="C173" s="89"/>
      <c r="D173" s="52"/>
      <c r="E173" s="52"/>
      <c r="F173" s="52"/>
      <c r="G173" s="52"/>
      <c r="H173" s="52"/>
      <c r="I173" s="52"/>
      <c r="J173" s="52"/>
      <c r="K173" s="52"/>
      <c r="L173" s="52"/>
      <c r="M173" s="52"/>
      <c r="N173" s="52"/>
      <c r="O173" s="52"/>
      <c r="P173" s="52"/>
      <c r="Q173" s="52"/>
    </row>
    <row r="174" spans="2:17" x14ac:dyDescent="0.35">
      <c r="B174" s="89"/>
      <c r="C174" s="89"/>
      <c r="D174" s="52"/>
      <c r="E174" s="52"/>
      <c r="F174" s="52"/>
      <c r="G174" s="52"/>
      <c r="H174" s="52"/>
      <c r="I174" s="52"/>
      <c r="J174" s="52"/>
      <c r="K174" s="52"/>
      <c r="L174" s="52"/>
      <c r="M174" s="52"/>
      <c r="N174" s="52"/>
      <c r="O174" s="52"/>
      <c r="P174" s="52"/>
      <c r="Q174" s="52"/>
    </row>
    <row r="175" spans="2:17" x14ac:dyDescent="0.35">
      <c r="B175" s="52"/>
      <c r="C175" s="52"/>
      <c r="D175" s="52"/>
      <c r="E175" s="52"/>
      <c r="F175" s="52"/>
      <c r="G175" s="52"/>
      <c r="H175" s="52"/>
      <c r="I175" s="52"/>
      <c r="J175" s="52"/>
      <c r="K175" s="52"/>
      <c r="L175" s="52"/>
      <c r="M175" s="52"/>
      <c r="N175" s="52"/>
      <c r="O175" s="52"/>
      <c r="P175" s="52"/>
      <c r="Q175" s="52"/>
    </row>
    <row r="176" spans="2:17" x14ac:dyDescent="0.35">
      <c r="B176" s="52"/>
      <c r="C176" s="52"/>
      <c r="D176" s="52"/>
      <c r="E176" s="52"/>
      <c r="F176" s="52"/>
      <c r="G176" s="52"/>
      <c r="H176" s="52"/>
      <c r="I176" s="52"/>
      <c r="J176" s="52"/>
      <c r="K176" s="52"/>
      <c r="L176" s="52"/>
      <c r="M176" s="52"/>
      <c r="N176" s="52"/>
      <c r="O176" s="52"/>
      <c r="P176" s="52"/>
      <c r="Q176" s="52"/>
    </row>
    <row r="177" spans="2:17" x14ac:dyDescent="0.35">
      <c r="B177" s="52"/>
      <c r="C177" s="52"/>
      <c r="D177" s="52"/>
      <c r="E177" s="52"/>
      <c r="F177" s="52"/>
      <c r="G177" s="52"/>
      <c r="H177" s="52"/>
      <c r="I177" s="52"/>
      <c r="J177" s="52"/>
      <c r="K177" s="52"/>
      <c r="L177" s="52"/>
      <c r="M177" s="52"/>
      <c r="N177" s="52"/>
      <c r="O177" s="52"/>
      <c r="P177" s="52"/>
      <c r="Q177" s="52"/>
    </row>
    <row r="178" spans="2:17" x14ac:dyDescent="0.35">
      <c r="B178" s="89"/>
      <c r="C178" s="89"/>
      <c r="D178" s="52"/>
      <c r="E178" s="52"/>
      <c r="F178" s="52"/>
      <c r="G178" s="52"/>
      <c r="H178" s="52"/>
      <c r="I178" s="52"/>
      <c r="J178" s="52"/>
      <c r="K178" s="52"/>
      <c r="L178" s="52"/>
      <c r="M178" s="52"/>
      <c r="N178" s="52"/>
      <c r="O178" s="52"/>
      <c r="P178" s="52"/>
      <c r="Q178" s="52"/>
    </row>
    <row r="179" spans="2:17" x14ac:dyDescent="0.35">
      <c r="B179" s="89"/>
      <c r="C179" s="89"/>
      <c r="D179" s="52"/>
      <c r="E179" s="52"/>
      <c r="F179" s="52"/>
      <c r="G179" s="52"/>
      <c r="H179" s="52"/>
      <c r="I179" s="52"/>
      <c r="J179" s="52"/>
      <c r="K179" s="52"/>
      <c r="L179" s="52"/>
      <c r="M179" s="52"/>
      <c r="N179" s="52"/>
      <c r="O179" s="52"/>
      <c r="P179" s="52"/>
      <c r="Q179" s="52"/>
    </row>
    <row r="180" spans="2:17" x14ac:dyDescent="0.35">
      <c r="B180" s="52"/>
      <c r="C180" s="52"/>
      <c r="D180" s="52"/>
      <c r="E180" s="52"/>
      <c r="F180" s="52"/>
      <c r="G180" s="52"/>
      <c r="H180" s="52"/>
      <c r="I180" s="52"/>
      <c r="J180" s="52"/>
      <c r="K180" s="52"/>
      <c r="L180" s="52"/>
      <c r="M180" s="52"/>
      <c r="N180" s="52"/>
      <c r="O180" s="52"/>
      <c r="P180" s="52"/>
      <c r="Q180" s="52"/>
    </row>
    <row r="181" spans="2:17" x14ac:dyDescent="0.35">
      <c r="B181" s="52"/>
      <c r="C181" s="52"/>
      <c r="D181" s="52"/>
      <c r="E181" s="52"/>
      <c r="F181" s="52"/>
      <c r="G181" s="52"/>
      <c r="H181" s="52"/>
      <c r="I181" s="52"/>
      <c r="J181" s="52"/>
      <c r="K181" s="52"/>
      <c r="L181" s="52"/>
      <c r="M181" s="52"/>
      <c r="N181" s="52"/>
      <c r="O181" s="52"/>
      <c r="P181" s="52"/>
      <c r="Q181" s="52"/>
    </row>
    <row r="182" spans="2:17" x14ac:dyDescent="0.35">
      <c r="B182" s="52"/>
      <c r="C182" s="52"/>
      <c r="D182" s="52"/>
      <c r="E182" s="52"/>
      <c r="F182" s="52"/>
      <c r="G182" s="52"/>
      <c r="H182" s="52"/>
      <c r="I182" s="52"/>
      <c r="J182" s="52"/>
      <c r="K182" s="52"/>
      <c r="L182" s="52"/>
      <c r="M182" s="52"/>
      <c r="N182" s="52"/>
      <c r="O182" s="52"/>
      <c r="P182" s="52"/>
      <c r="Q182" s="52"/>
    </row>
    <row r="183" spans="2:17" x14ac:dyDescent="0.35">
      <c r="B183" s="89"/>
      <c r="C183" s="89"/>
      <c r="D183" s="52"/>
      <c r="E183" s="52"/>
      <c r="F183" s="52"/>
      <c r="G183" s="52"/>
      <c r="H183" s="52"/>
      <c r="I183" s="52"/>
      <c r="J183" s="52"/>
      <c r="K183" s="52"/>
      <c r="L183" s="52"/>
      <c r="M183" s="52"/>
      <c r="N183" s="52"/>
      <c r="O183" s="52"/>
      <c r="P183" s="52"/>
      <c r="Q183" s="52"/>
    </row>
    <row r="184" spans="2:17" x14ac:dyDescent="0.35">
      <c r="B184" s="89"/>
      <c r="C184" s="89"/>
      <c r="D184" s="52"/>
      <c r="E184" s="52"/>
      <c r="F184" s="52"/>
      <c r="G184" s="52"/>
      <c r="H184" s="52"/>
      <c r="I184" s="52"/>
      <c r="J184" s="52"/>
      <c r="K184" s="52"/>
      <c r="L184" s="52"/>
      <c r="M184" s="52"/>
      <c r="N184" s="52"/>
      <c r="O184" s="52"/>
      <c r="P184" s="52"/>
      <c r="Q184" s="52"/>
    </row>
    <row r="185" spans="2:17" x14ac:dyDescent="0.35">
      <c r="B185" s="52"/>
      <c r="C185" s="52"/>
      <c r="D185" s="52"/>
      <c r="E185" s="52"/>
      <c r="F185" s="52"/>
      <c r="G185" s="52"/>
      <c r="H185" s="52"/>
      <c r="I185" s="52"/>
      <c r="J185" s="52"/>
      <c r="K185" s="52"/>
      <c r="L185" s="52"/>
      <c r="M185" s="52"/>
      <c r="N185" s="52"/>
      <c r="O185" s="52"/>
      <c r="P185" s="52"/>
      <c r="Q185" s="52"/>
    </row>
    <row r="186" spans="2:17" x14ac:dyDescent="0.35">
      <c r="B186" s="52"/>
      <c r="C186" s="52"/>
      <c r="D186" s="52"/>
      <c r="E186" s="52"/>
      <c r="F186" s="52"/>
      <c r="G186" s="52"/>
      <c r="H186" s="52"/>
      <c r="I186" s="52"/>
      <c r="J186" s="52"/>
      <c r="K186" s="52"/>
      <c r="L186" s="52"/>
      <c r="M186" s="52"/>
      <c r="N186" s="52"/>
      <c r="O186" s="52"/>
      <c r="P186" s="52"/>
      <c r="Q186" s="52"/>
    </row>
    <row r="187" spans="2:17" x14ac:dyDescent="0.35">
      <c r="B187" s="52"/>
      <c r="C187" s="52"/>
      <c r="D187" s="52"/>
      <c r="E187" s="52"/>
      <c r="F187" s="52"/>
      <c r="G187" s="52"/>
      <c r="H187" s="52"/>
      <c r="I187" s="52"/>
      <c r="J187" s="52"/>
      <c r="K187" s="52"/>
      <c r="L187" s="52"/>
      <c r="M187" s="52"/>
      <c r="N187" s="52"/>
      <c r="O187" s="52"/>
      <c r="P187" s="52"/>
      <c r="Q187" s="52"/>
    </row>
    <row r="188" spans="2:17" x14ac:dyDescent="0.35">
      <c r="B188" s="89"/>
      <c r="C188" s="89"/>
      <c r="D188" s="52"/>
      <c r="E188" s="52"/>
      <c r="F188" s="52"/>
      <c r="G188" s="52"/>
      <c r="H188" s="52"/>
      <c r="I188" s="52"/>
      <c r="J188" s="52"/>
      <c r="K188" s="52"/>
      <c r="L188" s="52"/>
      <c r="M188" s="52"/>
      <c r="N188" s="52"/>
      <c r="O188" s="52"/>
      <c r="P188" s="52"/>
      <c r="Q188" s="52"/>
    </row>
    <row r="189" spans="2:17" x14ac:dyDescent="0.35">
      <c r="B189" s="89"/>
      <c r="C189" s="89"/>
      <c r="D189" s="52"/>
      <c r="E189" s="52"/>
      <c r="F189" s="52"/>
      <c r="G189" s="52"/>
      <c r="H189" s="52"/>
      <c r="I189" s="52"/>
      <c r="J189" s="52"/>
      <c r="K189" s="52"/>
      <c r="L189" s="52"/>
      <c r="M189" s="52"/>
      <c r="N189" s="52"/>
      <c r="O189" s="52"/>
      <c r="P189" s="52"/>
      <c r="Q189" s="52"/>
    </row>
    <row r="190" spans="2:17" x14ac:dyDescent="0.35">
      <c r="B190" s="52"/>
      <c r="C190" s="52"/>
      <c r="D190" s="52"/>
      <c r="E190" s="52"/>
      <c r="F190" s="52"/>
      <c r="G190" s="52"/>
      <c r="H190" s="52"/>
      <c r="I190" s="52"/>
      <c r="J190" s="52"/>
      <c r="K190" s="52"/>
      <c r="L190" s="52"/>
      <c r="M190" s="52"/>
      <c r="N190" s="52"/>
      <c r="O190" s="52"/>
      <c r="P190" s="52"/>
      <c r="Q190" s="52"/>
    </row>
    <row r="191" spans="2:17" x14ac:dyDescent="0.35">
      <c r="B191" s="52"/>
      <c r="C191" s="52"/>
      <c r="D191" s="52"/>
      <c r="E191" s="52"/>
      <c r="F191" s="52"/>
      <c r="G191" s="52"/>
      <c r="H191" s="52"/>
      <c r="I191" s="52"/>
      <c r="J191" s="52"/>
      <c r="K191" s="52"/>
      <c r="L191" s="52"/>
      <c r="M191" s="52"/>
      <c r="N191" s="52"/>
      <c r="O191" s="52"/>
      <c r="P191" s="52"/>
      <c r="Q191" s="52"/>
    </row>
    <row r="192" spans="2:17" x14ac:dyDescent="0.35">
      <c r="B192" s="52"/>
      <c r="C192" s="52"/>
      <c r="D192" s="52"/>
      <c r="E192" s="52"/>
      <c r="F192" s="52"/>
      <c r="G192" s="52"/>
      <c r="H192" s="52"/>
      <c r="I192" s="52"/>
      <c r="J192" s="52"/>
      <c r="K192" s="52"/>
      <c r="L192" s="52"/>
      <c r="M192" s="52"/>
      <c r="N192" s="52"/>
      <c r="O192" s="52"/>
      <c r="P192" s="52"/>
      <c r="Q192" s="52"/>
    </row>
    <row r="193" spans="2:17" x14ac:dyDescent="0.35">
      <c r="B193" s="89"/>
      <c r="C193" s="89"/>
      <c r="D193" s="52"/>
      <c r="E193" s="52"/>
      <c r="F193" s="52"/>
      <c r="G193" s="52"/>
      <c r="H193" s="52"/>
      <c r="I193" s="52"/>
      <c r="J193" s="52"/>
      <c r="K193" s="52"/>
      <c r="L193" s="52"/>
      <c r="M193" s="52"/>
      <c r="N193" s="52"/>
      <c r="O193" s="52"/>
      <c r="P193" s="52"/>
      <c r="Q193" s="52"/>
    </row>
    <row r="194" spans="2:17" x14ac:dyDescent="0.35">
      <c r="B194" s="89"/>
      <c r="C194" s="89"/>
      <c r="D194" s="52"/>
      <c r="E194" s="52"/>
      <c r="F194" s="52"/>
      <c r="G194" s="52"/>
      <c r="H194" s="52"/>
      <c r="I194" s="52"/>
      <c r="J194" s="52"/>
      <c r="K194" s="52"/>
      <c r="L194" s="52"/>
      <c r="M194" s="52"/>
      <c r="N194" s="52"/>
      <c r="O194" s="52"/>
      <c r="P194" s="52"/>
      <c r="Q194" s="52"/>
    </row>
    <row r="195" spans="2:17" x14ac:dyDescent="0.35">
      <c r="B195" s="52"/>
      <c r="C195" s="52"/>
      <c r="D195" s="52"/>
      <c r="E195" s="52"/>
      <c r="F195" s="52"/>
      <c r="G195" s="52"/>
      <c r="H195" s="52"/>
      <c r="I195" s="52"/>
      <c r="J195" s="52"/>
      <c r="K195" s="52"/>
      <c r="L195" s="52"/>
      <c r="M195" s="52"/>
      <c r="N195" s="52"/>
      <c r="O195" s="52"/>
      <c r="P195" s="52"/>
      <c r="Q195" s="52"/>
    </row>
    <row r="196" spans="2:17" x14ac:dyDescent="0.35">
      <c r="B196" s="52"/>
      <c r="C196" s="52"/>
      <c r="D196" s="52"/>
      <c r="E196" s="52"/>
      <c r="F196" s="52"/>
      <c r="G196" s="52"/>
      <c r="H196" s="52"/>
      <c r="I196" s="52"/>
      <c r="J196" s="52"/>
      <c r="K196" s="52"/>
      <c r="L196" s="52"/>
      <c r="M196" s="52"/>
      <c r="N196" s="52"/>
      <c r="O196" s="52"/>
      <c r="P196" s="52"/>
      <c r="Q196" s="52"/>
    </row>
    <row r="197" spans="2:17" x14ac:dyDescent="0.35">
      <c r="B197" s="52"/>
      <c r="C197" s="52"/>
      <c r="D197" s="52"/>
      <c r="E197" s="52"/>
      <c r="F197" s="52"/>
      <c r="G197" s="52"/>
      <c r="H197" s="52"/>
      <c r="I197" s="52"/>
      <c r="J197" s="52"/>
      <c r="K197" s="52"/>
      <c r="L197" s="52"/>
      <c r="M197" s="52"/>
      <c r="N197" s="52"/>
      <c r="O197" s="52"/>
      <c r="P197" s="52"/>
      <c r="Q197" s="52"/>
    </row>
    <row r="198" spans="2:17" x14ac:dyDescent="0.35">
      <c r="B198" s="89"/>
      <c r="C198" s="89"/>
      <c r="D198" s="52"/>
      <c r="E198" s="52"/>
      <c r="F198" s="52"/>
      <c r="G198" s="52"/>
      <c r="H198" s="52"/>
      <c r="I198" s="52"/>
      <c r="J198" s="52"/>
      <c r="K198" s="52"/>
      <c r="L198" s="52"/>
      <c r="M198" s="52"/>
      <c r="N198" s="52"/>
      <c r="O198" s="52"/>
      <c r="P198" s="52"/>
      <c r="Q198" s="52"/>
    </row>
    <row r="199" spans="2:17" x14ac:dyDescent="0.35">
      <c r="B199" s="89"/>
      <c r="C199" s="89"/>
      <c r="D199" s="52"/>
      <c r="E199" s="52"/>
      <c r="F199" s="52"/>
      <c r="G199" s="52"/>
      <c r="H199" s="52"/>
      <c r="I199" s="52"/>
      <c r="J199" s="52"/>
      <c r="K199" s="52"/>
      <c r="L199" s="52"/>
      <c r="M199" s="52"/>
      <c r="N199" s="52"/>
      <c r="O199" s="52"/>
      <c r="P199" s="52"/>
      <c r="Q199" s="52"/>
    </row>
    <row r="200" spans="2:17" x14ac:dyDescent="0.35">
      <c r="B200" s="52"/>
      <c r="C200" s="52"/>
      <c r="D200" s="52"/>
      <c r="E200" s="52"/>
      <c r="F200" s="52"/>
      <c r="G200" s="52"/>
      <c r="H200" s="52"/>
      <c r="I200" s="52"/>
      <c r="J200" s="52"/>
      <c r="K200" s="52"/>
      <c r="L200" s="52"/>
      <c r="M200" s="52"/>
      <c r="N200" s="52"/>
      <c r="O200" s="52"/>
      <c r="P200" s="52"/>
      <c r="Q200" s="52"/>
    </row>
    <row r="201" spans="2:17" x14ac:dyDescent="0.35">
      <c r="B201" s="52"/>
      <c r="C201" s="52"/>
      <c r="D201" s="52"/>
      <c r="E201" s="52"/>
      <c r="F201" s="52"/>
      <c r="G201" s="52"/>
      <c r="H201" s="52"/>
      <c r="I201" s="52"/>
      <c r="J201" s="52"/>
      <c r="K201" s="52"/>
      <c r="L201" s="52"/>
      <c r="M201" s="52"/>
      <c r="N201" s="52"/>
      <c r="O201" s="52"/>
      <c r="P201" s="52"/>
      <c r="Q201" s="52"/>
    </row>
    <row r="202" spans="2:17" x14ac:dyDescent="0.35">
      <c r="B202" s="52"/>
      <c r="C202" s="52"/>
      <c r="D202" s="52"/>
      <c r="E202" s="52"/>
      <c r="F202" s="52"/>
      <c r="G202" s="52"/>
      <c r="H202" s="52"/>
      <c r="I202" s="52"/>
      <c r="J202" s="52"/>
      <c r="K202" s="52"/>
      <c r="L202" s="52"/>
      <c r="M202" s="52"/>
      <c r="N202" s="52"/>
      <c r="O202" s="52"/>
      <c r="P202" s="52"/>
      <c r="Q202" s="52"/>
    </row>
    <row r="203" spans="2:17" x14ac:dyDescent="0.35">
      <c r="B203" s="89"/>
      <c r="C203" s="89"/>
      <c r="D203" s="52"/>
      <c r="E203" s="52"/>
      <c r="F203" s="52"/>
      <c r="G203" s="52"/>
      <c r="H203" s="52"/>
      <c r="I203" s="52"/>
      <c r="J203" s="52"/>
      <c r="K203" s="52"/>
      <c r="L203" s="52"/>
      <c r="M203" s="52"/>
      <c r="N203" s="52"/>
      <c r="O203" s="52"/>
      <c r="P203" s="52"/>
      <c r="Q203" s="52"/>
    </row>
    <row r="204" spans="2:17" x14ac:dyDescent="0.35">
      <c r="B204" s="89"/>
      <c r="C204" s="89"/>
      <c r="D204" s="52"/>
      <c r="E204" s="52"/>
      <c r="F204" s="52"/>
      <c r="G204" s="52"/>
      <c r="H204" s="52"/>
      <c r="I204" s="52"/>
      <c r="J204" s="52"/>
      <c r="K204" s="52"/>
      <c r="L204" s="52"/>
      <c r="M204" s="52"/>
      <c r="N204" s="52"/>
      <c r="O204" s="52"/>
      <c r="P204" s="52"/>
      <c r="Q204" s="52"/>
    </row>
    <row r="205" spans="2:17" x14ac:dyDescent="0.35">
      <c r="B205" s="52"/>
      <c r="C205" s="52"/>
      <c r="D205" s="52"/>
      <c r="E205" s="52"/>
      <c r="F205" s="52"/>
      <c r="G205" s="52"/>
      <c r="H205" s="52"/>
      <c r="I205" s="52"/>
      <c r="J205" s="52"/>
      <c r="K205" s="52"/>
      <c r="L205" s="52"/>
      <c r="M205" s="52"/>
      <c r="N205" s="52"/>
      <c r="O205" s="52"/>
      <c r="P205" s="52"/>
      <c r="Q205" s="52"/>
    </row>
    <row r="206" spans="2:17" x14ac:dyDescent="0.35">
      <c r="B206" s="52"/>
      <c r="C206" s="52"/>
      <c r="D206" s="52"/>
      <c r="E206" s="52"/>
      <c r="F206" s="52"/>
      <c r="G206" s="52"/>
      <c r="H206" s="52"/>
      <c r="I206" s="52"/>
      <c r="J206" s="52"/>
      <c r="K206" s="52"/>
      <c r="L206" s="52"/>
      <c r="M206" s="52"/>
      <c r="N206" s="52"/>
      <c r="O206" s="52"/>
      <c r="P206" s="52"/>
      <c r="Q206" s="52"/>
    </row>
    <row r="207" spans="2:17" x14ac:dyDescent="0.35">
      <c r="B207" s="52"/>
      <c r="C207" s="52"/>
      <c r="D207" s="52"/>
      <c r="E207" s="52"/>
      <c r="F207" s="52"/>
      <c r="G207" s="52"/>
      <c r="H207" s="52"/>
      <c r="I207" s="52"/>
      <c r="J207" s="52"/>
      <c r="K207" s="52"/>
      <c r="L207" s="52"/>
      <c r="M207" s="52"/>
      <c r="N207" s="52"/>
      <c r="O207" s="52"/>
      <c r="P207" s="52"/>
      <c r="Q207" s="52"/>
    </row>
    <row r="208" spans="2:17" x14ac:dyDescent="0.35">
      <c r="B208" s="89"/>
      <c r="C208" s="89"/>
      <c r="D208" s="52"/>
      <c r="E208" s="52"/>
      <c r="F208" s="52"/>
      <c r="G208" s="52"/>
      <c r="H208" s="52"/>
      <c r="I208" s="52"/>
      <c r="J208" s="52"/>
      <c r="K208" s="52"/>
      <c r="L208" s="52"/>
      <c r="M208" s="52"/>
      <c r="N208" s="52"/>
      <c r="O208" s="52"/>
      <c r="P208" s="52"/>
      <c r="Q208" s="52"/>
    </row>
    <row r="209" spans="2:17" x14ac:dyDescent="0.35">
      <c r="B209" s="89"/>
      <c r="C209" s="89"/>
      <c r="D209" s="52"/>
      <c r="E209" s="52"/>
      <c r="F209" s="52"/>
      <c r="G209" s="52"/>
      <c r="H209" s="52"/>
      <c r="I209" s="52"/>
      <c r="J209" s="52"/>
      <c r="K209" s="52"/>
      <c r="L209" s="52"/>
      <c r="M209" s="52"/>
      <c r="N209" s="52"/>
      <c r="O209" s="52"/>
      <c r="P209" s="52"/>
      <c r="Q209" s="52"/>
    </row>
    <row r="210" spans="2:17" x14ac:dyDescent="0.35">
      <c r="B210" s="52"/>
      <c r="C210" s="52"/>
      <c r="D210" s="52"/>
      <c r="E210" s="52"/>
      <c r="F210" s="52"/>
      <c r="G210" s="52"/>
      <c r="H210" s="52"/>
      <c r="I210" s="52"/>
      <c r="J210" s="52"/>
      <c r="K210" s="52"/>
      <c r="L210" s="52"/>
      <c r="M210" s="52"/>
      <c r="N210" s="52"/>
      <c r="O210" s="52"/>
      <c r="P210" s="52"/>
      <c r="Q210" s="52"/>
    </row>
    <row r="211" spans="2:17" x14ac:dyDescent="0.35">
      <c r="B211" s="52"/>
      <c r="C211" s="52"/>
      <c r="D211" s="52"/>
      <c r="E211" s="52"/>
      <c r="F211" s="52"/>
      <c r="G211" s="52"/>
      <c r="H211" s="52"/>
      <c r="I211" s="52"/>
      <c r="J211" s="52"/>
      <c r="K211" s="52"/>
      <c r="L211" s="52"/>
      <c r="M211" s="52"/>
      <c r="N211" s="52"/>
      <c r="O211" s="52"/>
      <c r="P211" s="52"/>
      <c r="Q211" s="52"/>
    </row>
    <row r="212" spans="2:17" x14ac:dyDescent="0.35">
      <c r="B212" s="52"/>
      <c r="C212" s="52"/>
      <c r="D212" s="52"/>
      <c r="E212" s="52"/>
      <c r="F212" s="52"/>
      <c r="G212" s="52"/>
      <c r="H212" s="52"/>
      <c r="I212" s="52"/>
      <c r="J212" s="52"/>
      <c r="K212" s="52"/>
      <c r="L212" s="52"/>
      <c r="M212" s="52"/>
      <c r="N212" s="52"/>
      <c r="O212" s="52"/>
      <c r="P212" s="52"/>
      <c r="Q212" s="52"/>
    </row>
    <row r="213" spans="2:17" x14ac:dyDescent="0.35">
      <c r="B213" s="89"/>
      <c r="C213" s="89"/>
      <c r="D213" s="52"/>
      <c r="E213" s="52"/>
      <c r="F213" s="52"/>
      <c r="G213" s="52"/>
      <c r="H213" s="52"/>
      <c r="I213" s="52"/>
      <c r="J213" s="52"/>
      <c r="K213" s="52"/>
      <c r="L213" s="52"/>
      <c r="M213" s="52"/>
      <c r="N213" s="52"/>
      <c r="O213" s="52"/>
      <c r="P213" s="52"/>
      <c r="Q213" s="52"/>
    </row>
    <row r="214" spans="2:17" x14ac:dyDescent="0.35">
      <c r="B214" s="89"/>
      <c r="C214" s="89"/>
      <c r="D214" s="52"/>
      <c r="E214" s="52"/>
      <c r="F214" s="52"/>
      <c r="G214" s="52"/>
      <c r="H214" s="52"/>
      <c r="I214" s="52"/>
      <c r="J214" s="52"/>
      <c r="K214" s="52"/>
      <c r="L214" s="52"/>
      <c r="M214" s="52"/>
      <c r="N214" s="52"/>
      <c r="O214" s="52"/>
      <c r="P214" s="52"/>
      <c r="Q214" s="52"/>
    </row>
    <row r="215" spans="2:17" x14ac:dyDescent="0.35">
      <c r="B215" s="52"/>
      <c r="C215" s="52"/>
      <c r="D215" s="52"/>
      <c r="E215" s="52"/>
      <c r="F215" s="52"/>
      <c r="G215" s="52"/>
      <c r="H215" s="52"/>
      <c r="I215" s="52"/>
      <c r="J215" s="52"/>
      <c r="K215" s="52"/>
      <c r="L215" s="52"/>
      <c r="M215" s="52"/>
      <c r="N215" s="52"/>
      <c r="O215" s="52"/>
      <c r="P215" s="52"/>
      <c r="Q215" s="52"/>
    </row>
    <row r="216" spans="2:17" x14ac:dyDescent="0.35">
      <c r="B216" s="2"/>
      <c r="C216" s="2"/>
    </row>
    <row r="217" spans="2:17" x14ac:dyDescent="0.35">
      <c r="B217" s="2"/>
      <c r="C217" s="2"/>
    </row>
    <row r="218" spans="2:17" x14ac:dyDescent="0.35">
      <c r="B218" s="3"/>
      <c r="C218" s="3"/>
    </row>
    <row r="219" spans="2:17" x14ac:dyDescent="0.35">
      <c r="B219" s="3"/>
      <c r="C219" s="3"/>
    </row>
    <row r="220" spans="2:17" x14ac:dyDescent="0.35">
      <c r="B220" s="2"/>
      <c r="C220" s="2"/>
    </row>
    <row r="221" spans="2:17" x14ac:dyDescent="0.35">
      <c r="B221" s="2"/>
      <c r="C221" s="2"/>
    </row>
    <row r="222" spans="2:17" x14ac:dyDescent="0.35">
      <c r="B222" s="2"/>
      <c r="C222" s="2"/>
    </row>
    <row r="223" spans="2:17" x14ac:dyDescent="0.35">
      <c r="B223" s="3"/>
      <c r="C223" s="3"/>
    </row>
    <row r="224" spans="2:17" x14ac:dyDescent="0.35">
      <c r="B224" s="3"/>
      <c r="C224" s="3"/>
    </row>
    <row r="225" spans="2:3" x14ac:dyDescent="0.35">
      <c r="B225" s="2"/>
      <c r="C225" s="2"/>
    </row>
    <row r="226" spans="2:3" x14ac:dyDescent="0.35">
      <c r="B226" s="2"/>
      <c r="C226" s="2"/>
    </row>
    <row r="227" spans="2:3" x14ac:dyDescent="0.35">
      <c r="B227" s="2"/>
      <c r="C227" s="2"/>
    </row>
    <row r="228" spans="2:3" x14ac:dyDescent="0.35">
      <c r="B228" s="3"/>
      <c r="C228" s="3"/>
    </row>
    <row r="229" spans="2:3" x14ac:dyDescent="0.35">
      <c r="B229" s="3"/>
      <c r="C229" s="3"/>
    </row>
    <row r="230" spans="2:3" x14ac:dyDescent="0.35">
      <c r="B230" s="2"/>
      <c r="C230" s="2"/>
    </row>
    <row r="231" spans="2:3" x14ac:dyDescent="0.35">
      <c r="B231" s="2"/>
      <c r="C231" s="2"/>
    </row>
    <row r="232" spans="2:3" x14ac:dyDescent="0.35">
      <c r="B232" s="2"/>
      <c r="C232" s="2"/>
    </row>
    <row r="233" spans="2:3" x14ac:dyDescent="0.35">
      <c r="B233" s="3"/>
      <c r="C233" s="3"/>
    </row>
    <row r="234" spans="2:3" x14ac:dyDescent="0.35">
      <c r="B234" s="3"/>
      <c r="C234" s="3"/>
    </row>
    <row r="235" spans="2:3" x14ac:dyDescent="0.35">
      <c r="B235" s="2"/>
      <c r="C235" s="2"/>
    </row>
    <row r="236" spans="2:3" x14ac:dyDescent="0.35">
      <c r="B236" s="2"/>
      <c r="C236" s="2"/>
    </row>
    <row r="237" spans="2:3" x14ac:dyDescent="0.35">
      <c r="B237" s="2"/>
      <c r="C237" s="2"/>
    </row>
    <row r="238" spans="2:3" x14ac:dyDescent="0.35">
      <c r="B238" s="3"/>
      <c r="C238" s="3"/>
    </row>
    <row r="239" spans="2:3" x14ac:dyDescent="0.35">
      <c r="B239" s="3"/>
      <c r="C239" s="3"/>
    </row>
    <row r="240" spans="2:3" x14ac:dyDescent="0.35">
      <c r="B240" s="2"/>
      <c r="C240" s="2"/>
    </row>
    <row r="241" spans="2:3" x14ac:dyDescent="0.35">
      <c r="B241" s="2"/>
      <c r="C241" s="2"/>
    </row>
    <row r="242" spans="2:3" x14ac:dyDescent="0.35">
      <c r="B242" s="2"/>
      <c r="C242" s="2"/>
    </row>
    <row r="243" spans="2:3" x14ac:dyDescent="0.35">
      <c r="B243" s="3"/>
      <c r="C243" s="3"/>
    </row>
    <row r="244" spans="2:3" x14ac:dyDescent="0.35">
      <c r="B244" s="3"/>
      <c r="C244" s="3"/>
    </row>
    <row r="245" spans="2:3" x14ac:dyDescent="0.35">
      <c r="B245" s="2"/>
      <c r="C245" s="2"/>
    </row>
    <row r="246" spans="2:3" x14ac:dyDescent="0.35">
      <c r="B246" s="2"/>
      <c r="C246" s="2"/>
    </row>
    <row r="247" spans="2:3" x14ac:dyDescent="0.35">
      <c r="B247" s="2"/>
      <c r="C247" s="2"/>
    </row>
    <row r="248" spans="2:3" x14ac:dyDescent="0.35">
      <c r="B248" s="3"/>
      <c r="C248" s="3"/>
    </row>
    <row r="249" spans="2:3" x14ac:dyDescent="0.35">
      <c r="B249" s="3"/>
      <c r="C249" s="3"/>
    </row>
    <row r="250" spans="2:3" x14ac:dyDescent="0.35">
      <c r="B250" s="2"/>
      <c r="C250" s="2"/>
    </row>
    <row r="251" spans="2:3" x14ac:dyDescent="0.35">
      <c r="B251" s="2"/>
      <c r="C251" s="2"/>
    </row>
    <row r="252" spans="2:3" x14ac:dyDescent="0.35">
      <c r="B252" s="2"/>
      <c r="C252" s="2"/>
    </row>
    <row r="253" spans="2:3" x14ac:dyDescent="0.35">
      <c r="B253" s="3"/>
      <c r="C253" s="3"/>
    </row>
    <row r="254" spans="2:3" x14ac:dyDescent="0.35">
      <c r="B254" s="3"/>
      <c r="C254" s="3"/>
    </row>
    <row r="255" spans="2:3" x14ac:dyDescent="0.35">
      <c r="B255" s="2"/>
      <c r="C255" s="2"/>
    </row>
    <row r="256" spans="2:3" x14ac:dyDescent="0.35">
      <c r="B256" s="2"/>
      <c r="C256" s="2"/>
    </row>
    <row r="257" spans="2:3" x14ac:dyDescent="0.35">
      <c r="B257" s="2"/>
      <c r="C257" s="2"/>
    </row>
    <row r="258" spans="2:3" x14ac:dyDescent="0.35">
      <c r="B258" s="3"/>
      <c r="C258" s="3"/>
    </row>
    <row r="259" spans="2:3" x14ac:dyDescent="0.35">
      <c r="B259" s="3"/>
      <c r="C259" s="3"/>
    </row>
    <row r="260" spans="2:3" x14ac:dyDescent="0.35">
      <c r="B260" s="2"/>
      <c r="C260" s="2"/>
    </row>
    <row r="261" spans="2:3" x14ac:dyDescent="0.35">
      <c r="B261" s="2"/>
      <c r="C261" s="2"/>
    </row>
    <row r="262" spans="2:3" x14ac:dyDescent="0.35">
      <c r="B262" s="2"/>
      <c r="C262" s="2"/>
    </row>
    <row r="263" spans="2:3" x14ac:dyDescent="0.35">
      <c r="B263" s="3"/>
      <c r="C263" s="3"/>
    </row>
    <row r="264" spans="2:3" x14ac:dyDescent="0.35">
      <c r="B264" s="3"/>
      <c r="C264" s="3"/>
    </row>
    <row r="265" spans="2:3" x14ac:dyDescent="0.35">
      <c r="B265" s="2"/>
      <c r="C265" s="2"/>
    </row>
    <row r="266" spans="2:3" x14ac:dyDescent="0.35">
      <c r="B266" s="2"/>
      <c r="C266" s="2"/>
    </row>
    <row r="267" spans="2:3" x14ac:dyDescent="0.35">
      <c r="B267" s="2"/>
      <c r="C267" s="2"/>
    </row>
    <row r="268" spans="2:3" x14ac:dyDescent="0.35">
      <c r="B268" s="3"/>
      <c r="C268" s="3"/>
    </row>
    <row r="269" spans="2:3" x14ac:dyDescent="0.35">
      <c r="B269" s="3"/>
      <c r="C269" s="3"/>
    </row>
    <row r="270" spans="2:3" x14ac:dyDescent="0.35">
      <c r="B270" s="2"/>
      <c r="C270" s="2"/>
    </row>
    <row r="271" spans="2:3" x14ac:dyDescent="0.35">
      <c r="B271" s="2"/>
      <c r="C271" s="2"/>
    </row>
  </sheetData>
  <phoneticPr fontId="15" type="noConversion"/>
  <hyperlinks>
    <hyperlink ref="B104" location="Índice!A1" display="Volver al índice" xr:uid="{00000000-0004-0000-02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22"/>
  <sheetViews>
    <sheetView showGridLines="0" zoomScale="90" zoomScaleNormal="90" workbookViewId="0">
      <pane ySplit="2" topLeftCell="A3" activePane="bottomLeft" state="frozen"/>
      <selection pane="bottomLeft"/>
    </sheetView>
  </sheetViews>
  <sheetFormatPr baseColWidth="10" defaultColWidth="11.453125" defaultRowHeight="14.5" x14ac:dyDescent="0.35"/>
  <cols>
    <col min="1" max="1" width="2.7265625" style="4" customWidth="1"/>
    <col min="2" max="2" width="60.81640625" style="4" customWidth="1"/>
    <col min="3" max="11" width="17.26953125" style="4" customWidth="1"/>
    <col min="12" max="12" width="14.7265625" style="4" customWidth="1"/>
    <col min="13" max="16384" width="11.453125" style="4"/>
  </cols>
  <sheetData>
    <row r="1" spans="1:6" ht="22.5" customHeight="1" x14ac:dyDescent="0.35">
      <c r="B1" s="33" t="s">
        <v>45</v>
      </c>
    </row>
    <row r="2" spans="1:6" ht="23.25" customHeight="1" x14ac:dyDescent="0.35">
      <c r="B2" s="4" t="s">
        <v>74</v>
      </c>
    </row>
    <row r="4" spans="1:6" x14ac:dyDescent="0.35">
      <c r="A4" s="2"/>
      <c r="B4" s="81" t="s">
        <v>46</v>
      </c>
    </row>
    <row r="5" spans="1:6" ht="26" x14ac:dyDescent="0.35">
      <c r="B5" s="21" t="s">
        <v>75</v>
      </c>
      <c r="C5" s="37" t="s">
        <v>100</v>
      </c>
      <c r="D5" s="37" t="s">
        <v>271</v>
      </c>
    </row>
    <row r="6" spans="1:6" x14ac:dyDescent="0.35">
      <c r="B6" s="34" t="s">
        <v>80</v>
      </c>
      <c r="C6" s="136">
        <v>140845</v>
      </c>
      <c r="D6" s="61">
        <v>0.79350785575866034</v>
      </c>
    </row>
    <row r="7" spans="1:6" x14ac:dyDescent="0.35">
      <c r="B7" s="34" t="s">
        <v>81</v>
      </c>
      <c r="C7" s="136">
        <v>401671</v>
      </c>
      <c r="D7" s="61">
        <v>0.7909434485706065</v>
      </c>
    </row>
    <row r="8" spans="1:6" x14ac:dyDescent="0.35">
      <c r="B8" s="34" t="s">
        <v>229</v>
      </c>
      <c r="C8" s="136">
        <v>632192</v>
      </c>
      <c r="D8" s="61">
        <v>0.8336060119578973</v>
      </c>
    </row>
    <row r="9" spans="1:6" x14ac:dyDescent="0.35">
      <c r="B9" s="35" t="s">
        <v>83</v>
      </c>
      <c r="C9" s="56">
        <v>1174708</v>
      </c>
      <c r="D9" s="54">
        <v>0.81421060534770728</v>
      </c>
    </row>
    <row r="11" spans="1:6" x14ac:dyDescent="0.35">
      <c r="B11" s="81" t="s">
        <v>47</v>
      </c>
    </row>
    <row r="12" spans="1:6" ht="26" x14ac:dyDescent="0.35">
      <c r="B12" s="21" t="s">
        <v>75</v>
      </c>
      <c r="C12" s="37" t="s">
        <v>102</v>
      </c>
      <c r="D12" s="37" t="s">
        <v>103</v>
      </c>
      <c r="E12" s="30" t="s">
        <v>104</v>
      </c>
      <c r="F12" s="1" t="s">
        <v>105</v>
      </c>
    </row>
    <row r="13" spans="1:6" x14ac:dyDescent="0.35">
      <c r="B13" s="83" t="s">
        <v>80</v>
      </c>
      <c r="C13" s="61">
        <v>0.6645952277028736</v>
      </c>
      <c r="D13" s="61">
        <v>0.71985355270722484</v>
      </c>
      <c r="E13" s="61">
        <v>0.69495645513745219</v>
      </c>
      <c r="F13" s="113">
        <f>(+D13-C13)*100</f>
        <v>5.5258325004351239</v>
      </c>
    </row>
    <row r="14" spans="1:6" x14ac:dyDescent="0.35">
      <c r="B14" s="83" t="s">
        <v>81</v>
      </c>
      <c r="C14" s="61">
        <v>0.66546288498770589</v>
      </c>
      <c r="D14" s="61">
        <v>0.69891570092138211</v>
      </c>
      <c r="E14" s="61">
        <v>0.68128941135520649</v>
      </c>
      <c r="F14" s="113">
        <f>(+D14-C14)*100</f>
        <v>3.3452815933676217</v>
      </c>
    </row>
    <row r="15" spans="1:6" x14ac:dyDescent="0.35">
      <c r="B15" s="83" t="s">
        <v>229</v>
      </c>
      <c r="C15" s="61">
        <v>0.72642553772910889</v>
      </c>
      <c r="D15" s="61">
        <v>0.78897399587413808</v>
      </c>
      <c r="E15" s="61">
        <v>0.76131795652547229</v>
      </c>
      <c r="F15" s="113">
        <f>(+D15-C15)*100</f>
        <v>6.254845814502918</v>
      </c>
    </row>
    <row r="16" spans="1:6" x14ac:dyDescent="0.35">
      <c r="B16" s="36" t="s">
        <v>83</v>
      </c>
      <c r="C16" s="54">
        <v>0.6903376877718177</v>
      </c>
      <c r="D16" s="54">
        <v>0.74531600887728922</v>
      </c>
      <c r="E16" s="54">
        <v>0.71921175073371846</v>
      </c>
      <c r="F16" s="114">
        <f>(+D16-C16)*100</f>
        <v>5.4978321105471517</v>
      </c>
    </row>
    <row r="17" spans="1:8" x14ac:dyDescent="0.35">
      <c r="B17" s="82" t="s">
        <v>109</v>
      </c>
      <c r="C17" s="115"/>
      <c r="D17" s="115"/>
      <c r="E17" s="115"/>
      <c r="F17" s="115"/>
      <c r="G17" s="115"/>
      <c r="H17" s="115"/>
    </row>
    <row r="18" spans="1:8" x14ac:dyDescent="0.35">
      <c r="B18" s="39"/>
      <c r="C18" s="115"/>
      <c r="D18" s="115"/>
      <c r="E18" s="115"/>
      <c r="F18" s="115"/>
      <c r="G18" s="115"/>
      <c r="H18" s="115"/>
    </row>
    <row r="19" spans="1:8" x14ac:dyDescent="0.35">
      <c r="A19" s="2"/>
      <c r="B19" s="81" t="s">
        <v>48</v>
      </c>
      <c r="C19" s="115"/>
      <c r="D19" s="115"/>
      <c r="E19" s="115"/>
      <c r="F19" s="115"/>
      <c r="G19" s="115"/>
      <c r="H19" s="115"/>
    </row>
    <row r="20" spans="1:8" ht="26" x14ac:dyDescent="0.35">
      <c r="B20" s="21" t="s">
        <v>75</v>
      </c>
      <c r="C20" s="37" t="s">
        <v>102</v>
      </c>
      <c r="D20" s="37" t="s">
        <v>103</v>
      </c>
      <c r="E20" s="30" t="s">
        <v>104</v>
      </c>
      <c r="F20" s="1" t="s">
        <v>105</v>
      </c>
    </row>
    <row r="21" spans="1:8" x14ac:dyDescent="0.35">
      <c r="B21" s="83" t="s">
        <v>80</v>
      </c>
      <c r="C21" s="61">
        <v>0.76190371085879238</v>
      </c>
      <c r="D21" s="61">
        <v>0.81686328450089951</v>
      </c>
      <c r="E21" s="61">
        <v>0.79350785575860339</v>
      </c>
      <c r="F21" s="113">
        <f>(+D21-C21)*100</f>
        <v>5.4959573642107129</v>
      </c>
    </row>
    <row r="22" spans="1:8" x14ac:dyDescent="0.35">
      <c r="B22" s="83" t="s">
        <v>81</v>
      </c>
      <c r="C22" s="61">
        <v>0.77587479836768336</v>
      </c>
      <c r="D22" s="61">
        <v>0.80747635411925123</v>
      </c>
      <c r="E22" s="61">
        <v>0.79094344857064336</v>
      </c>
      <c r="F22" s="113">
        <f>(+D22-C22)*100</f>
        <v>3.1601555751567867</v>
      </c>
    </row>
    <row r="23" spans="1:8" x14ac:dyDescent="0.35">
      <c r="B23" s="83" t="s">
        <v>229</v>
      </c>
      <c r="C23" s="61">
        <v>0.80714108093149506</v>
      </c>
      <c r="D23" s="61">
        <v>0.85429474098337899</v>
      </c>
      <c r="E23" s="61">
        <v>0.83360601195783246</v>
      </c>
      <c r="F23" s="113">
        <f>(+D23-C23)*100</f>
        <v>4.7153660051883932</v>
      </c>
    </row>
    <row r="24" spans="1:8" x14ac:dyDescent="0.35">
      <c r="B24" s="36" t="s">
        <v>83</v>
      </c>
      <c r="C24" s="54">
        <v>0.79019111095068517</v>
      </c>
      <c r="D24" s="54">
        <v>0.83516763910212666</v>
      </c>
      <c r="E24" s="54">
        <v>0.81421060534769951</v>
      </c>
      <c r="F24" s="114">
        <f>(+D24-C24)*100</f>
        <v>4.4976528151441482</v>
      </c>
    </row>
    <row r="25" spans="1:8" x14ac:dyDescent="0.35">
      <c r="B25" s="82" t="s">
        <v>272</v>
      </c>
      <c r="C25" s="115"/>
      <c r="D25" s="115"/>
      <c r="E25" s="115"/>
      <c r="F25" s="115"/>
      <c r="G25" s="115"/>
      <c r="H25" s="115"/>
    </row>
    <row r="26" spans="1:8" x14ac:dyDescent="0.35">
      <c r="B26" s="127"/>
      <c r="C26" s="115"/>
      <c r="D26" s="115"/>
      <c r="E26" s="115"/>
      <c r="F26" s="115"/>
      <c r="G26" s="115"/>
      <c r="H26" s="115"/>
    </row>
    <row r="27" spans="1:8" x14ac:dyDescent="0.35">
      <c r="B27" s="81" t="s">
        <v>273</v>
      </c>
    </row>
    <row r="28" spans="1:8" ht="26" x14ac:dyDescent="0.35">
      <c r="B28" s="21" t="s">
        <v>75</v>
      </c>
      <c r="C28" s="37" t="s">
        <v>100</v>
      </c>
      <c r="D28" s="37" t="s">
        <v>271</v>
      </c>
    </row>
    <row r="29" spans="1:8" x14ac:dyDescent="0.35">
      <c r="B29" s="87" t="s">
        <v>80</v>
      </c>
      <c r="C29" s="116">
        <v>125869</v>
      </c>
      <c r="D29" s="61">
        <v>0.79390583512427859</v>
      </c>
    </row>
    <row r="30" spans="1:8" x14ac:dyDescent="0.35">
      <c r="B30" s="87" t="s">
        <v>86</v>
      </c>
      <c r="C30" s="116">
        <v>14976</v>
      </c>
      <c r="D30" s="61">
        <v>0.79016295292907479</v>
      </c>
    </row>
    <row r="31" spans="1:8" x14ac:dyDescent="0.35">
      <c r="B31" s="87" t="s">
        <v>81</v>
      </c>
      <c r="C31" s="116">
        <v>401671</v>
      </c>
      <c r="D31" s="61">
        <v>0.79094344857064336</v>
      </c>
    </row>
    <row r="32" spans="1:8" x14ac:dyDescent="0.35">
      <c r="B32" s="87" t="s">
        <v>87</v>
      </c>
      <c r="C32" s="116">
        <v>179201</v>
      </c>
      <c r="D32" s="61">
        <v>0.82621548170350567</v>
      </c>
    </row>
    <row r="33" spans="2:13" x14ac:dyDescent="0.35">
      <c r="B33" s="87" t="s">
        <v>88</v>
      </c>
      <c r="C33" s="116">
        <v>189810</v>
      </c>
      <c r="D33" s="61">
        <v>0.82330500670635454</v>
      </c>
    </row>
    <row r="34" spans="2:13" x14ac:dyDescent="0.35">
      <c r="B34" s="87" t="s">
        <v>89</v>
      </c>
      <c r="C34" s="116">
        <v>263181</v>
      </c>
      <c r="D34" s="61">
        <v>0.84606748987162239</v>
      </c>
    </row>
    <row r="35" spans="2:13" x14ac:dyDescent="0.35">
      <c r="B35" s="36" t="s">
        <v>83</v>
      </c>
      <c r="C35" s="117">
        <v>1174708</v>
      </c>
      <c r="D35" s="54">
        <v>0.81421060534765144</v>
      </c>
    </row>
    <row r="36" spans="2:13" x14ac:dyDescent="0.35">
      <c r="B36" s="39"/>
      <c r="C36" s="118"/>
      <c r="D36" s="115"/>
    </row>
    <row r="37" spans="2:13" x14ac:dyDescent="0.35">
      <c r="B37" s="81" t="s">
        <v>274</v>
      </c>
      <c r="C37" s="2"/>
      <c r="D37" s="2"/>
      <c r="E37" s="2"/>
    </row>
    <row r="38" spans="2:13" ht="26" x14ac:dyDescent="0.35">
      <c r="B38" s="21" t="s">
        <v>75</v>
      </c>
      <c r="C38" s="37" t="s">
        <v>102</v>
      </c>
      <c r="D38" s="37" t="s">
        <v>103</v>
      </c>
      <c r="E38" s="30" t="s">
        <v>104</v>
      </c>
      <c r="F38" s="1" t="s">
        <v>105</v>
      </c>
      <c r="L38" s="131"/>
      <c r="M38" s="131"/>
    </row>
    <row r="39" spans="2:13" x14ac:dyDescent="0.35">
      <c r="B39" s="87" t="s">
        <v>80</v>
      </c>
      <c r="C39" s="61">
        <v>0.66991840472970932</v>
      </c>
      <c r="D39" s="61">
        <v>0.72097079750605286</v>
      </c>
      <c r="E39" s="61">
        <v>0.69742151980857159</v>
      </c>
      <c r="F39" s="113">
        <f>(+D39-C39)*100</f>
        <v>5.1052392776343547</v>
      </c>
      <c r="L39" s="131"/>
      <c r="M39" s="131"/>
    </row>
    <row r="40" spans="2:13" x14ac:dyDescent="0.35">
      <c r="B40" s="87" t="s">
        <v>86</v>
      </c>
      <c r="C40" s="61">
        <v>0.6158523779794346</v>
      </c>
      <c r="D40" s="61">
        <v>0.71279088053870154</v>
      </c>
      <c r="E40" s="61">
        <v>0.67677703502171627</v>
      </c>
      <c r="F40" s="113">
        <f t="shared" ref="F40:F45" si="0">(+D40-C40)*100</f>
        <v>9.6938502559266944</v>
      </c>
    </row>
    <row r="41" spans="2:13" x14ac:dyDescent="0.35">
      <c r="B41" s="87" t="s">
        <v>81</v>
      </c>
      <c r="C41" s="61">
        <v>0.66546288498770589</v>
      </c>
      <c r="D41" s="61">
        <v>0.69891570092138211</v>
      </c>
      <c r="E41" s="61">
        <v>0.68128941135520649</v>
      </c>
      <c r="F41" s="113">
        <f t="shared" si="0"/>
        <v>3.3452815933676217</v>
      </c>
      <c r="L41" s="131"/>
      <c r="M41" s="131"/>
    </row>
    <row r="42" spans="2:13" x14ac:dyDescent="0.35">
      <c r="B42" s="87" t="s">
        <v>87</v>
      </c>
      <c r="C42" s="61">
        <v>0.69995013125110783</v>
      </c>
      <c r="D42" s="61">
        <v>0.77056379746060699</v>
      </c>
      <c r="E42" s="61">
        <v>0.73750244832109002</v>
      </c>
      <c r="F42" s="113">
        <f t="shared" si="0"/>
        <v>7.061366620949916</v>
      </c>
      <c r="L42" s="131"/>
      <c r="M42" s="131"/>
    </row>
    <row r="43" spans="2:13" x14ac:dyDescent="0.35">
      <c r="B43" s="87" t="s">
        <v>88</v>
      </c>
      <c r="C43" s="61">
        <v>0.72537248956069178</v>
      </c>
      <c r="D43" s="61">
        <v>0.78512222822744526</v>
      </c>
      <c r="E43" s="61">
        <v>0.75617084427083925</v>
      </c>
      <c r="F43" s="113">
        <f t="shared" si="0"/>
        <v>5.9749738666753487</v>
      </c>
    </row>
    <row r="44" spans="2:13" x14ac:dyDescent="0.35">
      <c r="B44" s="87" t="s">
        <v>89</v>
      </c>
      <c r="C44" s="61">
        <v>0.74688271556504882</v>
      </c>
      <c r="D44" s="61">
        <v>0.80137795473003304</v>
      </c>
      <c r="E44" s="61">
        <v>0.77968827427890974</v>
      </c>
      <c r="F44" s="113">
        <f t="shared" si="0"/>
        <v>5.4495239164984222</v>
      </c>
      <c r="L44" s="131"/>
      <c r="M44" s="131"/>
    </row>
    <row r="45" spans="2:13" x14ac:dyDescent="0.35">
      <c r="B45" s="36" t="s">
        <v>83</v>
      </c>
      <c r="C45" s="54">
        <v>0.69033768777181892</v>
      </c>
      <c r="D45" s="54">
        <v>0.74531600887728677</v>
      </c>
      <c r="E45" s="54">
        <v>0.7192117507337239</v>
      </c>
      <c r="F45" s="114">
        <f t="shared" si="0"/>
        <v>5.4978321105467849</v>
      </c>
      <c r="L45" s="131"/>
      <c r="M45" s="131"/>
    </row>
    <row r="46" spans="2:13" x14ac:dyDescent="0.35">
      <c r="B46" s="82" t="s">
        <v>109</v>
      </c>
      <c r="C46" s="119"/>
      <c r="D46" s="119"/>
      <c r="E46" s="119"/>
      <c r="F46" s="119"/>
      <c r="G46" s="119"/>
      <c r="H46" s="119"/>
    </row>
    <row r="47" spans="2:13" x14ac:dyDescent="0.35">
      <c r="B47" s="120"/>
      <c r="C47" s="119"/>
      <c r="D47" s="119"/>
      <c r="E47" s="119"/>
      <c r="F47" s="119"/>
      <c r="G47" s="119"/>
      <c r="H47" s="119"/>
      <c r="L47" s="131"/>
      <c r="M47" s="131"/>
    </row>
    <row r="48" spans="2:13" x14ac:dyDescent="0.35">
      <c r="B48" s="81" t="s">
        <v>305</v>
      </c>
      <c r="L48" s="131"/>
      <c r="M48" s="131"/>
    </row>
    <row r="49" spans="2:13" ht="26" x14ac:dyDescent="0.35">
      <c r="B49" s="21" t="s">
        <v>75</v>
      </c>
      <c r="C49" s="37" t="s">
        <v>102</v>
      </c>
      <c r="D49" s="37" t="s">
        <v>103</v>
      </c>
      <c r="E49" s="30" t="s">
        <v>104</v>
      </c>
      <c r="F49" s="1" t="s">
        <v>105</v>
      </c>
    </row>
    <row r="50" spans="2:13" x14ac:dyDescent="0.35">
      <c r="B50" s="87" t="s">
        <v>80</v>
      </c>
      <c r="C50" s="61">
        <v>0.76299558660906253</v>
      </c>
      <c r="D50" s="61">
        <v>0.81734706769207011</v>
      </c>
      <c r="E50" s="61">
        <v>0.79390583512427859</v>
      </c>
      <c r="F50" s="113">
        <f t="shared" ref="F50:F56" si="1">(+D50-C50)*100</f>
        <v>5.4351481083007585</v>
      </c>
      <c r="L50" s="131"/>
      <c r="M50" s="131"/>
    </row>
    <row r="51" spans="2:13" x14ac:dyDescent="0.35">
      <c r="B51" s="87" t="s">
        <v>86</v>
      </c>
      <c r="C51" s="61">
        <v>0.75125640225820434</v>
      </c>
      <c r="D51" s="61">
        <v>0.81318269653465258</v>
      </c>
      <c r="E51" s="61">
        <v>0.79016295292907479</v>
      </c>
      <c r="F51" s="113">
        <f t="shared" si="1"/>
        <v>6.1926294276448246</v>
      </c>
    </row>
    <row r="52" spans="2:13" x14ac:dyDescent="0.35">
      <c r="B52" s="87" t="s">
        <v>81</v>
      </c>
      <c r="C52" s="61">
        <v>0.77587479836768336</v>
      </c>
      <c r="D52" s="61">
        <v>0.80747635411925123</v>
      </c>
      <c r="E52" s="61">
        <v>0.79094344857064336</v>
      </c>
      <c r="F52" s="113">
        <f t="shared" si="1"/>
        <v>3.1601555751567867</v>
      </c>
    </row>
    <row r="53" spans="2:13" x14ac:dyDescent="0.35">
      <c r="B53" s="87" t="s">
        <v>87</v>
      </c>
      <c r="C53" s="61">
        <v>0.79853751262813699</v>
      </c>
      <c r="D53" s="61">
        <v>0.85018175744628433</v>
      </c>
      <c r="E53" s="61">
        <v>0.82621548170350567</v>
      </c>
      <c r="F53" s="113">
        <f t="shared" si="1"/>
        <v>5.1644244818147333</v>
      </c>
    </row>
    <row r="54" spans="2:13" x14ac:dyDescent="0.35">
      <c r="B54" s="87" t="s">
        <v>88</v>
      </c>
      <c r="C54" s="61">
        <v>0.79853100950093669</v>
      </c>
      <c r="D54" s="61">
        <v>0.84688810359858335</v>
      </c>
      <c r="E54" s="61">
        <v>0.82330500670635454</v>
      </c>
      <c r="F54" s="113">
        <f t="shared" si="1"/>
        <v>4.8357094097646662</v>
      </c>
    </row>
    <row r="55" spans="2:13" x14ac:dyDescent="0.35">
      <c r="B55" s="87" t="s">
        <v>89</v>
      </c>
      <c r="C55" s="61">
        <v>0.82202033021272647</v>
      </c>
      <c r="D55" s="61">
        <v>0.86119950524842459</v>
      </c>
      <c r="E55" s="61">
        <v>0.84606748987162239</v>
      </c>
      <c r="F55" s="113">
        <f t="shared" si="1"/>
        <v>3.9179175035698122</v>
      </c>
    </row>
    <row r="56" spans="2:13" x14ac:dyDescent="0.35">
      <c r="B56" s="36" t="s">
        <v>83</v>
      </c>
      <c r="C56" s="54">
        <v>0.79019111095063377</v>
      </c>
      <c r="D56" s="54">
        <v>0.835167639102115</v>
      </c>
      <c r="E56" s="54">
        <v>0.81421060534765144</v>
      </c>
      <c r="F56" s="114">
        <f t="shared" si="1"/>
        <v>4.4976528151481237</v>
      </c>
    </row>
    <row r="57" spans="2:13" x14ac:dyDescent="0.35">
      <c r="B57" s="82" t="s">
        <v>272</v>
      </c>
      <c r="C57" s="119"/>
      <c r="D57" s="119"/>
      <c r="E57" s="119"/>
      <c r="F57" s="119"/>
      <c r="G57" s="119"/>
      <c r="H57" s="119"/>
    </row>
    <row r="58" spans="2:13" x14ac:dyDescent="0.35">
      <c r="B58" s="120"/>
      <c r="C58" s="119"/>
      <c r="D58" s="119"/>
      <c r="E58" s="119"/>
      <c r="F58" s="119"/>
      <c r="G58" s="119"/>
      <c r="H58" s="119"/>
    </row>
    <row r="59" spans="2:13" x14ac:dyDescent="0.35">
      <c r="B59" s="81" t="s">
        <v>49</v>
      </c>
      <c r="C59" s="115"/>
      <c r="D59" s="115"/>
      <c r="E59" s="115"/>
    </row>
    <row r="60" spans="2:13" ht="26" x14ac:dyDescent="0.35">
      <c r="B60" s="21" t="s">
        <v>111</v>
      </c>
      <c r="C60" s="37" t="s">
        <v>112</v>
      </c>
      <c r="D60" s="37" t="s">
        <v>113</v>
      </c>
      <c r="E60" s="115"/>
    </row>
    <row r="61" spans="2:13" x14ac:dyDescent="0.35">
      <c r="B61" s="83" t="s">
        <v>114</v>
      </c>
      <c r="C61" s="61">
        <v>0.70987026175636847</v>
      </c>
      <c r="D61" s="61">
        <v>0.80671498217349158</v>
      </c>
      <c r="E61" s="115"/>
    </row>
    <row r="62" spans="2:13" x14ac:dyDescent="0.35">
      <c r="B62" s="83" t="s">
        <v>115</v>
      </c>
      <c r="C62" s="61">
        <v>0.71261965277663131</v>
      </c>
      <c r="D62" s="61">
        <v>0.80528106664636567</v>
      </c>
      <c r="E62" s="115"/>
    </row>
    <row r="63" spans="2:13" x14ac:dyDescent="0.35">
      <c r="B63" s="83" t="s">
        <v>116</v>
      </c>
      <c r="C63" s="61">
        <v>0.73238463779745322</v>
      </c>
      <c r="D63" s="61">
        <v>0.81967212747280926</v>
      </c>
      <c r="E63" s="115"/>
    </row>
    <row r="64" spans="2:13" x14ac:dyDescent="0.35">
      <c r="B64" s="83" t="s">
        <v>117</v>
      </c>
      <c r="C64" s="61">
        <v>0.67244635086575755</v>
      </c>
      <c r="D64" s="61">
        <v>0.76403801436241991</v>
      </c>
      <c r="E64" s="115"/>
    </row>
    <row r="65" spans="2:9" x14ac:dyDescent="0.35">
      <c r="B65" s="83" t="s">
        <v>118</v>
      </c>
      <c r="C65" s="61">
        <v>0.78025224293991746</v>
      </c>
      <c r="D65" s="61">
        <v>0.86859315328562148</v>
      </c>
      <c r="E65" s="115"/>
    </row>
    <row r="66" spans="2:9" x14ac:dyDescent="0.35">
      <c r="B66" s="83" t="s">
        <v>119</v>
      </c>
      <c r="C66" s="61">
        <v>0.72469935949413944</v>
      </c>
      <c r="D66" s="61">
        <v>0.81438060543686175</v>
      </c>
      <c r="E66" s="115"/>
    </row>
    <row r="67" spans="2:9" x14ac:dyDescent="0.35">
      <c r="B67" s="83" t="s">
        <v>120</v>
      </c>
      <c r="C67" s="61">
        <v>0.74131569090239924</v>
      </c>
      <c r="D67" s="61">
        <v>0.83962006207238127</v>
      </c>
      <c r="E67" s="115"/>
    </row>
    <row r="68" spans="2:9" x14ac:dyDescent="0.35">
      <c r="B68" s="83" t="s">
        <v>121</v>
      </c>
      <c r="C68" s="61">
        <v>0.73097291254177144</v>
      </c>
      <c r="D68" s="61">
        <v>0.82056444550366592</v>
      </c>
      <c r="E68" s="115"/>
    </row>
    <row r="69" spans="2:9" x14ac:dyDescent="0.35">
      <c r="B69" s="83" t="s">
        <v>122</v>
      </c>
      <c r="C69" s="61">
        <v>0.763589102447225</v>
      </c>
      <c r="D69" s="61">
        <v>0.84699282694899547</v>
      </c>
      <c r="E69" s="115"/>
    </row>
    <row r="70" spans="2:9" x14ac:dyDescent="0.35">
      <c r="B70" s="83" t="s">
        <v>123</v>
      </c>
      <c r="C70" s="61">
        <v>0.67078542458641932</v>
      </c>
      <c r="D70" s="61">
        <v>0.76661370657105221</v>
      </c>
      <c r="E70" s="115"/>
    </row>
    <row r="71" spans="2:9" x14ac:dyDescent="0.35">
      <c r="B71" s="36" t="s">
        <v>83</v>
      </c>
      <c r="C71" s="54">
        <v>0.71921175073345189</v>
      </c>
      <c r="D71" s="54">
        <v>0.81421060534774425</v>
      </c>
      <c r="E71" s="115"/>
    </row>
    <row r="72" spans="2:9" x14ac:dyDescent="0.35">
      <c r="B72" s="39"/>
      <c r="C72" s="115"/>
      <c r="D72" s="115"/>
      <c r="E72" s="115"/>
    </row>
    <row r="73" spans="2:9" x14ac:dyDescent="0.35">
      <c r="B73" s="81" t="s">
        <v>50</v>
      </c>
      <c r="C73" s="121"/>
      <c r="D73" s="121"/>
      <c r="E73" s="121"/>
      <c r="F73" s="2"/>
      <c r="G73" s="2"/>
      <c r="H73" s="2"/>
      <c r="I73" s="2"/>
    </row>
    <row r="74" spans="2:9" ht="26" x14ac:dyDescent="0.35">
      <c r="B74" s="21" t="s">
        <v>111</v>
      </c>
      <c r="C74" s="37" t="s">
        <v>112</v>
      </c>
      <c r="D74" s="37" t="s">
        <v>113</v>
      </c>
      <c r="E74" s="115"/>
    </row>
    <row r="75" spans="2:9" x14ac:dyDescent="0.35">
      <c r="B75" s="83" t="s">
        <v>114</v>
      </c>
      <c r="C75" s="61">
        <v>0.73232525126053949</v>
      </c>
      <c r="D75" s="61">
        <v>0.81616376506887178</v>
      </c>
      <c r="E75" s="115"/>
    </row>
    <row r="76" spans="2:9" x14ac:dyDescent="0.35">
      <c r="B76" s="83" t="s">
        <v>115</v>
      </c>
      <c r="C76" s="61">
        <v>0.72634342969772991</v>
      </c>
      <c r="D76" s="61">
        <v>0.79903511115391745</v>
      </c>
      <c r="E76" s="115"/>
    </row>
    <row r="77" spans="2:9" x14ac:dyDescent="0.35">
      <c r="B77" s="83" t="s">
        <v>116</v>
      </c>
      <c r="C77" s="61">
        <v>0.78481396702416539</v>
      </c>
      <c r="D77" s="61">
        <v>0.84584057526996625</v>
      </c>
      <c r="E77" s="115"/>
    </row>
    <row r="78" spans="2:9" x14ac:dyDescent="0.35">
      <c r="B78" s="83" t="s">
        <v>117</v>
      </c>
      <c r="C78" s="61">
        <v>0.66639115793247827</v>
      </c>
      <c r="D78" s="61">
        <v>0.76054038579317862</v>
      </c>
      <c r="E78" s="115"/>
    </row>
    <row r="79" spans="2:9" x14ac:dyDescent="0.35">
      <c r="B79" s="83" t="s">
        <v>118</v>
      </c>
      <c r="C79" s="61">
        <v>0.83363316922720065</v>
      </c>
      <c r="D79" s="61">
        <v>0.8929923495187716</v>
      </c>
      <c r="E79" s="115"/>
    </row>
    <row r="80" spans="2:9" x14ac:dyDescent="0.35">
      <c r="B80" s="83" t="s">
        <v>119</v>
      </c>
      <c r="C80" s="61">
        <v>0.73791241443463707</v>
      </c>
      <c r="D80" s="61">
        <v>0.81716658559415523</v>
      </c>
      <c r="E80" s="115"/>
    </row>
    <row r="81" spans="1:5" x14ac:dyDescent="0.35">
      <c r="B81" s="83" t="s">
        <v>120</v>
      </c>
      <c r="C81" s="61">
        <v>0.8121532465448007</v>
      </c>
      <c r="D81" s="61">
        <v>0.8754822370308788</v>
      </c>
      <c r="E81" s="115"/>
    </row>
    <row r="82" spans="1:5" x14ac:dyDescent="0.35">
      <c r="B82" s="83" t="s">
        <v>121</v>
      </c>
      <c r="C82" s="61">
        <v>0.75741690087040758</v>
      </c>
      <c r="D82" s="61">
        <v>0.82509032096180235</v>
      </c>
      <c r="E82" s="115"/>
    </row>
    <row r="83" spans="1:5" x14ac:dyDescent="0.35">
      <c r="B83" s="83" t="s">
        <v>122</v>
      </c>
      <c r="C83" s="61">
        <v>0.80286270933130366</v>
      </c>
      <c r="D83" s="61">
        <v>0.859939565893728</v>
      </c>
      <c r="E83" s="115"/>
    </row>
    <row r="84" spans="1:5" x14ac:dyDescent="0.35">
      <c r="A84" s="2"/>
      <c r="B84" s="83" t="s">
        <v>123</v>
      </c>
      <c r="C84" s="61">
        <v>0.6779810839295396</v>
      </c>
      <c r="D84" s="61">
        <v>0.76674965075717716</v>
      </c>
      <c r="E84" s="115"/>
    </row>
    <row r="85" spans="1:5" x14ac:dyDescent="0.35">
      <c r="B85" s="36" t="s">
        <v>83</v>
      </c>
      <c r="C85" s="54">
        <v>0.76131795652550593</v>
      </c>
      <c r="D85" s="54">
        <v>0.83360601195785278</v>
      </c>
      <c r="E85" s="115"/>
    </row>
    <row r="86" spans="1:5" x14ac:dyDescent="0.35">
      <c r="B86" s="39"/>
      <c r="C86" s="115"/>
      <c r="D86" s="115"/>
      <c r="E86" s="115"/>
    </row>
    <row r="87" spans="1:5" x14ac:dyDescent="0.35">
      <c r="B87" s="81" t="s">
        <v>51</v>
      </c>
      <c r="C87" s="115"/>
      <c r="D87" s="115"/>
      <c r="E87" s="115"/>
    </row>
    <row r="88" spans="1:5" ht="26" x14ac:dyDescent="0.35">
      <c r="B88" s="21" t="s">
        <v>111</v>
      </c>
      <c r="C88" s="37" t="s">
        <v>112</v>
      </c>
      <c r="D88" s="37" t="s">
        <v>113</v>
      </c>
      <c r="E88" s="115"/>
    </row>
    <row r="89" spans="1:5" x14ac:dyDescent="0.35">
      <c r="B89" s="83" t="s">
        <v>114</v>
      </c>
      <c r="C89" s="61">
        <v>0.69411343815368454</v>
      </c>
      <c r="D89" s="61">
        <v>0.80408295684953279</v>
      </c>
      <c r="E89" s="115"/>
    </row>
    <row r="90" spans="1:5" x14ac:dyDescent="0.35">
      <c r="B90" s="83" t="s">
        <v>115</v>
      </c>
      <c r="C90" s="61">
        <v>0.72382366481148641</v>
      </c>
      <c r="D90" s="61">
        <v>0.83470555025116144</v>
      </c>
      <c r="E90" s="115"/>
    </row>
    <row r="91" spans="1:5" x14ac:dyDescent="0.35">
      <c r="B91" s="83" t="s">
        <v>116</v>
      </c>
      <c r="C91" s="61">
        <v>0.70076531215547122</v>
      </c>
      <c r="D91" s="61">
        <v>0.79525131705728236</v>
      </c>
      <c r="E91" s="115"/>
    </row>
    <row r="92" spans="1:5" x14ac:dyDescent="0.35">
      <c r="B92" s="83" t="s">
        <v>117</v>
      </c>
      <c r="C92" s="61">
        <v>0.71331376805233015</v>
      </c>
      <c r="D92" s="61">
        <v>0.80744219726519995</v>
      </c>
      <c r="E92" s="115"/>
    </row>
    <row r="93" spans="1:5" x14ac:dyDescent="0.35">
      <c r="B93" s="83" t="s">
        <v>118</v>
      </c>
      <c r="C93" s="61">
        <v>0.68710044446822716</v>
      </c>
      <c r="D93" s="61">
        <v>0.8216855717065733</v>
      </c>
      <c r="E93" s="115"/>
    </row>
    <row r="94" spans="1:5" x14ac:dyDescent="0.35">
      <c r="B94" s="83" t="s">
        <v>119</v>
      </c>
      <c r="C94" s="61">
        <v>0.63561335546947084</v>
      </c>
      <c r="D94" s="61">
        <v>0.77570592224036283</v>
      </c>
      <c r="E94" s="115"/>
    </row>
    <row r="95" spans="1:5" x14ac:dyDescent="0.35">
      <c r="B95" s="83" t="s">
        <v>120</v>
      </c>
      <c r="C95" s="61">
        <v>0.65596578317243082</v>
      </c>
      <c r="D95" s="61">
        <v>0.76983801496759874</v>
      </c>
      <c r="E95" s="115"/>
    </row>
    <row r="96" spans="1:5" x14ac:dyDescent="0.35">
      <c r="B96" s="83" t="s">
        <v>121</v>
      </c>
      <c r="C96" s="61">
        <v>0.61024149149149109</v>
      </c>
      <c r="D96" s="61">
        <v>0.79173216834721072</v>
      </c>
      <c r="E96" s="115"/>
    </row>
    <row r="97" spans="2:5" x14ac:dyDescent="0.35">
      <c r="B97" s="83" t="s">
        <v>122</v>
      </c>
      <c r="C97" s="61">
        <v>0.69863976015516849</v>
      </c>
      <c r="D97" s="61">
        <v>0.81457759381001671</v>
      </c>
      <c r="E97" s="115"/>
    </row>
    <row r="98" spans="2:5" x14ac:dyDescent="0.35">
      <c r="B98" s="83" t="s">
        <v>123</v>
      </c>
      <c r="C98" s="61">
        <v>0.66821576308521768</v>
      </c>
      <c r="D98" s="61">
        <v>0.77002067000897012</v>
      </c>
      <c r="E98" s="115"/>
    </row>
    <row r="99" spans="2:5" x14ac:dyDescent="0.35">
      <c r="B99" s="36" t="s">
        <v>83</v>
      </c>
      <c r="C99" s="54">
        <v>0.68128941135519261</v>
      </c>
      <c r="D99" s="54">
        <v>0.79094344857057131</v>
      </c>
      <c r="E99" s="115"/>
    </row>
    <row r="100" spans="2:5" x14ac:dyDescent="0.35">
      <c r="B100" s="39"/>
      <c r="C100" s="115"/>
      <c r="D100" s="115"/>
      <c r="E100" s="115"/>
    </row>
    <row r="101" spans="2:5" x14ac:dyDescent="0.35">
      <c r="B101" s="81" t="s">
        <v>52</v>
      </c>
      <c r="C101" s="115"/>
      <c r="D101" s="115"/>
      <c r="E101" s="115"/>
    </row>
    <row r="102" spans="2:5" ht="26" x14ac:dyDescent="0.35">
      <c r="B102" s="21" t="s">
        <v>111</v>
      </c>
      <c r="C102" s="37" t="s">
        <v>112</v>
      </c>
      <c r="D102" s="37" t="s">
        <v>113</v>
      </c>
      <c r="E102" s="115"/>
    </row>
    <row r="103" spans="2:5" x14ac:dyDescent="0.35">
      <c r="B103" s="83" t="s">
        <v>114</v>
      </c>
      <c r="C103" s="61">
        <v>0.71958797257052842</v>
      </c>
      <c r="D103" s="61">
        <v>0.79749460566000363</v>
      </c>
      <c r="E103" s="115"/>
    </row>
    <row r="104" spans="2:5" x14ac:dyDescent="0.35">
      <c r="B104" s="83" t="s">
        <v>115</v>
      </c>
      <c r="C104" s="61">
        <v>0.67621488008443231</v>
      </c>
      <c r="D104" s="61">
        <v>0.80527067740700953</v>
      </c>
      <c r="E104" s="115"/>
    </row>
    <row r="105" spans="2:5" x14ac:dyDescent="0.35">
      <c r="B105" s="83" t="s">
        <v>116</v>
      </c>
      <c r="C105" s="61">
        <v>0.67970414431032544</v>
      </c>
      <c r="D105" s="61">
        <v>0.77512229834241431</v>
      </c>
      <c r="E105" s="115"/>
    </row>
    <row r="106" spans="2:5" x14ac:dyDescent="0.35">
      <c r="B106" s="83" t="s">
        <v>117</v>
      </c>
      <c r="C106" s="61">
        <v>0.72746120920278246</v>
      </c>
      <c r="D106" s="61">
        <v>0.78757171148939842</v>
      </c>
      <c r="E106" s="115"/>
    </row>
    <row r="107" spans="2:5" x14ac:dyDescent="0.35">
      <c r="B107" s="83" t="s">
        <v>118</v>
      </c>
      <c r="C107" s="61">
        <v>0.69842208740400091</v>
      </c>
      <c r="D107" s="61">
        <v>0.78652736294748904</v>
      </c>
      <c r="E107" s="115"/>
    </row>
    <row r="108" spans="2:5" x14ac:dyDescent="0.35">
      <c r="B108" s="83" t="s">
        <v>119</v>
      </c>
      <c r="C108" s="61">
        <v>0.56192660550458629</v>
      </c>
      <c r="D108" s="61">
        <v>0.76653468572405026</v>
      </c>
      <c r="E108" s="115"/>
    </row>
    <row r="109" spans="2:5" x14ac:dyDescent="0.35">
      <c r="B109" s="83" t="s">
        <v>120</v>
      </c>
      <c r="C109" s="61">
        <v>0.71511584504323333</v>
      </c>
      <c r="D109" s="61">
        <v>0.83480866180288726</v>
      </c>
      <c r="E109" s="115"/>
    </row>
    <row r="110" spans="2:5" x14ac:dyDescent="0.35">
      <c r="B110" s="83" t="s">
        <v>121</v>
      </c>
      <c r="C110" s="61">
        <v>0.77551020408163263</v>
      </c>
      <c r="D110" s="61">
        <v>0.86921502976190468</v>
      </c>
      <c r="E110" s="115"/>
    </row>
    <row r="111" spans="2:5" x14ac:dyDescent="0.35">
      <c r="B111" s="83" t="s">
        <v>122</v>
      </c>
      <c r="C111" s="61">
        <v>0.70682297181749221</v>
      </c>
      <c r="D111" s="61">
        <v>0.81544391161824237</v>
      </c>
      <c r="E111" s="115"/>
    </row>
    <row r="112" spans="2:5" x14ac:dyDescent="0.35">
      <c r="B112" s="83" t="s">
        <v>123</v>
      </c>
      <c r="C112" s="61">
        <v>0.66635297021178652</v>
      </c>
      <c r="D112" s="61">
        <v>0.75222934995014756</v>
      </c>
      <c r="E112" s="115"/>
    </row>
    <row r="113" spans="2:15" x14ac:dyDescent="0.35">
      <c r="B113" s="36" t="s">
        <v>83</v>
      </c>
      <c r="C113" s="54">
        <v>0.69495645513741189</v>
      </c>
      <c r="D113" s="54">
        <v>0.79350785575859761</v>
      </c>
      <c r="E113" s="115"/>
    </row>
    <row r="114" spans="2:15" x14ac:dyDescent="0.35">
      <c r="B114" s="39"/>
      <c r="C114" s="115"/>
      <c r="D114" s="115"/>
      <c r="E114" s="115"/>
    </row>
    <row r="115" spans="2:15" x14ac:dyDescent="0.35">
      <c r="B115" s="14" t="s">
        <v>275</v>
      </c>
    </row>
    <row r="116" spans="2:15" ht="26" x14ac:dyDescent="0.35">
      <c r="B116" s="21" t="s">
        <v>111</v>
      </c>
      <c r="C116" s="37" t="s">
        <v>102</v>
      </c>
      <c r="D116" s="37" t="s">
        <v>103</v>
      </c>
      <c r="E116" s="30" t="s">
        <v>104</v>
      </c>
      <c r="F116" s="1" t="s">
        <v>105</v>
      </c>
    </row>
    <row r="117" spans="2:15" x14ac:dyDescent="0.35">
      <c r="B117" s="83" t="s">
        <v>114</v>
      </c>
      <c r="C117" s="61">
        <v>0.68552642757110727</v>
      </c>
      <c r="D117" s="61">
        <v>0.72997392986238196</v>
      </c>
      <c r="E117" s="61">
        <v>0.70987026175634937</v>
      </c>
      <c r="F117" s="113">
        <f t="shared" ref="F117:F126" si="2">(+D117-C117)*100</f>
        <v>4.4447502291274699</v>
      </c>
    </row>
    <row r="118" spans="2:15" x14ac:dyDescent="0.35">
      <c r="B118" s="83" t="s">
        <v>115</v>
      </c>
      <c r="C118" s="61">
        <v>0.66749349350337062</v>
      </c>
      <c r="D118" s="61">
        <v>0.7405949779804113</v>
      </c>
      <c r="E118" s="61">
        <v>0.71261965277662975</v>
      </c>
      <c r="F118" s="113">
        <f t="shared" si="2"/>
        <v>7.3101484477040675</v>
      </c>
    </row>
    <row r="119" spans="2:15" x14ac:dyDescent="0.35">
      <c r="B119" s="83" t="s">
        <v>116</v>
      </c>
      <c r="C119" s="61">
        <v>0.68291657666784611</v>
      </c>
      <c r="D119" s="61">
        <v>0.75941991561767141</v>
      </c>
      <c r="E119" s="61">
        <v>0.73238463779745144</v>
      </c>
      <c r="F119" s="113">
        <f t="shared" si="2"/>
        <v>7.6503338949825306</v>
      </c>
    </row>
    <row r="120" spans="2:15" x14ac:dyDescent="0.35">
      <c r="B120" s="83" t="s">
        <v>117</v>
      </c>
      <c r="C120" s="61">
        <v>0.66704120568814906</v>
      </c>
      <c r="D120" s="61">
        <v>0.67870930596866164</v>
      </c>
      <c r="E120" s="61">
        <v>0.67244635086575932</v>
      </c>
      <c r="F120" s="113">
        <f t="shared" si="2"/>
        <v>1.1668100280512572</v>
      </c>
    </row>
    <row r="121" spans="2:15" x14ac:dyDescent="0.35">
      <c r="B121" s="83" t="s">
        <v>118</v>
      </c>
      <c r="C121" s="61">
        <v>0.75308827460277039</v>
      </c>
      <c r="D121" s="61">
        <v>0.79163971085649598</v>
      </c>
      <c r="E121" s="61">
        <v>0.78025224293991968</v>
      </c>
      <c r="F121" s="113">
        <f t="shared" si="2"/>
        <v>3.8551436253725591</v>
      </c>
      <c r="J121" s="132"/>
      <c r="K121" s="132"/>
      <c r="L121" s="132"/>
      <c r="M121" s="132"/>
      <c r="N121" s="132"/>
      <c r="O121" s="132"/>
    </row>
    <row r="122" spans="2:15" x14ac:dyDescent="0.35">
      <c r="B122" s="83" t="s">
        <v>119</v>
      </c>
      <c r="C122" s="61">
        <v>0.72226524834776606</v>
      </c>
      <c r="D122" s="61">
        <v>0.72648935808959503</v>
      </c>
      <c r="E122" s="61">
        <v>0.72469935949413622</v>
      </c>
      <c r="F122" s="113">
        <f t="shared" si="2"/>
        <v>0.4224109741828963</v>
      </c>
      <c r="J122" s="133"/>
      <c r="K122" s="133"/>
      <c r="L122" s="133"/>
      <c r="M122" s="133"/>
      <c r="N122" s="133"/>
      <c r="O122" s="133"/>
    </row>
    <row r="123" spans="2:15" x14ac:dyDescent="0.35">
      <c r="B123" s="83" t="s">
        <v>120</v>
      </c>
      <c r="C123" s="61">
        <v>0.73060905582162039</v>
      </c>
      <c r="D123" s="61">
        <v>0.74485016082727906</v>
      </c>
      <c r="E123" s="61">
        <v>0.74131569090241201</v>
      </c>
      <c r="F123" s="113">
        <f t="shared" si="2"/>
        <v>1.4241105005658672</v>
      </c>
      <c r="J123" s="133"/>
      <c r="K123" s="133"/>
      <c r="L123" s="133"/>
      <c r="M123" s="133"/>
      <c r="N123" s="133"/>
      <c r="O123" s="133"/>
    </row>
    <row r="124" spans="2:15" x14ac:dyDescent="0.35">
      <c r="B124" s="83" t="s">
        <v>121</v>
      </c>
      <c r="C124" s="61">
        <v>0.69536895898193918</v>
      </c>
      <c r="D124" s="61">
        <v>0.74966946101916698</v>
      </c>
      <c r="E124" s="61">
        <v>0.73097291254177033</v>
      </c>
      <c r="F124" s="113">
        <f t="shared" si="2"/>
        <v>5.4300502037227805</v>
      </c>
      <c r="J124" s="133"/>
      <c r="K124" s="133"/>
      <c r="L124" s="133"/>
      <c r="M124" s="133"/>
      <c r="N124" s="133"/>
      <c r="O124" s="133"/>
    </row>
    <row r="125" spans="2:15" x14ac:dyDescent="0.35">
      <c r="B125" s="83" t="s">
        <v>122</v>
      </c>
      <c r="C125" s="61">
        <v>0.75443697737610171</v>
      </c>
      <c r="D125" s="61">
        <v>0.76654888119158893</v>
      </c>
      <c r="E125" s="61">
        <v>0.76358910244722367</v>
      </c>
      <c r="F125" s="113">
        <f t="shared" si="2"/>
        <v>1.2111903815487213</v>
      </c>
      <c r="J125" s="133"/>
      <c r="K125" s="133"/>
      <c r="L125" s="133"/>
      <c r="M125" s="133"/>
      <c r="N125" s="133"/>
      <c r="O125" s="133"/>
    </row>
    <row r="126" spans="2:15" x14ac:dyDescent="0.35">
      <c r="B126" s="83" t="s">
        <v>123</v>
      </c>
      <c r="C126" s="61">
        <v>0.66947564945891125</v>
      </c>
      <c r="D126" s="61">
        <v>0.67625549960547293</v>
      </c>
      <c r="E126" s="61">
        <v>0.67078542458641188</v>
      </c>
      <c r="F126" s="113">
        <f t="shared" si="2"/>
        <v>0.67798501465616834</v>
      </c>
      <c r="J126" s="133"/>
      <c r="K126" s="133"/>
      <c r="L126" s="133"/>
      <c r="M126" s="133"/>
      <c r="N126" s="133"/>
      <c r="O126" s="133"/>
    </row>
    <row r="127" spans="2:15" x14ac:dyDescent="0.35">
      <c r="B127" s="36" t="s">
        <v>83</v>
      </c>
      <c r="C127" s="54">
        <v>0.69033768777179372</v>
      </c>
      <c r="D127" s="54">
        <v>0.74531600887725991</v>
      </c>
      <c r="E127" s="54">
        <v>0.71921175073372512</v>
      </c>
      <c r="F127" s="114">
        <f t="shared" ref="F127" si="3">(+D127-C127)*100</f>
        <v>5.4978321105466188</v>
      </c>
      <c r="J127" s="133"/>
      <c r="K127" s="133"/>
      <c r="L127" s="133"/>
      <c r="M127" s="133"/>
      <c r="N127" s="133"/>
      <c r="O127" s="133"/>
    </row>
    <row r="128" spans="2:15" x14ac:dyDescent="0.35">
      <c r="B128" s="82" t="s">
        <v>109</v>
      </c>
      <c r="C128" s="115"/>
      <c r="D128" s="115"/>
      <c r="E128" s="115"/>
      <c r="J128" s="133"/>
      <c r="K128" s="133"/>
      <c r="L128" s="133"/>
      <c r="M128" s="133"/>
      <c r="N128" s="133"/>
      <c r="O128" s="133"/>
    </row>
    <row r="129" spans="2:15" x14ac:dyDescent="0.35">
      <c r="B129" s="39"/>
      <c r="C129" s="115"/>
      <c r="D129" s="115"/>
      <c r="E129" s="115"/>
      <c r="J129" s="133"/>
      <c r="K129" s="133"/>
      <c r="L129" s="133"/>
      <c r="M129" s="133"/>
      <c r="N129" s="133"/>
      <c r="O129" s="133"/>
    </row>
    <row r="130" spans="2:15" x14ac:dyDescent="0.35">
      <c r="B130" s="81" t="s">
        <v>53</v>
      </c>
      <c r="J130" s="133"/>
      <c r="K130" s="133"/>
      <c r="L130" s="133"/>
      <c r="M130" s="133"/>
      <c r="N130" s="133"/>
      <c r="O130" s="133"/>
    </row>
    <row r="131" spans="2:15" ht="26" x14ac:dyDescent="0.35">
      <c r="B131" s="21" t="s">
        <v>111</v>
      </c>
      <c r="C131" s="37" t="s">
        <v>102</v>
      </c>
      <c r="D131" s="37" t="s">
        <v>103</v>
      </c>
      <c r="E131" s="30" t="s">
        <v>104</v>
      </c>
      <c r="F131" s="1" t="s">
        <v>105</v>
      </c>
      <c r="J131" s="133"/>
      <c r="K131" s="133"/>
      <c r="L131" s="133"/>
      <c r="M131" s="133"/>
      <c r="N131" s="133"/>
      <c r="O131" s="133"/>
    </row>
    <row r="132" spans="2:15" x14ac:dyDescent="0.35">
      <c r="B132" s="83" t="s">
        <v>114</v>
      </c>
      <c r="C132" s="61">
        <v>0.78933082189993664</v>
      </c>
      <c r="D132" s="61">
        <v>0.82122190420358654</v>
      </c>
      <c r="E132" s="61">
        <v>0.80671498217347848</v>
      </c>
      <c r="F132" s="113">
        <f t="shared" ref="F132:F141" si="4">(+D132-C132)*100</f>
        <v>3.1891082303649898</v>
      </c>
      <c r="G132" s="95"/>
      <c r="J132" s="133"/>
      <c r="K132" s="133"/>
      <c r="L132" s="133"/>
      <c r="M132" s="133"/>
      <c r="N132" s="133"/>
      <c r="O132" s="133"/>
    </row>
    <row r="133" spans="2:15" x14ac:dyDescent="0.35">
      <c r="B133" s="83" t="s">
        <v>115</v>
      </c>
      <c r="C133" s="61">
        <v>0.78767703628493357</v>
      </c>
      <c r="D133" s="61">
        <v>0.81608614764596354</v>
      </c>
      <c r="E133" s="61">
        <v>0.80528106664636556</v>
      </c>
      <c r="F133" s="113">
        <f t="shared" si="4"/>
        <v>2.8409111361029971</v>
      </c>
      <c r="G133" s="95"/>
    </row>
    <row r="134" spans="2:15" x14ac:dyDescent="0.35">
      <c r="B134" s="83" t="s">
        <v>116</v>
      </c>
      <c r="C134" s="61">
        <v>0.79348539116167893</v>
      </c>
      <c r="D134" s="61">
        <v>0.83533260782077112</v>
      </c>
      <c r="E134" s="61">
        <v>0.81967212747282792</v>
      </c>
      <c r="F134" s="113">
        <f t="shared" si="4"/>
        <v>4.184721665909219</v>
      </c>
      <c r="G134" s="95"/>
    </row>
    <row r="135" spans="2:15" x14ac:dyDescent="0.35">
      <c r="B135" s="83" t="s">
        <v>117</v>
      </c>
      <c r="C135" s="61">
        <v>0.75898449969074566</v>
      </c>
      <c r="D135" s="61">
        <v>0.7703851031716733</v>
      </c>
      <c r="E135" s="61">
        <v>0.76403801436242136</v>
      </c>
      <c r="F135" s="113">
        <f t="shared" si="4"/>
        <v>1.140060348092764</v>
      </c>
      <c r="G135" s="95"/>
    </row>
    <row r="136" spans="2:15" x14ac:dyDescent="0.35">
      <c r="B136" s="83" t="s">
        <v>118</v>
      </c>
      <c r="C136" s="61">
        <v>0.85043963550460433</v>
      </c>
      <c r="D136" s="61">
        <v>0.87645583288037154</v>
      </c>
      <c r="E136" s="61">
        <v>0.8685931532856096</v>
      </c>
      <c r="F136" s="113">
        <f t="shared" si="4"/>
        <v>2.6016197375767214</v>
      </c>
      <c r="G136" s="95"/>
    </row>
    <row r="137" spans="2:15" x14ac:dyDescent="0.35">
      <c r="B137" s="83" t="s">
        <v>119</v>
      </c>
      <c r="C137" s="61">
        <v>0.81259979854340614</v>
      </c>
      <c r="D137" s="61">
        <v>0.81569359058182933</v>
      </c>
      <c r="E137" s="61">
        <v>0.81438060543687008</v>
      </c>
      <c r="F137" s="113">
        <f t="shared" si="4"/>
        <v>0.30937920384231932</v>
      </c>
      <c r="G137" s="95"/>
    </row>
    <row r="138" spans="2:15" x14ac:dyDescent="0.35">
      <c r="B138" s="83" t="s">
        <v>120</v>
      </c>
      <c r="C138" s="61">
        <v>0.83270097261193143</v>
      </c>
      <c r="D138" s="61">
        <v>0.8420857907311815</v>
      </c>
      <c r="E138" s="61">
        <v>0.83962006207239392</v>
      </c>
      <c r="F138" s="113">
        <f t="shared" si="4"/>
        <v>0.93848181192500713</v>
      </c>
      <c r="G138" s="95"/>
    </row>
    <row r="139" spans="2:15" x14ac:dyDescent="0.35">
      <c r="B139" s="83" t="s">
        <v>121</v>
      </c>
      <c r="C139" s="61">
        <v>0.79952751401884126</v>
      </c>
      <c r="D139" s="61">
        <v>0.83197365024489234</v>
      </c>
      <c r="E139" s="61">
        <v>0.82056444550366581</v>
      </c>
      <c r="F139" s="113">
        <f t="shared" si="4"/>
        <v>3.2446136226051081</v>
      </c>
      <c r="G139" s="95"/>
    </row>
    <row r="140" spans="2:15" x14ac:dyDescent="0.35">
      <c r="B140" s="83" t="s">
        <v>122</v>
      </c>
      <c r="C140" s="61">
        <v>0.83555117341602847</v>
      </c>
      <c r="D140" s="61">
        <v>0.85082693826999978</v>
      </c>
      <c r="E140" s="61">
        <v>0.84699282694896816</v>
      </c>
      <c r="F140" s="113">
        <f>(+D140-C140)*100</f>
        <v>1.5275764853971308</v>
      </c>
      <c r="G140" s="95"/>
    </row>
    <row r="141" spans="2:15" x14ac:dyDescent="0.35">
      <c r="B141" s="83" t="s">
        <v>123</v>
      </c>
      <c r="C141" s="61">
        <v>0.76523146793393948</v>
      </c>
      <c r="D141" s="61">
        <v>0.77245422037554123</v>
      </c>
      <c r="E141" s="61">
        <v>0.76661370657108652</v>
      </c>
      <c r="F141" s="113">
        <f t="shared" si="4"/>
        <v>0.72227524416017541</v>
      </c>
      <c r="G141" s="95"/>
    </row>
    <row r="142" spans="2:15" x14ac:dyDescent="0.35">
      <c r="B142" s="36" t="s">
        <v>83</v>
      </c>
      <c r="C142" s="54">
        <v>0.79019111095069627</v>
      </c>
      <c r="D142" s="54">
        <v>0.8351676391022308</v>
      </c>
      <c r="E142" s="54">
        <v>0.81421060534761258</v>
      </c>
      <c r="F142" s="114">
        <f t="shared" ref="F142" si="5">(+D142-C142)*100</f>
        <v>4.4976528151534527</v>
      </c>
      <c r="G142" s="95"/>
    </row>
    <row r="143" spans="2:15" x14ac:dyDescent="0.35">
      <c r="B143" s="82" t="s">
        <v>272</v>
      </c>
      <c r="C143" s="115"/>
      <c r="D143" s="115"/>
      <c r="E143" s="115"/>
    </row>
    <row r="144" spans="2:15" x14ac:dyDescent="0.35">
      <c r="B144" s="127"/>
      <c r="C144" s="115"/>
      <c r="D144" s="115"/>
      <c r="E144" s="115"/>
    </row>
    <row r="145" spans="2:6" x14ac:dyDescent="0.35">
      <c r="B145" s="81" t="s">
        <v>54</v>
      </c>
      <c r="C145" s="115"/>
      <c r="D145" s="115"/>
      <c r="E145" s="115"/>
    </row>
    <row r="146" spans="2:6" ht="26" x14ac:dyDescent="0.35">
      <c r="B146" s="28" t="s">
        <v>130</v>
      </c>
      <c r="C146" s="1" t="s">
        <v>102</v>
      </c>
      <c r="D146" s="1" t="s">
        <v>103</v>
      </c>
      <c r="E146" s="30" t="s">
        <v>104</v>
      </c>
      <c r="F146" s="1" t="s">
        <v>105</v>
      </c>
    </row>
    <row r="147" spans="2:6" x14ac:dyDescent="0.35">
      <c r="B147" s="87" t="s">
        <v>131</v>
      </c>
      <c r="C147" s="26">
        <v>0.68687444914506479</v>
      </c>
      <c r="D147" s="26">
        <v>0.72448470876233517</v>
      </c>
      <c r="E147" s="26">
        <v>0.70799254019585944</v>
      </c>
      <c r="F147" s="104">
        <f t="shared" ref="F147:F157" si="6">(+D147-C147)*100</f>
        <v>3.7610259617270381</v>
      </c>
    </row>
    <row r="148" spans="2:6" x14ac:dyDescent="0.35">
      <c r="B148" s="87" t="s">
        <v>132</v>
      </c>
      <c r="C148" s="26">
        <v>0.6671604247621008</v>
      </c>
      <c r="D148" s="26">
        <v>0.74092546786133362</v>
      </c>
      <c r="E148" s="26">
        <v>0.71267516748495041</v>
      </c>
      <c r="F148" s="104">
        <f t="shared" si="6"/>
        <v>7.3765043099232823</v>
      </c>
    </row>
    <row r="149" spans="2:6" x14ac:dyDescent="0.35">
      <c r="B149" s="87" t="s">
        <v>133</v>
      </c>
      <c r="C149" s="26">
        <v>0.68344478099212036</v>
      </c>
      <c r="D149" s="26">
        <v>0.77466815573905623</v>
      </c>
      <c r="E149" s="26">
        <v>0.73627207082752599</v>
      </c>
      <c r="F149" s="104">
        <f t="shared" si="6"/>
        <v>9.1223374746935875</v>
      </c>
    </row>
    <row r="150" spans="2:6" x14ac:dyDescent="0.35">
      <c r="B150" s="87" t="s">
        <v>134</v>
      </c>
      <c r="C150" s="26">
        <v>0.67038514120894555</v>
      </c>
      <c r="D150" s="26">
        <v>0.68184791200169903</v>
      </c>
      <c r="E150" s="26">
        <v>0.67578291106656718</v>
      </c>
      <c r="F150" s="104">
        <f t="shared" si="6"/>
        <v>1.1462770792753485</v>
      </c>
    </row>
    <row r="151" spans="2:6" x14ac:dyDescent="0.35">
      <c r="B151" s="87" t="s">
        <v>135</v>
      </c>
      <c r="C151" s="26">
        <v>0.81200222929760202</v>
      </c>
      <c r="D151" s="26">
        <v>0.86860752067662417</v>
      </c>
      <c r="E151" s="26">
        <v>0.84936311772708117</v>
      </c>
      <c r="F151" s="104">
        <f t="shared" si="6"/>
        <v>5.6605291379022145</v>
      </c>
    </row>
    <row r="152" spans="2:6" x14ac:dyDescent="0.35">
      <c r="B152" s="87" t="s">
        <v>120</v>
      </c>
      <c r="C152" s="26">
        <v>0.75718478362014618</v>
      </c>
      <c r="D152" s="26">
        <v>0.74353623619105613</v>
      </c>
      <c r="E152" s="26">
        <v>0.74567846061923193</v>
      </c>
      <c r="F152" s="104">
        <f t="shared" si="6"/>
        <v>-1.3648547429090052</v>
      </c>
    </row>
    <row r="153" spans="2:6" x14ac:dyDescent="0.35">
      <c r="B153" s="87" t="s">
        <v>136</v>
      </c>
      <c r="C153" s="26">
        <v>0.66731467847647796</v>
      </c>
      <c r="D153" s="26">
        <v>0.68610786565603643</v>
      </c>
      <c r="E153" s="26">
        <v>0.6710486793110324</v>
      </c>
      <c r="F153" s="104">
        <f t="shared" si="6"/>
        <v>1.8793187179558468</v>
      </c>
    </row>
    <row r="154" spans="2:6" x14ac:dyDescent="0.35">
      <c r="B154" s="87" t="s">
        <v>137</v>
      </c>
      <c r="C154" s="26">
        <v>0.74367984146412791</v>
      </c>
      <c r="D154" s="26">
        <v>0.75915164425843262</v>
      </c>
      <c r="E154" s="26">
        <v>0.75551146332640484</v>
      </c>
      <c r="F154" s="104">
        <f t="shared" si="6"/>
        <v>1.5471802794304712</v>
      </c>
    </row>
    <row r="155" spans="2:6" x14ac:dyDescent="0.35">
      <c r="B155" s="87" t="s">
        <v>138</v>
      </c>
      <c r="C155" s="26">
        <v>0.69121573510584744</v>
      </c>
      <c r="D155" s="26">
        <v>0.74025358726349566</v>
      </c>
      <c r="E155" s="26">
        <v>0.71760729391856126</v>
      </c>
      <c r="F155" s="104">
        <f t="shared" si="6"/>
        <v>4.9037852157648221</v>
      </c>
    </row>
    <row r="156" spans="2:6" x14ac:dyDescent="0.35">
      <c r="B156" s="87" t="s">
        <v>139</v>
      </c>
      <c r="C156" s="26">
        <v>0.68298060742510214</v>
      </c>
      <c r="D156" s="26">
        <v>0.6808948160911964</v>
      </c>
      <c r="E156" s="26">
        <v>0.68264973467057277</v>
      </c>
      <c r="F156" s="104">
        <f t="shared" si="6"/>
        <v>-0.20857913339057399</v>
      </c>
    </row>
    <row r="157" spans="2:6" x14ac:dyDescent="0.35">
      <c r="B157" s="29" t="s">
        <v>83</v>
      </c>
      <c r="C157" s="6">
        <v>0.69033768777181359</v>
      </c>
      <c r="D157" s="6">
        <v>0.7453160088772961</v>
      </c>
      <c r="E157" s="6">
        <v>0.71921175073371468</v>
      </c>
      <c r="F157" s="105">
        <f t="shared" si="6"/>
        <v>5.4978321105482504</v>
      </c>
    </row>
    <row r="158" spans="2:6" x14ac:dyDescent="0.35">
      <c r="B158" s="82" t="s">
        <v>109</v>
      </c>
      <c r="C158" s="115"/>
      <c r="D158" s="115"/>
      <c r="E158" s="115"/>
    </row>
    <row r="159" spans="2:6" x14ac:dyDescent="0.35">
      <c r="B159" s="39"/>
      <c r="C159" s="115"/>
      <c r="D159" s="115"/>
      <c r="E159" s="115"/>
    </row>
    <row r="160" spans="2:6" x14ac:dyDescent="0.35">
      <c r="B160" s="81" t="s">
        <v>276</v>
      </c>
      <c r="C160" s="115"/>
      <c r="D160" s="115"/>
      <c r="E160" s="115"/>
    </row>
    <row r="161" spans="2:9" ht="26" x14ac:dyDescent="0.35">
      <c r="B161" s="28" t="s">
        <v>130</v>
      </c>
      <c r="C161" s="1" t="s">
        <v>102</v>
      </c>
      <c r="D161" s="1" t="s">
        <v>103</v>
      </c>
      <c r="E161" s="30" t="s">
        <v>104</v>
      </c>
      <c r="F161" s="1" t="s">
        <v>105</v>
      </c>
    </row>
    <row r="162" spans="2:9" x14ac:dyDescent="0.35">
      <c r="B162" s="87" t="s">
        <v>131</v>
      </c>
      <c r="C162" s="26">
        <v>0.79349868904512577</v>
      </c>
      <c r="D162" s="26">
        <v>0.81966515061696243</v>
      </c>
      <c r="E162" s="26">
        <v>0.8081208566339052</v>
      </c>
      <c r="F162" s="104">
        <f>(+D162-C162)*100</f>
        <v>2.6166461571836663</v>
      </c>
    </row>
    <row r="163" spans="2:9" x14ac:dyDescent="0.35">
      <c r="B163" s="87" t="s">
        <v>132</v>
      </c>
      <c r="C163" s="26">
        <v>0.7874103612816068</v>
      </c>
      <c r="D163" s="26">
        <v>0.81615645677629067</v>
      </c>
      <c r="E163" s="26">
        <v>0.80522625952645832</v>
      </c>
      <c r="F163" s="104">
        <f t="shared" ref="F163:F172" si="7">(+D163-C163)*100</f>
        <v>2.8746095494683876</v>
      </c>
    </row>
    <row r="164" spans="2:9" x14ac:dyDescent="0.35">
      <c r="B164" s="87" t="s">
        <v>133</v>
      </c>
      <c r="C164" s="26">
        <v>0.79146670184231915</v>
      </c>
      <c r="D164" s="26">
        <v>0.84402451983217841</v>
      </c>
      <c r="E164" s="26">
        <v>0.82176733047403816</v>
      </c>
      <c r="F164" s="104">
        <f t="shared" si="7"/>
        <v>5.2557817989859252</v>
      </c>
    </row>
    <row r="165" spans="2:9" x14ac:dyDescent="0.35">
      <c r="B165" s="87" t="s">
        <v>134</v>
      </c>
      <c r="C165" s="26">
        <v>0.76248653149447909</v>
      </c>
      <c r="D165" s="26">
        <v>0.77736905224130393</v>
      </c>
      <c r="E165" s="26">
        <v>0.76919227644103561</v>
      </c>
      <c r="F165" s="104">
        <f t="shared" si="7"/>
        <v>1.4882520746824834</v>
      </c>
    </row>
    <row r="166" spans="2:9" x14ac:dyDescent="0.35">
      <c r="B166" s="87" t="s">
        <v>135</v>
      </c>
      <c r="C166" s="26">
        <v>0.87514453918531643</v>
      </c>
      <c r="D166" s="26">
        <v>0.91071857980066273</v>
      </c>
      <c r="E166" s="26">
        <v>0.89849875555778203</v>
      </c>
      <c r="F166" s="104">
        <f t="shared" si="7"/>
        <v>3.5574040615346303</v>
      </c>
    </row>
    <row r="167" spans="2:9" x14ac:dyDescent="0.35">
      <c r="B167" s="87" t="s">
        <v>120</v>
      </c>
      <c r="C167" s="26">
        <v>0.84456645568953181</v>
      </c>
      <c r="D167" s="26">
        <v>0.84176791186907252</v>
      </c>
      <c r="E167" s="26">
        <v>0.84231984390453685</v>
      </c>
      <c r="F167" s="104">
        <f t="shared" si="7"/>
        <v>-0.27985438204592983</v>
      </c>
    </row>
    <row r="168" spans="2:9" x14ac:dyDescent="0.35">
      <c r="B168" s="87" t="s">
        <v>136</v>
      </c>
      <c r="C168" s="26">
        <v>0.76861039531740527</v>
      </c>
      <c r="D168" s="26">
        <v>0.78778532854185079</v>
      </c>
      <c r="E168" s="26">
        <v>0.7726732422772089</v>
      </c>
      <c r="F168" s="104">
        <f t="shared" si="7"/>
        <v>1.9174933224445523</v>
      </c>
    </row>
    <row r="169" spans="2:9" x14ac:dyDescent="0.35">
      <c r="B169" s="87" t="s">
        <v>137</v>
      </c>
      <c r="C169" s="26">
        <v>0.83268929770082001</v>
      </c>
      <c r="D169" s="26">
        <v>0.84971266323937911</v>
      </c>
      <c r="E169" s="26">
        <v>0.84563023203605114</v>
      </c>
      <c r="F169" s="104">
        <f t="shared" si="7"/>
        <v>1.7023365538559099</v>
      </c>
    </row>
    <row r="170" spans="2:9" x14ac:dyDescent="0.35">
      <c r="B170" s="87" t="s">
        <v>138</v>
      </c>
      <c r="C170" s="26">
        <v>0.7912794596695274</v>
      </c>
      <c r="D170" s="26">
        <v>0.8166018277798005</v>
      </c>
      <c r="E170" s="26">
        <v>0.80482753781391414</v>
      </c>
      <c r="F170" s="104">
        <f t="shared" si="7"/>
        <v>2.5322368110273108</v>
      </c>
    </row>
    <row r="171" spans="2:9" x14ac:dyDescent="0.35">
      <c r="B171" s="87" t="s">
        <v>139</v>
      </c>
      <c r="C171" s="26">
        <v>0.76321926133509987</v>
      </c>
      <c r="D171" s="26">
        <v>0.75992120071948777</v>
      </c>
      <c r="E171" s="26">
        <v>0.76277184014390476</v>
      </c>
      <c r="F171" s="104">
        <f t="shared" si="7"/>
        <v>-0.32980606156121084</v>
      </c>
    </row>
    <row r="172" spans="2:9" x14ac:dyDescent="0.35">
      <c r="B172" s="29" t="s">
        <v>83</v>
      </c>
      <c r="C172" s="6">
        <v>0.79019111095071293</v>
      </c>
      <c r="D172" s="6">
        <v>0.83516763910226199</v>
      </c>
      <c r="E172" s="6">
        <v>0.81421060534761402</v>
      </c>
      <c r="F172" s="105">
        <f t="shared" si="7"/>
        <v>4.4976528151549067</v>
      </c>
    </row>
    <row r="173" spans="2:9" x14ac:dyDescent="0.35">
      <c r="B173" s="82" t="s">
        <v>272</v>
      </c>
      <c r="C173" s="115"/>
      <c r="D173" s="115"/>
      <c r="E173" s="115"/>
    </row>
    <row r="174" spans="2:9" x14ac:dyDescent="0.35">
      <c r="B174" s="39"/>
      <c r="C174" s="115"/>
      <c r="D174" s="115"/>
      <c r="E174" s="115"/>
    </row>
    <row r="175" spans="2:9" x14ac:dyDescent="0.35">
      <c r="B175" s="81" t="s">
        <v>277</v>
      </c>
    </row>
    <row r="176" spans="2:9" x14ac:dyDescent="0.35">
      <c r="B176" s="21" t="s">
        <v>75</v>
      </c>
      <c r="C176" s="1" t="s">
        <v>142</v>
      </c>
      <c r="D176" s="1" t="s">
        <v>143</v>
      </c>
      <c r="E176" s="1" t="s">
        <v>144</v>
      </c>
      <c r="F176" s="1" t="s">
        <v>145</v>
      </c>
      <c r="G176" s="1" t="s">
        <v>146</v>
      </c>
      <c r="H176" s="1" t="s">
        <v>147</v>
      </c>
      <c r="I176" s="1" t="s">
        <v>148</v>
      </c>
    </row>
    <row r="177" spans="2:10" x14ac:dyDescent="0.35">
      <c r="B177" s="83" t="s">
        <v>80</v>
      </c>
      <c r="C177" s="61">
        <v>0.86757359710942261</v>
      </c>
      <c r="D177" s="61">
        <v>0.855311036622729</v>
      </c>
      <c r="E177" s="61">
        <v>0.87501763869830029</v>
      </c>
      <c r="F177" s="61">
        <v>0.88913625551772235</v>
      </c>
      <c r="G177" s="61">
        <v>0.90733172191417355</v>
      </c>
      <c r="H177" s="102">
        <v>0.86465485954042609</v>
      </c>
      <c r="I177" s="102">
        <v>0.69495645513742976</v>
      </c>
    </row>
    <row r="178" spans="2:10" x14ac:dyDescent="0.35">
      <c r="B178" s="83" t="s">
        <v>81</v>
      </c>
      <c r="C178" s="61">
        <v>0.80495258350566679</v>
      </c>
      <c r="D178" s="61">
        <v>0.81756046944226979</v>
      </c>
      <c r="E178" s="61">
        <v>0.86872144209011526</v>
      </c>
      <c r="F178" s="61">
        <v>0.87400598639333182</v>
      </c>
      <c r="G178" s="61">
        <v>0.86470227331225602</v>
      </c>
      <c r="H178" s="102">
        <v>0.8098056724107352</v>
      </c>
      <c r="I178" s="102">
        <v>0.6812894113552671</v>
      </c>
    </row>
    <row r="179" spans="2:10" x14ac:dyDescent="0.35">
      <c r="B179" s="83" t="s">
        <v>229</v>
      </c>
      <c r="C179" s="61">
        <v>0.90799837173265197</v>
      </c>
      <c r="D179" s="61">
        <v>0.89550642184018503</v>
      </c>
      <c r="E179" s="61">
        <v>0.87966749296857338</v>
      </c>
      <c r="F179" s="61">
        <v>0.85516981170201456</v>
      </c>
      <c r="G179" s="61">
        <v>0.84359542973851487</v>
      </c>
      <c r="H179" s="102">
        <v>0.81102787438765978</v>
      </c>
      <c r="I179" s="102">
        <v>0.76131795652549394</v>
      </c>
    </row>
    <row r="180" spans="2:10" x14ac:dyDescent="0.35">
      <c r="B180" s="36" t="s">
        <v>83</v>
      </c>
      <c r="C180" s="54">
        <v>0.89589791504592076</v>
      </c>
      <c r="D180" s="54">
        <v>0.88557384028551434</v>
      </c>
      <c r="E180" s="54">
        <v>0.87777060321564349</v>
      </c>
      <c r="F180" s="54">
        <v>0.86246733801254338</v>
      </c>
      <c r="G180" s="54">
        <v>0.86003196950399852</v>
      </c>
      <c r="H180" s="57">
        <v>0.81912182966562641</v>
      </c>
      <c r="I180" s="57">
        <v>0.7192117507334741</v>
      </c>
      <c r="J180" s="134"/>
    </row>
    <row r="181" spans="2:10" x14ac:dyDescent="0.35">
      <c r="I181" s="5"/>
    </row>
    <row r="182" spans="2:10" x14ac:dyDescent="0.35">
      <c r="B182" s="81" t="s">
        <v>278</v>
      </c>
      <c r="I182" s="5"/>
    </row>
    <row r="183" spans="2:10" x14ac:dyDescent="0.35">
      <c r="B183" s="21" t="s">
        <v>279</v>
      </c>
      <c r="C183" s="1" t="s">
        <v>142</v>
      </c>
      <c r="D183" s="1" t="s">
        <v>143</v>
      </c>
      <c r="E183" s="1" t="s">
        <v>144</v>
      </c>
      <c r="F183" s="1" t="s">
        <v>145</v>
      </c>
      <c r="G183" s="1" t="s">
        <v>146</v>
      </c>
      <c r="H183" s="1" t="s">
        <v>147</v>
      </c>
      <c r="I183" s="1" t="s">
        <v>148</v>
      </c>
    </row>
    <row r="184" spans="2:10" x14ac:dyDescent="0.35">
      <c r="B184" s="83" t="s">
        <v>80</v>
      </c>
      <c r="C184" s="61">
        <v>0.86862666215722939</v>
      </c>
      <c r="D184" s="61">
        <v>0.85455973185614786</v>
      </c>
      <c r="E184" s="61">
        <v>0.87456735492174342</v>
      </c>
      <c r="F184" s="61">
        <v>0.88784888221892744</v>
      </c>
      <c r="G184" s="61">
        <v>0.90370639467676916</v>
      </c>
      <c r="H184" s="102">
        <v>0.8605094816673089</v>
      </c>
      <c r="I184" s="102">
        <v>0.69742151980854139</v>
      </c>
    </row>
    <row r="185" spans="2:10" x14ac:dyDescent="0.35">
      <c r="B185" s="83" t="s">
        <v>86</v>
      </c>
      <c r="C185" s="61">
        <v>0.45161290322580644</v>
      </c>
      <c r="D185" s="61">
        <v>0.92274063942339146</v>
      </c>
      <c r="E185" s="61">
        <v>0.89161192022847935</v>
      </c>
      <c r="F185" s="61">
        <v>0.914454597060676</v>
      </c>
      <c r="G185" s="61">
        <v>0.93982136317083054</v>
      </c>
      <c r="H185" s="102">
        <v>0.90161711436726821</v>
      </c>
      <c r="I185" s="102">
        <v>0.67677703502172026</v>
      </c>
    </row>
    <row r="186" spans="2:10" x14ac:dyDescent="0.35">
      <c r="B186" s="83" t="s">
        <v>81</v>
      </c>
      <c r="C186" s="61">
        <v>0.80495258350566679</v>
      </c>
      <c r="D186" s="61">
        <v>0.81756046944226979</v>
      </c>
      <c r="E186" s="61">
        <v>0.86872144209011526</v>
      </c>
      <c r="F186" s="61">
        <v>0.87400598639333182</v>
      </c>
      <c r="G186" s="61">
        <v>0.86470227331225602</v>
      </c>
      <c r="H186" s="102">
        <v>0.8098056724107352</v>
      </c>
      <c r="I186" s="102">
        <v>0.6812894113552671</v>
      </c>
    </row>
    <row r="187" spans="2:10" x14ac:dyDescent="0.35">
      <c r="B187" s="83" t="s">
        <v>87</v>
      </c>
      <c r="C187" s="61">
        <v>0.91549687241672917</v>
      </c>
      <c r="D187" s="61">
        <v>0.89189574278516726</v>
      </c>
      <c r="E187" s="61">
        <v>0.87309536420971545</v>
      </c>
      <c r="F187" s="61">
        <v>0.84980850301132171</v>
      </c>
      <c r="G187" s="61">
        <v>0.83612320391488359</v>
      </c>
      <c r="H187" s="102">
        <v>0.80220727869478414</v>
      </c>
      <c r="I187" s="102">
        <v>0.73750244832110246</v>
      </c>
    </row>
    <row r="188" spans="2:10" x14ac:dyDescent="0.35">
      <c r="B188" s="83" t="s">
        <v>88</v>
      </c>
      <c r="C188" s="61">
        <v>0.90000938177817535</v>
      </c>
      <c r="D188" s="61">
        <v>0.88471804993269942</v>
      </c>
      <c r="E188" s="61">
        <v>0.85994489608192581</v>
      </c>
      <c r="F188" s="61">
        <v>0.84138533442203978</v>
      </c>
      <c r="G188" s="61">
        <v>0.82631166476444562</v>
      </c>
      <c r="H188" s="102">
        <v>0.79318848817254239</v>
      </c>
      <c r="I188" s="102">
        <v>0.75617084427081882</v>
      </c>
    </row>
    <row r="189" spans="2:10" x14ac:dyDescent="0.35">
      <c r="B189" s="83" t="s">
        <v>89</v>
      </c>
      <c r="C189" s="61">
        <v>0.9087627572785858</v>
      </c>
      <c r="D189" s="61">
        <v>0.90829855989265174</v>
      </c>
      <c r="E189" s="61">
        <v>0.89929436125389473</v>
      </c>
      <c r="F189" s="61">
        <v>0.8680689916508284</v>
      </c>
      <c r="G189" s="61">
        <v>0.85962339686503308</v>
      </c>
      <c r="H189" s="102">
        <v>0.82896636351877351</v>
      </c>
      <c r="I189" s="102">
        <v>0.77968827427886955</v>
      </c>
    </row>
    <row r="190" spans="2:10" x14ac:dyDescent="0.35">
      <c r="B190" s="36" t="s">
        <v>83</v>
      </c>
      <c r="C190" s="54">
        <v>0.8958979150459111</v>
      </c>
      <c r="D190" s="54">
        <v>0.88557384028551067</v>
      </c>
      <c r="E190" s="54">
        <v>0.87777060321565037</v>
      </c>
      <c r="F190" s="54">
        <v>0.86246733801254127</v>
      </c>
      <c r="G190" s="54">
        <v>0.86003196950396066</v>
      </c>
      <c r="H190" s="57">
        <v>0.81912182966563007</v>
      </c>
      <c r="I190" s="57">
        <v>0.71921175073347243</v>
      </c>
    </row>
    <row r="192" spans="2:10" x14ac:dyDescent="0.35">
      <c r="B192" s="81" t="s">
        <v>280</v>
      </c>
    </row>
    <row r="193" spans="2:10" x14ac:dyDescent="0.35">
      <c r="B193" s="21" t="s">
        <v>152</v>
      </c>
      <c r="C193" s="1" t="s">
        <v>142</v>
      </c>
      <c r="D193" s="1" t="s">
        <v>143</v>
      </c>
      <c r="E193" s="1" t="s">
        <v>144</v>
      </c>
      <c r="F193" s="1" t="s">
        <v>145</v>
      </c>
      <c r="G193" s="1" t="s">
        <v>146</v>
      </c>
      <c r="H193" s="1" t="s">
        <v>147</v>
      </c>
      <c r="I193" s="1" t="s">
        <v>148</v>
      </c>
    </row>
    <row r="194" spans="2:10" x14ac:dyDescent="0.35">
      <c r="B194" s="83" t="s">
        <v>102</v>
      </c>
      <c r="C194" s="61">
        <v>0.88321276038631891</v>
      </c>
      <c r="D194" s="61">
        <v>0.8673637053028268</v>
      </c>
      <c r="E194" s="61">
        <v>0.85042309022492557</v>
      </c>
      <c r="F194" s="61">
        <v>0.8417189468905707</v>
      </c>
      <c r="G194" s="61">
        <v>0.83988011436338561</v>
      </c>
      <c r="H194" s="97">
        <v>0.79575318227564207</v>
      </c>
      <c r="I194" s="97">
        <v>0.69033768777185578</v>
      </c>
    </row>
    <row r="195" spans="2:10" x14ac:dyDescent="0.35">
      <c r="B195" s="83" t="s">
        <v>103</v>
      </c>
      <c r="C195" s="61">
        <v>0.90909411937103324</v>
      </c>
      <c r="D195" s="61">
        <v>0.90304778204573588</v>
      </c>
      <c r="E195" s="61">
        <v>0.89850308801395418</v>
      </c>
      <c r="F195" s="61">
        <v>0.87941332646208126</v>
      </c>
      <c r="G195" s="61">
        <v>0.87652036622838769</v>
      </c>
      <c r="H195" s="97">
        <v>0.83974796142065533</v>
      </c>
      <c r="I195" s="97">
        <v>0.74531600887732574</v>
      </c>
    </row>
    <row r="196" spans="2:10" x14ac:dyDescent="0.35">
      <c r="B196" s="36" t="s">
        <v>104</v>
      </c>
      <c r="C196" s="54">
        <v>0.89589791504591343</v>
      </c>
      <c r="D196" s="54">
        <v>0.88557384028551844</v>
      </c>
      <c r="E196" s="54">
        <v>0.87777060321565781</v>
      </c>
      <c r="F196" s="54">
        <v>0.86246733801254016</v>
      </c>
      <c r="G196" s="54">
        <v>0.86003196950406957</v>
      </c>
      <c r="H196" s="98">
        <v>0.81912182966561065</v>
      </c>
      <c r="I196" s="98">
        <v>0.719211750733461</v>
      </c>
    </row>
    <row r="197" spans="2:10" x14ac:dyDescent="0.35">
      <c r="B197" s="36" t="s">
        <v>153</v>
      </c>
      <c r="C197" s="57">
        <f>+C195-C194</f>
        <v>2.5881358984714331E-2</v>
      </c>
      <c r="D197" s="57">
        <f t="shared" ref="D197:G197" si="8">+D195-D194</f>
        <v>3.5684076742909077E-2</v>
      </c>
      <c r="E197" s="57">
        <f t="shared" si="8"/>
        <v>4.8079997789028606E-2</v>
      </c>
      <c r="F197" s="57">
        <f t="shared" si="8"/>
        <v>3.7694379571510561E-2</v>
      </c>
      <c r="G197" s="57">
        <f t="shared" si="8"/>
        <v>3.6640251865002083E-2</v>
      </c>
      <c r="H197" s="57">
        <f>+H195-H194</f>
        <v>4.3994779145013263E-2</v>
      </c>
      <c r="I197" s="57">
        <f>+I195-I194</f>
        <v>5.4978321105469963E-2</v>
      </c>
    </row>
    <row r="198" spans="2:10" x14ac:dyDescent="0.35">
      <c r="B198" s="127" t="s">
        <v>281</v>
      </c>
      <c r="C198" s="40"/>
      <c r="D198" s="40"/>
      <c r="E198" s="40"/>
      <c r="F198" s="40"/>
      <c r="G198" s="40"/>
      <c r="H198" s="40"/>
      <c r="I198" s="40"/>
      <c r="J198" s="40"/>
    </row>
    <row r="199" spans="2:10" x14ac:dyDescent="0.35">
      <c r="B199" s="127"/>
      <c r="C199" s="40"/>
      <c r="D199" s="40"/>
      <c r="E199" s="40"/>
      <c r="F199" s="40"/>
      <c r="G199" s="40"/>
      <c r="H199" s="40"/>
      <c r="I199" s="40"/>
      <c r="J199" s="40"/>
    </row>
    <row r="200" spans="2:10" ht="16.5" x14ac:dyDescent="0.35">
      <c r="B200" s="14" t="s">
        <v>282</v>
      </c>
      <c r="C200" s="40"/>
      <c r="D200" s="40"/>
      <c r="E200" s="40"/>
      <c r="F200" s="40"/>
      <c r="G200" s="40"/>
      <c r="H200" s="40"/>
      <c r="I200" s="40"/>
      <c r="J200" s="40"/>
    </row>
    <row r="201" spans="2:10" x14ac:dyDescent="0.35">
      <c r="B201" s="21" t="s">
        <v>156</v>
      </c>
      <c r="C201" s="38" t="s">
        <v>112</v>
      </c>
      <c r="D201" s="38" t="s">
        <v>113</v>
      </c>
      <c r="E201" s="40"/>
      <c r="F201" s="40"/>
      <c r="G201" s="40"/>
      <c r="H201" s="40"/>
      <c r="I201" s="40"/>
      <c r="J201" s="40"/>
    </row>
    <row r="202" spans="2:10" x14ac:dyDescent="0.35">
      <c r="B202" s="87" t="s">
        <v>157</v>
      </c>
      <c r="C202" s="26">
        <v>0.92720228946417027</v>
      </c>
      <c r="D202" s="26">
        <v>0.93756586920275886</v>
      </c>
      <c r="E202" s="40"/>
      <c r="F202" s="40"/>
      <c r="G202" s="40"/>
      <c r="H202" s="40"/>
      <c r="I202" s="40"/>
      <c r="J202" s="40"/>
    </row>
    <row r="203" spans="2:10" x14ac:dyDescent="0.35">
      <c r="B203" s="87" t="s">
        <v>159</v>
      </c>
      <c r="C203" s="26">
        <v>0.88365813790522363</v>
      </c>
      <c r="D203" s="26">
        <v>0.91729654305750796</v>
      </c>
      <c r="E203" s="40"/>
      <c r="F203" s="40"/>
      <c r="G203" s="40"/>
      <c r="H203" s="40"/>
      <c r="I203" s="40"/>
      <c r="J203" s="40"/>
    </row>
    <row r="204" spans="2:10" x14ac:dyDescent="0.35">
      <c r="B204" s="87" t="s">
        <v>158</v>
      </c>
      <c r="C204" s="26">
        <v>0.90047487245388258</v>
      </c>
      <c r="D204" s="26">
        <v>0.91686082473997399</v>
      </c>
      <c r="E204" s="40"/>
      <c r="F204" s="40"/>
      <c r="G204" s="40"/>
      <c r="H204" s="40"/>
      <c r="I204" s="40"/>
      <c r="J204" s="40"/>
    </row>
    <row r="205" spans="2:10" x14ac:dyDescent="0.35">
      <c r="B205" s="87" t="s">
        <v>161</v>
      </c>
      <c r="C205" s="26">
        <v>0.87145688631384965</v>
      </c>
      <c r="D205" s="26">
        <v>0.91033571517457212</v>
      </c>
      <c r="E205" s="40"/>
      <c r="F205" s="40"/>
      <c r="G205" s="40"/>
      <c r="H205" s="40"/>
      <c r="I205" s="40"/>
      <c r="J205" s="40"/>
    </row>
    <row r="206" spans="2:10" x14ac:dyDescent="0.35">
      <c r="B206" s="87" t="s">
        <v>164</v>
      </c>
      <c r="C206" s="26">
        <v>0.88134841443707734</v>
      </c>
      <c r="D206" s="26">
        <v>0.90662364906219728</v>
      </c>
      <c r="E206" s="40"/>
      <c r="F206" s="40"/>
      <c r="G206" s="40"/>
      <c r="H206" s="40"/>
      <c r="I206" s="40"/>
      <c r="J206" s="40"/>
    </row>
    <row r="207" spans="2:10" x14ac:dyDescent="0.35">
      <c r="B207" s="87" t="s">
        <v>162</v>
      </c>
      <c r="C207" s="26">
        <v>0.84985285334776883</v>
      </c>
      <c r="D207" s="26">
        <v>0.90127285878322061</v>
      </c>
      <c r="E207" s="40"/>
      <c r="F207" s="40"/>
      <c r="G207" s="40"/>
      <c r="H207" s="40"/>
      <c r="I207" s="40"/>
      <c r="J207" s="40"/>
    </row>
    <row r="208" spans="2:10" x14ac:dyDescent="0.35">
      <c r="B208" s="87" t="s">
        <v>163</v>
      </c>
      <c r="C208" s="26">
        <v>0.85525764044368724</v>
      </c>
      <c r="D208" s="26">
        <v>0.90038279238713093</v>
      </c>
      <c r="E208" s="40"/>
      <c r="F208" s="40"/>
      <c r="G208" s="40"/>
      <c r="H208" s="40"/>
      <c r="I208" s="40"/>
      <c r="J208" s="40"/>
    </row>
    <row r="209" spans="1:10" x14ac:dyDescent="0.35">
      <c r="A209" s="2"/>
      <c r="B209" s="87" t="s">
        <v>221</v>
      </c>
      <c r="C209" s="26">
        <v>0.8319751535039267</v>
      </c>
      <c r="D209" s="26">
        <v>0.89140782519507389</v>
      </c>
      <c r="E209" s="40"/>
      <c r="F209" s="40"/>
      <c r="G209" s="40"/>
      <c r="H209" s="40"/>
      <c r="I209" s="40"/>
      <c r="J209" s="40"/>
    </row>
    <row r="210" spans="1:10" x14ac:dyDescent="0.35">
      <c r="B210" s="87" t="s">
        <v>283</v>
      </c>
      <c r="C210" s="26">
        <v>0.82243525615953594</v>
      </c>
      <c r="D210" s="26">
        <v>0.88677864522583638</v>
      </c>
      <c r="E210" s="40"/>
      <c r="F210" s="40"/>
      <c r="G210" s="40"/>
      <c r="H210" s="40"/>
      <c r="I210" s="40"/>
      <c r="J210" s="40"/>
    </row>
    <row r="211" spans="1:10" x14ac:dyDescent="0.35">
      <c r="B211" s="87" t="s">
        <v>284</v>
      </c>
      <c r="C211" s="26">
        <v>0.79270611229566446</v>
      </c>
      <c r="D211" s="26">
        <v>0.8855876320767313</v>
      </c>
      <c r="E211" s="40"/>
      <c r="F211" s="40"/>
      <c r="G211" s="40"/>
      <c r="H211" s="40"/>
      <c r="I211" s="40"/>
      <c r="J211" s="40"/>
    </row>
    <row r="212" spans="1:10" x14ac:dyDescent="0.35">
      <c r="C212" s="128"/>
      <c r="D212" s="128"/>
      <c r="E212" s="40"/>
      <c r="F212" s="40"/>
      <c r="G212" s="40"/>
      <c r="H212" s="40"/>
      <c r="I212" s="40"/>
      <c r="J212" s="40"/>
    </row>
    <row r="213" spans="1:10" x14ac:dyDescent="0.35">
      <c r="B213" s="81" t="s">
        <v>60</v>
      </c>
      <c r="C213" s="40"/>
      <c r="D213" s="40"/>
      <c r="E213" s="40"/>
      <c r="F213" s="40"/>
      <c r="G213" s="40"/>
      <c r="H213" s="40"/>
      <c r="I213" s="40"/>
      <c r="J213" s="40"/>
    </row>
    <row r="214" spans="1:10" x14ac:dyDescent="0.35">
      <c r="B214" s="21" t="s">
        <v>156</v>
      </c>
      <c r="C214" s="38" t="s">
        <v>112</v>
      </c>
      <c r="D214" s="38" t="s">
        <v>113</v>
      </c>
      <c r="E214" s="40"/>
      <c r="F214" s="40"/>
      <c r="G214" s="40"/>
      <c r="H214" s="40"/>
      <c r="I214" s="40"/>
      <c r="J214" s="40"/>
    </row>
    <row r="215" spans="1:10" x14ac:dyDescent="0.35">
      <c r="B215" s="87" t="s">
        <v>174</v>
      </c>
      <c r="C215" s="26">
        <v>0.65992076578533665</v>
      </c>
      <c r="D215" s="26">
        <v>0.74328900065474857</v>
      </c>
      <c r="E215" s="40"/>
      <c r="F215" s="40"/>
      <c r="G215" s="40"/>
      <c r="H215" s="40"/>
      <c r="I215" s="40"/>
      <c r="J215" s="40"/>
    </row>
    <row r="216" spans="1:10" x14ac:dyDescent="0.35">
      <c r="B216" s="87" t="s">
        <v>285</v>
      </c>
      <c r="C216" s="26">
        <v>0.68998894359141094</v>
      </c>
      <c r="D216" s="26">
        <v>0.74206443755204221</v>
      </c>
      <c r="E216" s="40"/>
      <c r="F216" s="40"/>
      <c r="G216" s="40"/>
      <c r="H216" s="40"/>
      <c r="I216" s="40"/>
      <c r="J216" s="40"/>
    </row>
    <row r="217" spans="1:10" x14ac:dyDescent="0.35">
      <c r="B217" s="87" t="s">
        <v>286</v>
      </c>
      <c r="C217" s="26">
        <v>0.69461086467322475</v>
      </c>
      <c r="D217" s="26">
        <v>0.74181859703967334</v>
      </c>
      <c r="E217" s="40"/>
      <c r="F217" s="40"/>
      <c r="G217" s="40"/>
      <c r="H217" s="40"/>
      <c r="I217" s="40"/>
      <c r="J217" s="40"/>
    </row>
    <row r="218" spans="1:10" x14ac:dyDescent="0.35">
      <c r="B218" s="87" t="s">
        <v>172</v>
      </c>
      <c r="C218" s="26">
        <v>0.61842074558274363</v>
      </c>
      <c r="D218" s="26">
        <v>0.74135047897189588</v>
      </c>
      <c r="E218" s="40"/>
      <c r="F218" s="40"/>
      <c r="G218" s="40"/>
      <c r="H218" s="40"/>
      <c r="I218" s="40"/>
      <c r="J218" s="40"/>
    </row>
    <row r="219" spans="1:10" x14ac:dyDescent="0.35">
      <c r="B219" s="87" t="s">
        <v>287</v>
      </c>
      <c r="C219" s="26">
        <v>0.6086634164220085</v>
      </c>
      <c r="D219" s="26">
        <v>0.74017105204540401</v>
      </c>
      <c r="E219" s="40"/>
      <c r="F219" s="40"/>
      <c r="G219" s="40"/>
      <c r="H219" s="40"/>
      <c r="I219" s="40"/>
      <c r="J219" s="40"/>
    </row>
    <row r="220" spans="1:10" x14ac:dyDescent="0.35">
      <c r="B220" s="87" t="s">
        <v>170</v>
      </c>
      <c r="C220" s="26">
        <v>0.60429983007079136</v>
      </c>
      <c r="D220" s="26">
        <v>0.7286181465981062</v>
      </c>
      <c r="E220" s="40"/>
      <c r="F220" s="40"/>
      <c r="G220" s="40"/>
      <c r="H220" s="40"/>
      <c r="I220" s="40"/>
      <c r="J220" s="40"/>
    </row>
    <row r="221" spans="1:10" x14ac:dyDescent="0.35">
      <c r="B221" s="87" t="s">
        <v>175</v>
      </c>
      <c r="C221" s="26">
        <v>0.646488886359187</v>
      </c>
      <c r="D221" s="26">
        <v>0.72363768490447722</v>
      </c>
      <c r="E221" s="40"/>
      <c r="F221" s="40"/>
      <c r="G221" s="40"/>
      <c r="H221" s="40"/>
      <c r="I221" s="40"/>
      <c r="J221" s="40"/>
    </row>
    <row r="222" spans="1:10" x14ac:dyDescent="0.35">
      <c r="B222" s="87" t="s">
        <v>171</v>
      </c>
      <c r="C222" s="26">
        <v>0.60216331895178554</v>
      </c>
      <c r="D222" s="26">
        <v>0.72171579523759477</v>
      </c>
      <c r="E222" s="40"/>
      <c r="F222" s="40"/>
      <c r="G222" s="40"/>
      <c r="H222" s="40"/>
      <c r="I222" s="40"/>
      <c r="J222" s="40"/>
    </row>
    <row r="223" spans="1:10" x14ac:dyDescent="0.35">
      <c r="B223" s="87" t="s">
        <v>168</v>
      </c>
      <c r="C223" s="26">
        <v>0.49068421139077611</v>
      </c>
      <c r="D223" s="26">
        <v>0.70342554906231303</v>
      </c>
      <c r="E223" s="40"/>
      <c r="F223" s="40"/>
      <c r="G223" s="40"/>
      <c r="H223" s="40"/>
      <c r="I223" s="40"/>
      <c r="J223" s="40"/>
    </row>
    <row r="224" spans="1:10" x14ac:dyDescent="0.35">
      <c r="B224" s="87" t="s">
        <v>177</v>
      </c>
      <c r="C224" s="26">
        <v>0.48475132959703321</v>
      </c>
      <c r="D224" s="26">
        <v>0.64873059526590471</v>
      </c>
      <c r="E224" s="40"/>
      <c r="F224" s="40"/>
      <c r="G224" s="40"/>
      <c r="H224" s="40"/>
      <c r="I224" s="40"/>
      <c r="J224" s="40"/>
    </row>
    <row r="225" spans="1:10" x14ac:dyDescent="0.35">
      <c r="C225" s="128"/>
      <c r="D225" s="128"/>
      <c r="E225" s="40"/>
      <c r="F225" s="40"/>
      <c r="G225" s="40"/>
      <c r="H225" s="40"/>
      <c r="I225" s="40"/>
      <c r="J225" s="40"/>
    </row>
    <row r="226" spans="1:10" x14ac:dyDescent="0.35">
      <c r="B226" s="81" t="s">
        <v>61</v>
      </c>
      <c r="C226" s="42"/>
      <c r="D226" s="42"/>
      <c r="E226" s="40"/>
      <c r="F226" s="40"/>
      <c r="G226" s="40"/>
      <c r="H226" s="40"/>
      <c r="I226" s="40"/>
      <c r="J226" s="40"/>
    </row>
    <row r="227" spans="1:10" x14ac:dyDescent="0.35">
      <c r="B227" s="21" t="s">
        <v>156</v>
      </c>
      <c r="C227" s="38" t="s">
        <v>112</v>
      </c>
      <c r="D227" s="38" t="s">
        <v>113</v>
      </c>
      <c r="E227" s="40"/>
      <c r="F227" s="40"/>
      <c r="G227" s="40"/>
      <c r="H227" s="40"/>
      <c r="I227" s="40"/>
      <c r="J227" s="40"/>
    </row>
    <row r="228" spans="1:10" x14ac:dyDescent="0.35">
      <c r="B228" s="87" t="s">
        <v>288</v>
      </c>
      <c r="C228" s="71">
        <v>0.61872909698996648</v>
      </c>
      <c r="D228" s="26">
        <v>0.90475064040719144</v>
      </c>
      <c r="E228" s="40"/>
      <c r="F228" s="40"/>
      <c r="G228" s="40"/>
      <c r="H228" s="40"/>
      <c r="I228" s="40"/>
      <c r="J228" s="40"/>
    </row>
    <row r="229" spans="1:10" x14ac:dyDescent="0.35">
      <c r="B229" s="87" t="s">
        <v>182</v>
      </c>
      <c r="C229" s="71">
        <v>0.80611034210005883</v>
      </c>
      <c r="D229" s="26">
        <v>0.89860418203492765</v>
      </c>
      <c r="E229" s="40"/>
      <c r="F229" s="40"/>
      <c r="G229" s="40"/>
      <c r="H229" s="40"/>
      <c r="I229" s="40"/>
      <c r="J229" s="40"/>
    </row>
    <row r="230" spans="1:10" x14ac:dyDescent="0.35">
      <c r="B230" s="87" t="s">
        <v>183</v>
      </c>
      <c r="C230" s="71">
        <v>0.77035303097797447</v>
      </c>
      <c r="D230" s="26">
        <v>0.86897506212237652</v>
      </c>
      <c r="E230" s="40"/>
      <c r="F230" s="40"/>
      <c r="G230" s="40"/>
      <c r="H230" s="40"/>
      <c r="I230" s="40"/>
      <c r="J230" s="40"/>
    </row>
    <row r="231" spans="1:10" x14ac:dyDescent="0.35">
      <c r="B231" s="87" t="s">
        <v>181</v>
      </c>
      <c r="C231" s="71">
        <v>0.73602392853730625</v>
      </c>
      <c r="D231" s="26">
        <v>0.86170441147016552</v>
      </c>
      <c r="E231" s="40"/>
      <c r="F231" s="40"/>
      <c r="G231" s="40"/>
      <c r="H231" s="40"/>
      <c r="I231" s="40"/>
      <c r="J231" s="40"/>
    </row>
    <row r="232" spans="1:10" x14ac:dyDescent="0.35">
      <c r="B232" s="87" t="s">
        <v>184</v>
      </c>
      <c r="C232" s="71">
        <v>0.68946540880503171</v>
      </c>
      <c r="D232" s="26">
        <v>0.85827742043120769</v>
      </c>
      <c r="E232" s="40"/>
      <c r="F232" s="40"/>
      <c r="G232" s="40"/>
      <c r="H232" s="40"/>
      <c r="I232" s="40"/>
      <c r="J232" s="40"/>
    </row>
    <row r="233" spans="1:10" x14ac:dyDescent="0.35">
      <c r="B233" s="87" t="s">
        <v>202</v>
      </c>
      <c r="C233" s="71">
        <v>0.74437221813058363</v>
      </c>
      <c r="D233" s="26">
        <v>0.84096857111825674</v>
      </c>
      <c r="E233" s="40"/>
      <c r="F233" s="40"/>
      <c r="G233" s="40"/>
      <c r="H233" s="40"/>
      <c r="I233" s="40"/>
      <c r="J233" s="40"/>
    </row>
    <row r="234" spans="1:10" x14ac:dyDescent="0.35">
      <c r="B234" s="87" t="s">
        <v>158</v>
      </c>
      <c r="C234" s="71">
        <v>0.75140278646376157</v>
      </c>
      <c r="D234" s="26">
        <v>0.84041566795229683</v>
      </c>
      <c r="E234" s="40"/>
      <c r="F234" s="40"/>
      <c r="G234" s="40"/>
      <c r="H234" s="40"/>
      <c r="I234" s="40"/>
      <c r="J234" s="40"/>
    </row>
    <row r="235" spans="1:10" x14ac:dyDescent="0.35">
      <c r="A235" s="2"/>
      <c r="B235" s="87" t="s">
        <v>289</v>
      </c>
      <c r="C235" s="71">
        <v>0.72806359496797146</v>
      </c>
      <c r="D235" s="26">
        <v>0.83732872288944016</v>
      </c>
      <c r="E235" s="40"/>
      <c r="F235" s="40"/>
      <c r="G235" s="40"/>
      <c r="H235" s="40"/>
      <c r="I235" s="40"/>
      <c r="J235" s="40"/>
    </row>
    <row r="236" spans="1:10" x14ac:dyDescent="0.35">
      <c r="B236" s="87" t="s">
        <v>179</v>
      </c>
      <c r="C236" s="71">
        <v>0.68847807060196209</v>
      </c>
      <c r="D236" s="26">
        <v>0.83711164575382868</v>
      </c>
      <c r="E236" s="40"/>
      <c r="F236" s="40"/>
      <c r="G236" s="40"/>
      <c r="H236" s="40"/>
      <c r="I236" s="40"/>
      <c r="J236" s="40"/>
    </row>
    <row r="237" spans="1:10" x14ac:dyDescent="0.35">
      <c r="B237" s="87" t="s">
        <v>290</v>
      </c>
      <c r="C237" s="71">
        <v>0.71273097524642637</v>
      </c>
      <c r="D237" s="26">
        <v>0.8326870211970101</v>
      </c>
      <c r="E237" s="40"/>
      <c r="F237" s="40"/>
      <c r="G237" s="40"/>
      <c r="H237" s="40"/>
      <c r="I237" s="40"/>
      <c r="J237" s="40"/>
    </row>
    <row r="238" spans="1:10" x14ac:dyDescent="0.35">
      <c r="B238" s="39"/>
      <c r="C238" s="40"/>
      <c r="D238" s="40"/>
      <c r="E238" s="40"/>
      <c r="F238" s="40"/>
      <c r="G238" s="40"/>
      <c r="H238" s="40"/>
      <c r="I238" s="40"/>
      <c r="J238" s="40"/>
    </row>
    <row r="239" spans="1:10" x14ac:dyDescent="0.35">
      <c r="B239" s="81" t="s">
        <v>62</v>
      </c>
      <c r="C239" s="40"/>
      <c r="D239" s="40"/>
      <c r="E239" s="40"/>
      <c r="F239" s="40"/>
      <c r="G239" s="40"/>
      <c r="H239" s="40"/>
      <c r="I239" s="40"/>
      <c r="J239" s="40"/>
    </row>
    <row r="240" spans="1:10" x14ac:dyDescent="0.35">
      <c r="B240" s="21" t="s">
        <v>156</v>
      </c>
      <c r="C240" s="38" t="s">
        <v>112</v>
      </c>
      <c r="D240" s="38" t="s">
        <v>113</v>
      </c>
      <c r="E240" s="40"/>
      <c r="F240" s="40"/>
      <c r="G240" s="40"/>
      <c r="H240" s="40"/>
      <c r="I240" s="40"/>
      <c r="J240" s="40"/>
    </row>
    <row r="241" spans="2:10" x14ac:dyDescent="0.35">
      <c r="B241" s="87" t="s">
        <v>199</v>
      </c>
      <c r="C241" s="26">
        <v>0.62795623717959559</v>
      </c>
      <c r="D241" s="26">
        <v>0.7299685155971769</v>
      </c>
      <c r="E241" s="40"/>
      <c r="F241" s="40"/>
      <c r="G241" s="40"/>
      <c r="H241" s="40"/>
      <c r="I241" s="40"/>
      <c r="J241" s="40"/>
    </row>
    <row r="242" spans="2:10" x14ac:dyDescent="0.35">
      <c r="B242" s="87" t="s">
        <v>207</v>
      </c>
      <c r="C242" s="26">
        <v>0.63783231803868012</v>
      </c>
      <c r="D242" s="26">
        <v>0.72401985542302649</v>
      </c>
      <c r="E242" s="40"/>
      <c r="F242" s="40"/>
      <c r="G242" s="40"/>
      <c r="H242" s="40"/>
      <c r="I242" s="40"/>
      <c r="J242" s="40"/>
    </row>
    <row r="243" spans="2:10" x14ac:dyDescent="0.35">
      <c r="B243" s="87" t="s">
        <v>197</v>
      </c>
      <c r="C243" s="26">
        <v>0.59458730854991437</v>
      </c>
      <c r="D243" s="26">
        <v>0.71855004544825507</v>
      </c>
      <c r="E243" s="40"/>
      <c r="F243" s="40"/>
      <c r="G243" s="40"/>
      <c r="H243" s="40"/>
      <c r="I243" s="40"/>
      <c r="J243" s="40"/>
    </row>
    <row r="244" spans="2:10" x14ac:dyDescent="0.35">
      <c r="B244" s="87" t="s">
        <v>291</v>
      </c>
      <c r="C244" s="26">
        <v>0.62539600385977812</v>
      </c>
      <c r="D244" s="26">
        <v>0.71424351383527307</v>
      </c>
      <c r="E244" s="40"/>
      <c r="F244" s="40"/>
      <c r="G244" s="40"/>
      <c r="H244" s="40"/>
      <c r="I244" s="40"/>
      <c r="J244" s="40"/>
    </row>
    <row r="245" spans="2:10" x14ac:dyDescent="0.35">
      <c r="B245" s="87" t="s">
        <v>193</v>
      </c>
      <c r="C245" s="26">
        <v>0.61090290806754122</v>
      </c>
      <c r="D245" s="26">
        <v>0.71382489903277158</v>
      </c>
      <c r="E245" s="40"/>
      <c r="F245" s="40"/>
      <c r="G245" s="40"/>
      <c r="H245" s="40"/>
      <c r="I245" s="40"/>
      <c r="J245" s="40"/>
    </row>
    <row r="246" spans="2:10" x14ac:dyDescent="0.35">
      <c r="B246" s="87" t="s">
        <v>192</v>
      </c>
      <c r="C246" s="26">
        <v>0.59849643335374236</v>
      </c>
      <c r="D246" s="26">
        <v>0.71276057283523286</v>
      </c>
      <c r="E246" s="40"/>
      <c r="F246" s="40"/>
      <c r="G246" s="40"/>
      <c r="H246" s="40"/>
      <c r="I246" s="40"/>
      <c r="J246" s="40"/>
    </row>
    <row r="247" spans="2:10" x14ac:dyDescent="0.35">
      <c r="B247" s="87" t="s">
        <v>194</v>
      </c>
      <c r="C247" s="26">
        <v>0.61396762453469833</v>
      </c>
      <c r="D247" s="26">
        <v>0.70017147760763143</v>
      </c>
      <c r="E247" s="40"/>
      <c r="F247" s="40"/>
      <c r="G247" s="40"/>
      <c r="H247" s="40"/>
      <c r="I247" s="40"/>
      <c r="J247" s="40"/>
    </row>
    <row r="248" spans="2:10" x14ac:dyDescent="0.35">
      <c r="B248" s="87" t="s">
        <v>196</v>
      </c>
      <c r="C248" s="26">
        <v>0.60150466001575242</v>
      </c>
      <c r="D248" s="26">
        <v>0.69968292863726245</v>
      </c>
      <c r="E248" s="40"/>
      <c r="F248" s="40"/>
      <c r="G248" s="40"/>
      <c r="H248" s="40"/>
      <c r="I248" s="40"/>
      <c r="J248" s="40"/>
    </row>
    <row r="249" spans="2:10" x14ac:dyDescent="0.35">
      <c r="B249" s="87" t="s">
        <v>208</v>
      </c>
      <c r="C249" s="26">
        <v>0.60867620196874539</v>
      </c>
      <c r="D249" s="26">
        <v>0.67724348065730211</v>
      </c>
      <c r="E249" s="40"/>
      <c r="F249" s="40"/>
      <c r="G249" s="40"/>
      <c r="H249" s="40"/>
      <c r="I249" s="40"/>
      <c r="J249" s="40"/>
    </row>
    <row r="250" spans="2:10" x14ac:dyDescent="0.35">
      <c r="B250" s="87" t="s">
        <v>189</v>
      </c>
      <c r="C250" s="26">
        <v>0.59530713994999718</v>
      </c>
      <c r="D250" s="26">
        <v>0.66823988406492318</v>
      </c>
      <c r="E250" s="40"/>
      <c r="F250" s="40"/>
      <c r="G250" s="40"/>
      <c r="H250" s="40"/>
      <c r="I250" s="40"/>
      <c r="J250" s="40"/>
    </row>
    <row r="251" spans="2:10" x14ac:dyDescent="0.35">
      <c r="B251" s="39"/>
      <c r="C251" s="40"/>
      <c r="D251" s="40"/>
      <c r="E251" s="40"/>
      <c r="F251" s="40"/>
      <c r="G251" s="40"/>
      <c r="H251" s="40"/>
      <c r="I251" s="40"/>
      <c r="J251" s="40"/>
    </row>
    <row r="252" spans="2:10" x14ac:dyDescent="0.35">
      <c r="B252" s="81" t="s">
        <v>63</v>
      </c>
      <c r="C252" s="40"/>
      <c r="D252" s="40"/>
      <c r="E252" s="40"/>
      <c r="F252" s="40"/>
      <c r="G252" s="40"/>
      <c r="H252" s="40"/>
      <c r="I252" s="40"/>
      <c r="J252" s="40"/>
    </row>
    <row r="253" spans="2:10" x14ac:dyDescent="0.35">
      <c r="B253" s="21" t="s">
        <v>156</v>
      </c>
      <c r="C253" s="38" t="s">
        <v>112</v>
      </c>
      <c r="D253" s="38" t="s">
        <v>113</v>
      </c>
      <c r="E253" s="40"/>
      <c r="F253" s="40"/>
      <c r="G253" s="40"/>
      <c r="H253" s="40"/>
      <c r="I253" s="40"/>
      <c r="J253" s="40"/>
    </row>
    <row r="254" spans="2:10" x14ac:dyDescent="0.35">
      <c r="B254" s="87" t="s">
        <v>182</v>
      </c>
      <c r="C254" s="26">
        <v>0.74374663797740481</v>
      </c>
      <c r="D254" s="26">
        <v>0.88692943515952727</v>
      </c>
      <c r="E254" s="40"/>
      <c r="F254" s="40"/>
      <c r="G254" s="40"/>
      <c r="H254" s="40"/>
      <c r="I254" s="40"/>
      <c r="J254" s="40"/>
    </row>
    <row r="255" spans="2:10" x14ac:dyDescent="0.35">
      <c r="B255" s="87" t="s">
        <v>198</v>
      </c>
      <c r="C255" s="26">
        <v>0.74588027588027517</v>
      </c>
      <c r="D255" s="26">
        <v>0.87654690714192074</v>
      </c>
      <c r="E255" s="40"/>
      <c r="F255" s="40"/>
      <c r="G255" s="40"/>
      <c r="H255" s="40"/>
      <c r="I255" s="40"/>
      <c r="J255" s="40"/>
    </row>
    <row r="256" spans="2:10" x14ac:dyDescent="0.35">
      <c r="B256" s="87" t="s">
        <v>200</v>
      </c>
      <c r="C256" s="26">
        <v>0.74553800167396977</v>
      </c>
      <c r="D256" s="26">
        <v>0.86133696990103747</v>
      </c>
      <c r="E256" s="40"/>
      <c r="F256" s="40"/>
      <c r="G256" s="40"/>
      <c r="H256" s="40"/>
      <c r="I256" s="40"/>
      <c r="J256" s="40"/>
    </row>
    <row r="257" spans="1:13" x14ac:dyDescent="0.35">
      <c r="B257" s="87" t="s">
        <v>199</v>
      </c>
      <c r="C257" s="26">
        <v>0.75057178720719175</v>
      </c>
      <c r="D257" s="26">
        <v>0.86048650989012931</v>
      </c>
      <c r="E257" s="40"/>
      <c r="F257" s="40"/>
      <c r="G257" s="40"/>
      <c r="H257" s="40"/>
      <c r="I257" s="40"/>
      <c r="J257" s="40"/>
    </row>
    <row r="258" spans="1:13" x14ac:dyDescent="0.35">
      <c r="B258" s="87" t="s">
        <v>202</v>
      </c>
      <c r="C258" s="26">
        <v>0.75980189310946344</v>
      </c>
      <c r="D258" s="26">
        <v>0.85521075486296039</v>
      </c>
      <c r="E258" s="40"/>
      <c r="F258" s="40"/>
      <c r="G258" s="40"/>
      <c r="H258" s="40"/>
      <c r="I258" s="40"/>
      <c r="J258" s="40"/>
    </row>
    <row r="259" spans="1:13" x14ac:dyDescent="0.35">
      <c r="B259" s="87" t="s">
        <v>201</v>
      </c>
      <c r="C259" s="26">
        <v>0.72115250986318791</v>
      </c>
      <c r="D259" s="26">
        <v>0.83864756039921384</v>
      </c>
      <c r="E259" s="40"/>
      <c r="F259" s="40"/>
      <c r="G259" s="40"/>
      <c r="H259" s="40"/>
      <c r="I259" s="40"/>
      <c r="J259" s="40"/>
    </row>
    <row r="260" spans="1:13" x14ac:dyDescent="0.35">
      <c r="B260" s="87" t="s">
        <v>204</v>
      </c>
      <c r="C260" s="26">
        <v>0.66639849825690611</v>
      </c>
      <c r="D260" s="26">
        <v>0.82671596803278047</v>
      </c>
      <c r="E260" s="40"/>
      <c r="F260" s="40"/>
      <c r="G260" s="40"/>
      <c r="H260" s="40"/>
      <c r="I260" s="40"/>
      <c r="J260" s="40"/>
    </row>
    <row r="261" spans="1:13" x14ac:dyDescent="0.35">
      <c r="A261" s="2"/>
      <c r="B261" s="87" t="s">
        <v>185</v>
      </c>
      <c r="C261" s="26">
        <v>0.73142629727995634</v>
      </c>
      <c r="D261" s="26">
        <v>0.82228145177031087</v>
      </c>
      <c r="E261" s="40"/>
      <c r="F261" s="40"/>
      <c r="G261" s="40"/>
      <c r="H261" s="40"/>
      <c r="I261" s="40"/>
      <c r="J261" s="40"/>
    </row>
    <row r="262" spans="1:13" x14ac:dyDescent="0.35">
      <c r="B262" s="87" t="s">
        <v>205</v>
      </c>
      <c r="C262" s="26">
        <v>0.76907023018133669</v>
      </c>
      <c r="D262" s="26">
        <v>0.8174831324575812</v>
      </c>
      <c r="E262" s="40"/>
      <c r="F262" s="40"/>
      <c r="G262" s="40"/>
      <c r="H262" s="40"/>
      <c r="I262" s="40"/>
      <c r="J262" s="40"/>
    </row>
    <row r="263" spans="1:13" x14ac:dyDescent="0.35">
      <c r="B263" s="87" t="s">
        <v>292</v>
      </c>
      <c r="C263" s="26">
        <v>0.72094935002930571</v>
      </c>
      <c r="D263" s="26">
        <v>0.81314475525434016</v>
      </c>
      <c r="E263" s="40"/>
      <c r="F263" s="40"/>
      <c r="G263" s="40"/>
      <c r="H263" s="40"/>
      <c r="I263" s="40"/>
      <c r="J263" s="40"/>
    </row>
    <row r="264" spans="1:13" x14ac:dyDescent="0.35">
      <c r="B264" s="39"/>
      <c r="C264" s="40"/>
      <c r="D264" s="40"/>
      <c r="E264" s="40"/>
      <c r="F264" s="40"/>
      <c r="G264" s="40"/>
      <c r="H264" s="40"/>
      <c r="I264" s="40"/>
      <c r="J264" s="40"/>
      <c r="K264" s="40"/>
      <c r="L264" s="40"/>
      <c r="M264" s="40"/>
    </row>
    <row r="265" spans="1:13" x14ac:dyDescent="0.35">
      <c r="B265" s="81" t="s">
        <v>64</v>
      </c>
      <c r="C265" s="40"/>
      <c r="D265" s="40"/>
      <c r="E265" s="40"/>
      <c r="F265" s="40"/>
      <c r="G265" s="40"/>
      <c r="H265" s="40"/>
      <c r="I265" s="40"/>
      <c r="J265" s="40"/>
      <c r="K265" s="40"/>
      <c r="L265" s="40"/>
      <c r="M265" s="40"/>
    </row>
    <row r="266" spans="1:13" x14ac:dyDescent="0.35">
      <c r="B266" s="21" t="s">
        <v>156</v>
      </c>
      <c r="C266" s="38" t="s">
        <v>112</v>
      </c>
      <c r="D266" s="38" t="s">
        <v>113</v>
      </c>
      <c r="E266" s="40"/>
      <c r="F266" s="40"/>
      <c r="G266" s="40"/>
      <c r="H266" s="40"/>
      <c r="I266" s="40"/>
      <c r="J266" s="40"/>
      <c r="K266" s="40"/>
      <c r="L266" s="40"/>
      <c r="M266" s="40"/>
    </row>
    <row r="267" spans="1:13" x14ac:dyDescent="0.35">
      <c r="B267" s="87" t="s">
        <v>209</v>
      </c>
      <c r="C267" s="26">
        <v>0.63951201949706382</v>
      </c>
      <c r="D267" s="26">
        <v>0.77306001073012132</v>
      </c>
      <c r="E267" s="40"/>
      <c r="F267" s="40"/>
      <c r="G267" s="40"/>
      <c r="H267" s="40"/>
      <c r="I267" s="40"/>
      <c r="J267" s="40"/>
      <c r="K267" s="40"/>
      <c r="L267" s="40"/>
      <c r="M267" s="40"/>
    </row>
    <row r="268" spans="1:13" x14ac:dyDescent="0.35">
      <c r="B268" s="87" t="s">
        <v>191</v>
      </c>
      <c r="C268" s="26">
        <v>0.56192660550458629</v>
      </c>
      <c r="D268" s="26">
        <v>0.76653468572405026</v>
      </c>
      <c r="E268" s="40"/>
      <c r="F268" s="40"/>
      <c r="G268" s="40"/>
      <c r="H268" s="40"/>
      <c r="I268" s="40"/>
      <c r="J268" s="40"/>
      <c r="K268" s="40"/>
      <c r="L268" s="40"/>
      <c r="M268" s="40"/>
    </row>
    <row r="269" spans="1:13" x14ac:dyDescent="0.35">
      <c r="B269" s="87" t="s">
        <v>293</v>
      </c>
      <c r="C269" s="26">
        <v>0.689655933821125</v>
      </c>
      <c r="D269" s="26">
        <v>0.76568396776789072</v>
      </c>
      <c r="E269" s="40"/>
      <c r="F269" s="40"/>
      <c r="G269" s="40"/>
      <c r="H269" s="40"/>
      <c r="I269" s="40"/>
      <c r="J269" s="40"/>
      <c r="K269" s="40"/>
      <c r="L269" s="40"/>
      <c r="M269" s="40"/>
    </row>
    <row r="270" spans="1:13" x14ac:dyDescent="0.35">
      <c r="B270" s="87" t="s">
        <v>207</v>
      </c>
      <c r="C270" s="26">
        <v>0.70464907352344353</v>
      </c>
      <c r="D270" s="26">
        <v>0.76153149378585649</v>
      </c>
      <c r="E270" s="40"/>
      <c r="F270" s="40"/>
      <c r="G270" s="40"/>
      <c r="H270" s="40"/>
      <c r="I270" s="40"/>
      <c r="J270" s="40"/>
      <c r="K270" s="40"/>
      <c r="L270" s="40"/>
      <c r="M270" s="40"/>
    </row>
    <row r="271" spans="1:13" x14ac:dyDescent="0.35">
      <c r="B271" s="87" t="s">
        <v>206</v>
      </c>
      <c r="C271" s="26">
        <v>0.60431328173792054</v>
      </c>
      <c r="D271" s="26">
        <v>0.75783250360798937</v>
      </c>
      <c r="E271" s="40"/>
      <c r="F271" s="40"/>
      <c r="G271" s="40"/>
      <c r="H271" s="40"/>
      <c r="I271" s="40"/>
      <c r="J271" s="40"/>
      <c r="K271" s="40"/>
      <c r="L271" s="40"/>
      <c r="M271" s="40"/>
    </row>
    <row r="272" spans="1:13" x14ac:dyDescent="0.35">
      <c r="B272" s="87" t="s">
        <v>192</v>
      </c>
      <c r="C272" s="26">
        <v>0.66299240805721293</v>
      </c>
      <c r="D272" s="26">
        <v>0.75429455580143701</v>
      </c>
      <c r="E272" s="40"/>
      <c r="F272" s="40"/>
      <c r="G272" s="40"/>
      <c r="H272" s="40"/>
      <c r="I272" s="40"/>
      <c r="J272" s="40"/>
      <c r="K272" s="40"/>
      <c r="L272" s="40"/>
      <c r="M272" s="40"/>
    </row>
    <row r="273" spans="2:13" x14ac:dyDescent="0.35">
      <c r="B273" s="87" t="s">
        <v>193</v>
      </c>
      <c r="C273" s="26">
        <v>0.65198457843509161</v>
      </c>
      <c r="D273" s="26">
        <v>0.7348274428011512</v>
      </c>
      <c r="E273" s="40"/>
      <c r="F273" s="40"/>
      <c r="G273" s="40"/>
      <c r="H273" s="40"/>
      <c r="I273" s="40"/>
      <c r="J273" s="40"/>
      <c r="K273" s="40"/>
      <c r="L273" s="40"/>
      <c r="M273" s="40"/>
    </row>
    <row r="274" spans="2:13" x14ac:dyDescent="0.35">
      <c r="B274" s="87" t="s">
        <v>194</v>
      </c>
      <c r="C274" s="26">
        <v>0.61595007189562878</v>
      </c>
      <c r="D274" s="26">
        <v>0.72274443458263649</v>
      </c>
      <c r="E274" s="40"/>
      <c r="F274" s="40"/>
      <c r="G274" s="40"/>
      <c r="H274" s="40"/>
      <c r="I274" s="40"/>
      <c r="J274" s="40"/>
      <c r="K274" s="40"/>
      <c r="L274" s="40"/>
      <c r="M274" s="40"/>
    </row>
    <row r="275" spans="2:13" x14ac:dyDescent="0.35">
      <c r="B275" s="87" t="s">
        <v>195</v>
      </c>
      <c r="C275" s="26">
        <v>0.66147106049870197</v>
      </c>
      <c r="D275" s="26">
        <v>0.7176022200820914</v>
      </c>
      <c r="E275" s="40"/>
      <c r="F275" s="40"/>
      <c r="G275" s="40"/>
      <c r="H275" s="40"/>
      <c r="I275" s="40"/>
      <c r="J275" s="40"/>
      <c r="K275" s="40"/>
      <c r="L275" s="40"/>
      <c r="M275" s="40"/>
    </row>
    <row r="276" spans="2:13" x14ac:dyDescent="0.35">
      <c r="B276" s="87" t="s">
        <v>210</v>
      </c>
      <c r="C276" s="26">
        <v>0.65945429266597166</v>
      </c>
      <c r="D276" s="26">
        <v>0.71508313867979201</v>
      </c>
      <c r="E276" s="40"/>
      <c r="F276" s="40"/>
      <c r="G276" s="40"/>
      <c r="H276" s="40"/>
      <c r="I276" s="40"/>
      <c r="J276" s="40"/>
      <c r="K276" s="40"/>
      <c r="L276" s="40"/>
      <c r="M276" s="40"/>
    </row>
    <row r="277" spans="2:13" x14ac:dyDescent="0.35">
      <c r="B277" s="39"/>
      <c r="C277" s="40"/>
      <c r="D277" s="40"/>
      <c r="E277" s="40"/>
      <c r="F277" s="40"/>
      <c r="G277" s="40"/>
      <c r="H277" s="40"/>
      <c r="I277" s="40"/>
      <c r="J277" s="40"/>
      <c r="K277" s="40"/>
      <c r="L277" s="40"/>
      <c r="M277" s="40"/>
    </row>
    <row r="278" spans="2:13" ht="16.5" x14ac:dyDescent="0.35">
      <c r="B278" s="81" t="s">
        <v>294</v>
      </c>
      <c r="C278" s="40"/>
      <c r="D278" s="40"/>
      <c r="E278" s="40"/>
      <c r="F278" s="40"/>
      <c r="G278" s="40"/>
      <c r="H278" s="40"/>
      <c r="I278" s="40"/>
      <c r="J278" s="40"/>
      <c r="K278" s="40"/>
      <c r="L278" s="40"/>
      <c r="M278" s="40"/>
    </row>
    <row r="279" spans="2:13" ht="26" x14ac:dyDescent="0.35">
      <c r="B279" s="21" t="s">
        <v>295</v>
      </c>
      <c r="C279" s="1" t="s">
        <v>213</v>
      </c>
      <c r="D279" s="1" t="s">
        <v>214</v>
      </c>
      <c r="E279" s="1" t="s">
        <v>215</v>
      </c>
      <c r="F279" s="1" t="s">
        <v>216</v>
      </c>
      <c r="G279" s="1" t="s">
        <v>217</v>
      </c>
      <c r="H279" s="1" t="s">
        <v>218</v>
      </c>
      <c r="I279" s="40"/>
      <c r="J279" s="40"/>
      <c r="K279" s="40"/>
      <c r="L279" s="40"/>
      <c r="M279" s="40"/>
    </row>
    <row r="280" spans="2:13" x14ac:dyDescent="0.35">
      <c r="B280" s="83" t="s">
        <v>219</v>
      </c>
      <c r="C280" s="102">
        <v>0.80299312428795966</v>
      </c>
      <c r="D280" s="102">
        <v>0.8789681487838551</v>
      </c>
      <c r="E280" s="102">
        <v>0.74606928548924611</v>
      </c>
      <c r="F280" s="102">
        <v>0.84870522183588815</v>
      </c>
      <c r="G280" s="102">
        <v>0.77475183992270635</v>
      </c>
      <c r="H280" s="102">
        <v>0.86286323886318628</v>
      </c>
      <c r="I280" s="40"/>
      <c r="J280" s="40"/>
      <c r="K280" s="40"/>
      <c r="L280" s="40"/>
      <c r="M280" s="40"/>
    </row>
    <row r="281" spans="2:13" x14ac:dyDescent="0.35">
      <c r="B281" s="83" t="s">
        <v>220</v>
      </c>
      <c r="C281" s="102">
        <v>0.68285381171693993</v>
      </c>
      <c r="D281" s="102">
        <v>0.8299061572494052</v>
      </c>
      <c r="E281" s="126">
        <v>0.69549934641731048</v>
      </c>
      <c r="F281" s="126">
        <v>0.83162755772870744</v>
      </c>
      <c r="G281" s="126">
        <v>0.68791711434344549</v>
      </c>
      <c r="H281" s="126">
        <v>0.83072393206092199</v>
      </c>
      <c r="I281" s="40"/>
      <c r="J281" s="40"/>
      <c r="K281" s="40"/>
      <c r="L281" s="40"/>
      <c r="M281" s="40"/>
    </row>
    <row r="282" spans="2:13" x14ac:dyDescent="0.35">
      <c r="B282" s="83" t="s">
        <v>163</v>
      </c>
      <c r="C282" s="102">
        <v>0.86756843082184598</v>
      </c>
      <c r="D282" s="102">
        <v>0.90691688583772223</v>
      </c>
      <c r="E282" s="102">
        <v>0.79715070985878078</v>
      </c>
      <c r="F282" s="102">
        <v>0.86834551497180046</v>
      </c>
      <c r="G282" s="102">
        <v>0.85525764044368691</v>
      </c>
      <c r="H282" s="102">
        <v>0.90038279238712982</v>
      </c>
      <c r="I282" s="40"/>
      <c r="J282" s="40"/>
      <c r="K282" s="40"/>
      <c r="L282" s="40"/>
      <c r="M282" s="40"/>
    </row>
    <row r="283" spans="2:13" x14ac:dyDescent="0.35">
      <c r="B283" s="83" t="s">
        <v>162</v>
      </c>
      <c r="C283" s="102">
        <v>0.85025838142958332</v>
      </c>
      <c r="D283" s="102">
        <v>0.90176060725104989</v>
      </c>
      <c r="E283" s="102">
        <v>0.74679802955665031</v>
      </c>
      <c r="F283" s="102">
        <v>0.78118221816798261</v>
      </c>
      <c r="G283" s="102">
        <v>0.84985285334776872</v>
      </c>
      <c r="H283" s="102">
        <v>0.90127285878321883</v>
      </c>
      <c r="I283" s="40"/>
      <c r="J283" s="40"/>
      <c r="K283" s="40"/>
      <c r="L283" s="40"/>
      <c r="M283" s="40"/>
    </row>
    <row r="284" spans="2:13" x14ac:dyDescent="0.35">
      <c r="B284" s="83" t="s">
        <v>159</v>
      </c>
      <c r="C284" s="102">
        <v>0.88602465755765358</v>
      </c>
      <c r="D284" s="102">
        <v>0.92002484616365277</v>
      </c>
      <c r="E284" s="102">
        <v>0.84551666350705346</v>
      </c>
      <c r="F284" s="102">
        <v>0.86932814689101179</v>
      </c>
      <c r="G284" s="102">
        <v>0.88365813790522341</v>
      </c>
      <c r="H284" s="102">
        <v>0.9172965430575073</v>
      </c>
      <c r="I284" s="40"/>
      <c r="J284" s="40"/>
      <c r="K284" s="40"/>
      <c r="L284" s="40"/>
      <c r="M284" s="40"/>
    </row>
    <row r="285" spans="2:13" x14ac:dyDescent="0.35">
      <c r="B285" s="83" t="s">
        <v>221</v>
      </c>
      <c r="C285" s="102">
        <v>0.86434123872612467</v>
      </c>
      <c r="D285" s="102">
        <v>0.91212982527815212</v>
      </c>
      <c r="E285" s="102">
        <v>0.81801283167569727</v>
      </c>
      <c r="F285" s="102">
        <v>0.88269304465234799</v>
      </c>
      <c r="G285" s="102">
        <v>0.83197515350392481</v>
      </c>
      <c r="H285" s="102">
        <v>0.891407825195076</v>
      </c>
      <c r="I285" s="40"/>
      <c r="J285" s="40"/>
      <c r="K285" s="40"/>
      <c r="L285" s="40"/>
      <c r="M285" s="40"/>
    </row>
    <row r="286" spans="2:13" x14ac:dyDescent="0.35">
      <c r="B286" s="83" t="s">
        <v>222</v>
      </c>
      <c r="C286" s="102">
        <v>0.72412393590514212</v>
      </c>
      <c r="D286" s="102">
        <v>0.83970381863286148</v>
      </c>
      <c r="E286" s="102">
        <v>0.60130705665588935</v>
      </c>
      <c r="F286" s="102">
        <v>0.80724787001767295</v>
      </c>
      <c r="G286" s="102">
        <v>0.65313803321979425</v>
      </c>
      <c r="H286" s="102">
        <v>0.82021771820945644</v>
      </c>
      <c r="I286" s="40"/>
      <c r="J286" s="40"/>
      <c r="K286" s="40"/>
      <c r="L286" s="40"/>
      <c r="M286" s="40"/>
    </row>
    <row r="287" spans="2:13" x14ac:dyDescent="0.35">
      <c r="B287" s="83" t="s">
        <v>223</v>
      </c>
      <c r="C287" s="102">
        <v>0.80608631184869484</v>
      </c>
      <c r="D287" s="102">
        <v>0.89265881045208295</v>
      </c>
      <c r="E287" s="102">
        <v>0.73830120055143189</v>
      </c>
      <c r="F287" s="102">
        <v>0.85216342944682677</v>
      </c>
      <c r="G287" s="102">
        <v>0.76793748176977039</v>
      </c>
      <c r="H287" s="102">
        <v>0.86940053039950382</v>
      </c>
      <c r="I287" s="40"/>
      <c r="J287" s="40"/>
      <c r="K287" s="40"/>
      <c r="L287" s="40"/>
      <c r="M287" s="40"/>
    </row>
    <row r="288" spans="2:13" x14ac:dyDescent="0.35">
      <c r="B288" s="83" t="s">
        <v>224</v>
      </c>
      <c r="C288" s="102">
        <v>0.80113141921937703</v>
      </c>
      <c r="D288" s="102">
        <v>0.85651750189645337</v>
      </c>
      <c r="E288" s="102">
        <v>0.7835205380539112</v>
      </c>
      <c r="F288" s="102">
        <v>0.83275062681580514</v>
      </c>
      <c r="G288" s="102">
        <v>0.7953456577271496</v>
      </c>
      <c r="H288" s="102">
        <v>0.84836243668908407</v>
      </c>
      <c r="I288" s="40"/>
      <c r="J288" s="40"/>
      <c r="K288" s="40"/>
      <c r="L288" s="40"/>
      <c r="M288" s="40"/>
    </row>
    <row r="289" spans="2:13" x14ac:dyDescent="0.35">
      <c r="B289" s="83" t="s">
        <v>225</v>
      </c>
      <c r="C289" s="102">
        <v>0.80839966039507682</v>
      </c>
      <c r="D289" s="102">
        <v>0.88209953347066261</v>
      </c>
      <c r="E289" s="102">
        <v>0.75821950317109965</v>
      </c>
      <c r="F289" s="102">
        <v>0.85086461503399735</v>
      </c>
      <c r="G289" s="102">
        <v>0.7916235999662149</v>
      </c>
      <c r="H289" s="102">
        <v>0.87224489528076898</v>
      </c>
      <c r="I289" s="40"/>
      <c r="J289" s="40"/>
      <c r="K289" s="40"/>
      <c r="L289" s="40"/>
      <c r="M289" s="40"/>
    </row>
    <row r="290" spans="2:13" x14ac:dyDescent="0.35">
      <c r="B290" s="83" t="s">
        <v>226</v>
      </c>
      <c r="C290" s="102">
        <v>0.67188038357608226</v>
      </c>
      <c r="D290" s="102">
        <v>0.81059208689813445</v>
      </c>
      <c r="E290" s="102">
        <v>0.68409440564612967</v>
      </c>
      <c r="F290" s="102">
        <v>0.8050886915392601</v>
      </c>
      <c r="G290" s="102">
        <v>0.67803941344445284</v>
      </c>
      <c r="H290" s="102">
        <v>0.80767502277161662</v>
      </c>
      <c r="I290" s="40"/>
      <c r="J290" s="40"/>
      <c r="K290" s="40"/>
      <c r="L290" s="40"/>
      <c r="M290" s="40"/>
    </row>
    <row r="291" spans="2:13" x14ac:dyDescent="0.35">
      <c r="B291" s="36" t="s">
        <v>83</v>
      </c>
      <c r="C291" s="57">
        <v>0.83654087710087</v>
      </c>
      <c r="D291" s="57">
        <v>0.88995777083631766</v>
      </c>
      <c r="E291" s="57">
        <v>0.77414749834509911</v>
      </c>
      <c r="F291" s="57">
        <v>0.85185792460119003</v>
      </c>
      <c r="G291" s="57">
        <v>0.81774664456394686</v>
      </c>
      <c r="H291" s="57">
        <v>0.87768581757436859</v>
      </c>
      <c r="I291" s="40"/>
      <c r="J291" s="40"/>
      <c r="K291" s="40"/>
      <c r="L291" s="40"/>
      <c r="M291" s="40"/>
    </row>
    <row r="292" spans="2:13" x14ac:dyDescent="0.35">
      <c r="B292" s="80" t="s">
        <v>227</v>
      </c>
      <c r="C292" s="40"/>
      <c r="D292" s="40"/>
      <c r="E292" s="40"/>
      <c r="F292" s="40"/>
      <c r="G292" s="40"/>
      <c r="H292" s="40"/>
      <c r="I292" s="40"/>
      <c r="J292" s="40"/>
      <c r="K292" s="40"/>
      <c r="L292" s="40"/>
      <c r="M292" s="40"/>
    </row>
    <row r="293" spans="2:13" x14ac:dyDescent="0.35">
      <c r="B293" s="39"/>
      <c r="C293" s="40"/>
      <c r="D293" s="40"/>
      <c r="E293" s="40"/>
      <c r="F293" s="40"/>
      <c r="G293" s="40"/>
      <c r="H293" s="40"/>
      <c r="I293" s="40"/>
      <c r="J293" s="40"/>
      <c r="K293" s="40"/>
      <c r="L293" s="40"/>
      <c r="M293" s="40"/>
    </row>
    <row r="294" spans="2:13" x14ac:dyDescent="0.35">
      <c r="B294" s="81" t="s">
        <v>66</v>
      </c>
      <c r="C294" s="42"/>
      <c r="D294" s="42"/>
      <c r="E294" s="42"/>
      <c r="F294" s="42"/>
      <c r="G294" s="40"/>
      <c r="H294" s="40"/>
      <c r="I294" s="40"/>
      <c r="J294" s="40"/>
      <c r="K294" s="40"/>
      <c r="L294" s="40"/>
      <c r="M294" s="40"/>
    </row>
    <row r="295" spans="2:13" x14ac:dyDescent="0.35">
      <c r="B295" s="44" t="s">
        <v>228</v>
      </c>
      <c r="C295" s="45" t="s">
        <v>80</v>
      </c>
      <c r="D295" s="45" t="s">
        <v>81</v>
      </c>
      <c r="E295" s="47" t="s">
        <v>229</v>
      </c>
      <c r="F295" s="45" t="s">
        <v>83</v>
      </c>
      <c r="G295" s="40"/>
      <c r="I295" s="40"/>
      <c r="J295" s="40"/>
      <c r="K295" s="40"/>
      <c r="L295" s="40"/>
      <c r="M295" s="40"/>
    </row>
    <row r="296" spans="2:13" x14ac:dyDescent="0.35">
      <c r="B296" s="87" t="s">
        <v>230</v>
      </c>
      <c r="C296" s="71">
        <v>0.78718758865011285</v>
      </c>
      <c r="D296" s="71">
        <v>0.77984688995017692</v>
      </c>
      <c r="E296" s="71">
        <v>0.81221722460052959</v>
      </c>
      <c r="F296" s="71">
        <v>0.79586547255490603</v>
      </c>
      <c r="G296" s="40"/>
      <c r="H296" s="40"/>
      <c r="I296" s="40"/>
      <c r="J296" s="40"/>
      <c r="K296" s="40"/>
      <c r="L296" s="40"/>
      <c r="M296" s="40"/>
    </row>
    <row r="297" spans="2:13" x14ac:dyDescent="0.35">
      <c r="B297" s="87" t="s">
        <v>231</v>
      </c>
      <c r="C297" s="71">
        <v>0.79764637046136067</v>
      </c>
      <c r="D297" s="71">
        <v>0.78213787213285035</v>
      </c>
      <c r="E297" s="71">
        <v>0.8606585962083847</v>
      </c>
      <c r="F297" s="71">
        <v>0.8518032005875128</v>
      </c>
      <c r="G297" s="40"/>
      <c r="H297" s="40"/>
      <c r="I297" s="40"/>
      <c r="J297" s="40"/>
      <c r="K297" s="40"/>
      <c r="L297" s="40"/>
      <c r="M297" s="40"/>
    </row>
    <row r="298" spans="2:13" x14ac:dyDescent="0.35">
      <c r="B298" s="87" t="s">
        <v>232</v>
      </c>
      <c r="C298" s="71">
        <v>0.79502616711342422</v>
      </c>
      <c r="D298" s="71">
        <v>0.79981590565139116</v>
      </c>
      <c r="E298" s="71">
        <v>0.83582175556782345</v>
      </c>
      <c r="F298" s="71">
        <v>0.82036184957607461</v>
      </c>
      <c r="G298" s="40"/>
      <c r="H298" s="40"/>
      <c r="I298" s="40"/>
      <c r="J298" s="40"/>
      <c r="K298" s="40"/>
      <c r="L298" s="40"/>
      <c r="M298" s="40"/>
    </row>
    <row r="299" spans="2:13" x14ac:dyDescent="0.35">
      <c r="B299" s="87" t="s">
        <v>233</v>
      </c>
      <c r="C299" s="71">
        <v>0.81295206137898757</v>
      </c>
      <c r="D299" s="71">
        <v>0.81089858296916695</v>
      </c>
      <c r="E299" s="71">
        <v>0.80148398498066153</v>
      </c>
      <c r="F299" s="71">
        <v>0.80814739599178864</v>
      </c>
      <c r="G299" s="40"/>
      <c r="H299" s="40"/>
      <c r="I299" s="40"/>
      <c r="J299" s="40"/>
      <c r="K299" s="40"/>
      <c r="L299" s="40"/>
      <c r="M299" s="40"/>
    </row>
    <row r="300" spans="2:13" x14ac:dyDescent="0.35">
      <c r="B300" s="87" t="s">
        <v>234</v>
      </c>
      <c r="C300" s="71">
        <v>0.8029066961913458</v>
      </c>
      <c r="D300" s="71">
        <v>0.78318333650038807</v>
      </c>
      <c r="E300" s="71">
        <v>0.8405291693016177</v>
      </c>
      <c r="F300" s="71">
        <v>0.79731661231164153</v>
      </c>
      <c r="G300" s="40"/>
      <c r="H300" s="40"/>
      <c r="I300" s="40"/>
      <c r="J300" s="40"/>
      <c r="K300" s="40"/>
      <c r="L300" s="40"/>
      <c r="M300" s="40"/>
    </row>
    <row r="301" spans="2:13" x14ac:dyDescent="0.35">
      <c r="B301" s="29" t="s">
        <v>83</v>
      </c>
      <c r="C301" s="74">
        <v>0.7935078557586096</v>
      </c>
      <c r="D301" s="74">
        <v>0.79094344857075793</v>
      </c>
      <c r="E301" s="74">
        <v>0.83360601195789219</v>
      </c>
      <c r="F301" s="74">
        <v>0.81421060534769274</v>
      </c>
      <c r="G301" s="40"/>
      <c r="H301" s="40"/>
      <c r="I301" s="40"/>
      <c r="J301" s="40"/>
      <c r="K301" s="40"/>
      <c r="L301" s="40"/>
      <c r="M301" s="40"/>
    </row>
    <row r="302" spans="2:13" x14ac:dyDescent="0.35">
      <c r="B302" s="52" t="s">
        <v>296</v>
      </c>
      <c r="C302" s="40"/>
      <c r="D302" s="40"/>
      <c r="E302" s="40"/>
      <c r="F302" s="40"/>
      <c r="G302" s="40"/>
      <c r="H302" s="40"/>
      <c r="I302" s="40"/>
      <c r="J302" s="40"/>
      <c r="K302" s="40"/>
      <c r="L302" s="40"/>
      <c r="M302" s="40"/>
    </row>
    <row r="303" spans="2:13" x14ac:dyDescent="0.35">
      <c r="B303" s="39"/>
      <c r="C303" s="40"/>
      <c r="D303" s="40"/>
      <c r="E303" s="40"/>
      <c r="F303" s="40"/>
      <c r="G303" s="40"/>
      <c r="H303" s="40"/>
      <c r="I303" s="40"/>
      <c r="J303" s="40"/>
      <c r="K303" s="40"/>
      <c r="L303" s="40"/>
      <c r="M303" s="40"/>
    </row>
    <row r="304" spans="2:13" x14ac:dyDescent="0.35">
      <c r="B304" s="81" t="s">
        <v>302</v>
      </c>
      <c r="C304" s="42"/>
      <c r="D304" s="42"/>
      <c r="E304" s="42"/>
      <c r="F304" s="40"/>
      <c r="G304" s="40"/>
      <c r="H304" s="40"/>
      <c r="I304" s="40"/>
      <c r="J304" s="40"/>
      <c r="K304" s="40"/>
      <c r="L304" s="40"/>
      <c r="M304" s="40"/>
    </row>
    <row r="305" spans="2:13" x14ac:dyDescent="0.35">
      <c r="B305" s="48" t="s">
        <v>228</v>
      </c>
      <c r="C305" s="45" t="s">
        <v>80</v>
      </c>
      <c r="D305" s="45" t="s">
        <v>81</v>
      </c>
      <c r="E305" s="47" t="s">
        <v>229</v>
      </c>
      <c r="F305" s="47" t="s">
        <v>83</v>
      </c>
      <c r="G305" s="40"/>
      <c r="H305" s="40"/>
      <c r="I305" s="40"/>
      <c r="J305" s="40"/>
      <c r="K305" s="40"/>
      <c r="L305" s="40"/>
      <c r="M305" s="40"/>
    </row>
    <row r="306" spans="2:13" x14ac:dyDescent="0.35">
      <c r="B306" s="87" t="s">
        <v>236</v>
      </c>
      <c r="C306" s="71">
        <v>0.79134136665919563</v>
      </c>
      <c r="D306" s="71">
        <v>0.78145961615318993</v>
      </c>
      <c r="E306" s="71">
        <v>0.81779235428251629</v>
      </c>
      <c r="F306" s="71">
        <v>0.79956350480974114</v>
      </c>
      <c r="G306" s="40"/>
      <c r="H306" s="40"/>
      <c r="I306" s="40"/>
      <c r="J306" s="40"/>
      <c r="K306" s="40"/>
      <c r="L306" s="40"/>
      <c r="M306" s="40"/>
    </row>
    <row r="307" spans="2:13" x14ac:dyDescent="0.35">
      <c r="B307" s="87" t="s">
        <v>231</v>
      </c>
      <c r="C307" s="71">
        <v>0.79764637046136067</v>
      </c>
      <c r="D307" s="71">
        <v>0.78213787213285035</v>
      </c>
      <c r="E307" s="71">
        <v>0.8606585962083847</v>
      </c>
      <c r="F307" s="71">
        <v>0.8518032005875128</v>
      </c>
      <c r="G307" s="40"/>
      <c r="H307" s="40"/>
      <c r="I307" s="40"/>
      <c r="J307" s="40"/>
      <c r="K307" s="40"/>
      <c r="L307" s="40"/>
      <c r="M307" s="40"/>
    </row>
    <row r="308" spans="2:13" x14ac:dyDescent="0.35">
      <c r="B308" s="87" t="s">
        <v>232</v>
      </c>
      <c r="C308" s="71">
        <v>0.79502616711342422</v>
      </c>
      <c r="D308" s="71">
        <v>0.79981590565139116</v>
      </c>
      <c r="E308" s="71">
        <v>0.83582175556782345</v>
      </c>
      <c r="F308" s="71">
        <v>0.82036184957607461</v>
      </c>
      <c r="G308" s="40"/>
      <c r="H308" s="40"/>
      <c r="I308" s="40"/>
      <c r="J308" s="40"/>
      <c r="K308" s="40"/>
      <c r="L308" s="40"/>
      <c r="M308" s="40"/>
    </row>
    <row r="309" spans="2:13" x14ac:dyDescent="0.35">
      <c r="B309" s="87" t="s">
        <v>233</v>
      </c>
      <c r="C309" s="71">
        <v>0.81295206137898757</v>
      </c>
      <c r="D309" s="71">
        <v>0.81089858296916695</v>
      </c>
      <c r="E309" s="71">
        <v>0.80148398498066153</v>
      </c>
      <c r="F309" s="71">
        <v>0.80814739599178864</v>
      </c>
      <c r="G309" s="40"/>
      <c r="H309" s="40"/>
      <c r="I309" s="40"/>
      <c r="J309" s="40"/>
      <c r="K309" s="40"/>
      <c r="L309" s="40"/>
      <c r="M309" s="40"/>
    </row>
    <row r="310" spans="2:13" x14ac:dyDescent="0.35">
      <c r="B310" s="87" t="s">
        <v>237</v>
      </c>
      <c r="C310" s="71">
        <v>0.74066226239610355</v>
      </c>
      <c r="D310" s="71">
        <v>0.75007969704787358</v>
      </c>
      <c r="E310" s="71">
        <v>0.74162545663786372</v>
      </c>
      <c r="F310" s="71">
        <v>0.74389448299124106</v>
      </c>
      <c r="G310" s="40"/>
      <c r="H310" s="40"/>
      <c r="I310" s="40"/>
      <c r="J310" s="40"/>
      <c r="K310" s="40"/>
      <c r="L310" s="40"/>
      <c r="M310" s="40"/>
    </row>
    <row r="311" spans="2:13" x14ac:dyDescent="0.35">
      <c r="B311" s="87" t="s">
        <v>234</v>
      </c>
      <c r="C311" s="71">
        <v>0.8029066961913458</v>
      </c>
      <c r="D311" s="71">
        <v>0.78318333650038807</v>
      </c>
      <c r="E311" s="71">
        <v>0.8405291693016177</v>
      </c>
      <c r="F311" s="71">
        <v>0.79731661231164153</v>
      </c>
      <c r="G311" s="40"/>
      <c r="H311" s="40"/>
      <c r="I311" s="40"/>
      <c r="J311" s="40"/>
      <c r="K311" s="40"/>
      <c r="L311" s="40"/>
      <c r="M311" s="40"/>
    </row>
    <row r="312" spans="2:13" x14ac:dyDescent="0.35">
      <c r="B312" s="29" t="s">
        <v>140</v>
      </c>
      <c r="C312" s="74">
        <v>0.7935078557586096</v>
      </c>
      <c r="D312" s="74">
        <v>0.79094344857075793</v>
      </c>
      <c r="E312" s="74">
        <v>0.83360601195789219</v>
      </c>
      <c r="F312" s="74">
        <v>0.81421060534769274</v>
      </c>
      <c r="G312" s="40"/>
      <c r="H312" s="40"/>
      <c r="I312" s="40"/>
      <c r="J312" s="40"/>
      <c r="K312" s="40"/>
      <c r="L312" s="40"/>
      <c r="M312" s="40"/>
    </row>
    <row r="314" spans="2:13" x14ac:dyDescent="0.35">
      <c r="B314" s="81" t="s">
        <v>297</v>
      </c>
    </row>
    <row r="315" spans="2:13" x14ac:dyDescent="0.35">
      <c r="B315" s="48" t="s">
        <v>238</v>
      </c>
      <c r="C315" s="45" t="s">
        <v>80</v>
      </c>
      <c r="D315" s="45" t="s">
        <v>81</v>
      </c>
      <c r="E315" s="47" t="s">
        <v>229</v>
      </c>
      <c r="F315" s="47" t="s">
        <v>83</v>
      </c>
    </row>
    <row r="316" spans="2:13" x14ac:dyDescent="0.35">
      <c r="B316" s="83" t="s">
        <v>239</v>
      </c>
      <c r="C316" s="71">
        <v>0.7830980182951931</v>
      </c>
      <c r="D316" s="71">
        <v>0.78736932403806181</v>
      </c>
      <c r="E316" s="71">
        <v>0.8394555724823215</v>
      </c>
      <c r="F316" s="71">
        <v>0.82130773167183979</v>
      </c>
    </row>
    <row r="317" spans="2:13" x14ac:dyDescent="0.35">
      <c r="B317" s="83" t="s">
        <v>240</v>
      </c>
      <c r="C317" s="71">
        <v>0.80462787912909262</v>
      </c>
      <c r="D317" s="71">
        <v>0.79905326582912706</v>
      </c>
      <c r="E317" s="71">
        <v>0.79965262371757229</v>
      </c>
      <c r="F317" s="71">
        <v>0.80026863640420198</v>
      </c>
    </row>
    <row r="318" spans="2:13" x14ac:dyDescent="0.35">
      <c r="B318" s="83" t="s">
        <v>234</v>
      </c>
      <c r="C318" s="71">
        <v>0.8029066961913458</v>
      </c>
      <c r="D318" s="71">
        <v>0.78318333650038807</v>
      </c>
      <c r="E318" s="71">
        <v>0.8405291693016177</v>
      </c>
      <c r="F318" s="71">
        <v>0.79731661231164153</v>
      </c>
    </row>
    <row r="319" spans="2:13" x14ac:dyDescent="0.35">
      <c r="B319" s="36" t="s">
        <v>140</v>
      </c>
      <c r="C319" s="54">
        <v>0.79350785575862282</v>
      </c>
      <c r="D319" s="54">
        <v>0.79094344857075205</v>
      </c>
      <c r="E319" s="54">
        <v>0.83360601195788775</v>
      </c>
      <c r="F319" s="54">
        <v>0.8142106053476218</v>
      </c>
    </row>
    <row r="321" spans="2:2" x14ac:dyDescent="0.35">
      <c r="B321" s="17" t="s">
        <v>98</v>
      </c>
    </row>
    <row r="322" spans="2:2" x14ac:dyDescent="0.35">
      <c r="B322" s="16" t="s">
        <v>99</v>
      </c>
    </row>
  </sheetData>
  <sortState xmlns:xlrd2="http://schemas.microsoft.com/office/spreadsheetml/2017/richdata2" ref="B280:H291">
    <sortCondition ref="B280:B291"/>
  </sortState>
  <hyperlinks>
    <hyperlink ref="B322" location="Índice!A1" display="Volver al índice" xr:uid="{00000000-0004-0000-0300-000000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P265"/>
  <sheetViews>
    <sheetView showGridLines="0" zoomScale="90" zoomScaleNormal="90" workbookViewId="0">
      <pane ySplit="2" topLeftCell="A3" activePane="bottomLeft" state="frozen"/>
      <selection pane="bottomLeft"/>
    </sheetView>
  </sheetViews>
  <sheetFormatPr baseColWidth="10" defaultColWidth="11.54296875" defaultRowHeight="14.5" x14ac:dyDescent="0.35"/>
  <cols>
    <col min="1" max="1" width="2.7265625" style="2" customWidth="1"/>
    <col min="2" max="2" width="40.26953125" style="4" customWidth="1"/>
    <col min="3" max="4" width="14.26953125" style="4" customWidth="1"/>
    <col min="5" max="5" width="14.26953125" style="5" customWidth="1"/>
    <col min="6" max="9" width="14.26953125" style="2" customWidth="1"/>
    <col min="10" max="10" width="12.453125" style="2" customWidth="1"/>
    <col min="11" max="13" width="14.26953125" style="2" customWidth="1"/>
    <col min="14" max="17" width="13.7265625" style="2" customWidth="1"/>
    <col min="18" max="16384" width="11.54296875" style="2"/>
  </cols>
  <sheetData>
    <row r="1" spans="2:16" ht="21" x14ac:dyDescent="0.35">
      <c r="B1" s="19" t="s">
        <v>298</v>
      </c>
      <c r="C1" s="52"/>
      <c r="D1" s="52"/>
      <c r="E1" s="53"/>
      <c r="F1" s="52"/>
    </row>
    <row r="2" spans="2:16" ht="21.75" customHeight="1" x14ac:dyDescent="0.35">
      <c r="B2" s="2" t="s">
        <v>74</v>
      </c>
      <c r="C2" s="52"/>
      <c r="D2" s="52"/>
      <c r="E2" s="53"/>
      <c r="F2" s="52"/>
    </row>
    <row r="3" spans="2:16" x14ac:dyDescent="0.35">
      <c r="B3" s="52"/>
      <c r="C3" s="52"/>
      <c r="D3" s="52"/>
      <c r="E3" s="53"/>
      <c r="F3" s="52"/>
    </row>
    <row r="4" spans="2:16" x14ac:dyDescent="0.35">
      <c r="B4" s="81" t="s">
        <v>69</v>
      </c>
      <c r="C4" s="52"/>
      <c r="D4" s="52"/>
      <c r="E4" s="53"/>
      <c r="F4" s="52"/>
    </row>
    <row r="5" spans="2:16" ht="26" x14ac:dyDescent="0.35">
      <c r="B5" s="18" t="s">
        <v>75</v>
      </c>
      <c r="C5" s="1">
        <v>2016</v>
      </c>
      <c r="D5" s="1">
        <v>2017</v>
      </c>
      <c r="E5" s="1">
        <v>2018</v>
      </c>
      <c r="F5" s="1">
        <v>2019</v>
      </c>
      <c r="G5" s="1">
        <v>2020</v>
      </c>
      <c r="H5" s="1">
        <v>2021</v>
      </c>
      <c r="I5" s="1">
        <v>2022</v>
      </c>
      <c r="J5" s="1">
        <v>2023</v>
      </c>
      <c r="K5" s="1">
        <v>2024</v>
      </c>
      <c r="L5" s="1" t="s">
        <v>241</v>
      </c>
      <c r="M5" s="1" t="s">
        <v>242</v>
      </c>
      <c r="N5" s="1" t="s">
        <v>243</v>
      </c>
    </row>
    <row r="6" spans="2:16" x14ac:dyDescent="0.35">
      <c r="B6" s="25" t="s">
        <v>80</v>
      </c>
      <c r="C6" s="26">
        <v>0.798302675323047</v>
      </c>
      <c r="D6" s="26">
        <v>0.79706661375624099</v>
      </c>
      <c r="E6" s="26">
        <v>0.79655355089769897</v>
      </c>
      <c r="F6" s="26">
        <v>0.80628044292470102</v>
      </c>
      <c r="G6" s="26">
        <v>0.79116487951723702</v>
      </c>
      <c r="H6" s="26">
        <v>0.80804937364157303</v>
      </c>
      <c r="I6" s="26">
        <v>0.81259563584319605</v>
      </c>
      <c r="J6" s="26">
        <v>0.817553131901395</v>
      </c>
      <c r="K6" s="26">
        <v>0.79350785575866201</v>
      </c>
      <c r="L6" s="58">
        <f>(K6-C6)*100</f>
        <v>-0.47948195643849889</v>
      </c>
      <c r="M6" s="58">
        <f>100*(K6-G6)</f>
        <v>0.23429762414249877</v>
      </c>
      <c r="N6" s="58">
        <f>(K6-J6)*100</f>
        <v>-2.4045276142732996</v>
      </c>
      <c r="P6" s="94"/>
    </row>
    <row r="7" spans="2:16" x14ac:dyDescent="0.35">
      <c r="B7" s="25" t="s">
        <v>81</v>
      </c>
      <c r="C7" s="26">
        <v>0.80701215846627505</v>
      </c>
      <c r="D7" s="26">
        <v>0.79794213003120595</v>
      </c>
      <c r="E7" s="26">
        <v>0.81198443413788401</v>
      </c>
      <c r="F7" s="26">
        <v>0.80739448960369797</v>
      </c>
      <c r="G7" s="26">
        <v>0.80538797431401399</v>
      </c>
      <c r="H7" s="26">
        <v>0.804230393279452</v>
      </c>
      <c r="I7" s="26">
        <v>0.80195398731103096</v>
      </c>
      <c r="J7" s="26">
        <v>0.80548187013600403</v>
      </c>
      <c r="K7" s="26">
        <v>0.79094344857061905</v>
      </c>
      <c r="L7" s="58">
        <f t="shared" ref="L7:L9" si="0">(K7-C7)*100</f>
        <v>-1.6068709895656008</v>
      </c>
      <c r="M7" s="58">
        <f t="shared" ref="M7:M9" si="1">100*(K7-G7)</f>
        <v>-1.4444525743394943</v>
      </c>
      <c r="N7" s="58">
        <f t="shared" ref="N7:N9" si="2">(K7-J7)*100</f>
        <v>-1.4538421565384985</v>
      </c>
      <c r="P7" s="94"/>
    </row>
    <row r="8" spans="2:16" x14ac:dyDescent="0.35">
      <c r="B8" s="25" t="s">
        <v>82</v>
      </c>
      <c r="C8" s="26">
        <v>0.79781376930507897</v>
      </c>
      <c r="D8" s="26">
        <v>0.78509994747461598</v>
      </c>
      <c r="E8" s="26">
        <v>0.79657335213373104</v>
      </c>
      <c r="F8" s="26">
        <v>0.82098407566329901</v>
      </c>
      <c r="G8" s="26">
        <v>0.84551152290504805</v>
      </c>
      <c r="H8" s="26">
        <v>0.85343287720085403</v>
      </c>
      <c r="I8" s="26">
        <v>0.83726022565957103</v>
      </c>
      <c r="J8" s="26">
        <v>0.83495539014292797</v>
      </c>
      <c r="K8" s="26">
        <v>0.83360601195788697</v>
      </c>
      <c r="L8" s="58">
        <f t="shared" si="0"/>
        <v>3.5792242652808004</v>
      </c>
      <c r="M8" s="58">
        <f t="shared" si="1"/>
        <v>-1.190551094716108</v>
      </c>
      <c r="N8" s="58">
        <f t="shared" si="2"/>
        <v>-0.13493781850409947</v>
      </c>
      <c r="P8" s="94"/>
    </row>
    <row r="9" spans="2:16" x14ac:dyDescent="0.35">
      <c r="B9" s="20" t="s">
        <v>83</v>
      </c>
      <c r="C9" s="6">
        <v>0.80080782533121597</v>
      </c>
      <c r="D9" s="6">
        <v>0.79064544594498698</v>
      </c>
      <c r="E9" s="6">
        <v>0.801558436875632</v>
      </c>
      <c r="F9" s="6">
        <v>0.81480729936366902</v>
      </c>
      <c r="G9" s="6">
        <v>0.82633920971675801</v>
      </c>
      <c r="H9" s="6">
        <v>0.83244867266585898</v>
      </c>
      <c r="I9" s="6">
        <v>0.82271097028681905</v>
      </c>
      <c r="J9" s="6">
        <v>0.82283747617706104</v>
      </c>
      <c r="K9" s="6">
        <v>0.81421060534770495</v>
      </c>
      <c r="L9" s="59">
        <f t="shared" si="0"/>
        <v>1.340278001648898</v>
      </c>
      <c r="M9" s="59">
        <f t="shared" si="1"/>
        <v>-1.2128604369053053</v>
      </c>
      <c r="N9" s="59">
        <f t="shared" si="2"/>
        <v>-0.86268708293560925</v>
      </c>
      <c r="P9" s="94"/>
    </row>
    <row r="10" spans="2:16" x14ac:dyDescent="0.35">
      <c r="B10" s="10"/>
      <c r="C10" s="11"/>
      <c r="D10" s="11"/>
      <c r="E10" s="12"/>
      <c r="F10" s="52"/>
      <c r="P10" s="94"/>
    </row>
    <row r="11" spans="2:16" x14ac:dyDescent="0.35">
      <c r="B11" s="81" t="s">
        <v>69</v>
      </c>
      <c r="C11" s="52"/>
      <c r="D11" s="52"/>
      <c r="E11" s="2"/>
      <c r="P11" s="94"/>
    </row>
    <row r="12" spans="2:16" ht="26" x14ac:dyDescent="0.35">
      <c r="B12" s="18" t="s">
        <v>299</v>
      </c>
      <c r="C12" s="70">
        <v>2016</v>
      </c>
      <c r="D12" s="70">
        <v>2017</v>
      </c>
      <c r="E12" s="70">
        <v>2018</v>
      </c>
      <c r="F12" s="70">
        <v>2019</v>
      </c>
      <c r="G12" s="70">
        <v>2020</v>
      </c>
      <c r="H12" s="70">
        <v>2021</v>
      </c>
      <c r="I12" s="70">
        <v>2022</v>
      </c>
      <c r="J12" s="1">
        <v>2023</v>
      </c>
      <c r="K12" s="1">
        <v>2024</v>
      </c>
      <c r="L12" s="1" t="s">
        <v>241</v>
      </c>
      <c r="M12" s="1" t="s">
        <v>242</v>
      </c>
      <c r="N12" s="1" t="s">
        <v>243</v>
      </c>
      <c r="P12" s="94"/>
    </row>
    <row r="13" spans="2:16" x14ac:dyDescent="0.35">
      <c r="B13" s="60" t="s">
        <v>245</v>
      </c>
      <c r="C13" s="61">
        <v>0.80041720750040701</v>
      </c>
      <c r="D13" s="61">
        <v>0.78783750332401803</v>
      </c>
      <c r="E13" s="61">
        <v>0.79936554506179303</v>
      </c>
      <c r="F13" s="61">
        <v>0.82358215487967801</v>
      </c>
      <c r="G13" s="61">
        <v>0.84908836131913601</v>
      </c>
      <c r="H13" s="61">
        <v>0.85722402205988901</v>
      </c>
      <c r="I13" s="61">
        <v>0.84141728004009297</v>
      </c>
      <c r="J13" s="26">
        <v>0.83920524140450503</v>
      </c>
      <c r="K13" s="26">
        <v>0.83680593786965096</v>
      </c>
      <c r="L13" s="58">
        <f t="shared" ref="L13:L18" si="3">(K13-C13)*100</f>
        <v>3.6388730369243949</v>
      </c>
      <c r="M13" s="58">
        <f t="shared" ref="M13:M18" si="4">100*(K13-G13)</f>
        <v>-1.2282423449485047</v>
      </c>
      <c r="N13" s="58">
        <f t="shared" ref="N13:N18" si="5">(K13-J13)*100</f>
        <v>-0.23993035348540692</v>
      </c>
      <c r="P13" s="94"/>
    </row>
    <row r="14" spans="2:16" x14ac:dyDescent="0.35">
      <c r="B14" s="60" t="s">
        <v>246</v>
      </c>
      <c r="C14" s="61">
        <v>0.81621566226474795</v>
      </c>
      <c r="D14" s="61">
        <v>0.79877366829020202</v>
      </c>
      <c r="E14" s="61">
        <v>0.81717351119927295</v>
      </c>
      <c r="F14" s="61">
        <v>0.81012173338770399</v>
      </c>
      <c r="G14" s="61">
        <v>0.82592284224274604</v>
      </c>
      <c r="H14" s="61">
        <v>0.81822829993951995</v>
      </c>
      <c r="I14" s="61">
        <v>0.81766664416354595</v>
      </c>
      <c r="J14" s="61">
        <v>0.81870833683919997</v>
      </c>
      <c r="K14" s="61">
        <v>0.81044636841565798</v>
      </c>
      <c r="L14" s="58">
        <f t="shared" si="3"/>
        <v>-0.57692938490899737</v>
      </c>
      <c r="M14" s="58">
        <f t="shared" si="4"/>
        <v>-1.5476473827088055</v>
      </c>
      <c r="N14" s="58">
        <f t="shared" si="5"/>
        <v>-0.82619684235419877</v>
      </c>
      <c r="P14" s="94"/>
    </row>
    <row r="15" spans="2:16" x14ac:dyDescent="0.35">
      <c r="B15" s="60" t="s">
        <v>247</v>
      </c>
      <c r="C15" s="61">
        <v>0.74971253977338703</v>
      </c>
      <c r="D15" s="61">
        <v>0.72817916430655205</v>
      </c>
      <c r="E15" s="61">
        <v>0.76929530216692199</v>
      </c>
      <c r="F15" s="61">
        <v>0.78286578526173101</v>
      </c>
      <c r="G15" s="61">
        <v>0.79543693212194</v>
      </c>
      <c r="H15" s="61">
        <v>0.78388915063027198</v>
      </c>
      <c r="I15" s="61">
        <v>0.77814882530363505</v>
      </c>
      <c r="J15" s="61">
        <v>0.78909609646884704</v>
      </c>
      <c r="K15" s="61">
        <v>0.78263169634594498</v>
      </c>
      <c r="L15" s="58">
        <f t="shared" si="3"/>
        <v>3.291915657255795</v>
      </c>
      <c r="M15" s="58">
        <f t="shared" si="4"/>
        <v>-1.2805235775995016</v>
      </c>
      <c r="N15" s="58">
        <f t="shared" si="5"/>
        <v>-0.64644001229020587</v>
      </c>
      <c r="P15" s="94"/>
    </row>
    <row r="16" spans="2:16" x14ac:dyDescent="0.35">
      <c r="B16" s="60" t="s">
        <v>248</v>
      </c>
      <c r="C16" s="61">
        <v>0.72529386374000004</v>
      </c>
      <c r="D16" s="61">
        <v>0.71955153223092805</v>
      </c>
      <c r="E16" s="61">
        <v>0.75995660423783895</v>
      </c>
      <c r="F16" s="61">
        <v>0.81229767211749004</v>
      </c>
      <c r="G16" s="61">
        <v>0.83370956048280997</v>
      </c>
      <c r="H16" s="61">
        <v>0.83303905637109299</v>
      </c>
      <c r="I16" s="61">
        <v>0.79285129448999603</v>
      </c>
      <c r="J16" s="61">
        <v>0.78955776172064396</v>
      </c>
      <c r="K16" s="61">
        <v>0.80222690114606299</v>
      </c>
      <c r="L16" s="58">
        <f t="shared" si="3"/>
        <v>7.6933037406062947</v>
      </c>
      <c r="M16" s="58">
        <f t="shared" si="4"/>
        <v>-3.1482659336746988</v>
      </c>
      <c r="N16" s="58">
        <f t="shared" si="5"/>
        <v>1.2669139425419029</v>
      </c>
      <c r="P16" s="94"/>
    </row>
    <row r="17" spans="2:16" x14ac:dyDescent="0.35">
      <c r="B17" s="60" t="s">
        <v>249</v>
      </c>
      <c r="C17" s="61">
        <v>0.79687628019546297</v>
      </c>
      <c r="D17" s="61">
        <v>0.79516756958601698</v>
      </c>
      <c r="E17" s="61">
        <v>0.79820556519335595</v>
      </c>
      <c r="F17" s="61">
        <v>0.80415491193434596</v>
      </c>
      <c r="G17" s="61">
        <v>0.78680189497377095</v>
      </c>
      <c r="H17" s="61">
        <v>0.79747857081684204</v>
      </c>
      <c r="I17" s="61">
        <v>0.79456989560592595</v>
      </c>
      <c r="J17" s="61">
        <v>0.79883372749791204</v>
      </c>
      <c r="K17" s="61">
        <v>0.77686200669523298</v>
      </c>
      <c r="L17" s="58">
        <f t="shared" si="3"/>
        <v>-2.0014273500229995</v>
      </c>
      <c r="M17" s="58">
        <f t="shared" si="4"/>
        <v>-0.99398882785379783</v>
      </c>
      <c r="N17" s="58">
        <f t="shared" si="5"/>
        <v>-2.1971720802679062</v>
      </c>
      <c r="P17" s="94"/>
    </row>
    <row r="18" spans="2:16" x14ac:dyDescent="0.35">
      <c r="B18" s="62" t="s">
        <v>140</v>
      </c>
      <c r="C18" s="6">
        <v>0.80080782533121597</v>
      </c>
      <c r="D18" s="6">
        <v>0.79064544594498698</v>
      </c>
      <c r="E18" s="6">
        <v>0.801558436875632</v>
      </c>
      <c r="F18" s="6">
        <v>0.81480729936366902</v>
      </c>
      <c r="G18" s="6">
        <v>0.82633920971675801</v>
      </c>
      <c r="H18" s="6">
        <v>0.83244867266585898</v>
      </c>
      <c r="I18" s="6">
        <v>0.82271097028681905</v>
      </c>
      <c r="J18" s="6">
        <v>0.82283747617706104</v>
      </c>
      <c r="K18" s="6">
        <v>0.81421060534770495</v>
      </c>
      <c r="L18" s="59">
        <f t="shared" si="3"/>
        <v>1.340278001648898</v>
      </c>
      <c r="M18" s="59">
        <f t="shared" si="4"/>
        <v>-1.2128604369053053</v>
      </c>
      <c r="N18" s="59">
        <f t="shared" si="5"/>
        <v>-0.86268708293560925</v>
      </c>
      <c r="P18" s="94"/>
    </row>
    <row r="19" spans="2:16" x14ac:dyDescent="0.35">
      <c r="B19" s="10"/>
      <c r="C19" s="11"/>
      <c r="D19" s="11"/>
      <c r="E19" s="12"/>
      <c r="F19" s="52"/>
      <c r="O19" s="93"/>
      <c r="P19" s="94"/>
    </row>
    <row r="20" spans="2:16" ht="15.5" x14ac:dyDescent="0.35">
      <c r="B20" s="90" t="s">
        <v>300</v>
      </c>
      <c r="C20" s="73"/>
      <c r="D20" s="72"/>
      <c r="E20" s="72"/>
      <c r="F20" s="72"/>
      <c r="G20" s="72"/>
      <c r="H20" s="72"/>
      <c r="I20" s="72"/>
      <c r="J20" s="72"/>
      <c r="K20" s="72"/>
      <c r="L20" s="53"/>
      <c r="M20" s="53"/>
      <c r="O20" s="93"/>
      <c r="P20" s="94"/>
    </row>
    <row r="21" spans="2:16" ht="26" x14ac:dyDescent="0.35">
      <c r="B21" s="18" t="s">
        <v>250</v>
      </c>
      <c r="C21" s="70">
        <v>2016</v>
      </c>
      <c r="D21" s="70">
        <v>2017</v>
      </c>
      <c r="E21" s="70">
        <v>2018</v>
      </c>
      <c r="F21" s="70">
        <v>2019</v>
      </c>
      <c r="G21" s="70">
        <v>2020</v>
      </c>
      <c r="H21" s="70">
        <v>2021</v>
      </c>
      <c r="I21" s="70">
        <v>2022</v>
      </c>
      <c r="J21" s="1">
        <v>2023</v>
      </c>
      <c r="K21" s="1">
        <v>2024</v>
      </c>
      <c r="L21" s="1" t="s">
        <v>241</v>
      </c>
      <c r="M21" s="1" t="s">
        <v>242</v>
      </c>
      <c r="N21" s="1" t="s">
        <v>243</v>
      </c>
      <c r="O21" s="93"/>
      <c r="P21" s="94"/>
    </row>
    <row r="22" spans="2:16" x14ac:dyDescent="0.35">
      <c r="B22" s="65" t="s">
        <v>251</v>
      </c>
      <c r="C22" s="6">
        <v>0.798302675323047</v>
      </c>
      <c r="D22" s="6">
        <v>0.79706661375624099</v>
      </c>
      <c r="E22" s="6">
        <v>0.79655355089769897</v>
      </c>
      <c r="F22" s="6">
        <v>0.80628044292470102</v>
      </c>
      <c r="G22" s="6">
        <v>0.79116487951723702</v>
      </c>
      <c r="H22" s="6">
        <v>0.80804937364157303</v>
      </c>
      <c r="I22" s="6">
        <v>0.81259563584319605</v>
      </c>
      <c r="J22" s="6">
        <v>0.817553131901395</v>
      </c>
      <c r="K22" s="6">
        <v>0.79350785575866201</v>
      </c>
      <c r="L22" s="59">
        <f t="shared" ref="L22:L33" si="6">(K22-C22)*100</f>
        <v>-0.47948195643849889</v>
      </c>
      <c r="M22" s="59">
        <f t="shared" ref="M22:M33" si="7">100*(K22-G22)</f>
        <v>0.23429762414249877</v>
      </c>
      <c r="N22" s="59">
        <f t="shared" ref="N22:N33" si="8">(K22-J22)*100</f>
        <v>-2.4045276142732996</v>
      </c>
      <c r="O22" s="93"/>
      <c r="P22" s="94"/>
    </row>
    <row r="23" spans="2:16" x14ac:dyDescent="0.35">
      <c r="B23" s="112" t="s">
        <v>249</v>
      </c>
      <c r="C23" s="71">
        <v>0.798302675323047</v>
      </c>
      <c r="D23" s="71">
        <v>0.79706661375624099</v>
      </c>
      <c r="E23" s="71">
        <v>0.79655355089769897</v>
      </c>
      <c r="F23" s="71">
        <v>0.80628044292470102</v>
      </c>
      <c r="G23" s="71">
        <v>0.79116487951723702</v>
      </c>
      <c r="H23" s="71">
        <v>0.80804937364157303</v>
      </c>
      <c r="I23" s="71">
        <v>0.81259563584319605</v>
      </c>
      <c r="J23" s="26">
        <v>0.817553131901395</v>
      </c>
      <c r="K23" s="26">
        <v>0.79350785575866201</v>
      </c>
      <c r="L23" s="58">
        <f t="shared" si="6"/>
        <v>-0.47948195643849889</v>
      </c>
      <c r="M23" s="58">
        <f t="shared" si="7"/>
        <v>0.23429762414249877</v>
      </c>
      <c r="N23" s="58">
        <f t="shared" si="8"/>
        <v>-2.4045276142732996</v>
      </c>
      <c r="O23" s="93"/>
      <c r="P23" s="94"/>
    </row>
    <row r="24" spans="2:16" x14ac:dyDescent="0.35">
      <c r="B24" s="65" t="s">
        <v>252</v>
      </c>
      <c r="C24" s="6">
        <v>0.80701215846627505</v>
      </c>
      <c r="D24" s="6">
        <v>0.79794213003120595</v>
      </c>
      <c r="E24" s="6">
        <v>0.81198443413788401</v>
      </c>
      <c r="F24" s="6">
        <v>0.80739448960369797</v>
      </c>
      <c r="G24" s="6">
        <v>0.80538797431401399</v>
      </c>
      <c r="H24" s="6">
        <v>0.804230393279452</v>
      </c>
      <c r="I24" s="6">
        <v>0.80195398731103096</v>
      </c>
      <c r="J24" s="6">
        <v>0.80548187013600403</v>
      </c>
      <c r="K24" s="6">
        <v>0.79094344857061905</v>
      </c>
      <c r="L24" s="59">
        <f t="shared" si="6"/>
        <v>-1.6068709895656008</v>
      </c>
      <c r="M24" s="59">
        <f t="shared" si="7"/>
        <v>-1.4444525743394943</v>
      </c>
      <c r="N24" s="59">
        <f t="shared" si="8"/>
        <v>-1.4538421565384985</v>
      </c>
      <c r="O24" s="93"/>
    </row>
    <row r="25" spans="2:16" x14ac:dyDescent="0.35">
      <c r="B25" s="112" t="s">
        <v>253</v>
      </c>
      <c r="C25" s="71">
        <v>0.81970361442837103</v>
      </c>
      <c r="D25" s="71">
        <v>0.80057141674982801</v>
      </c>
      <c r="E25" s="71">
        <v>0.821608286410203</v>
      </c>
      <c r="F25" s="71">
        <v>0.80995118540585798</v>
      </c>
      <c r="G25" s="71">
        <v>0.82361541502378799</v>
      </c>
      <c r="H25" s="71">
        <v>0.81610120539462205</v>
      </c>
      <c r="I25" s="71">
        <v>0.81726052418071904</v>
      </c>
      <c r="J25" s="26">
        <v>0.81931583444823597</v>
      </c>
      <c r="K25" s="26">
        <v>0.811428704752713</v>
      </c>
      <c r="L25" s="58">
        <f t="shared" si="6"/>
        <v>-0.82749096756580265</v>
      </c>
      <c r="M25" s="58">
        <f t="shared" si="7"/>
        <v>-1.2186710271074985</v>
      </c>
      <c r="N25" s="58">
        <f t="shared" si="8"/>
        <v>-0.78871296955229653</v>
      </c>
      <c r="O25" s="93"/>
    </row>
    <row r="26" spans="2:16" x14ac:dyDescent="0.35">
      <c r="B26" s="112" t="s">
        <v>249</v>
      </c>
      <c r="C26" s="71">
        <v>0.79667860399941504</v>
      </c>
      <c r="D26" s="71">
        <v>0.79579555528288404</v>
      </c>
      <c r="E26" s="71">
        <v>0.80234065725580805</v>
      </c>
      <c r="F26" s="71">
        <v>0.80467827517155999</v>
      </c>
      <c r="G26" s="71">
        <v>0.78394406180800502</v>
      </c>
      <c r="H26" s="71">
        <v>0.78899634296024801</v>
      </c>
      <c r="I26" s="71">
        <v>0.78186504426352099</v>
      </c>
      <c r="J26" s="26">
        <v>0.78608933267018699</v>
      </c>
      <c r="K26" s="26">
        <v>0.75756848602194504</v>
      </c>
      <c r="L26" s="58">
        <f t="shared" si="6"/>
        <v>-3.9110117977469994</v>
      </c>
      <c r="M26" s="58">
        <f t="shared" si="7"/>
        <v>-2.6375575786059979</v>
      </c>
      <c r="N26" s="58">
        <f t="shared" si="8"/>
        <v>-2.8520846648241949</v>
      </c>
      <c r="O26" s="93"/>
      <c r="P26" s="94"/>
    </row>
    <row r="27" spans="2:16" x14ac:dyDescent="0.35">
      <c r="B27" s="65" t="s">
        <v>229</v>
      </c>
      <c r="C27" s="6">
        <v>0.79781376930507897</v>
      </c>
      <c r="D27" s="6">
        <v>0.78509994747461598</v>
      </c>
      <c r="E27" s="6">
        <v>0.79657335213373104</v>
      </c>
      <c r="F27" s="6">
        <v>0.82098407566329901</v>
      </c>
      <c r="G27" s="6">
        <v>0.84551152290504805</v>
      </c>
      <c r="H27" s="6">
        <v>0.85343287720085403</v>
      </c>
      <c r="I27" s="6">
        <v>0.83726022565957103</v>
      </c>
      <c r="J27" s="6">
        <v>0.83495539014292797</v>
      </c>
      <c r="K27" s="6">
        <v>0.83360601195788697</v>
      </c>
      <c r="L27" s="59">
        <f t="shared" si="6"/>
        <v>3.5792242652808004</v>
      </c>
      <c r="M27" s="59">
        <f t="shared" si="7"/>
        <v>-1.190551094716108</v>
      </c>
      <c r="N27" s="59">
        <f t="shared" si="8"/>
        <v>-0.13493781850409947</v>
      </c>
      <c r="O27" s="93"/>
    </row>
    <row r="28" spans="2:16" x14ac:dyDescent="0.35">
      <c r="B28" s="112" t="s">
        <v>254</v>
      </c>
      <c r="C28" s="71">
        <v>0.80041720750040701</v>
      </c>
      <c r="D28" s="71">
        <v>0.78783750332401803</v>
      </c>
      <c r="E28" s="71">
        <v>0.79936554506179303</v>
      </c>
      <c r="F28" s="71">
        <v>0.82358215487967801</v>
      </c>
      <c r="G28" s="71">
        <v>0.84908836131913601</v>
      </c>
      <c r="H28" s="71">
        <v>0.85722402205988901</v>
      </c>
      <c r="I28" s="71">
        <v>0.84141728004009297</v>
      </c>
      <c r="J28" s="26">
        <v>0.83920524140450503</v>
      </c>
      <c r="K28" s="26">
        <v>0.83680593786965096</v>
      </c>
      <c r="L28" s="58">
        <f t="shared" si="6"/>
        <v>3.6388730369243949</v>
      </c>
      <c r="M28" s="58">
        <f t="shared" si="7"/>
        <v>-1.2282423449485047</v>
      </c>
      <c r="N28" s="58">
        <f t="shared" si="8"/>
        <v>-0.23993035348540692</v>
      </c>
      <c r="O28" s="93"/>
    </row>
    <row r="29" spans="2:16" x14ac:dyDescent="0.35">
      <c r="B29" s="112" t="s">
        <v>253</v>
      </c>
      <c r="C29" s="71">
        <v>0.78616095614654602</v>
      </c>
      <c r="D29" s="71">
        <v>0.78195177325666698</v>
      </c>
      <c r="E29" s="71">
        <v>0.78033105996052998</v>
      </c>
      <c r="F29" s="71">
        <v>0.811826877196129</v>
      </c>
      <c r="G29" s="71">
        <v>0.856440692195371</v>
      </c>
      <c r="H29" s="71">
        <v>0.85757594113074398</v>
      </c>
      <c r="I29" s="71">
        <v>0.83042276293214801</v>
      </c>
      <c r="J29" s="26">
        <v>0.78605185263282895</v>
      </c>
      <c r="K29" s="26">
        <v>0.73724201753074203</v>
      </c>
      <c r="L29" s="58">
        <f t="shared" si="6"/>
        <v>-4.8918938615803986</v>
      </c>
      <c r="M29" s="58">
        <f t="shared" si="7"/>
        <v>-11.919867466462897</v>
      </c>
      <c r="N29" s="58">
        <f t="shared" si="8"/>
        <v>-4.8809835102086918</v>
      </c>
      <c r="O29" s="93"/>
    </row>
    <row r="30" spans="2:16" x14ac:dyDescent="0.35">
      <c r="B30" s="112" t="s">
        <v>247</v>
      </c>
      <c r="C30" s="71">
        <v>0.74971253977338703</v>
      </c>
      <c r="D30" s="71">
        <v>0.72817916430655205</v>
      </c>
      <c r="E30" s="71">
        <v>0.76929530216692199</v>
      </c>
      <c r="F30" s="71">
        <v>0.78286578526173101</v>
      </c>
      <c r="G30" s="71">
        <v>0.79543693212194</v>
      </c>
      <c r="H30" s="71">
        <v>0.78388915063027198</v>
      </c>
      <c r="I30" s="71">
        <v>0.77814882530363505</v>
      </c>
      <c r="J30" s="26">
        <v>0.78909609646884704</v>
      </c>
      <c r="K30" s="26">
        <v>0.78263169634594498</v>
      </c>
      <c r="L30" s="58">
        <f t="shared" si="6"/>
        <v>3.291915657255795</v>
      </c>
      <c r="M30" s="58">
        <f t="shared" si="7"/>
        <v>-1.2805235775995016</v>
      </c>
      <c r="N30" s="58">
        <f t="shared" si="8"/>
        <v>-0.64644001229020587</v>
      </c>
      <c r="O30" s="93"/>
      <c r="P30" s="94"/>
    </row>
    <row r="31" spans="2:16" x14ac:dyDescent="0.35">
      <c r="B31" s="60" t="s">
        <v>255</v>
      </c>
      <c r="C31" s="61">
        <v>0.72529386374000004</v>
      </c>
      <c r="D31" s="61">
        <v>0.71955153223092805</v>
      </c>
      <c r="E31" s="61">
        <v>0.75995660423783895</v>
      </c>
      <c r="F31" s="61">
        <v>0.81229767211749004</v>
      </c>
      <c r="G31" s="61">
        <v>0.83370956048280997</v>
      </c>
      <c r="H31" s="61">
        <v>0.83303905637109299</v>
      </c>
      <c r="I31" s="61">
        <v>0.79285129448999603</v>
      </c>
      <c r="J31" s="26">
        <v>0.78955776172064396</v>
      </c>
      <c r="K31" s="26">
        <v>0.80222690114606299</v>
      </c>
      <c r="L31" s="58">
        <f t="shared" si="6"/>
        <v>7.6933037406062947</v>
      </c>
      <c r="M31" s="58">
        <f t="shared" si="7"/>
        <v>-3.1482659336746988</v>
      </c>
      <c r="N31" s="58">
        <f t="shared" si="8"/>
        <v>1.2669139425419029</v>
      </c>
      <c r="O31" s="93"/>
      <c r="P31" s="94"/>
    </row>
    <row r="32" spans="2:16" x14ac:dyDescent="0.35">
      <c r="B32" s="112" t="s">
        <v>249</v>
      </c>
      <c r="C32" s="71">
        <v>0.79106212283243604</v>
      </c>
      <c r="D32" s="71">
        <v>0.78173537576222096</v>
      </c>
      <c r="E32" s="71">
        <v>0.778894622192154</v>
      </c>
      <c r="F32" s="71">
        <v>0.78953453983745503</v>
      </c>
      <c r="G32" s="71">
        <v>0.78257080050540395</v>
      </c>
      <c r="H32" s="71">
        <v>0.79631049655650898</v>
      </c>
      <c r="I32" s="71">
        <v>0.78346478838978295</v>
      </c>
      <c r="J32" s="26">
        <v>0.78165298488681301</v>
      </c>
      <c r="K32" s="26">
        <v>0.807193736939393</v>
      </c>
      <c r="L32" s="58">
        <f t="shared" si="6"/>
        <v>1.613161410695696</v>
      </c>
      <c r="M32" s="58">
        <f t="shared" si="7"/>
        <v>2.4622936433989051</v>
      </c>
      <c r="N32" s="58">
        <f t="shared" si="8"/>
        <v>2.5540752052579996</v>
      </c>
      <c r="O32" s="93"/>
      <c r="P32" s="94"/>
    </row>
    <row r="33" spans="2:16" x14ac:dyDescent="0.35">
      <c r="B33" s="65" t="s">
        <v>140</v>
      </c>
      <c r="C33" s="6">
        <v>0.80080782533121597</v>
      </c>
      <c r="D33" s="6">
        <v>0.79064544594498698</v>
      </c>
      <c r="E33" s="6">
        <v>0.801558436875632</v>
      </c>
      <c r="F33" s="6">
        <v>0.81480729936366902</v>
      </c>
      <c r="G33" s="6">
        <v>0.82633920971675801</v>
      </c>
      <c r="H33" s="6">
        <v>0.83244867266585898</v>
      </c>
      <c r="I33" s="6">
        <v>0.82271097028681905</v>
      </c>
      <c r="J33" s="6">
        <v>0.82283747617706104</v>
      </c>
      <c r="K33" s="6">
        <v>0.81421060534770495</v>
      </c>
      <c r="L33" s="59">
        <f t="shared" si="6"/>
        <v>1.340278001648898</v>
      </c>
      <c r="M33" s="59">
        <f t="shared" si="7"/>
        <v>-1.2128604369053053</v>
      </c>
      <c r="N33" s="59">
        <f t="shared" si="8"/>
        <v>-0.86268708293560925</v>
      </c>
      <c r="O33" s="93"/>
      <c r="P33" s="94"/>
    </row>
    <row r="34" spans="2:16" x14ac:dyDescent="0.35">
      <c r="B34" s="52"/>
      <c r="C34" s="52"/>
      <c r="D34" s="52"/>
      <c r="E34" s="2"/>
      <c r="O34" s="93"/>
      <c r="P34" s="94"/>
    </row>
    <row r="35" spans="2:16" ht="15.5" x14ac:dyDescent="0.35">
      <c r="B35" s="90" t="s">
        <v>70</v>
      </c>
      <c r="C35" s="73"/>
      <c r="D35" s="72"/>
      <c r="E35" s="72"/>
      <c r="F35" s="72"/>
      <c r="G35" s="72"/>
      <c r="H35" s="72"/>
      <c r="I35" s="72"/>
      <c r="J35" s="72"/>
      <c r="K35" s="72"/>
      <c r="L35" s="53"/>
      <c r="M35" s="53"/>
      <c r="O35" s="93"/>
      <c r="P35" s="94"/>
    </row>
    <row r="36" spans="2:16" ht="26" x14ac:dyDescent="0.35">
      <c r="B36" s="18" t="s">
        <v>256</v>
      </c>
      <c r="C36" s="70">
        <v>2016</v>
      </c>
      <c r="D36" s="70">
        <v>2017</v>
      </c>
      <c r="E36" s="70">
        <v>2018</v>
      </c>
      <c r="F36" s="70">
        <v>2019</v>
      </c>
      <c r="G36" s="70">
        <v>2020</v>
      </c>
      <c r="H36" s="70">
        <v>2021</v>
      </c>
      <c r="I36" s="70">
        <v>2022</v>
      </c>
      <c r="J36" s="1">
        <v>2023</v>
      </c>
      <c r="K36" s="1">
        <v>2024</v>
      </c>
      <c r="L36" s="1" t="s">
        <v>241</v>
      </c>
      <c r="M36" s="1" t="s">
        <v>242</v>
      </c>
      <c r="N36" s="1" t="s">
        <v>243</v>
      </c>
      <c r="P36" s="94"/>
    </row>
    <row r="37" spans="2:16" x14ac:dyDescent="0.35">
      <c r="B37" s="66" t="s">
        <v>114</v>
      </c>
      <c r="C37" s="71">
        <v>0.80766076013442401</v>
      </c>
      <c r="D37" s="71">
        <v>0.79129736592704603</v>
      </c>
      <c r="E37" s="71">
        <v>0.80250255453715402</v>
      </c>
      <c r="F37" s="71">
        <v>0.81141361583629401</v>
      </c>
      <c r="G37" s="71">
        <v>0.82897302271964401</v>
      </c>
      <c r="H37" s="71">
        <v>0.82131279480651598</v>
      </c>
      <c r="I37" s="71">
        <v>0.81532615082839899</v>
      </c>
      <c r="J37" s="26">
        <v>0.81691350416322694</v>
      </c>
      <c r="K37" s="26">
        <v>0.80671498217350202</v>
      </c>
      <c r="L37" s="58">
        <f t="shared" ref="L37:L47" si="9">(K37-C37)*100</f>
        <v>-9.4577796092198962E-2</v>
      </c>
      <c r="M37" s="58">
        <f t="shared" ref="M37:M47" si="10">100*(K37-G37)</f>
        <v>-2.2258040546141999</v>
      </c>
      <c r="N37" s="58">
        <f t="shared" ref="N37:N47" si="11">(K37-J37)*100</f>
        <v>-1.0198521989724929</v>
      </c>
      <c r="P37" s="94"/>
    </row>
    <row r="38" spans="2:16" x14ac:dyDescent="0.35">
      <c r="B38" s="66" t="s">
        <v>115</v>
      </c>
      <c r="C38" s="71">
        <v>0.75430333884003098</v>
      </c>
      <c r="D38" s="71">
        <v>0.72940848421800497</v>
      </c>
      <c r="E38" s="71">
        <v>0.76484778339200099</v>
      </c>
      <c r="F38" s="71">
        <v>0.77933107969627102</v>
      </c>
      <c r="G38" s="71">
        <v>0.799629157135885</v>
      </c>
      <c r="H38" s="71">
        <v>0.82171516202810702</v>
      </c>
      <c r="I38" s="71">
        <v>0.81360006913996996</v>
      </c>
      <c r="J38" s="71">
        <v>0.80962480111838797</v>
      </c>
      <c r="K38" s="71">
        <v>0.80528106664636601</v>
      </c>
      <c r="L38" s="58">
        <f t="shared" si="9"/>
        <v>5.0977727806335027</v>
      </c>
      <c r="M38" s="58">
        <f t="shared" si="10"/>
        <v>0.56519095104810013</v>
      </c>
      <c r="N38" s="58">
        <f t="shared" si="11"/>
        <v>-0.43437344720219651</v>
      </c>
      <c r="P38" s="94"/>
    </row>
    <row r="39" spans="2:16" x14ac:dyDescent="0.35">
      <c r="B39" s="66" t="s">
        <v>116</v>
      </c>
      <c r="C39" s="71">
        <v>0.79735867363302704</v>
      </c>
      <c r="D39" s="71">
        <v>0.78188101011642297</v>
      </c>
      <c r="E39" s="71">
        <v>0.79163048730403696</v>
      </c>
      <c r="F39" s="71">
        <v>0.80667577728355599</v>
      </c>
      <c r="G39" s="71">
        <v>0.79385890842820706</v>
      </c>
      <c r="H39" s="71">
        <v>0.80982213054896202</v>
      </c>
      <c r="I39" s="71">
        <v>0.818583941467252</v>
      </c>
      <c r="J39" s="71">
        <v>0.82852858379540995</v>
      </c>
      <c r="K39" s="71">
        <v>0.81967212747281304</v>
      </c>
      <c r="L39" s="58">
        <f t="shared" si="9"/>
        <v>2.2313453839786002</v>
      </c>
      <c r="M39" s="58">
        <f t="shared" si="10"/>
        <v>2.5813219044605984</v>
      </c>
      <c r="N39" s="58">
        <f t="shared" si="11"/>
        <v>-0.88564563225969062</v>
      </c>
      <c r="P39" s="94"/>
    </row>
    <row r="40" spans="2:16" x14ac:dyDescent="0.35">
      <c r="B40" s="66" t="s">
        <v>117</v>
      </c>
      <c r="C40" s="71">
        <v>0.730862008203358</v>
      </c>
      <c r="D40" s="71">
        <v>0.72514050309851497</v>
      </c>
      <c r="E40" s="71">
        <v>0.73742725287891298</v>
      </c>
      <c r="F40" s="71">
        <v>0.76608015728909595</v>
      </c>
      <c r="G40" s="71">
        <v>0.78862005146770597</v>
      </c>
      <c r="H40" s="71">
        <v>0.79902128756394797</v>
      </c>
      <c r="I40" s="71">
        <v>0.76045761847719695</v>
      </c>
      <c r="J40" s="71">
        <v>0.75834450383129504</v>
      </c>
      <c r="K40" s="71">
        <v>0.76403801436242302</v>
      </c>
      <c r="L40" s="58">
        <f t="shared" si="9"/>
        <v>3.3176006159065019</v>
      </c>
      <c r="M40" s="58">
        <f t="shared" si="10"/>
        <v>-2.458203710528295</v>
      </c>
      <c r="N40" s="58">
        <f t="shared" si="11"/>
        <v>0.56935105311279877</v>
      </c>
      <c r="P40" s="94"/>
    </row>
    <row r="41" spans="2:16" x14ac:dyDescent="0.35">
      <c r="B41" s="66" t="s">
        <v>118</v>
      </c>
      <c r="C41" s="71">
        <v>0.84568653734445298</v>
      </c>
      <c r="D41" s="71">
        <v>0.82315144984787803</v>
      </c>
      <c r="E41" s="71">
        <v>0.83571181891476598</v>
      </c>
      <c r="F41" s="71">
        <v>0.85350715035777402</v>
      </c>
      <c r="G41" s="71">
        <v>0.85836060958423499</v>
      </c>
      <c r="H41" s="71">
        <v>0.868033821502735</v>
      </c>
      <c r="I41" s="71">
        <v>0.86217451393891498</v>
      </c>
      <c r="J41" s="71">
        <v>0.86628088078439403</v>
      </c>
      <c r="K41" s="71">
        <v>0.86859315328560704</v>
      </c>
      <c r="L41" s="58">
        <f t="shared" si="9"/>
        <v>2.2906615941154063</v>
      </c>
      <c r="M41" s="58">
        <f t="shared" si="10"/>
        <v>1.0232543701372054</v>
      </c>
      <c r="N41" s="58">
        <f t="shared" si="11"/>
        <v>0.23122725012130196</v>
      </c>
      <c r="P41" s="94"/>
    </row>
    <row r="42" spans="2:16" x14ac:dyDescent="0.35">
      <c r="B42" s="66" t="s">
        <v>119</v>
      </c>
      <c r="C42" s="71">
        <v>0.78771385346106704</v>
      </c>
      <c r="D42" s="71">
        <v>0.74983242656078297</v>
      </c>
      <c r="E42" s="71">
        <v>0.77220598412360597</v>
      </c>
      <c r="F42" s="71">
        <v>0.79636048445009899</v>
      </c>
      <c r="G42" s="71">
        <v>0.83575639189375805</v>
      </c>
      <c r="H42" s="71">
        <v>0.83270130370124995</v>
      </c>
      <c r="I42" s="71">
        <v>0.81129225312474795</v>
      </c>
      <c r="J42" s="71">
        <v>0.82323403962759101</v>
      </c>
      <c r="K42" s="71">
        <v>0.81438060543685098</v>
      </c>
      <c r="L42" s="58">
        <f t="shared" si="9"/>
        <v>2.6666751975783942</v>
      </c>
      <c r="M42" s="58">
        <f t="shared" si="10"/>
        <v>-2.1375786456907075</v>
      </c>
      <c r="N42" s="58">
        <f t="shared" si="11"/>
        <v>-0.88534341907400282</v>
      </c>
      <c r="P42" s="94"/>
    </row>
    <row r="43" spans="2:16" x14ac:dyDescent="0.35">
      <c r="B43" s="66" t="s">
        <v>120</v>
      </c>
      <c r="C43" s="71">
        <v>0.84203401789167498</v>
      </c>
      <c r="D43" s="71">
        <v>0.84464522108339202</v>
      </c>
      <c r="E43" s="71">
        <v>0.84556790893198397</v>
      </c>
      <c r="F43" s="71">
        <v>0.85927537183400404</v>
      </c>
      <c r="G43" s="71">
        <v>0.85630776291575195</v>
      </c>
      <c r="H43" s="71">
        <v>0.86525630770504502</v>
      </c>
      <c r="I43" s="71">
        <v>0.85448931310907195</v>
      </c>
      <c r="J43" s="71">
        <v>0.85344886235614903</v>
      </c>
      <c r="K43" s="71">
        <v>0.83962006207238005</v>
      </c>
      <c r="L43" s="58">
        <f t="shared" si="9"/>
        <v>-0.24139558192949329</v>
      </c>
      <c r="M43" s="58">
        <f t="shared" si="10"/>
        <v>-1.66877008433719</v>
      </c>
      <c r="N43" s="58">
        <f t="shared" si="11"/>
        <v>-1.3828800283768983</v>
      </c>
      <c r="P43" s="94"/>
    </row>
    <row r="44" spans="2:16" x14ac:dyDescent="0.35">
      <c r="B44" s="66" t="s">
        <v>121</v>
      </c>
      <c r="C44" s="71">
        <v>0.78109554695485295</v>
      </c>
      <c r="D44" s="71">
        <v>0.76450960481360497</v>
      </c>
      <c r="E44" s="71">
        <v>0.78444481757113205</v>
      </c>
      <c r="F44" s="71">
        <v>0.81001589166087495</v>
      </c>
      <c r="G44" s="71">
        <v>0.82245338465874596</v>
      </c>
      <c r="H44" s="71">
        <v>0.81984859125797704</v>
      </c>
      <c r="I44" s="71">
        <v>0.81213676934626799</v>
      </c>
      <c r="J44" s="71">
        <v>0.81448728948155102</v>
      </c>
      <c r="K44" s="71">
        <v>0.82056444550366703</v>
      </c>
      <c r="L44" s="58">
        <f t="shared" si="9"/>
        <v>3.946889854881408</v>
      </c>
      <c r="M44" s="58">
        <f t="shared" si="10"/>
        <v>-0.18889391550789281</v>
      </c>
      <c r="N44" s="58">
        <f t="shared" si="11"/>
        <v>0.60771560221160037</v>
      </c>
      <c r="P44" s="94"/>
    </row>
    <row r="45" spans="2:16" x14ac:dyDescent="0.35">
      <c r="B45" s="66" t="s">
        <v>122</v>
      </c>
      <c r="C45" s="71">
        <v>0.81952224328058099</v>
      </c>
      <c r="D45" s="71">
        <v>0.81070310204651996</v>
      </c>
      <c r="E45" s="71">
        <v>0.82389182170552699</v>
      </c>
      <c r="F45" s="71">
        <v>0.84238564311367703</v>
      </c>
      <c r="G45" s="71">
        <v>0.866107417481911</v>
      </c>
      <c r="H45" s="71">
        <v>0.87671137605084004</v>
      </c>
      <c r="I45" s="71">
        <v>0.86419051479056996</v>
      </c>
      <c r="J45" s="71">
        <v>0.85961532639620097</v>
      </c>
      <c r="K45" s="71">
        <v>0.84699282694905198</v>
      </c>
      <c r="L45" s="58">
        <f t="shared" si="9"/>
        <v>2.7470583668470994</v>
      </c>
      <c r="M45" s="58">
        <f t="shared" si="10"/>
        <v>-1.9114590532859022</v>
      </c>
      <c r="N45" s="58">
        <f t="shared" si="11"/>
        <v>-1.2622499447148994</v>
      </c>
      <c r="P45" s="94"/>
    </row>
    <row r="46" spans="2:16" x14ac:dyDescent="0.35">
      <c r="B46" s="66" t="s">
        <v>123</v>
      </c>
      <c r="C46" s="71">
        <v>0.761907314055425</v>
      </c>
      <c r="D46" s="71">
        <v>0.75737751273258203</v>
      </c>
      <c r="E46" s="71">
        <v>0.76786407738866402</v>
      </c>
      <c r="F46" s="71">
        <v>0.77435626455601003</v>
      </c>
      <c r="G46" s="71">
        <v>0.77862178108961599</v>
      </c>
      <c r="H46" s="71">
        <v>0.78399912940822203</v>
      </c>
      <c r="I46" s="71">
        <v>0.77352638234122395</v>
      </c>
      <c r="J46" s="71">
        <v>0.77320139678831001</v>
      </c>
      <c r="K46" s="71">
        <v>0.76661370657105399</v>
      </c>
      <c r="L46" s="58">
        <f t="shared" si="9"/>
        <v>0.47063925156289876</v>
      </c>
      <c r="M46" s="58">
        <f t="shared" si="10"/>
        <v>-1.2008074518562006</v>
      </c>
      <c r="N46" s="58">
        <f t="shared" si="11"/>
        <v>-0.65876902172560259</v>
      </c>
      <c r="P46" s="94"/>
    </row>
    <row r="47" spans="2:16" x14ac:dyDescent="0.35">
      <c r="B47" s="68" t="s">
        <v>140</v>
      </c>
      <c r="C47" s="6">
        <v>0.80080782533121597</v>
      </c>
      <c r="D47" s="6">
        <v>0.79064544594498698</v>
      </c>
      <c r="E47" s="6">
        <v>0.801558436875632</v>
      </c>
      <c r="F47" s="6">
        <v>0.81480729936366902</v>
      </c>
      <c r="G47" s="6">
        <v>0.82633920971675801</v>
      </c>
      <c r="H47" s="6">
        <v>0.83244867266585898</v>
      </c>
      <c r="I47" s="6">
        <v>0.82271097028681905</v>
      </c>
      <c r="J47" s="6">
        <v>0.82283747617706104</v>
      </c>
      <c r="K47" s="6">
        <v>0.81421060534770495</v>
      </c>
      <c r="L47" s="59">
        <f t="shared" si="9"/>
        <v>1.340278001648898</v>
      </c>
      <c r="M47" s="59">
        <f t="shared" si="10"/>
        <v>-1.2128604369053053</v>
      </c>
      <c r="N47" s="59">
        <f t="shared" si="11"/>
        <v>-0.86268708293560925</v>
      </c>
      <c r="P47" s="94"/>
    </row>
    <row r="48" spans="2:16" x14ac:dyDescent="0.35">
      <c r="B48" s="67"/>
      <c r="C48" s="53"/>
      <c r="D48" s="53"/>
      <c r="E48" s="53"/>
      <c r="F48" s="53"/>
      <c r="G48" s="53"/>
      <c r="P48" s="94"/>
    </row>
    <row r="49" spans="2:16" x14ac:dyDescent="0.35">
      <c r="B49" s="90" t="s">
        <v>71</v>
      </c>
      <c r="C49" s="53"/>
      <c r="D49" s="53"/>
      <c r="E49" s="53"/>
      <c r="F49" s="53"/>
      <c r="G49" s="53"/>
      <c r="P49" s="94"/>
    </row>
    <row r="50" spans="2:16" ht="26" x14ac:dyDescent="0.35">
      <c r="B50" s="18" t="s">
        <v>258</v>
      </c>
      <c r="C50" s="70">
        <v>2016</v>
      </c>
      <c r="D50" s="70">
        <v>2017</v>
      </c>
      <c r="E50" s="70">
        <v>2018</v>
      </c>
      <c r="F50" s="70">
        <v>2019</v>
      </c>
      <c r="G50" s="70">
        <v>2020</v>
      </c>
      <c r="H50" s="70">
        <v>2021</v>
      </c>
      <c r="I50" s="70">
        <v>2022</v>
      </c>
      <c r="J50" s="1">
        <v>2023</v>
      </c>
      <c r="K50" s="1">
        <v>2024</v>
      </c>
      <c r="L50" s="1" t="s">
        <v>241</v>
      </c>
      <c r="M50" s="1" t="s">
        <v>242</v>
      </c>
      <c r="N50" s="1" t="s">
        <v>243</v>
      </c>
      <c r="P50" s="94"/>
    </row>
    <row r="51" spans="2:16" x14ac:dyDescent="0.35">
      <c r="B51" s="68" t="s">
        <v>259</v>
      </c>
      <c r="C51" s="6">
        <v>0.80275498198194895</v>
      </c>
      <c r="D51" s="77">
        <v>0.78847797207984904</v>
      </c>
      <c r="E51" s="6">
        <v>0.803037663107946</v>
      </c>
      <c r="F51" s="74">
        <v>0.81938585065980096</v>
      </c>
      <c r="G51" s="74">
        <v>0.84218292477146195</v>
      </c>
      <c r="H51" s="74">
        <v>0.84574288783012896</v>
      </c>
      <c r="I51" s="74">
        <v>0.833411945174656</v>
      </c>
      <c r="J51" s="6">
        <v>0.83190386985331399</v>
      </c>
      <c r="K51" s="6">
        <v>0.82780625679207998</v>
      </c>
      <c r="L51" s="59">
        <f t="shared" ref="L51:L73" si="12">(K51-C51)*100</f>
        <v>2.505127481013103</v>
      </c>
      <c r="M51" s="59">
        <f t="shared" ref="M51:M73" si="13">100*(K51-G51)</f>
        <v>-1.4376667979381974</v>
      </c>
      <c r="N51" s="59">
        <f t="shared" ref="N51:N73" si="14">(K51-J51)*100</f>
        <v>-0.40976130612340178</v>
      </c>
      <c r="P51" s="94"/>
    </row>
    <row r="52" spans="2:16" x14ac:dyDescent="0.35">
      <c r="B52" s="66" t="s">
        <v>114</v>
      </c>
      <c r="C52" s="26">
        <v>0.81096436339975597</v>
      </c>
      <c r="D52" s="26">
        <v>0.78866464875058795</v>
      </c>
      <c r="E52" s="26">
        <v>0.80887144912948805</v>
      </c>
      <c r="F52" s="71">
        <v>0.81923997665259296</v>
      </c>
      <c r="G52" s="71">
        <v>0.85278112542015105</v>
      </c>
      <c r="H52" s="71">
        <v>0.84031210050504901</v>
      </c>
      <c r="I52" s="71">
        <v>0.83296418196566602</v>
      </c>
      <c r="J52" s="71">
        <v>0.831638719288876</v>
      </c>
      <c r="K52" s="71">
        <v>0.82016189395490502</v>
      </c>
      <c r="L52" s="58">
        <f t="shared" si="12"/>
        <v>0.91975305551490472</v>
      </c>
      <c r="M52" s="58">
        <f t="shared" si="13"/>
        <v>-3.2619231465246035</v>
      </c>
      <c r="N52" s="58">
        <f t="shared" si="14"/>
        <v>-1.1476825333970986</v>
      </c>
      <c r="P52" s="94"/>
    </row>
    <row r="53" spans="2:16" x14ac:dyDescent="0.35">
      <c r="B53" s="66" t="s">
        <v>115</v>
      </c>
      <c r="C53" s="26">
        <v>0.74419550118609701</v>
      </c>
      <c r="D53" s="26">
        <v>0.707212370835135</v>
      </c>
      <c r="E53" s="26">
        <v>0.76319347038530005</v>
      </c>
      <c r="F53" s="71">
        <v>0.77723990505612095</v>
      </c>
      <c r="G53" s="71">
        <v>0.81573675670165602</v>
      </c>
      <c r="H53" s="71">
        <v>0.83366350639538001</v>
      </c>
      <c r="I53" s="71">
        <v>0.80954652240945801</v>
      </c>
      <c r="J53" s="71">
        <v>0.80165244293779203</v>
      </c>
      <c r="K53" s="71">
        <v>0.80145533441795302</v>
      </c>
      <c r="L53" s="58">
        <f t="shared" si="12"/>
        <v>5.7259833231856021</v>
      </c>
      <c r="M53" s="58">
        <f t="shared" si="13"/>
        <v>-1.4281422283702994</v>
      </c>
      <c r="N53" s="58">
        <f t="shared" si="14"/>
        <v>-1.9710851983900657E-2</v>
      </c>
      <c r="P53" s="94"/>
    </row>
    <row r="54" spans="2:16" x14ac:dyDescent="0.35">
      <c r="B54" s="66" t="s">
        <v>116</v>
      </c>
      <c r="C54" s="26">
        <v>0.80079814547055295</v>
      </c>
      <c r="D54" s="26">
        <v>0.78060269905927804</v>
      </c>
      <c r="E54" s="26">
        <v>0.79407882738303004</v>
      </c>
      <c r="F54" s="71">
        <v>0.813371165593894</v>
      </c>
      <c r="G54" s="71">
        <v>0.80602068803420202</v>
      </c>
      <c r="H54" s="71">
        <v>0.81326186651070498</v>
      </c>
      <c r="I54" s="71">
        <v>0.82361019890967102</v>
      </c>
      <c r="J54" s="71">
        <v>0.833770921471086</v>
      </c>
      <c r="K54" s="71">
        <v>0.82972937559520898</v>
      </c>
      <c r="L54" s="58">
        <f t="shared" si="12"/>
        <v>2.8931230124656038</v>
      </c>
      <c r="M54" s="58">
        <f t="shared" si="13"/>
        <v>2.3708687561006969</v>
      </c>
      <c r="N54" s="58">
        <f t="shared" si="14"/>
        <v>-0.40415458758770173</v>
      </c>
      <c r="P54" s="94"/>
    </row>
    <row r="55" spans="2:16" x14ac:dyDescent="0.35">
      <c r="B55" s="66" t="s">
        <v>117</v>
      </c>
      <c r="C55" s="26">
        <v>0.71994755003309996</v>
      </c>
      <c r="D55" s="26">
        <v>0.71414494486111602</v>
      </c>
      <c r="E55" s="26">
        <v>0.73104393859082695</v>
      </c>
      <c r="F55" s="71">
        <v>0.76411769094201598</v>
      </c>
      <c r="G55" s="71">
        <v>0.78784196180869803</v>
      </c>
      <c r="H55" s="71">
        <v>0.79838747356889495</v>
      </c>
      <c r="I55" s="71">
        <v>0.75944179547819701</v>
      </c>
      <c r="J55" s="71">
        <v>0.75775160580592904</v>
      </c>
      <c r="K55" s="71">
        <v>0.763769290673874</v>
      </c>
      <c r="L55" s="58">
        <f t="shared" si="12"/>
        <v>4.3821740640774038</v>
      </c>
      <c r="M55" s="58">
        <f t="shared" si="13"/>
        <v>-2.4072671134824031</v>
      </c>
      <c r="N55" s="58">
        <f t="shared" si="14"/>
        <v>0.60176848679449613</v>
      </c>
      <c r="P55" s="94"/>
    </row>
    <row r="56" spans="2:16" x14ac:dyDescent="0.35">
      <c r="B56" s="66" t="s">
        <v>118</v>
      </c>
      <c r="C56" s="26">
        <v>0.85073202735084796</v>
      </c>
      <c r="D56" s="26">
        <v>0.82580234341681502</v>
      </c>
      <c r="E56" s="26">
        <v>0.83837994524783899</v>
      </c>
      <c r="F56" s="71">
        <v>0.86153906255024804</v>
      </c>
      <c r="G56" s="71">
        <v>0.868486625025648</v>
      </c>
      <c r="H56" s="71">
        <v>0.87934844894151298</v>
      </c>
      <c r="I56" s="71">
        <v>0.87505762739101101</v>
      </c>
      <c r="J56" s="71">
        <v>0.87735435067733003</v>
      </c>
      <c r="K56" s="71">
        <v>0.88368797931682697</v>
      </c>
      <c r="L56" s="58">
        <f t="shared" si="12"/>
        <v>3.2955951965979002</v>
      </c>
      <c r="M56" s="58">
        <f t="shared" si="13"/>
        <v>1.520135429117897</v>
      </c>
      <c r="N56" s="58">
        <f t="shared" si="14"/>
        <v>0.63336286394969354</v>
      </c>
      <c r="P56" s="94"/>
    </row>
    <row r="57" spans="2:16" x14ac:dyDescent="0.35">
      <c r="B57" s="66" t="s">
        <v>119</v>
      </c>
      <c r="C57" s="26">
        <v>0.78592349906370196</v>
      </c>
      <c r="D57" s="26">
        <v>0.74753444444845396</v>
      </c>
      <c r="E57" s="26">
        <v>0.769692765327463</v>
      </c>
      <c r="F57" s="71">
        <v>0.79647061779886097</v>
      </c>
      <c r="G57" s="71">
        <v>0.83843559262183398</v>
      </c>
      <c r="H57" s="71">
        <v>0.83507037341952095</v>
      </c>
      <c r="I57" s="71">
        <v>0.81351414500613395</v>
      </c>
      <c r="J57" s="71">
        <v>0.82709906909488795</v>
      </c>
      <c r="K57" s="71">
        <v>0.81724157234410499</v>
      </c>
      <c r="L57" s="58">
        <f t="shared" si="12"/>
        <v>3.1318073280403036</v>
      </c>
      <c r="M57" s="58">
        <f t="shared" si="13"/>
        <v>-2.1194020277728987</v>
      </c>
      <c r="N57" s="58">
        <f t="shared" si="14"/>
        <v>-0.9857496750782957</v>
      </c>
      <c r="P57" s="94"/>
    </row>
    <row r="58" spans="2:16" x14ac:dyDescent="0.35">
      <c r="B58" s="66" t="s">
        <v>120</v>
      </c>
      <c r="C58" s="26">
        <v>0.84937116589029404</v>
      </c>
      <c r="D58" s="26">
        <v>0.85133713438074099</v>
      </c>
      <c r="E58" s="26">
        <v>0.84606334526577998</v>
      </c>
      <c r="F58" s="71">
        <v>0.85955784918998801</v>
      </c>
      <c r="G58" s="71">
        <v>0.86768483517435802</v>
      </c>
      <c r="H58" s="71">
        <v>0.87445107024795898</v>
      </c>
      <c r="I58" s="71">
        <v>0.86946548912192001</v>
      </c>
      <c r="J58" s="71">
        <v>0.87250806801030401</v>
      </c>
      <c r="K58" s="71">
        <v>0.86941840135520199</v>
      </c>
      <c r="L58" s="58">
        <f t="shared" si="12"/>
        <v>2.0047235464907942</v>
      </c>
      <c r="M58" s="58">
        <f t="shared" si="13"/>
        <v>0.17335661808439706</v>
      </c>
      <c r="N58" s="58">
        <f t="shared" si="14"/>
        <v>-0.30896666551020191</v>
      </c>
      <c r="P58" s="94"/>
    </row>
    <row r="59" spans="2:16" x14ac:dyDescent="0.35">
      <c r="B59" s="66" t="s">
        <v>121</v>
      </c>
      <c r="C59" s="26">
        <v>0.78833492639339098</v>
      </c>
      <c r="D59" s="26">
        <v>0.75939747938926305</v>
      </c>
      <c r="E59" s="26">
        <v>0.78917655545140297</v>
      </c>
      <c r="F59" s="71">
        <v>0.81403248495007596</v>
      </c>
      <c r="G59" s="71">
        <v>0.82445236580004799</v>
      </c>
      <c r="H59" s="71">
        <v>0.81565787395121803</v>
      </c>
      <c r="I59" s="71">
        <v>0.81228703207766495</v>
      </c>
      <c r="J59" s="71">
        <v>0.80906319963256401</v>
      </c>
      <c r="K59" s="71">
        <v>0.81956473283174303</v>
      </c>
      <c r="L59" s="58">
        <f t="shared" si="12"/>
        <v>3.1229806438352048</v>
      </c>
      <c r="M59" s="58">
        <f t="shared" si="13"/>
        <v>-0.48876329683049669</v>
      </c>
      <c r="N59" s="58">
        <f t="shared" si="14"/>
        <v>1.0501533199179014</v>
      </c>
      <c r="P59" s="94"/>
    </row>
    <row r="60" spans="2:16" x14ac:dyDescent="0.35">
      <c r="B60" s="66" t="s">
        <v>122</v>
      </c>
      <c r="C60" s="26">
        <v>0.81016649188284695</v>
      </c>
      <c r="D60" s="26">
        <v>0.801173619268022</v>
      </c>
      <c r="E60" s="26">
        <v>0.81592214789569195</v>
      </c>
      <c r="F60" s="71">
        <v>0.83902049674286205</v>
      </c>
      <c r="G60" s="71">
        <v>0.87269103616911603</v>
      </c>
      <c r="H60" s="71">
        <v>0.88716816103479001</v>
      </c>
      <c r="I60" s="71">
        <v>0.87562536792694601</v>
      </c>
      <c r="J60" s="71">
        <v>0.86493662529152704</v>
      </c>
      <c r="K60" s="71">
        <v>0.85936887309221099</v>
      </c>
      <c r="L60" s="58">
        <f t="shared" si="12"/>
        <v>4.9202381209364043</v>
      </c>
      <c r="M60" s="58">
        <f t="shared" si="13"/>
        <v>-1.3322163076905036</v>
      </c>
      <c r="N60" s="58">
        <f t="shared" si="14"/>
        <v>-0.5567752199316045</v>
      </c>
      <c r="P60" s="94"/>
    </row>
    <row r="61" spans="2:16" x14ac:dyDescent="0.35">
      <c r="B61" s="66" t="s">
        <v>123</v>
      </c>
      <c r="C61" s="26">
        <v>0.76372914299440597</v>
      </c>
      <c r="D61" s="26">
        <v>0.75727175072974795</v>
      </c>
      <c r="E61" s="26">
        <v>0.77578843072522197</v>
      </c>
      <c r="F61" s="71">
        <v>0.78486603186946602</v>
      </c>
      <c r="G61" s="71">
        <v>0.80621679498536902</v>
      </c>
      <c r="H61" s="71">
        <v>0.80421104652752695</v>
      </c>
      <c r="I61" s="71">
        <v>0.78287459724696595</v>
      </c>
      <c r="J61" s="71">
        <v>0.78181198041993205</v>
      </c>
      <c r="K61" s="71">
        <v>0.77935321797979895</v>
      </c>
      <c r="L61" s="58">
        <f t="shared" si="12"/>
        <v>1.5624074985392977</v>
      </c>
      <c r="M61" s="58">
        <f t="shared" si="13"/>
        <v>-2.6863577005570072</v>
      </c>
      <c r="N61" s="58">
        <f t="shared" si="14"/>
        <v>-0.24587624401330999</v>
      </c>
      <c r="P61" s="94"/>
    </row>
    <row r="62" spans="2:16" x14ac:dyDescent="0.35">
      <c r="B62" s="68" t="s">
        <v>260</v>
      </c>
      <c r="C62" s="6">
        <v>0.79687628019546297</v>
      </c>
      <c r="D62" s="6">
        <v>0.79516756958601698</v>
      </c>
      <c r="E62" s="6">
        <v>0.79820556519335595</v>
      </c>
      <c r="F62" s="74">
        <v>0.80415491193434596</v>
      </c>
      <c r="G62" s="74">
        <v>0.78680189497377095</v>
      </c>
      <c r="H62" s="74">
        <v>0.79747857081684204</v>
      </c>
      <c r="I62" s="74">
        <v>0.79456989560592595</v>
      </c>
      <c r="J62" s="74">
        <v>0.79883372749791204</v>
      </c>
      <c r="K62" s="74">
        <v>0.77686200669523298</v>
      </c>
      <c r="L62" s="59">
        <f t="shared" si="12"/>
        <v>-2.0014273500229995</v>
      </c>
      <c r="M62" s="59">
        <f t="shared" si="13"/>
        <v>-0.99398882785379783</v>
      </c>
      <c r="N62" s="59">
        <f t="shared" si="14"/>
        <v>-2.1971720802679062</v>
      </c>
      <c r="P62" s="94"/>
    </row>
    <row r="63" spans="2:16" x14ac:dyDescent="0.35">
      <c r="B63" s="66" t="s">
        <v>114</v>
      </c>
      <c r="C63" s="71">
        <v>0.80383403877295201</v>
      </c>
      <c r="D63" s="71">
        <v>0.79447039296847899</v>
      </c>
      <c r="E63" s="71">
        <v>0.79347827424849504</v>
      </c>
      <c r="F63" s="71">
        <v>0.79969754302711604</v>
      </c>
      <c r="G63" s="71">
        <v>0.78992444753916102</v>
      </c>
      <c r="H63" s="71">
        <v>0.78839119231373</v>
      </c>
      <c r="I63" s="71">
        <v>0.78466004469384898</v>
      </c>
      <c r="J63" s="71">
        <v>0.79092113726565205</v>
      </c>
      <c r="K63" s="71">
        <v>0.78126444496846104</v>
      </c>
      <c r="L63" s="58">
        <f t="shared" si="12"/>
        <v>-2.2569593804490973</v>
      </c>
      <c r="M63" s="58">
        <f t="shared" si="13"/>
        <v>-0.86600025706999872</v>
      </c>
      <c r="N63" s="58">
        <f t="shared" si="14"/>
        <v>-0.96566922971910163</v>
      </c>
      <c r="P63" s="94"/>
    </row>
    <row r="64" spans="2:16" x14ac:dyDescent="0.35">
      <c r="B64" s="66" t="s">
        <v>115</v>
      </c>
      <c r="C64" s="71">
        <v>0.77981616170568702</v>
      </c>
      <c r="D64" s="71">
        <v>0.78285490713228201</v>
      </c>
      <c r="E64" s="71">
        <v>0.76882255259453502</v>
      </c>
      <c r="F64" s="71">
        <v>0.78442229118249196</v>
      </c>
      <c r="G64" s="71">
        <v>0.754851319419793</v>
      </c>
      <c r="H64" s="71">
        <v>0.78682780496260496</v>
      </c>
      <c r="I64" s="71">
        <v>0.82545017525227204</v>
      </c>
      <c r="J64" s="71">
        <v>0.83357604171908395</v>
      </c>
      <c r="K64" s="71">
        <v>0.81649908872675803</v>
      </c>
      <c r="L64" s="58">
        <f t="shared" si="12"/>
        <v>3.668292702107101</v>
      </c>
      <c r="M64" s="58">
        <f t="shared" si="13"/>
        <v>6.1647769306965028</v>
      </c>
      <c r="N64" s="58">
        <f t="shared" si="14"/>
        <v>-1.7076952992325922</v>
      </c>
      <c r="P64" s="94"/>
    </row>
    <row r="65" spans="2:16" x14ac:dyDescent="0.35">
      <c r="B65" s="66" t="s">
        <v>116</v>
      </c>
      <c r="C65" s="71">
        <v>0.78491781669766403</v>
      </c>
      <c r="D65" s="71">
        <v>0.78670167549593295</v>
      </c>
      <c r="E65" s="71">
        <v>0.78192015589066799</v>
      </c>
      <c r="F65" s="71">
        <v>0.78047046410520005</v>
      </c>
      <c r="G65" s="71">
        <v>0.74445705438857601</v>
      </c>
      <c r="H65" s="71">
        <v>0.79554358020514904</v>
      </c>
      <c r="I65" s="71">
        <v>0.79994272080331796</v>
      </c>
      <c r="J65" s="71">
        <v>0.81003620185010194</v>
      </c>
      <c r="K65" s="71">
        <v>0.78162648518406597</v>
      </c>
      <c r="L65" s="58">
        <f t="shared" si="12"/>
        <v>-0.32913315135980614</v>
      </c>
      <c r="M65" s="58">
        <f t="shared" si="13"/>
        <v>3.7169430795489955</v>
      </c>
      <c r="N65" s="58">
        <f t="shared" si="14"/>
        <v>-2.8409716666035978</v>
      </c>
      <c r="P65" s="94"/>
    </row>
    <row r="66" spans="2:16" x14ac:dyDescent="0.35">
      <c r="B66" s="66" t="s">
        <v>117</v>
      </c>
      <c r="C66" s="71">
        <v>0.80453029024509304</v>
      </c>
      <c r="D66" s="71">
        <v>0.81714198554863005</v>
      </c>
      <c r="E66" s="71">
        <v>0.79624955878313197</v>
      </c>
      <c r="F66" s="71">
        <v>0.78706491275559798</v>
      </c>
      <c r="G66" s="71">
        <v>0.79814404833814601</v>
      </c>
      <c r="H66" s="71">
        <v>0.80903173406445905</v>
      </c>
      <c r="I66" s="71">
        <v>0.78041059217422803</v>
      </c>
      <c r="J66" s="71">
        <v>0.77007437599162298</v>
      </c>
      <c r="K66" s="71">
        <v>0.76876876458176002</v>
      </c>
      <c r="L66" s="58">
        <f t="shared" si="12"/>
        <v>-3.5761525663333016</v>
      </c>
      <c r="M66" s="58">
        <f t="shared" si="13"/>
        <v>-2.9375283756385984</v>
      </c>
      <c r="N66" s="58">
        <f t="shared" si="14"/>
        <v>-0.13056114098629612</v>
      </c>
      <c r="P66" s="94"/>
    </row>
    <row r="67" spans="2:16" x14ac:dyDescent="0.35">
      <c r="B67" s="66" t="s">
        <v>118</v>
      </c>
      <c r="C67" s="71">
        <v>0.81575270582356596</v>
      </c>
      <c r="D67" s="71">
        <v>0.80886712356568202</v>
      </c>
      <c r="E67" s="71">
        <v>0.82189045372866898</v>
      </c>
      <c r="F67" s="71">
        <v>0.81349752545800202</v>
      </c>
      <c r="G67" s="71">
        <v>0.80473915945410801</v>
      </c>
      <c r="H67" s="71">
        <v>0.80684479363268102</v>
      </c>
      <c r="I67" s="71">
        <v>0.78562632685266298</v>
      </c>
      <c r="J67" s="71">
        <v>0.79419469908751905</v>
      </c>
      <c r="K67" s="71">
        <v>0.75625180895275501</v>
      </c>
      <c r="L67" s="58">
        <f t="shared" si="12"/>
        <v>-5.9500896870810944</v>
      </c>
      <c r="M67" s="58">
        <f t="shared" si="13"/>
        <v>-4.8487350501352999</v>
      </c>
      <c r="N67" s="58">
        <f t="shared" si="14"/>
        <v>-3.794289013476404</v>
      </c>
      <c r="P67" s="94"/>
    </row>
    <row r="68" spans="2:16" x14ac:dyDescent="0.35">
      <c r="B68" s="66" t="s">
        <v>119</v>
      </c>
      <c r="C68" s="71">
        <v>0.81104474025834306</v>
      </c>
      <c r="D68" s="71">
        <v>0.78095800306883401</v>
      </c>
      <c r="E68" s="71">
        <v>0.80747979216340005</v>
      </c>
      <c r="F68" s="71">
        <v>0.79481089231669699</v>
      </c>
      <c r="G68" s="71">
        <v>0.79955058589945005</v>
      </c>
      <c r="H68" s="71">
        <v>0.80338563191054302</v>
      </c>
      <c r="I68" s="71">
        <v>0.78605858904335202</v>
      </c>
      <c r="J68" s="71">
        <v>0.77748570341715495</v>
      </c>
      <c r="K68" s="71">
        <v>0.77176024585539604</v>
      </c>
      <c r="L68" s="58">
        <f t="shared" si="12"/>
        <v>-3.9284494402947012</v>
      </c>
      <c r="M68" s="58">
        <f t="shared" si="13"/>
        <v>-2.7790340044054007</v>
      </c>
      <c r="N68" s="58">
        <f t="shared" si="14"/>
        <v>-0.57254575617589065</v>
      </c>
      <c r="P68" s="94"/>
    </row>
    <row r="69" spans="2:16" x14ac:dyDescent="0.35">
      <c r="B69" s="66" t="s">
        <v>120</v>
      </c>
      <c r="C69" s="71">
        <v>0.82430461377302999</v>
      </c>
      <c r="D69" s="71">
        <v>0.83184203807656198</v>
      </c>
      <c r="E69" s="71">
        <v>0.84473215274672098</v>
      </c>
      <c r="F69" s="71">
        <v>0.85884235265358899</v>
      </c>
      <c r="G69" s="71">
        <v>0.83922916074266496</v>
      </c>
      <c r="H69" s="71">
        <v>0.85070979023908699</v>
      </c>
      <c r="I69" s="71">
        <v>0.83083669166822405</v>
      </c>
      <c r="J69" s="71">
        <v>0.82302231901136802</v>
      </c>
      <c r="K69" s="71">
        <v>0.79247449394563296</v>
      </c>
      <c r="L69" s="58">
        <f t="shared" si="12"/>
        <v>-3.183011982739703</v>
      </c>
      <c r="M69" s="58">
        <f t="shared" si="13"/>
        <v>-4.6754666797031996</v>
      </c>
      <c r="N69" s="58">
        <f t="shared" si="14"/>
        <v>-3.0547825065735057</v>
      </c>
      <c r="P69" s="94"/>
    </row>
    <row r="70" spans="2:16" x14ac:dyDescent="0.35">
      <c r="B70" s="66" t="s">
        <v>121</v>
      </c>
      <c r="C70" s="71">
        <v>0.73800533163832405</v>
      </c>
      <c r="D70" s="71">
        <v>0.79541436305185997</v>
      </c>
      <c r="E70" s="71">
        <v>0.75725685634092899</v>
      </c>
      <c r="F70" s="71">
        <v>0.78546233707977697</v>
      </c>
      <c r="G70" s="71">
        <v>0.81000686507671704</v>
      </c>
      <c r="H70" s="71">
        <v>0.84785817623385196</v>
      </c>
      <c r="I70" s="71">
        <v>0.81101998874237502</v>
      </c>
      <c r="J70" s="71">
        <v>0.85808642184064199</v>
      </c>
      <c r="K70" s="71">
        <v>0.82977887035051701</v>
      </c>
      <c r="L70" s="58">
        <f t="shared" si="12"/>
        <v>9.1773538712192959</v>
      </c>
      <c r="M70" s="58">
        <f t="shared" si="13"/>
        <v>1.9772005273799964</v>
      </c>
      <c r="N70" s="58">
        <f t="shared" si="14"/>
        <v>-2.8307551490124983</v>
      </c>
      <c r="P70" s="94"/>
    </row>
    <row r="71" spans="2:16" x14ac:dyDescent="0.35">
      <c r="B71" s="66" t="s">
        <v>122</v>
      </c>
      <c r="C71" s="71">
        <v>0.84008169865311</v>
      </c>
      <c r="D71" s="71">
        <v>0.83271811520386496</v>
      </c>
      <c r="E71" s="71">
        <v>0.84345516146368704</v>
      </c>
      <c r="F71" s="71">
        <v>0.85092969956929698</v>
      </c>
      <c r="G71" s="71">
        <v>0.84816899400391399</v>
      </c>
      <c r="H71" s="71">
        <v>0.84895222607514498</v>
      </c>
      <c r="I71" s="71">
        <v>0.83534215604209505</v>
      </c>
      <c r="J71" s="71">
        <v>0.84651180942218196</v>
      </c>
      <c r="K71" s="71">
        <v>0.81558034341871</v>
      </c>
      <c r="L71" s="58">
        <f t="shared" si="12"/>
        <v>-2.4501355234400002</v>
      </c>
      <c r="M71" s="58">
        <f t="shared" si="13"/>
        <v>-3.2588650585203993</v>
      </c>
      <c r="N71" s="58">
        <f t="shared" si="14"/>
        <v>-3.0931466003471964</v>
      </c>
      <c r="P71" s="94"/>
    </row>
    <row r="72" spans="2:16" x14ac:dyDescent="0.35">
      <c r="B72" s="66" t="s">
        <v>123</v>
      </c>
      <c r="C72" s="71">
        <v>0.75932299681969395</v>
      </c>
      <c r="D72" s="71">
        <v>0.757547635319061</v>
      </c>
      <c r="E72" s="71">
        <v>0.75207023339985402</v>
      </c>
      <c r="F72" s="71">
        <v>0.75226310752696801</v>
      </c>
      <c r="G72" s="71">
        <v>0.71658789314930704</v>
      </c>
      <c r="H72" s="71">
        <v>0.73521547033144197</v>
      </c>
      <c r="I72" s="71">
        <v>0.751035897157323</v>
      </c>
      <c r="J72" s="71">
        <v>0.75252262025419403</v>
      </c>
      <c r="K72" s="71">
        <v>0.73546062722651495</v>
      </c>
      <c r="L72" s="58">
        <f t="shared" si="12"/>
        <v>-2.3862369593179</v>
      </c>
      <c r="M72" s="58">
        <f t="shared" si="13"/>
        <v>1.8872734077207909</v>
      </c>
      <c r="N72" s="58">
        <f t="shared" si="14"/>
        <v>-1.7061993027679079</v>
      </c>
      <c r="P72" s="94"/>
    </row>
    <row r="73" spans="2:16" x14ac:dyDescent="0.35">
      <c r="B73" s="68" t="s">
        <v>140</v>
      </c>
      <c r="C73" s="6">
        <v>0.80080782533121597</v>
      </c>
      <c r="D73" s="6">
        <v>0.79064544594498698</v>
      </c>
      <c r="E73" s="6">
        <v>0.801558436875632</v>
      </c>
      <c r="F73" s="6">
        <v>0.81480729936366902</v>
      </c>
      <c r="G73" s="6">
        <v>0.82633920971675801</v>
      </c>
      <c r="H73" s="6">
        <v>0.83244867266585898</v>
      </c>
      <c r="I73" s="6">
        <v>0.82271097028681905</v>
      </c>
      <c r="J73" s="6">
        <v>0.82283747617706104</v>
      </c>
      <c r="K73" s="6">
        <v>0.81421060534770495</v>
      </c>
      <c r="L73" s="59">
        <f t="shared" si="12"/>
        <v>1.340278001648898</v>
      </c>
      <c r="M73" s="59">
        <f t="shared" si="13"/>
        <v>-1.2128604369053053</v>
      </c>
      <c r="N73" s="59">
        <f t="shared" si="14"/>
        <v>-0.86268708293560925</v>
      </c>
      <c r="P73" s="94"/>
    </row>
    <row r="74" spans="2:16" ht="15.5" x14ac:dyDescent="0.35">
      <c r="B74" s="91" t="s">
        <v>261</v>
      </c>
      <c r="C74" s="72"/>
      <c r="D74" s="72"/>
      <c r="E74" s="72"/>
      <c r="F74" s="72"/>
      <c r="G74" s="72"/>
      <c r="P74" s="94"/>
    </row>
    <row r="75" spans="2:16" x14ac:dyDescent="0.35">
      <c r="B75" s="52"/>
      <c r="C75" s="2"/>
      <c r="D75" s="2"/>
      <c r="E75" s="2"/>
      <c r="P75" s="94"/>
    </row>
    <row r="76" spans="2:16" ht="15.5" x14ac:dyDescent="0.35">
      <c r="B76" s="90" t="s">
        <v>301</v>
      </c>
      <c r="C76" s="72"/>
      <c r="D76" s="72"/>
      <c r="E76" s="72"/>
      <c r="F76" s="72"/>
      <c r="G76" s="72"/>
      <c r="P76" s="94"/>
    </row>
    <row r="77" spans="2:16" ht="26" x14ac:dyDescent="0.35">
      <c r="B77" s="18" t="s">
        <v>263</v>
      </c>
      <c r="C77" s="70">
        <v>2016</v>
      </c>
      <c r="D77" s="70">
        <v>2017</v>
      </c>
      <c r="E77" s="70">
        <v>2018</v>
      </c>
      <c r="F77" s="70">
        <v>2019</v>
      </c>
      <c r="G77" s="70">
        <v>2020</v>
      </c>
      <c r="H77" s="70">
        <v>2021</v>
      </c>
      <c r="I77" s="70">
        <v>2022</v>
      </c>
      <c r="J77" s="1">
        <v>2023</v>
      </c>
      <c r="K77" s="1">
        <v>2024</v>
      </c>
      <c r="L77" s="1" t="s">
        <v>241</v>
      </c>
      <c r="M77" s="1" t="s">
        <v>242</v>
      </c>
      <c r="N77" s="1" t="s">
        <v>243</v>
      </c>
      <c r="P77" s="94"/>
    </row>
    <row r="78" spans="2:16" x14ac:dyDescent="0.35">
      <c r="B78" s="69" t="s">
        <v>264</v>
      </c>
      <c r="C78" s="71">
        <v>0.80682919538894105</v>
      </c>
      <c r="D78" s="71">
        <v>0.79729190333524702</v>
      </c>
      <c r="E78" s="71">
        <v>0.80587426072184698</v>
      </c>
      <c r="F78" s="71">
        <v>0.82317161765955804</v>
      </c>
      <c r="G78" s="71">
        <v>0.83664186232634896</v>
      </c>
      <c r="H78" s="71">
        <v>0.84678794245442501</v>
      </c>
      <c r="I78" s="71">
        <v>0.83633739169272703</v>
      </c>
      <c r="J78" s="26">
        <v>0.83689580309117395</v>
      </c>
      <c r="K78" s="26">
        <v>0.82829224223479203</v>
      </c>
      <c r="L78" s="58">
        <f t="shared" ref="L78:L83" si="15">(K78-C78)*100</f>
        <v>2.1463046845850986</v>
      </c>
      <c r="M78" s="58">
        <f t="shared" ref="M78:M83" si="16">100*(K78-G78)</f>
        <v>-0.83496200915569307</v>
      </c>
      <c r="N78" s="58">
        <f t="shared" ref="N78:N83" si="17">(K78-J78)*100</f>
        <v>-0.86035608563819199</v>
      </c>
      <c r="P78" s="94"/>
    </row>
    <row r="79" spans="2:16" x14ac:dyDescent="0.35">
      <c r="B79" s="69" t="s">
        <v>265</v>
      </c>
      <c r="C79" s="71">
        <v>0.79129543720054996</v>
      </c>
      <c r="D79" s="71">
        <v>0.780113909526581</v>
      </c>
      <c r="E79" s="71">
        <v>0.799427203075465</v>
      </c>
      <c r="F79" s="71">
        <v>0.80305857902669397</v>
      </c>
      <c r="G79" s="71">
        <v>0.80243361041141203</v>
      </c>
      <c r="H79" s="71">
        <v>0.80169879956497503</v>
      </c>
      <c r="I79" s="71">
        <v>0.81079641793208002</v>
      </c>
      <c r="J79" s="71">
        <v>0.82387990154550605</v>
      </c>
      <c r="K79" s="71">
        <v>0.80393475457992103</v>
      </c>
      <c r="L79" s="58">
        <f t="shared" si="15"/>
        <v>1.2639317379371073</v>
      </c>
      <c r="M79" s="58">
        <f t="shared" si="16"/>
        <v>0.15011441685089943</v>
      </c>
      <c r="N79" s="58">
        <f t="shared" si="17"/>
        <v>-1.9945146965585026</v>
      </c>
      <c r="P79" s="94"/>
    </row>
    <row r="80" spans="2:16" x14ac:dyDescent="0.35">
      <c r="B80" s="69" t="s">
        <v>266</v>
      </c>
      <c r="C80" s="71">
        <v>0.76912176797100595</v>
      </c>
      <c r="D80" s="71">
        <v>0.81946856606914298</v>
      </c>
      <c r="E80" s="71">
        <v>0.86005872527264005</v>
      </c>
      <c r="F80" s="71">
        <v>0.87196129070911299</v>
      </c>
      <c r="G80" s="71">
        <v>0.84793074542216695</v>
      </c>
      <c r="H80" s="71">
        <v>0.79478590513117298</v>
      </c>
      <c r="I80" s="71">
        <v>0.82811155288427996</v>
      </c>
      <c r="J80" s="71">
        <v>0.77047074938424898</v>
      </c>
      <c r="K80" s="71">
        <v>0.736305216467665</v>
      </c>
      <c r="L80" s="58">
        <f t="shared" si="15"/>
        <v>-3.2816551503340952</v>
      </c>
      <c r="M80" s="58">
        <f t="shared" si="16"/>
        <v>-11.162552895450196</v>
      </c>
      <c r="N80" s="58">
        <f t="shared" si="17"/>
        <v>-3.4165532916583974</v>
      </c>
      <c r="P80" s="94"/>
    </row>
    <row r="81" spans="2:16" x14ac:dyDescent="0.35">
      <c r="B81" s="69" t="s">
        <v>267</v>
      </c>
      <c r="C81" s="71">
        <v>0.69423432840864596</v>
      </c>
      <c r="D81" s="71">
        <v>0.68647485155952104</v>
      </c>
      <c r="E81" s="71">
        <v>0.71547445170648005</v>
      </c>
      <c r="F81" s="71">
        <v>0.69742434919785101</v>
      </c>
      <c r="G81" s="71">
        <v>0.73165111287850104</v>
      </c>
      <c r="H81" s="71">
        <v>0.73123672782466298</v>
      </c>
      <c r="I81" s="71">
        <v>0.71010796409134602</v>
      </c>
      <c r="J81" s="71">
        <v>0.71366527719248296</v>
      </c>
      <c r="K81" s="71">
        <v>0.72787050407397802</v>
      </c>
      <c r="L81" s="58">
        <f t="shared" si="15"/>
        <v>3.3636175665332058</v>
      </c>
      <c r="M81" s="58">
        <f t="shared" si="16"/>
        <v>-0.37806088045230224</v>
      </c>
      <c r="N81" s="58">
        <f t="shared" si="17"/>
        <v>1.4205226881495059</v>
      </c>
      <c r="P81" s="94"/>
    </row>
    <row r="82" spans="2:16" x14ac:dyDescent="0.35">
      <c r="B82" s="69" t="s">
        <v>268</v>
      </c>
      <c r="C82" s="71">
        <v>0.77249776072292398</v>
      </c>
      <c r="D82" s="71">
        <v>0.69230567333105397</v>
      </c>
      <c r="E82" s="71">
        <v>0.67133919415000898</v>
      </c>
      <c r="F82" s="71">
        <v>0.820083213939935</v>
      </c>
      <c r="G82" s="71">
        <v>0.90033252607745495</v>
      </c>
      <c r="H82" s="71">
        <v>0.90694917209241399</v>
      </c>
      <c r="I82" s="71">
        <v>0.89955186520291996</v>
      </c>
      <c r="J82" s="71">
        <v>0.82666414058413995</v>
      </c>
      <c r="K82" s="71">
        <v>0.95332242364842801</v>
      </c>
      <c r="L82" s="58">
        <f t="shared" si="15"/>
        <v>18.082466292550404</v>
      </c>
      <c r="M82" s="58">
        <f t="shared" si="16"/>
        <v>5.2989897570973055</v>
      </c>
      <c r="N82" s="58">
        <f t="shared" si="17"/>
        <v>12.665828306428805</v>
      </c>
      <c r="P82" s="94"/>
    </row>
    <row r="83" spans="2:16" x14ac:dyDescent="0.35">
      <c r="B83" s="75" t="s">
        <v>140</v>
      </c>
      <c r="C83" s="6">
        <v>0.80080782533121597</v>
      </c>
      <c r="D83" s="6">
        <v>0.79064544594498698</v>
      </c>
      <c r="E83" s="6">
        <v>0.801558436875632</v>
      </c>
      <c r="F83" s="6">
        <v>0.81480729936366902</v>
      </c>
      <c r="G83" s="6">
        <v>0.82633920971675801</v>
      </c>
      <c r="H83" s="6">
        <v>0.83244867266585898</v>
      </c>
      <c r="I83" s="6">
        <v>0.82271097028681905</v>
      </c>
      <c r="J83" s="6">
        <v>0.82283747617706104</v>
      </c>
      <c r="K83" s="6">
        <v>0.81421060534770495</v>
      </c>
      <c r="L83" s="59">
        <f t="shared" si="15"/>
        <v>1.340278001648898</v>
      </c>
      <c r="M83" s="59">
        <f t="shared" si="16"/>
        <v>-1.2128604369053053</v>
      </c>
      <c r="N83" s="59">
        <f t="shared" si="17"/>
        <v>-0.86268708293560925</v>
      </c>
      <c r="P83" s="94"/>
    </row>
    <row r="84" spans="2:16" ht="15.5" x14ac:dyDescent="0.35">
      <c r="B84" s="73"/>
      <c r="C84" s="72"/>
      <c r="D84" s="72"/>
      <c r="E84" s="72"/>
      <c r="F84" s="72"/>
      <c r="G84" s="72"/>
      <c r="P84" s="94"/>
    </row>
    <row r="85" spans="2:16" x14ac:dyDescent="0.35">
      <c r="B85" s="90" t="s">
        <v>72</v>
      </c>
      <c r="C85" s="53"/>
      <c r="D85" s="53"/>
      <c r="E85" s="53"/>
      <c r="F85" s="53"/>
      <c r="G85" s="53"/>
      <c r="P85" s="94"/>
    </row>
    <row r="86" spans="2:16" ht="26" x14ac:dyDescent="0.35">
      <c r="B86" s="18" t="s">
        <v>269</v>
      </c>
      <c r="C86" s="70">
        <v>2016</v>
      </c>
      <c r="D86" s="70">
        <v>2017</v>
      </c>
      <c r="E86" s="70">
        <v>2018</v>
      </c>
      <c r="F86" s="70">
        <v>2019</v>
      </c>
      <c r="G86" s="70">
        <v>2020</v>
      </c>
      <c r="H86" s="70">
        <v>2021</v>
      </c>
      <c r="I86" s="70">
        <v>2022</v>
      </c>
      <c r="J86" s="1">
        <v>2023</v>
      </c>
      <c r="K86" s="1">
        <v>2024</v>
      </c>
      <c r="L86" s="1" t="s">
        <v>241</v>
      </c>
      <c r="M86" s="1" t="s">
        <v>242</v>
      </c>
      <c r="N86" s="1" t="s">
        <v>243</v>
      </c>
      <c r="P86" s="94"/>
    </row>
    <row r="87" spans="2:16" x14ac:dyDescent="0.35">
      <c r="B87" s="75" t="s">
        <v>270</v>
      </c>
      <c r="C87" s="6">
        <v>0.80275498198194895</v>
      </c>
      <c r="D87" s="77">
        <v>0.78847797207984904</v>
      </c>
      <c r="E87" s="6">
        <v>0.803037663107946</v>
      </c>
      <c r="F87" s="6">
        <v>0.81938585065980096</v>
      </c>
      <c r="G87" s="6">
        <v>0.84218292477146195</v>
      </c>
      <c r="H87" s="6">
        <v>0.84574288783012896</v>
      </c>
      <c r="I87" s="6">
        <v>0.833411945174656</v>
      </c>
      <c r="J87" s="6">
        <v>0.83190386985331399</v>
      </c>
      <c r="K87" s="6">
        <v>0.82780625679207998</v>
      </c>
      <c r="L87" s="59">
        <f t="shared" ref="L87:L99" si="18">(K87-C87)*100</f>
        <v>2.505127481013103</v>
      </c>
      <c r="M87" s="59">
        <f t="shared" ref="M87:M99" si="19">100*(K87-G87)</f>
        <v>-1.4376667979381974</v>
      </c>
      <c r="N87" s="59">
        <f t="shared" ref="N87:N99" si="20">(K87-J87)*100</f>
        <v>-0.40976130612340178</v>
      </c>
      <c r="P87" s="94"/>
    </row>
    <row r="88" spans="2:16" x14ac:dyDescent="0.35">
      <c r="B88" s="69" t="s">
        <v>264</v>
      </c>
      <c r="C88" s="71">
        <v>0.80465077401843998</v>
      </c>
      <c r="D88" s="71">
        <v>0.79223143189490897</v>
      </c>
      <c r="E88" s="71">
        <v>0.80328416457896301</v>
      </c>
      <c r="F88" s="71">
        <v>0.82242588805099304</v>
      </c>
      <c r="G88" s="71">
        <v>0.84514745178960504</v>
      </c>
      <c r="H88" s="71">
        <v>0.85245052513032604</v>
      </c>
      <c r="I88" s="71">
        <v>0.83879779583664804</v>
      </c>
      <c r="J88" s="71">
        <v>0.837831846346211</v>
      </c>
      <c r="K88" s="71">
        <v>0.833293600846442</v>
      </c>
      <c r="L88" s="58">
        <f t="shared" si="18"/>
        <v>2.864282682800201</v>
      </c>
      <c r="M88" s="58">
        <f t="shared" si="19"/>
        <v>-1.1853850943163047</v>
      </c>
      <c r="N88" s="58">
        <f t="shared" si="20"/>
        <v>-0.45382454997690003</v>
      </c>
      <c r="P88" s="94"/>
    </row>
    <row r="89" spans="2:16" x14ac:dyDescent="0.35">
      <c r="B89" s="69" t="s">
        <v>265</v>
      </c>
      <c r="C89" s="71">
        <v>0.79711613630558698</v>
      </c>
      <c r="D89" s="71">
        <v>0.76962273447201501</v>
      </c>
      <c r="E89" s="71">
        <v>0.80769687309681304</v>
      </c>
      <c r="F89" s="71">
        <v>0.80664076926161099</v>
      </c>
      <c r="G89" s="71">
        <v>0.82958213833189198</v>
      </c>
      <c r="H89" s="71">
        <v>0.81694312293084603</v>
      </c>
      <c r="I89" s="71">
        <v>0.82708491868095901</v>
      </c>
      <c r="J89" s="71">
        <v>0.83901155301956598</v>
      </c>
      <c r="K89" s="71">
        <v>0.82634863196728303</v>
      </c>
      <c r="L89" s="58">
        <f t="shared" si="18"/>
        <v>2.9232495661696056</v>
      </c>
      <c r="M89" s="58">
        <f t="shared" si="19"/>
        <v>-0.32335063646089512</v>
      </c>
      <c r="N89" s="58">
        <f t="shared" si="20"/>
        <v>-1.2662921052282949</v>
      </c>
      <c r="P89" s="94"/>
    </row>
    <row r="90" spans="2:16" x14ac:dyDescent="0.35">
      <c r="B90" s="69" t="s">
        <v>266</v>
      </c>
      <c r="C90" s="71">
        <v>0.83937963126261494</v>
      </c>
      <c r="D90" s="71">
        <v>0.81924220990377705</v>
      </c>
      <c r="E90" s="71">
        <v>0.85239881113539695</v>
      </c>
      <c r="F90" s="71">
        <v>0.87045848507233403</v>
      </c>
      <c r="G90" s="71">
        <v>0.84729596252220996</v>
      </c>
      <c r="H90" s="71">
        <v>0.80257301673811099</v>
      </c>
      <c r="I90" s="71">
        <v>0.83557329745099895</v>
      </c>
      <c r="J90" s="71">
        <v>0.80908161104513399</v>
      </c>
      <c r="K90" s="71">
        <v>0.80108892055659497</v>
      </c>
      <c r="L90" s="58">
        <f t="shared" si="18"/>
        <v>-3.829071070601997</v>
      </c>
      <c r="M90" s="58">
        <f t="shared" si="19"/>
        <v>-4.6207041965614977</v>
      </c>
      <c r="N90" s="58">
        <f t="shared" si="20"/>
        <v>-0.79926904885390115</v>
      </c>
      <c r="P90" s="94"/>
    </row>
    <row r="91" spans="2:16" x14ac:dyDescent="0.35">
      <c r="B91" s="69" t="s">
        <v>267</v>
      </c>
      <c r="C91" s="71">
        <v>0.75981098990294005</v>
      </c>
      <c r="D91" s="71">
        <v>0.76467718970382803</v>
      </c>
      <c r="E91" s="71">
        <v>0.78131207544727399</v>
      </c>
      <c r="F91" s="71">
        <v>0.76823963602958201</v>
      </c>
      <c r="G91" s="71">
        <v>0.78905557676760396</v>
      </c>
      <c r="H91" s="71">
        <v>0.77104155194915203</v>
      </c>
      <c r="I91" s="71">
        <v>0.74405596700869303</v>
      </c>
      <c r="J91" s="71">
        <v>0.74247766831016004</v>
      </c>
      <c r="K91" s="71">
        <v>0.76106885097154398</v>
      </c>
      <c r="L91" s="58">
        <f t="shared" si="18"/>
        <v>0.12578610686039271</v>
      </c>
      <c r="M91" s="58">
        <f t="shared" si="19"/>
        <v>-2.7986725796059986</v>
      </c>
      <c r="N91" s="58">
        <f t="shared" si="20"/>
        <v>1.8591182661383931</v>
      </c>
      <c r="P91" s="94"/>
    </row>
    <row r="92" spans="2:16" x14ac:dyDescent="0.35">
      <c r="B92" s="69" t="s">
        <v>268</v>
      </c>
      <c r="C92" s="71">
        <v>0.75540304341236097</v>
      </c>
      <c r="D92" s="71">
        <v>0.720453307506704</v>
      </c>
      <c r="E92" s="71">
        <v>0.69416126497670805</v>
      </c>
      <c r="F92" s="71">
        <v>0.86013356865858404</v>
      </c>
      <c r="G92" s="71">
        <v>0.90773304656165099</v>
      </c>
      <c r="H92" s="71">
        <v>0.90649981427182702</v>
      </c>
      <c r="I92" s="71">
        <v>0.90056901813170298</v>
      </c>
      <c r="J92" s="71">
        <v>0.82209440566240899</v>
      </c>
      <c r="K92" s="71">
        <v>0.952701516920747</v>
      </c>
      <c r="L92" s="58">
        <f t="shared" si="18"/>
        <v>19.729847350838604</v>
      </c>
      <c r="M92" s="58">
        <f t="shared" si="19"/>
        <v>4.4968470359096013</v>
      </c>
      <c r="N92" s="58">
        <f t="shared" si="20"/>
        <v>13.060711125833802</v>
      </c>
      <c r="P92" s="94"/>
    </row>
    <row r="93" spans="2:16" x14ac:dyDescent="0.35">
      <c r="B93" s="75" t="s">
        <v>260</v>
      </c>
      <c r="C93" s="6">
        <v>0.79687628019546297</v>
      </c>
      <c r="D93" s="6">
        <v>0.79516756958601698</v>
      </c>
      <c r="E93" s="6">
        <v>0.79820556519335595</v>
      </c>
      <c r="F93" s="74">
        <v>0.80415491193434596</v>
      </c>
      <c r="G93" s="74">
        <v>0.78680189497377095</v>
      </c>
      <c r="H93" s="74">
        <v>0.79747857081684204</v>
      </c>
      <c r="I93" s="74">
        <v>0.79456989560592595</v>
      </c>
      <c r="J93" s="74">
        <v>0.79883372749791204</v>
      </c>
      <c r="K93" s="74">
        <v>0.77686200669523298</v>
      </c>
      <c r="L93" s="59">
        <f t="shared" si="18"/>
        <v>-2.0014273500229995</v>
      </c>
      <c r="M93" s="59">
        <f t="shared" si="19"/>
        <v>-0.99398882785379783</v>
      </c>
      <c r="N93" s="59">
        <f t="shared" si="20"/>
        <v>-2.1971720802679062</v>
      </c>
      <c r="P93" s="94"/>
    </row>
    <row r="94" spans="2:16" x14ac:dyDescent="0.35">
      <c r="B94" s="69" t="s">
        <v>264</v>
      </c>
      <c r="C94" s="71">
        <v>0.81376549527162401</v>
      </c>
      <c r="D94" s="71">
        <v>0.81368481978461105</v>
      </c>
      <c r="E94" s="71">
        <v>0.81469436715638199</v>
      </c>
      <c r="F94" s="71">
        <v>0.82579172038362703</v>
      </c>
      <c r="G94" s="71">
        <v>0.804658428152072</v>
      </c>
      <c r="H94" s="71">
        <v>0.82346987338491695</v>
      </c>
      <c r="I94" s="71">
        <v>0.82593475593162202</v>
      </c>
      <c r="J94" s="71">
        <v>0.83287782228780605</v>
      </c>
      <c r="K94" s="71">
        <v>0.80605106877074395</v>
      </c>
      <c r="L94" s="58">
        <f t="shared" si="18"/>
        <v>-0.77144265008800561</v>
      </c>
      <c r="M94" s="58">
        <f t="shared" si="19"/>
        <v>0.13926406186719475</v>
      </c>
      <c r="N94" s="58">
        <f t="shared" si="20"/>
        <v>-2.6826753517062096</v>
      </c>
      <c r="P94" s="94"/>
    </row>
    <row r="95" spans="2:16" x14ac:dyDescent="0.35">
      <c r="B95" s="69" t="s">
        <v>265</v>
      </c>
      <c r="C95" s="71">
        <v>0.78752499156629896</v>
      </c>
      <c r="D95" s="71">
        <v>0.787274965542617</v>
      </c>
      <c r="E95" s="71">
        <v>0.79235755583860601</v>
      </c>
      <c r="F95" s="71">
        <v>0.80003765790261305</v>
      </c>
      <c r="G95" s="71">
        <v>0.77936399315063698</v>
      </c>
      <c r="H95" s="71">
        <v>0.78803055310979297</v>
      </c>
      <c r="I95" s="71">
        <v>0.79615860775936398</v>
      </c>
      <c r="J95" s="71">
        <v>0.81015588254689097</v>
      </c>
      <c r="K95" s="71">
        <v>0.782514622258351</v>
      </c>
      <c r="L95" s="58">
        <f t="shared" si="18"/>
        <v>-0.50103693079479594</v>
      </c>
      <c r="M95" s="58">
        <f t="shared" si="19"/>
        <v>0.31506291077140203</v>
      </c>
      <c r="N95" s="58">
        <f t="shared" si="20"/>
        <v>-2.7641260288539971</v>
      </c>
      <c r="P95" s="94"/>
    </row>
    <row r="96" spans="2:16" x14ac:dyDescent="0.35">
      <c r="B96" s="69" t="s">
        <v>266</v>
      </c>
      <c r="C96" s="71">
        <v>0.72818309308720497</v>
      </c>
      <c r="D96" s="71">
        <v>0.81958871370133601</v>
      </c>
      <c r="E96" s="71">
        <v>0.865194437064291</v>
      </c>
      <c r="F96" s="71">
        <v>0.87316065213817395</v>
      </c>
      <c r="G96" s="71">
        <v>0.84851496350778699</v>
      </c>
      <c r="H96" s="71">
        <v>0.78647325192323603</v>
      </c>
      <c r="I96" s="71">
        <v>0.80662115122112599</v>
      </c>
      <c r="J96" s="71">
        <v>0.69635403401975604</v>
      </c>
      <c r="K96" s="71">
        <v>0.65043254354412305</v>
      </c>
      <c r="L96" s="58">
        <f t="shared" si="18"/>
        <v>-7.7750549543081915</v>
      </c>
      <c r="M96" s="58">
        <f t="shared" si="19"/>
        <v>-19.808241996366394</v>
      </c>
      <c r="N96" s="58">
        <f t="shared" si="20"/>
        <v>-4.5921490475632982</v>
      </c>
      <c r="P96" s="94"/>
    </row>
    <row r="97" spans="2:16" x14ac:dyDescent="0.35">
      <c r="B97" s="69" t="s">
        <v>267</v>
      </c>
      <c r="C97" s="71">
        <v>0.61895670700456196</v>
      </c>
      <c r="D97" s="71">
        <v>0.61103628557958101</v>
      </c>
      <c r="E97" s="71">
        <v>0.65699534130353698</v>
      </c>
      <c r="F97" s="71">
        <v>0.63933734393424602</v>
      </c>
      <c r="G97" s="71">
        <v>0.68386779541347198</v>
      </c>
      <c r="H97" s="71">
        <v>0.69948144409397095</v>
      </c>
      <c r="I97" s="71">
        <v>0.68281995096028703</v>
      </c>
      <c r="J97" s="71">
        <v>0.68771153571662702</v>
      </c>
      <c r="K97" s="71">
        <v>0.69530930120774903</v>
      </c>
      <c r="L97" s="58">
        <f t="shared" si="18"/>
        <v>7.6352594203187074</v>
      </c>
      <c r="M97" s="58">
        <f t="shared" si="19"/>
        <v>1.1441505794277051</v>
      </c>
      <c r="N97" s="58">
        <f t="shared" si="20"/>
        <v>0.75977654911220105</v>
      </c>
      <c r="P97" s="94"/>
    </row>
    <row r="98" spans="2:16" x14ac:dyDescent="0.35">
      <c r="B98" s="69" t="s">
        <v>268</v>
      </c>
      <c r="C98" s="71">
        <v>0.82531984569986305</v>
      </c>
      <c r="D98" s="71">
        <v>0.57329125938102399</v>
      </c>
      <c r="E98" s="71">
        <v>0.57187753031896105</v>
      </c>
      <c r="F98" s="71">
        <v>0.59372948061328401</v>
      </c>
      <c r="G98" s="71">
        <v>0.84552366238412702</v>
      </c>
      <c r="H98" s="71">
        <v>0.91367623604465698</v>
      </c>
      <c r="I98" s="71">
        <v>0.87778046421663503</v>
      </c>
      <c r="J98" s="71">
        <v>0.90231864095500403</v>
      </c>
      <c r="K98" s="71">
        <v>1</v>
      </c>
      <c r="L98" s="58">
        <f t="shared" si="18"/>
        <v>17.468015430013693</v>
      </c>
      <c r="M98" s="58">
        <f t="shared" si="19"/>
        <v>15.447633761587298</v>
      </c>
      <c r="N98" s="58">
        <f t="shared" si="20"/>
        <v>9.7681359044995979</v>
      </c>
      <c r="P98" s="94"/>
    </row>
    <row r="99" spans="2:16" x14ac:dyDescent="0.35">
      <c r="B99" s="75" t="s">
        <v>140</v>
      </c>
      <c r="C99" s="6">
        <v>0.80080782533121597</v>
      </c>
      <c r="D99" s="6">
        <v>0.79064544594498698</v>
      </c>
      <c r="E99" s="6">
        <v>0.801558436875632</v>
      </c>
      <c r="F99" s="6">
        <v>0.81480729936366902</v>
      </c>
      <c r="G99" s="6">
        <v>0.82633920971675801</v>
      </c>
      <c r="H99" s="6">
        <v>0.83244867266585898</v>
      </c>
      <c r="I99" s="6">
        <v>0.82271097028681905</v>
      </c>
      <c r="J99" s="6">
        <v>0.82283747617706104</v>
      </c>
      <c r="K99" s="6">
        <v>0.81421060534770495</v>
      </c>
      <c r="L99" s="59">
        <f t="shared" si="18"/>
        <v>1.340278001648898</v>
      </c>
      <c r="M99" s="59">
        <f t="shared" si="19"/>
        <v>-1.2128604369053053</v>
      </c>
      <c r="N99" s="59">
        <f t="shared" si="20"/>
        <v>-0.86268708293560925</v>
      </c>
      <c r="P99" s="94"/>
    </row>
    <row r="100" spans="2:16" x14ac:dyDescent="0.35">
      <c r="B100" s="91" t="s">
        <v>261</v>
      </c>
      <c r="C100" s="53"/>
      <c r="D100" s="53"/>
      <c r="E100" s="53"/>
      <c r="F100" s="53"/>
      <c r="G100" s="53"/>
      <c r="H100" s="53"/>
      <c r="I100" s="53"/>
      <c r="J100" s="53"/>
      <c r="K100" s="53"/>
    </row>
    <row r="101" spans="2:16" x14ac:dyDescent="0.35">
      <c r="B101" s="52"/>
      <c r="C101" s="52"/>
      <c r="D101" s="52"/>
      <c r="E101" s="53"/>
      <c r="F101" s="52"/>
    </row>
    <row r="102" spans="2:16" x14ac:dyDescent="0.35">
      <c r="B102" s="22" t="s">
        <v>98</v>
      </c>
      <c r="C102" s="89"/>
      <c r="D102" s="89"/>
      <c r="E102" s="137"/>
      <c r="F102" s="52"/>
      <c r="K102" s="93"/>
    </row>
    <row r="103" spans="2:16" x14ac:dyDescent="0.35">
      <c r="B103" s="9" t="s">
        <v>99</v>
      </c>
      <c r="C103" s="89"/>
      <c r="D103" s="89"/>
      <c r="E103" s="137"/>
      <c r="F103" s="52"/>
    </row>
    <row r="104" spans="2:16" x14ac:dyDescent="0.35">
      <c r="B104" s="52"/>
      <c r="C104" s="52"/>
      <c r="D104" s="52"/>
      <c r="E104" s="53"/>
      <c r="F104" s="52"/>
    </row>
    <row r="105" spans="2:16" x14ac:dyDescent="0.35">
      <c r="B105" s="52"/>
      <c r="C105" s="52"/>
      <c r="D105" s="52"/>
      <c r="E105" s="53"/>
      <c r="F105" s="52"/>
    </row>
    <row r="106" spans="2:16" x14ac:dyDescent="0.35">
      <c r="B106" s="52"/>
      <c r="C106" s="52"/>
      <c r="D106" s="52"/>
      <c r="E106" s="53"/>
      <c r="F106" s="52"/>
    </row>
    <row r="107" spans="2:16" x14ac:dyDescent="0.35">
      <c r="B107" s="89"/>
      <c r="C107" s="89"/>
      <c r="D107" s="89"/>
      <c r="E107" s="137"/>
      <c r="F107" s="52"/>
    </row>
    <row r="108" spans="2:16" x14ac:dyDescent="0.35">
      <c r="B108" s="89"/>
      <c r="C108" s="89"/>
      <c r="D108" s="89"/>
      <c r="E108" s="137"/>
      <c r="F108" s="52"/>
    </row>
    <row r="109" spans="2:16" x14ac:dyDescent="0.35">
      <c r="B109" s="52"/>
      <c r="C109" s="52"/>
      <c r="D109" s="52"/>
      <c r="E109" s="53"/>
      <c r="F109" s="52"/>
    </row>
    <row r="110" spans="2:16" x14ac:dyDescent="0.35">
      <c r="B110" s="52"/>
      <c r="C110" s="52"/>
      <c r="D110" s="52"/>
      <c r="E110" s="53"/>
      <c r="F110" s="52"/>
    </row>
    <row r="111" spans="2:16" x14ac:dyDescent="0.35">
      <c r="B111" s="52"/>
      <c r="C111" s="52"/>
      <c r="D111" s="52"/>
      <c r="E111" s="53"/>
      <c r="F111" s="52"/>
    </row>
    <row r="112" spans="2:16" x14ac:dyDescent="0.35">
      <c r="B112" s="89"/>
      <c r="C112" s="89"/>
      <c r="D112" s="89"/>
      <c r="E112" s="137"/>
      <c r="F112" s="52"/>
    </row>
    <row r="113" spans="2:6" x14ac:dyDescent="0.35">
      <c r="B113" s="89"/>
      <c r="C113" s="89"/>
      <c r="D113" s="89"/>
      <c r="E113" s="137"/>
      <c r="F113" s="52"/>
    </row>
    <row r="114" spans="2:6" x14ac:dyDescent="0.35">
      <c r="B114" s="52"/>
      <c r="C114" s="52"/>
      <c r="D114" s="52"/>
      <c r="E114" s="53"/>
      <c r="F114" s="52"/>
    </row>
    <row r="115" spans="2:6" x14ac:dyDescent="0.35">
      <c r="B115" s="52"/>
      <c r="C115" s="52"/>
      <c r="D115" s="52"/>
      <c r="E115" s="53"/>
      <c r="F115" s="52"/>
    </row>
    <row r="116" spans="2:6" x14ac:dyDescent="0.35">
      <c r="B116" s="52"/>
      <c r="C116" s="52"/>
      <c r="D116" s="52"/>
      <c r="E116" s="53"/>
      <c r="F116" s="52"/>
    </row>
    <row r="117" spans="2:6" x14ac:dyDescent="0.35">
      <c r="B117" s="89"/>
      <c r="C117" s="89"/>
      <c r="D117" s="89"/>
      <c r="E117" s="137"/>
      <c r="F117" s="52"/>
    </row>
    <row r="118" spans="2:6" x14ac:dyDescent="0.35">
      <c r="B118" s="89"/>
      <c r="C118" s="89"/>
      <c r="D118" s="89"/>
      <c r="E118" s="137"/>
      <c r="F118" s="52"/>
    </row>
    <row r="119" spans="2:6" x14ac:dyDescent="0.35">
      <c r="B119" s="52"/>
      <c r="C119" s="52"/>
      <c r="D119" s="52"/>
      <c r="E119" s="53"/>
      <c r="F119" s="52"/>
    </row>
    <row r="120" spans="2:6" x14ac:dyDescent="0.35">
      <c r="B120" s="52"/>
      <c r="C120" s="52"/>
      <c r="D120" s="52"/>
      <c r="E120" s="53"/>
      <c r="F120" s="52"/>
    </row>
    <row r="121" spans="2:6" x14ac:dyDescent="0.35">
      <c r="B121" s="52"/>
      <c r="C121" s="52"/>
      <c r="D121" s="52"/>
      <c r="E121" s="53"/>
      <c r="F121" s="52"/>
    </row>
    <row r="122" spans="2:6" x14ac:dyDescent="0.35">
      <c r="B122" s="89"/>
      <c r="C122" s="89"/>
      <c r="D122" s="89"/>
      <c r="E122" s="137"/>
      <c r="F122" s="52"/>
    </row>
    <row r="123" spans="2:6" x14ac:dyDescent="0.35">
      <c r="B123" s="89"/>
      <c r="C123" s="89"/>
      <c r="D123" s="89"/>
      <c r="E123" s="137"/>
      <c r="F123" s="52"/>
    </row>
    <row r="124" spans="2:6" x14ac:dyDescent="0.35">
      <c r="B124" s="52"/>
      <c r="C124" s="52"/>
      <c r="D124" s="52"/>
      <c r="E124" s="53"/>
      <c r="F124" s="52"/>
    </row>
    <row r="125" spans="2:6" x14ac:dyDescent="0.35">
      <c r="B125" s="52"/>
      <c r="C125" s="52"/>
      <c r="D125" s="52"/>
      <c r="E125" s="53"/>
      <c r="F125" s="52"/>
    </row>
    <row r="126" spans="2:6" x14ac:dyDescent="0.35">
      <c r="B126" s="52"/>
      <c r="C126" s="52"/>
      <c r="D126" s="52"/>
      <c r="E126" s="53"/>
      <c r="F126" s="52"/>
    </row>
    <row r="127" spans="2:6" x14ac:dyDescent="0.35">
      <c r="B127" s="89"/>
      <c r="C127" s="89"/>
      <c r="D127" s="89"/>
      <c r="E127" s="137"/>
      <c r="F127" s="52"/>
    </row>
    <row r="128" spans="2:6" x14ac:dyDescent="0.35">
      <c r="B128" s="89"/>
      <c r="C128" s="89"/>
      <c r="D128" s="89"/>
      <c r="E128" s="137"/>
      <c r="F128" s="52"/>
    </row>
    <row r="129" spans="2:6" x14ac:dyDescent="0.35">
      <c r="B129" s="52"/>
      <c r="C129" s="52"/>
      <c r="D129" s="52"/>
      <c r="E129" s="53"/>
      <c r="F129" s="52"/>
    </row>
    <row r="130" spans="2:6" x14ac:dyDescent="0.35">
      <c r="B130" s="52"/>
      <c r="C130" s="52"/>
      <c r="D130" s="52"/>
      <c r="E130" s="53"/>
      <c r="F130" s="52"/>
    </row>
    <row r="131" spans="2:6" x14ac:dyDescent="0.35">
      <c r="B131" s="52"/>
      <c r="C131" s="52"/>
      <c r="D131" s="52"/>
      <c r="E131" s="53"/>
      <c r="F131" s="52"/>
    </row>
    <row r="132" spans="2:6" x14ac:dyDescent="0.35">
      <c r="B132" s="89"/>
      <c r="C132" s="89"/>
      <c r="D132" s="89"/>
      <c r="E132" s="137"/>
      <c r="F132" s="52"/>
    </row>
    <row r="133" spans="2:6" x14ac:dyDescent="0.35">
      <c r="B133" s="89"/>
      <c r="C133" s="89"/>
      <c r="D133" s="89"/>
      <c r="E133" s="137"/>
      <c r="F133" s="52"/>
    </row>
    <row r="134" spans="2:6" x14ac:dyDescent="0.35">
      <c r="B134" s="52"/>
      <c r="C134" s="52"/>
      <c r="D134" s="52"/>
      <c r="E134" s="53"/>
      <c r="F134" s="52"/>
    </row>
    <row r="135" spans="2:6" x14ac:dyDescent="0.35">
      <c r="B135" s="52"/>
      <c r="C135" s="52"/>
      <c r="D135" s="52"/>
      <c r="E135" s="53"/>
      <c r="F135" s="52"/>
    </row>
    <row r="136" spans="2:6" x14ac:dyDescent="0.35">
      <c r="B136" s="52"/>
      <c r="C136" s="52"/>
      <c r="D136" s="52"/>
      <c r="E136" s="53"/>
      <c r="F136" s="52"/>
    </row>
    <row r="137" spans="2:6" x14ac:dyDescent="0.35">
      <c r="B137" s="89"/>
      <c r="C137" s="89"/>
      <c r="D137" s="89"/>
      <c r="E137" s="137"/>
      <c r="F137" s="52"/>
    </row>
    <row r="138" spans="2:6" x14ac:dyDescent="0.35">
      <c r="B138" s="89"/>
      <c r="C138" s="89"/>
      <c r="D138" s="89"/>
      <c r="E138" s="137"/>
      <c r="F138" s="52"/>
    </row>
    <row r="139" spans="2:6" x14ac:dyDescent="0.35">
      <c r="B139" s="52"/>
      <c r="C139" s="52"/>
      <c r="D139" s="52"/>
      <c r="E139" s="53"/>
      <c r="F139" s="52"/>
    </row>
    <row r="140" spans="2:6" x14ac:dyDescent="0.35">
      <c r="B140" s="52"/>
      <c r="C140" s="52"/>
      <c r="D140" s="52"/>
      <c r="E140" s="53"/>
      <c r="F140" s="52"/>
    </row>
    <row r="141" spans="2:6" x14ac:dyDescent="0.35">
      <c r="B141" s="52"/>
      <c r="C141" s="52"/>
      <c r="D141" s="52"/>
      <c r="E141" s="53"/>
      <c r="F141" s="52"/>
    </row>
    <row r="142" spans="2:6" x14ac:dyDescent="0.35">
      <c r="B142" s="89"/>
      <c r="C142" s="89"/>
      <c r="D142" s="89"/>
      <c r="E142" s="137"/>
      <c r="F142" s="52"/>
    </row>
    <row r="143" spans="2:6" x14ac:dyDescent="0.35">
      <c r="B143" s="89"/>
      <c r="C143" s="89"/>
      <c r="D143" s="89"/>
      <c r="E143" s="137"/>
      <c r="F143" s="52"/>
    </row>
    <row r="144" spans="2:6" x14ac:dyDescent="0.35">
      <c r="B144" s="52"/>
      <c r="C144" s="52"/>
      <c r="D144" s="52"/>
      <c r="E144" s="53"/>
      <c r="F144" s="52"/>
    </row>
    <row r="145" spans="2:6" x14ac:dyDescent="0.35">
      <c r="B145" s="52"/>
      <c r="C145" s="52"/>
      <c r="D145" s="52"/>
      <c r="E145" s="53"/>
      <c r="F145" s="52"/>
    </row>
    <row r="146" spans="2:6" x14ac:dyDescent="0.35">
      <c r="B146" s="52"/>
      <c r="C146" s="52"/>
      <c r="D146" s="52"/>
      <c r="E146" s="53"/>
      <c r="F146" s="52"/>
    </row>
    <row r="147" spans="2:6" x14ac:dyDescent="0.35">
      <c r="B147" s="89"/>
      <c r="C147" s="89"/>
      <c r="D147" s="89"/>
      <c r="E147" s="137"/>
      <c r="F147" s="52"/>
    </row>
    <row r="148" spans="2:6" x14ac:dyDescent="0.35">
      <c r="B148" s="89"/>
      <c r="C148" s="89"/>
      <c r="D148" s="89"/>
      <c r="E148" s="137"/>
      <c r="F148" s="52"/>
    </row>
    <row r="149" spans="2:6" x14ac:dyDescent="0.35">
      <c r="B149" s="52"/>
      <c r="C149" s="52"/>
      <c r="D149" s="52"/>
      <c r="E149" s="53"/>
      <c r="F149" s="52"/>
    </row>
    <row r="150" spans="2:6" x14ac:dyDescent="0.35">
      <c r="B150" s="52"/>
      <c r="C150" s="52"/>
      <c r="D150" s="52"/>
      <c r="E150" s="53"/>
      <c r="F150" s="52"/>
    </row>
    <row r="151" spans="2:6" x14ac:dyDescent="0.35">
      <c r="B151" s="52"/>
      <c r="C151" s="52"/>
      <c r="D151" s="52"/>
      <c r="E151" s="53"/>
      <c r="F151" s="52"/>
    </row>
    <row r="152" spans="2:6" x14ac:dyDescent="0.35">
      <c r="B152" s="89"/>
      <c r="C152" s="89"/>
      <c r="D152" s="89"/>
      <c r="E152" s="137"/>
      <c r="F152" s="52"/>
    </row>
    <row r="153" spans="2:6" x14ac:dyDescent="0.35">
      <c r="B153" s="89"/>
      <c r="C153" s="89"/>
      <c r="D153" s="89"/>
      <c r="E153" s="137"/>
      <c r="F153" s="52"/>
    </row>
    <row r="154" spans="2:6" x14ac:dyDescent="0.35">
      <c r="B154" s="52"/>
      <c r="C154" s="52"/>
      <c r="D154" s="52"/>
      <c r="E154" s="53"/>
      <c r="F154" s="52"/>
    </row>
    <row r="155" spans="2:6" x14ac:dyDescent="0.35">
      <c r="B155" s="52"/>
      <c r="C155" s="52"/>
      <c r="D155" s="52"/>
      <c r="E155" s="53"/>
      <c r="F155" s="52"/>
    </row>
    <row r="156" spans="2:6" x14ac:dyDescent="0.35">
      <c r="B156" s="52"/>
      <c r="C156" s="52"/>
      <c r="D156" s="52"/>
      <c r="E156" s="53"/>
      <c r="F156" s="52"/>
    </row>
    <row r="157" spans="2:6" x14ac:dyDescent="0.35">
      <c r="B157" s="89"/>
      <c r="C157" s="89"/>
      <c r="D157" s="89"/>
      <c r="E157" s="137"/>
      <c r="F157" s="52"/>
    </row>
    <row r="158" spans="2:6" x14ac:dyDescent="0.35">
      <c r="B158" s="89"/>
      <c r="C158" s="89"/>
      <c r="D158" s="89"/>
      <c r="E158" s="137"/>
      <c r="F158" s="52"/>
    </row>
    <row r="159" spans="2:6" x14ac:dyDescent="0.35">
      <c r="B159" s="52"/>
      <c r="C159" s="52"/>
      <c r="D159" s="52"/>
      <c r="E159" s="53"/>
      <c r="F159" s="52"/>
    </row>
    <row r="160" spans="2:6" x14ac:dyDescent="0.35">
      <c r="B160" s="52"/>
      <c r="C160" s="52"/>
      <c r="D160" s="52"/>
      <c r="E160" s="53"/>
      <c r="F160" s="52"/>
    </row>
    <row r="161" spans="2:6" x14ac:dyDescent="0.35">
      <c r="B161" s="52"/>
      <c r="C161" s="52"/>
      <c r="D161" s="52"/>
      <c r="E161" s="53"/>
      <c r="F161" s="52"/>
    </row>
    <row r="162" spans="2:6" x14ac:dyDescent="0.35">
      <c r="B162" s="89"/>
      <c r="C162" s="89"/>
      <c r="D162" s="89"/>
      <c r="E162" s="137"/>
      <c r="F162" s="52"/>
    </row>
    <row r="163" spans="2:6" x14ac:dyDescent="0.35">
      <c r="B163" s="89"/>
      <c r="C163" s="89"/>
      <c r="D163" s="89"/>
      <c r="E163" s="137"/>
      <c r="F163" s="52"/>
    </row>
    <row r="164" spans="2:6" x14ac:dyDescent="0.35">
      <c r="B164" s="2"/>
      <c r="C164" s="2"/>
      <c r="D164" s="2"/>
      <c r="E164" s="7"/>
    </row>
    <row r="165" spans="2:6" x14ac:dyDescent="0.35">
      <c r="B165" s="2"/>
      <c r="C165" s="2"/>
      <c r="D165" s="2"/>
      <c r="E165" s="7"/>
    </row>
    <row r="166" spans="2:6" x14ac:dyDescent="0.35">
      <c r="B166" s="2"/>
      <c r="C166" s="2"/>
      <c r="D166" s="2"/>
      <c r="E166" s="7"/>
    </row>
    <row r="167" spans="2:6" x14ac:dyDescent="0.35">
      <c r="B167" s="3"/>
      <c r="C167" s="3"/>
      <c r="D167" s="3"/>
      <c r="E167" s="8"/>
    </row>
    <row r="168" spans="2:6" x14ac:dyDescent="0.35">
      <c r="B168" s="3"/>
      <c r="C168" s="3"/>
      <c r="D168" s="3"/>
      <c r="E168" s="8"/>
    </row>
    <row r="169" spans="2:6" x14ac:dyDescent="0.35">
      <c r="B169" s="2"/>
      <c r="C169" s="2"/>
      <c r="D169" s="2"/>
      <c r="E169" s="7"/>
    </row>
    <row r="170" spans="2:6" x14ac:dyDescent="0.35">
      <c r="B170" s="2"/>
      <c r="C170" s="2"/>
      <c r="D170" s="2"/>
      <c r="E170" s="7"/>
    </row>
    <row r="171" spans="2:6" x14ac:dyDescent="0.35">
      <c r="B171" s="2"/>
      <c r="C171" s="2"/>
      <c r="D171" s="2"/>
      <c r="E171" s="7"/>
    </row>
    <row r="172" spans="2:6" x14ac:dyDescent="0.35">
      <c r="B172" s="3"/>
      <c r="C172" s="3"/>
      <c r="D172" s="3"/>
      <c r="E172" s="8"/>
    </row>
    <row r="173" spans="2:6" x14ac:dyDescent="0.35">
      <c r="B173" s="3"/>
      <c r="C173" s="3"/>
      <c r="D173" s="3"/>
      <c r="E173" s="8"/>
    </row>
    <row r="174" spans="2:6" x14ac:dyDescent="0.35">
      <c r="B174" s="2"/>
      <c r="C174" s="2"/>
      <c r="D174" s="2"/>
      <c r="E174" s="7"/>
    </row>
    <row r="175" spans="2:6" x14ac:dyDescent="0.35">
      <c r="B175" s="2"/>
      <c r="C175" s="2"/>
      <c r="D175" s="2"/>
      <c r="E175" s="7"/>
    </row>
    <row r="176" spans="2:6" x14ac:dyDescent="0.35">
      <c r="B176" s="2"/>
      <c r="C176" s="2"/>
      <c r="D176" s="2"/>
      <c r="E176" s="7"/>
    </row>
    <row r="177" spans="2:5" x14ac:dyDescent="0.35">
      <c r="B177" s="3"/>
      <c r="C177" s="3"/>
      <c r="D177" s="3"/>
      <c r="E177" s="8"/>
    </row>
    <row r="178" spans="2:5" x14ac:dyDescent="0.35">
      <c r="B178" s="3"/>
      <c r="C178" s="3"/>
      <c r="D178" s="3"/>
      <c r="E178" s="8"/>
    </row>
    <row r="179" spans="2:5" x14ac:dyDescent="0.35">
      <c r="B179" s="2"/>
      <c r="C179" s="2"/>
      <c r="D179" s="2"/>
      <c r="E179" s="7"/>
    </row>
    <row r="180" spans="2:5" x14ac:dyDescent="0.35">
      <c r="B180" s="2"/>
      <c r="C180" s="2"/>
      <c r="D180" s="2"/>
      <c r="E180" s="7"/>
    </row>
    <row r="181" spans="2:5" x14ac:dyDescent="0.35">
      <c r="B181" s="2"/>
      <c r="C181" s="2"/>
      <c r="D181" s="2"/>
      <c r="E181" s="7"/>
    </row>
    <row r="182" spans="2:5" x14ac:dyDescent="0.35">
      <c r="B182" s="3"/>
      <c r="C182" s="3"/>
      <c r="D182" s="3"/>
      <c r="E182" s="8"/>
    </row>
    <row r="183" spans="2:5" x14ac:dyDescent="0.35">
      <c r="B183" s="3"/>
      <c r="C183" s="3"/>
      <c r="D183" s="3"/>
      <c r="E183" s="8"/>
    </row>
    <row r="184" spans="2:5" x14ac:dyDescent="0.35">
      <c r="B184" s="2"/>
      <c r="C184" s="2"/>
      <c r="D184" s="2"/>
      <c r="E184" s="7"/>
    </row>
    <row r="185" spans="2:5" x14ac:dyDescent="0.35">
      <c r="B185" s="2"/>
      <c r="C185" s="2"/>
      <c r="D185" s="2"/>
      <c r="E185" s="7"/>
    </row>
    <row r="186" spans="2:5" x14ac:dyDescent="0.35">
      <c r="B186" s="2"/>
      <c r="C186" s="2"/>
      <c r="D186" s="2"/>
      <c r="E186" s="7"/>
    </row>
    <row r="187" spans="2:5" x14ac:dyDescent="0.35">
      <c r="B187" s="3"/>
      <c r="C187" s="3"/>
      <c r="D187" s="3"/>
      <c r="E187" s="8"/>
    </row>
    <row r="188" spans="2:5" x14ac:dyDescent="0.35">
      <c r="B188" s="3"/>
      <c r="C188" s="3"/>
      <c r="D188" s="3"/>
      <c r="E188" s="8"/>
    </row>
    <row r="189" spans="2:5" x14ac:dyDescent="0.35">
      <c r="B189" s="2"/>
      <c r="C189" s="2"/>
      <c r="D189" s="2"/>
      <c r="E189" s="7"/>
    </row>
    <row r="190" spans="2:5" x14ac:dyDescent="0.35">
      <c r="B190" s="2"/>
      <c r="C190" s="2"/>
      <c r="D190" s="2"/>
      <c r="E190" s="7"/>
    </row>
    <row r="191" spans="2:5" x14ac:dyDescent="0.35">
      <c r="B191" s="2"/>
      <c r="C191" s="2"/>
      <c r="D191" s="2"/>
      <c r="E191" s="7"/>
    </row>
    <row r="192" spans="2:5" x14ac:dyDescent="0.35">
      <c r="B192" s="3"/>
      <c r="C192" s="3"/>
      <c r="D192" s="3"/>
      <c r="E192" s="8"/>
    </row>
    <row r="193" spans="2:5" x14ac:dyDescent="0.35">
      <c r="B193" s="3"/>
      <c r="C193" s="3"/>
      <c r="D193" s="3"/>
      <c r="E193" s="8"/>
    </row>
    <row r="194" spans="2:5" x14ac:dyDescent="0.35">
      <c r="B194" s="2"/>
      <c r="C194" s="2"/>
      <c r="D194" s="2"/>
      <c r="E194" s="7"/>
    </row>
    <row r="195" spans="2:5" x14ac:dyDescent="0.35">
      <c r="B195" s="2"/>
      <c r="C195" s="2"/>
      <c r="D195" s="2"/>
      <c r="E195" s="7"/>
    </row>
    <row r="196" spans="2:5" x14ac:dyDescent="0.35">
      <c r="B196" s="2"/>
      <c r="C196" s="2"/>
      <c r="D196" s="2"/>
      <c r="E196" s="7"/>
    </row>
    <row r="197" spans="2:5" x14ac:dyDescent="0.35">
      <c r="B197" s="3"/>
      <c r="C197" s="3"/>
      <c r="D197" s="3"/>
      <c r="E197" s="8"/>
    </row>
    <row r="198" spans="2:5" x14ac:dyDescent="0.35">
      <c r="B198" s="3"/>
      <c r="C198" s="3"/>
      <c r="D198" s="3"/>
      <c r="E198" s="8"/>
    </row>
    <row r="199" spans="2:5" x14ac:dyDescent="0.35">
      <c r="B199" s="2"/>
      <c r="C199" s="2"/>
      <c r="D199" s="2"/>
      <c r="E199" s="7"/>
    </row>
    <row r="200" spans="2:5" x14ac:dyDescent="0.35">
      <c r="B200" s="2"/>
      <c r="C200" s="2"/>
      <c r="D200" s="2"/>
      <c r="E200" s="7"/>
    </row>
    <row r="201" spans="2:5" x14ac:dyDescent="0.35">
      <c r="B201" s="2"/>
      <c r="C201" s="2"/>
      <c r="D201" s="2"/>
      <c r="E201" s="7"/>
    </row>
    <row r="202" spans="2:5" x14ac:dyDescent="0.35">
      <c r="B202" s="3"/>
      <c r="C202" s="3"/>
      <c r="D202" s="3"/>
      <c r="E202" s="8"/>
    </row>
    <row r="203" spans="2:5" x14ac:dyDescent="0.35">
      <c r="B203" s="3"/>
      <c r="C203" s="3"/>
      <c r="D203" s="3"/>
      <c r="E203" s="8"/>
    </row>
    <row r="204" spans="2:5" x14ac:dyDescent="0.35">
      <c r="B204" s="2"/>
      <c r="C204" s="2"/>
      <c r="D204" s="2"/>
      <c r="E204" s="7"/>
    </row>
    <row r="205" spans="2:5" x14ac:dyDescent="0.35">
      <c r="B205" s="2"/>
      <c r="C205" s="2"/>
      <c r="D205" s="2"/>
      <c r="E205" s="7"/>
    </row>
    <row r="206" spans="2:5" x14ac:dyDescent="0.35">
      <c r="B206" s="2"/>
      <c r="C206" s="2"/>
      <c r="D206" s="2"/>
      <c r="E206" s="7"/>
    </row>
    <row r="207" spans="2:5" x14ac:dyDescent="0.35">
      <c r="B207" s="3"/>
      <c r="C207" s="3"/>
      <c r="D207" s="3"/>
      <c r="E207" s="8"/>
    </row>
    <row r="208" spans="2:5" x14ac:dyDescent="0.35">
      <c r="B208" s="3"/>
      <c r="C208" s="3"/>
      <c r="D208" s="3"/>
      <c r="E208" s="8"/>
    </row>
    <row r="209" spans="2:5" x14ac:dyDescent="0.35">
      <c r="B209" s="2"/>
      <c r="C209" s="2"/>
      <c r="D209" s="2"/>
      <c r="E209" s="7"/>
    </row>
    <row r="210" spans="2:5" x14ac:dyDescent="0.35">
      <c r="B210" s="2"/>
      <c r="C210" s="2"/>
      <c r="D210" s="2"/>
      <c r="E210" s="7"/>
    </row>
    <row r="211" spans="2:5" x14ac:dyDescent="0.35">
      <c r="B211" s="2"/>
      <c r="C211" s="2"/>
      <c r="D211" s="2"/>
      <c r="E211" s="7"/>
    </row>
    <row r="212" spans="2:5" x14ac:dyDescent="0.35">
      <c r="B212" s="3"/>
      <c r="C212" s="3"/>
      <c r="D212" s="3"/>
      <c r="E212" s="8"/>
    </row>
    <row r="213" spans="2:5" x14ac:dyDescent="0.35">
      <c r="B213" s="3"/>
      <c r="C213" s="3"/>
      <c r="D213" s="3"/>
      <c r="E213" s="8"/>
    </row>
    <row r="214" spans="2:5" x14ac:dyDescent="0.35">
      <c r="B214" s="2"/>
      <c r="C214" s="2"/>
      <c r="D214" s="2"/>
      <c r="E214" s="7"/>
    </row>
    <row r="215" spans="2:5" x14ac:dyDescent="0.35">
      <c r="B215" s="2"/>
      <c r="C215" s="2"/>
      <c r="D215" s="2"/>
      <c r="E215" s="7"/>
    </row>
    <row r="216" spans="2:5" x14ac:dyDescent="0.35">
      <c r="B216" s="2"/>
      <c r="C216" s="2"/>
      <c r="D216" s="2"/>
      <c r="E216" s="7"/>
    </row>
    <row r="217" spans="2:5" x14ac:dyDescent="0.35">
      <c r="B217" s="3"/>
      <c r="C217" s="3"/>
      <c r="D217" s="3"/>
      <c r="E217" s="8"/>
    </row>
    <row r="218" spans="2:5" x14ac:dyDescent="0.35">
      <c r="B218" s="3"/>
      <c r="C218" s="3"/>
      <c r="D218" s="3"/>
      <c r="E218" s="8"/>
    </row>
    <row r="219" spans="2:5" x14ac:dyDescent="0.35">
      <c r="B219" s="2"/>
      <c r="C219" s="2"/>
      <c r="D219" s="2"/>
      <c r="E219" s="7"/>
    </row>
    <row r="220" spans="2:5" x14ac:dyDescent="0.35">
      <c r="B220" s="2"/>
      <c r="C220" s="2"/>
      <c r="D220" s="2"/>
      <c r="E220" s="7"/>
    </row>
    <row r="221" spans="2:5" x14ac:dyDescent="0.35">
      <c r="B221" s="2"/>
      <c r="C221" s="2"/>
      <c r="D221" s="2"/>
      <c r="E221" s="7"/>
    </row>
    <row r="222" spans="2:5" x14ac:dyDescent="0.35">
      <c r="B222" s="3"/>
      <c r="C222" s="3"/>
      <c r="D222" s="3"/>
      <c r="E222" s="8"/>
    </row>
    <row r="223" spans="2:5" x14ac:dyDescent="0.35">
      <c r="B223" s="3"/>
      <c r="C223" s="3"/>
      <c r="D223" s="3"/>
      <c r="E223" s="8"/>
    </row>
    <row r="224" spans="2:5" x14ac:dyDescent="0.35">
      <c r="B224" s="2"/>
      <c r="C224" s="2"/>
      <c r="D224" s="2"/>
      <c r="E224" s="7"/>
    </row>
    <row r="225" spans="2:5" x14ac:dyDescent="0.35">
      <c r="B225" s="2"/>
      <c r="C225" s="2"/>
      <c r="D225" s="2"/>
      <c r="E225" s="7"/>
    </row>
    <row r="226" spans="2:5" x14ac:dyDescent="0.35">
      <c r="B226" s="2"/>
      <c r="C226" s="2"/>
      <c r="D226" s="2"/>
      <c r="E226" s="7"/>
    </row>
    <row r="227" spans="2:5" x14ac:dyDescent="0.35">
      <c r="B227" s="3"/>
      <c r="C227" s="3"/>
      <c r="D227" s="3"/>
      <c r="E227" s="8"/>
    </row>
    <row r="228" spans="2:5" x14ac:dyDescent="0.35">
      <c r="B228" s="3"/>
      <c r="C228" s="3"/>
      <c r="D228" s="3"/>
      <c r="E228" s="8"/>
    </row>
    <row r="229" spans="2:5" x14ac:dyDescent="0.35">
      <c r="B229" s="2"/>
      <c r="C229" s="2"/>
      <c r="D229" s="2"/>
      <c r="E229" s="7"/>
    </row>
    <row r="230" spans="2:5" x14ac:dyDescent="0.35">
      <c r="B230" s="2"/>
      <c r="C230" s="2"/>
      <c r="D230" s="2"/>
      <c r="E230" s="7"/>
    </row>
    <row r="231" spans="2:5" x14ac:dyDescent="0.35">
      <c r="B231" s="2"/>
      <c r="C231" s="2"/>
      <c r="D231" s="2"/>
      <c r="E231" s="7"/>
    </row>
    <row r="232" spans="2:5" x14ac:dyDescent="0.35">
      <c r="B232" s="3"/>
      <c r="C232" s="3"/>
      <c r="D232" s="3"/>
      <c r="E232" s="8"/>
    </row>
    <row r="233" spans="2:5" x14ac:dyDescent="0.35">
      <c r="B233" s="3"/>
      <c r="C233" s="3"/>
      <c r="D233" s="3"/>
      <c r="E233" s="8"/>
    </row>
    <row r="234" spans="2:5" x14ac:dyDescent="0.35">
      <c r="B234" s="2"/>
      <c r="C234" s="2"/>
      <c r="D234" s="2"/>
      <c r="E234" s="7"/>
    </row>
    <row r="235" spans="2:5" x14ac:dyDescent="0.35">
      <c r="B235" s="2"/>
      <c r="C235" s="2"/>
      <c r="D235" s="2"/>
      <c r="E235" s="7"/>
    </row>
    <row r="236" spans="2:5" x14ac:dyDescent="0.35">
      <c r="B236" s="2"/>
      <c r="C236" s="2"/>
      <c r="D236" s="2"/>
      <c r="E236" s="7"/>
    </row>
    <row r="237" spans="2:5" x14ac:dyDescent="0.35">
      <c r="B237" s="3"/>
      <c r="C237" s="3"/>
      <c r="D237" s="3"/>
      <c r="E237" s="8"/>
    </row>
    <row r="238" spans="2:5" x14ac:dyDescent="0.35">
      <c r="B238" s="3"/>
      <c r="C238" s="3"/>
      <c r="D238" s="3"/>
      <c r="E238" s="8"/>
    </row>
    <row r="239" spans="2:5" x14ac:dyDescent="0.35">
      <c r="B239" s="2"/>
      <c r="C239" s="2"/>
      <c r="D239" s="2"/>
      <c r="E239" s="7"/>
    </row>
    <row r="240" spans="2:5" x14ac:dyDescent="0.35">
      <c r="B240" s="2"/>
      <c r="C240" s="2"/>
      <c r="D240" s="2"/>
      <c r="E240" s="7"/>
    </row>
    <row r="241" spans="2:5" x14ac:dyDescent="0.35">
      <c r="B241" s="2"/>
      <c r="C241" s="2"/>
      <c r="D241" s="2"/>
      <c r="E241" s="7"/>
    </row>
    <row r="242" spans="2:5" x14ac:dyDescent="0.35">
      <c r="B242" s="3"/>
      <c r="C242" s="3"/>
      <c r="D242" s="3"/>
      <c r="E242" s="8"/>
    </row>
    <row r="243" spans="2:5" x14ac:dyDescent="0.35">
      <c r="B243" s="3"/>
      <c r="C243" s="3"/>
      <c r="D243" s="3"/>
      <c r="E243" s="8"/>
    </row>
    <row r="244" spans="2:5" x14ac:dyDescent="0.35">
      <c r="B244" s="2"/>
      <c r="C244" s="2"/>
      <c r="D244" s="2"/>
      <c r="E244" s="7"/>
    </row>
    <row r="245" spans="2:5" x14ac:dyDescent="0.35">
      <c r="B245" s="2"/>
      <c r="C245" s="2"/>
      <c r="D245" s="2"/>
      <c r="E245" s="7"/>
    </row>
    <row r="246" spans="2:5" x14ac:dyDescent="0.35">
      <c r="B246" s="2"/>
      <c r="C246" s="2"/>
      <c r="D246" s="2"/>
      <c r="E246" s="7"/>
    </row>
    <row r="247" spans="2:5" x14ac:dyDescent="0.35">
      <c r="B247" s="3"/>
      <c r="C247" s="3"/>
      <c r="D247" s="3"/>
      <c r="E247" s="8"/>
    </row>
    <row r="248" spans="2:5" x14ac:dyDescent="0.35">
      <c r="B248" s="3"/>
      <c r="C248" s="3"/>
      <c r="D248" s="3"/>
      <c r="E248" s="8"/>
    </row>
    <row r="249" spans="2:5" x14ac:dyDescent="0.35">
      <c r="B249" s="2"/>
      <c r="C249" s="2"/>
      <c r="D249" s="2"/>
      <c r="E249" s="7"/>
    </row>
    <row r="250" spans="2:5" x14ac:dyDescent="0.35">
      <c r="B250" s="2"/>
      <c r="C250" s="2"/>
      <c r="D250" s="2"/>
      <c r="E250" s="7"/>
    </row>
    <row r="251" spans="2:5" x14ac:dyDescent="0.35">
      <c r="B251" s="2"/>
      <c r="C251" s="2"/>
      <c r="D251" s="2"/>
      <c r="E251" s="7"/>
    </row>
    <row r="252" spans="2:5" x14ac:dyDescent="0.35">
      <c r="B252" s="3"/>
      <c r="C252" s="3"/>
      <c r="D252" s="3"/>
      <c r="E252" s="8"/>
    </row>
    <row r="253" spans="2:5" x14ac:dyDescent="0.35">
      <c r="B253" s="3"/>
      <c r="C253" s="3"/>
      <c r="D253" s="3"/>
      <c r="E253" s="8"/>
    </row>
    <row r="254" spans="2:5" x14ac:dyDescent="0.35">
      <c r="B254" s="2"/>
      <c r="C254" s="2"/>
      <c r="D254" s="2"/>
      <c r="E254" s="7"/>
    </row>
    <row r="255" spans="2:5" x14ac:dyDescent="0.35">
      <c r="B255" s="2"/>
      <c r="C255" s="2"/>
      <c r="D255" s="2"/>
      <c r="E255" s="7"/>
    </row>
    <row r="256" spans="2:5" x14ac:dyDescent="0.35">
      <c r="B256" s="2"/>
      <c r="C256" s="2"/>
      <c r="D256" s="2"/>
      <c r="E256" s="7"/>
    </row>
    <row r="257" spans="2:5" x14ac:dyDescent="0.35">
      <c r="B257" s="3"/>
      <c r="C257" s="3"/>
      <c r="D257" s="3"/>
      <c r="E257" s="8"/>
    </row>
    <row r="258" spans="2:5" x14ac:dyDescent="0.35">
      <c r="B258" s="3"/>
      <c r="C258" s="3"/>
      <c r="D258" s="3"/>
      <c r="E258" s="8"/>
    </row>
    <row r="259" spans="2:5" x14ac:dyDescent="0.35">
      <c r="B259" s="2"/>
      <c r="C259" s="2"/>
      <c r="D259" s="2"/>
      <c r="E259" s="7"/>
    </row>
    <row r="260" spans="2:5" x14ac:dyDescent="0.35">
      <c r="B260" s="2"/>
      <c r="C260" s="2"/>
      <c r="D260" s="2"/>
      <c r="E260" s="7"/>
    </row>
    <row r="261" spans="2:5" x14ac:dyDescent="0.35">
      <c r="B261" s="2"/>
      <c r="C261" s="2"/>
      <c r="D261" s="2"/>
      <c r="E261" s="7"/>
    </row>
    <row r="262" spans="2:5" x14ac:dyDescent="0.35">
      <c r="B262" s="3"/>
      <c r="C262" s="3"/>
      <c r="D262" s="3"/>
      <c r="E262" s="8"/>
    </row>
    <row r="263" spans="2:5" x14ac:dyDescent="0.35">
      <c r="B263" s="3"/>
      <c r="C263" s="3"/>
      <c r="D263" s="3"/>
      <c r="E263" s="8"/>
    </row>
    <row r="264" spans="2:5" x14ac:dyDescent="0.35">
      <c r="B264" s="2"/>
      <c r="C264" s="2"/>
      <c r="D264" s="2"/>
      <c r="E264" s="7"/>
    </row>
    <row r="265" spans="2:5" x14ac:dyDescent="0.35">
      <c r="B265" s="2"/>
      <c r="C265" s="2"/>
      <c r="D265" s="2"/>
      <c r="E265" s="7"/>
    </row>
  </sheetData>
  <sortState xmlns:xlrd2="http://schemas.microsoft.com/office/spreadsheetml/2017/richdata2" ref="B37:B46">
    <sortCondition ref="B37:B46"/>
  </sortState>
  <phoneticPr fontId="15" type="noConversion"/>
  <hyperlinks>
    <hyperlink ref="B103" location="Índice!A1" display="Volver al índice" xr:uid="{00000000-0004-0000-05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Índice</vt:lpstr>
      <vt:lpstr>Antecedentes</vt:lpstr>
      <vt:lpstr>Aprobación Anual</vt:lpstr>
      <vt:lpstr>Evolución Aprobación Anual</vt:lpstr>
      <vt:lpstr>Avance Curricular Esperado</vt:lpstr>
      <vt:lpstr>Evolución Avance Curricular 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catalina.jerez@mineduc.cl</dc:creator>
  <cp:keywords/>
  <dc:description/>
  <cp:lastModifiedBy>Rodrigo Rolando Meneses</cp:lastModifiedBy>
  <cp:revision/>
  <dcterms:created xsi:type="dcterms:W3CDTF">2012-05-11T20:13:46Z</dcterms:created>
  <dcterms:modified xsi:type="dcterms:W3CDTF">2025-08-25T17:58:29Z</dcterms:modified>
  <cp:category/>
  <cp:contentStatus/>
</cp:coreProperties>
</file>