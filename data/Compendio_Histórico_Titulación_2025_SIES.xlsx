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r\Informes\Informes 2025\13. Compendio Histórico\"/>
    </mc:Choice>
  </mc:AlternateContent>
  <xr:revisionPtr revIDLastSave="0" documentId="13_ncr:1_{00428015-9235-4EFC-A866-C267F5B43365}" xr6:coauthVersionLast="47" xr6:coauthVersionMax="47" xr10:uidLastSave="{00000000-0000-0000-0000-000000000000}"/>
  <bookViews>
    <workbookView xWindow="-120" yWindow="-120" windowWidth="24240" windowHeight="13740" activeTab="3" xr2:uid="{00000000-000D-0000-FFFF-FFFF00000000}"/>
  </bookViews>
  <sheets>
    <sheet name="INDICE" sheetId="6" r:id="rId1"/>
    <sheet name="Titulacion Total" sheetId="2" r:id="rId2"/>
    <sheet name="Titulacion Pregrado" sheetId="4" r:id="rId3"/>
    <sheet name="Titulacion Posgrad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X162" i="4" l="1"/>
  <c r="AX179" i="4"/>
  <c r="BC179" i="4"/>
  <c r="BB179" i="4"/>
  <c r="BA179" i="4"/>
  <c r="BA163" i="4"/>
  <c r="BB163" i="4"/>
  <c r="BC163" i="4"/>
  <c r="BA164" i="4"/>
  <c r="BB164" i="4"/>
  <c r="BC164" i="4"/>
  <c r="BA165" i="4"/>
  <c r="BB165" i="4"/>
  <c r="BC165" i="4"/>
  <c r="BA166" i="4"/>
  <c r="BB166" i="4"/>
  <c r="BC166" i="4"/>
  <c r="BA167" i="4"/>
  <c r="BB167" i="4"/>
  <c r="BC167" i="4"/>
  <c r="BA168" i="4"/>
  <c r="BB168" i="4"/>
  <c r="BC168" i="4"/>
  <c r="BA169" i="4"/>
  <c r="BB169" i="4"/>
  <c r="BC169" i="4"/>
  <c r="BA170" i="4"/>
  <c r="BB170" i="4"/>
  <c r="BC170" i="4"/>
  <c r="BA171" i="4"/>
  <c r="BB171" i="4"/>
  <c r="BC171" i="4"/>
  <c r="BA172" i="4"/>
  <c r="BB172" i="4"/>
  <c r="BC172" i="4"/>
  <c r="BA173" i="4"/>
  <c r="BB173" i="4"/>
  <c r="BC173" i="4"/>
  <c r="BA174" i="4"/>
  <c r="BB174" i="4"/>
  <c r="BC174" i="4"/>
  <c r="BA175" i="4"/>
  <c r="BB175" i="4"/>
  <c r="BC175" i="4"/>
  <c r="BA176" i="4"/>
  <c r="BB176" i="4"/>
  <c r="BC176" i="4"/>
  <c r="BA177" i="4"/>
  <c r="BB177" i="4"/>
  <c r="BC177" i="4"/>
  <c r="BA178" i="4"/>
  <c r="BB178" i="4"/>
  <c r="BC178" i="4"/>
  <c r="BB162" i="4"/>
  <c r="BC162" i="4"/>
  <c r="BA162" i="4"/>
  <c r="AX163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11" i="4"/>
  <c r="BB189" i="2" l="1"/>
  <c r="BC189" i="2"/>
  <c r="BA189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C172" i="2"/>
  <c r="BB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72" i="2"/>
  <c r="AZ172" i="2"/>
  <c r="AA127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21" i="2"/>
  <c r="BC188" i="2" l="1"/>
  <c r="BC187" i="2"/>
  <c r="BC186" i="2"/>
  <c r="BC185" i="2"/>
  <c r="BC184" i="2"/>
  <c r="BC183" i="2"/>
  <c r="BC182" i="2"/>
  <c r="BC181" i="2"/>
  <c r="BC180" i="2"/>
  <c r="BC179" i="2"/>
  <c r="BC178" i="2"/>
  <c r="BC177" i="2"/>
  <c r="BC176" i="2"/>
  <c r="BC175" i="2"/>
  <c r="BC174" i="2"/>
  <c r="BC173" i="2"/>
  <c r="AX172" i="2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62" i="4"/>
  <c r="AY179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62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Z178" i="2"/>
  <c r="AZ173" i="2"/>
  <c r="AZ174" i="2"/>
  <c r="AZ175" i="2"/>
  <c r="AZ176" i="2"/>
  <c r="AZ177" i="2"/>
  <c r="AZ179" i="2"/>
  <c r="AZ180" i="2"/>
  <c r="AZ181" i="2"/>
  <c r="AZ182" i="2"/>
  <c r="AZ183" i="2"/>
  <c r="AZ184" i="2"/>
  <c r="AZ185" i="2"/>
  <c r="AZ186" i="2"/>
  <c r="AZ187" i="2"/>
  <c r="AZ188" i="2"/>
  <c r="AZ189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S163" i="4"/>
  <c r="AW172" i="2"/>
  <c r="AV172" i="2"/>
  <c r="AU172" i="2"/>
  <c r="AT172" i="2"/>
  <c r="AT177" i="4"/>
  <c r="AU177" i="4"/>
  <c r="AV177" i="4"/>
  <c r="AW177" i="4"/>
  <c r="AV178" i="4"/>
  <c r="AW178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9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9" i="4"/>
  <c r="AW162" i="4"/>
  <c r="AV162" i="4"/>
  <c r="AV189" i="2"/>
  <c r="AW189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8" i="4"/>
  <c r="AU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8" i="4"/>
  <c r="AT162" i="4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S162" i="4"/>
  <c r="AR162" i="4"/>
  <c r="S177" i="2"/>
  <c r="U174" i="2"/>
  <c r="U189" i="2"/>
  <c r="W189" i="2"/>
  <c r="Y175" i="2"/>
  <c r="AA189" i="2"/>
  <c r="AC176" i="2"/>
  <c r="AE189" i="2"/>
  <c r="AG177" i="2"/>
  <c r="AI189" i="2"/>
  <c r="AK175" i="2"/>
  <c r="AM189" i="2"/>
  <c r="AO175" i="2"/>
  <c r="AQ189" i="2"/>
  <c r="AS180" i="2"/>
  <c r="AS189" i="2"/>
  <c r="D24" i="4"/>
  <c r="E24" i="4"/>
  <c r="F24" i="4"/>
  <c r="D25" i="4"/>
  <c r="E25" i="4"/>
  <c r="F25" i="4"/>
  <c r="D26" i="4"/>
  <c r="E26" i="4"/>
  <c r="F26" i="4"/>
  <c r="F23" i="4"/>
  <c r="E23" i="4"/>
  <c r="D23" i="4"/>
  <c r="F16" i="4"/>
  <c r="F17" i="4"/>
  <c r="F15" i="4"/>
  <c r="D16" i="4"/>
  <c r="D17" i="4"/>
  <c r="D15" i="4"/>
  <c r="AU179" i="4" l="1"/>
  <c r="AT179" i="4"/>
  <c r="T183" i="2"/>
  <c r="T175" i="2"/>
  <c r="U185" i="2"/>
  <c r="U177" i="2"/>
  <c r="X187" i="2"/>
  <c r="X177" i="2"/>
  <c r="Y183" i="2"/>
  <c r="AB172" i="2"/>
  <c r="AB176" i="2"/>
  <c r="AC180" i="2"/>
  <c r="AF184" i="2"/>
  <c r="AG188" i="2"/>
  <c r="AG173" i="2"/>
  <c r="AK184" i="2"/>
  <c r="AJ177" i="2"/>
  <c r="AO188" i="2"/>
  <c r="AN181" i="2"/>
  <c r="AO174" i="2"/>
  <c r="AR179" i="2"/>
  <c r="AS184" i="2"/>
  <c r="S174" i="2"/>
  <c r="AQ173" i="2"/>
  <c r="AI180" i="2"/>
  <c r="AA177" i="2"/>
  <c r="T172" i="2"/>
  <c r="T182" i="2"/>
  <c r="T174" i="2"/>
  <c r="U184" i="2"/>
  <c r="U176" i="2"/>
  <c r="X186" i="2"/>
  <c r="X175" i="2"/>
  <c r="Y182" i="2"/>
  <c r="AB188" i="2"/>
  <c r="AB174" i="2"/>
  <c r="AC178" i="2"/>
  <c r="AF182" i="2"/>
  <c r="AG186" i="2"/>
  <c r="AJ172" i="2"/>
  <c r="AK183" i="2"/>
  <c r="AK176" i="2"/>
  <c r="AO187" i="2"/>
  <c r="AO180" i="2"/>
  <c r="AN173" i="2"/>
  <c r="AR178" i="2"/>
  <c r="AS181" i="2"/>
  <c r="AK189" i="2"/>
  <c r="AG189" i="2"/>
  <c r="AC189" i="2"/>
  <c r="T187" i="2"/>
  <c r="T179" i="2"/>
  <c r="U181" i="2"/>
  <c r="U173" i="2"/>
  <c r="X182" i="2"/>
  <c r="Y188" i="2"/>
  <c r="Y178" i="2"/>
  <c r="AB183" i="2"/>
  <c r="AC186" i="2"/>
  <c r="AC173" i="2"/>
  <c r="AF176" i="2"/>
  <c r="AG181" i="2"/>
  <c r="AK187" i="2"/>
  <c r="AJ181" i="2"/>
  <c r="AK173" i="2"/>
  <c r="AN185" i="2"/>
  <c r="AO177" i="2"/>
  <c r="AR187" i="2"/>
  <c r="AS172" i="2"/>
  <c r="AS174" i="2"/>
  <c r="T186" i="2"/>
  <c r="T178" i="2"/>
  <c r="U188" i="2"/>
  <c r="U180" i="2"/>
  <c r="X172" i="2"/>
  <c r="X181" i="2"/>
  <c r="Y187" i="2"/>
  <c r="Y176" i="2"/>
  <c r="AB182" i="2"/>
  <c r="AC185" i="2"/>
  <c r="AF172" i="2"/>
  <c r="AF175" i="2"/>
  <c r="AG178" i="2"/>
  <c r="AJ187" i="2"/>
  <c r="AK179" i="2"/>
  <c r="AJ173" i="2"/>
  <c r="AO183" i="2"/>
  <c r="AN177" i="2"/>
  <c r="AR184" i="2"/>
  <c r="R188" i="2"/>
  <c r="R180" i="2"/>
  <c r="S189" i="2"/>
  <c r="S181" i="2"/>
  <c r="S173" i="2"/>
  <c r="V183" i="2"/>
  <c r="V173" i="2"/>
  <c r="W184" i="2"/>
  <c r="W174" i="2"/>
  <c r="Z172" i="2"/>
  <c r="Z181" i="2"/>
  <c r="AA186" i="2"/>
  <c r="AD184" i="2"/>
  <c r="AE188" i="2"/>
  <c r="AE173" i="2"/>
  <c r="AH185" i="2"/>
  <c r="AI188" i="2"/>
  <c r="AI174" i="2"/>
  <c r="AM188" i="2"/>
  <c r="AL181" i="2"/>
  <c r="AM177" i="2"/>
  <c r="AM173" i="2"/>
  <c r="AQ188" i="2"/>
  <c r="AQ181" i="2"/>
  <c r="AQ177" i="2"/>
  <c r="AQ174" i="2"/>
  <c r="AL174" i="2"/>
  <c r="AL176" i="2"/>
  <c r="AL178" i="2"/>
  <c r="AL180" i="2"/>
  <c r="AL182" i="2"/>
  <c r="AL184" i="2"/>
  <c r="AL186" i="2"/>
  <c r="AL188" i="2"/>
  <c r="AM172" i="2"/>
  <c r="AM174" i="2"/>
  <c r="AL177" i="2"/>
  <c r="AM179" i="2"/>
  <c r="AM182" i="2"/>
  <c r="AL185" i="2"/>
  <c r="AM187" i="2"/>
  <c r="AL172" i="2"/>
  <c r="AE175" i="2"/>
  <c r="AE179" i="2"/>
  <c r="AE183" i="2"/>
  <c r="AE187" i="2"/>
  <c r="AD174" i="2"/>
  <c r="AD178" i="2"/>
  <c r="AD182" i="2"/>
  <c r="AD186" i="2"/>
  <c r="AE172" i="2"/>
  <c r="AE176" i="2"/>
  <c r="AE181" i="2"/>
  <c r="AE186" i="2"/>
  <c r="AD175" i="2"/>
  <c r="AD180" i="2"/>
  <c r="AD185" i="2"/>
  <c r="AD172" i="2"/>
  <c r="W173" i="2"/>
  <c r="W177" i="2"/>
  <c r="W181" i="2"/>
  <c r="W185" i="2"/>
  <c r="V176" i="2"/>
  <c r="V180" i="2"/>
  <c r="V184" i="2"/>
  <c r="R187" i="2"/>
  <c r="R179" i="2"/>
  <c r="S188" i="2"/>
  <c r="S180" i="2"/>
  <c r="S176" i="2"/>
  <c r="V172" i="2"/>
  <c r="V187" i="2"/>
  <c r="V182" i="2"/>
  <c r="V177" i="2"/>
  <c r="W183" i="2"/>
  <c r="W178" i="2"/>
  <c r="AA172" i="2"/>
  <c r="Z185" i="2"/>
  <c r="Z179" i="2"/>
  <c r="Z174" i="2"/>
  <c r="AA185" i="2"/>
  <c r="AD189" i="2"/>
  <c r="AD183" i="2"/>
  <c r="AD176" i="2"/>
  <c r="AE185" i="2"/>
  <c r="AE178" i="2"/>
  <c r="AH172" i="2"/>
  <c r="AH184" i="2"/>
  <c r="AH176" i="2"/>
  <c r="AI186" i="2"/>
  <c r="AL187" i="2"/>
  <c r="AM183" i="2"/>
  <c r="AM180" i="2"/>
  <c r="AM176" i="2"/>
  <c r="AL173" i="2"/>
  <c r="AQ187" i="2"/>
  <c r="AQ184" i="2"/>
  <c r="AQ180" i="2"/>
  <c r="AP177" i="2"/>
  <c r="AR179" i="4"/>
  <c r="R184" i="2"/>
  <c r="R176" i="2"/>
  <c r="S185" i="2"/>
  <c r="V188" i="2"/>
  <c r="V178" i="2"/>
  <c r="W179" i="2"/>
  <c r="Z186" i="2"/>
  <c r="Z175" i="2"/>
  <c r="AA180" i="2"/>
  <c r="AD177" i="2"/>
  <c r="AE180" i="2"/>
  <c r="AH179" i="2"/>
  <c r="AI181" i="2"/>
  <c r="AM184" i="2"/>
  <c r="AP185" i="2"/>
  <c r="AP174" i="2"/>
  <c r="AP176" i="2"/>
  <c r="AP178" i="2"/>
  <c r="AP180" i="2"/>
  <c r="AP182" i="2"/>
  <c r="AP184" i="2"/>
  <c r="AP186" i="2"/>
  <c r="AP188" i="2"/>
  <c r="AQ172" i="2"/>
  <c r="AP173" i="2"/>
  <c r="AQ175" i="2"/>
  <c r="AQ178" i="2"/>
  <c r="AP181" i="2"/>
  <c r="AQ183" i="2"/>
  <c r="AQ186" i="2"/>
  <c r="AP189" i="2"/>
  <c r="AI175" i="2"/>
  <c r="AI179" i="2"/>
  <c r="AI183" i="2"/>
  <c r="AI187" i="2"/>
  <c r="AH174" i="2"/>
  <c r="AH178" i="2"/>
  <c r="AH182" i="2"/>
  <c r="AH186" i="2"/>
  <c r="AI172" i="2"/>
  <c r="AI173" i="2"/>
  <c r="AI178" i="2"/>
  <c r="AI184" i="2"/>
  <c r="AH177" i="2"/>
  <c r="AH183" i="2"/>
  <c r="AH188" i="2"/>
  <c r="AA175" i="2"/>
  <c r="AA179" i="2"/>
  <c r="AA183" i="2"/>
  <c r="AA187" i="2"/>
  <c r="AA173" i="2"/>
  <c r="AA178" i="2"/>
  <c r="AA184" i="2"/>
  <c r="Z176" i="2"/>
  <c r="Z180" i="2"/>
  <c r="Z184" i="2"/>
  <c r="Z188" i="2"/>
  <c r="R172" i="2"/>
  <c r="R183" i="2"/>
  <c r="R175" i="2"/>
  <c r="S184" i="2"/>
  <c r="W188" i="2"/>
  <c r="AO189" i="2"/>
  <c r="Y189" i="2"/>
  <c r="S172" i="2"/>
  <c r="R186" i="2"/>
  <c r="R182" i="2"/>
  <c r="R178" i="2"/>
  <c r="R174" i="2"/>
  <c r="S187" i="2"/>
  <c r="S183" i="2"/>
  <c r="S179" i="2"/>
  <c r="S175" i="2"/>
  <c r="T189" i="2"/>
  <c r="T185" i="2"/>
  <c r="T181" i="2"/>
  <c r="T177" i="2"/>
  <c r="T173" i="2"/>
  <c r="U187" i="2"/>
  <c r="U183" i="2"/>
  <c r="U179" i="2"/>
  <c r="U175" i="2"/>
  <c r="W172" i="2"/>
  <c r="V186" i="2"/>
  <c r="V181" i="2"/>
  <c r="V175" i="2"/>
  <c r="W187" i="2"/>
  <c r="W182" i="2"/>
  <c r="W176" i="2"/>
  <c r="Y172" i="2"/>
  <c r="X185" i="2"/>
  <c r="X179" i="2"/>
  <c r="X174" i="2"/>
  <c r="Y186" i="2"/>
  <c r="Y180" i="2"/>
  <c r="Z189" i="2"/>
  <c r="Z183" i="2"/>
  <c r="Z178" i="2"/>
  <c r="Z173" i="2"/>
  <c r="AA182" i="2"/>
  <c r="AA176" i="2"/>
  <c r="AB187" i="2"/>
  <c r="AB179" i="2"/>
  <c r="AC172" i="2"/>
  <c r="AC184" i="2"/>
  <c r="AD188" i="2"/>
  <c r="AD181" i="2"/>
  <c r="AD173" i="2"/>
  <c r="AE184" i="2"/>
  <c r="AE177" i="2"/>
  <c r="AF187" i="2"/>
  <c r="AF180" i="2"/>
  <c r="AF174" i="2"/>
  <c r="AG184" i="2"/>
  <c r="AH189" i="2"/>
  <c r="AH181" i="2"/>
  <c r="AH175" i="2"/>
  <c r="AI185" i="2"/>
  <c r="AI177" i="2"/>
  <c r="AK186" i="2"/>
  <c r="AK182" i="2"/>
  <c r="AJ179" i="2"/>
  <c r="AM186" i="2"/>
  <c r="AL183" i="2"/>
  <c r="AL179" i="2"/>
  <c r="AM175" i="2"/>
  <c r="AN172" i="2"/>
  <c r="AO186" i="2"/>
  <c r="AN183" i="2"/>
  <c r="AO179" i="2"/>
  <c r="AP172" i="2"/>
  <c r="AP187" i="2"/>
  <c r="AP183" i="2"/>
  <c r="AQ179" i="2"/>
  <c r="AQ176" i="2"/>
  <c r="AR172" i="2"/>
  <c r="AR183" i="2"/>
  <c r="AR176" i="2"/>
  <c r="AS186" i="2"/>
  <c r="AS173" i="2"/>
  <c r="AS175" i="2"/>
  <c r="AS179" i="2"/>
  <c r="AS183" i="2"/>
  <c r="AS187" i="2"/>
  <c r="AR173" i="2"/>
  <c r="AR177" i="2"/>
  <c r="AR181" i="2"/>
  <c r="AR185" i="2"/>
  <c r="AR189" i="2"/>
  <c r="AS176" i="2"/>
  <c r="AS177" i="2"/>
  <c r="AS182" i="2"/>
  <c r="AS188" i="2"/>
  <c r="AR175" i="2"/>
  <c r="AR180" i="2"/>
  <c r="AR186" i="2"/>
  <c r="AN174" i="2"/>
  <c r="AN176" i="2"/>
  <c r="AN178" i="2"/>
  <c r="AN180" i="2"/>
  <c r="AN182" i="2"/>
  <c r="AN184" i="2"/>
  <c r="AN186" i="2"/>
  <c r="AN188" i="2"/>
  <c r="AO172" i="2"/>
  <c r="AO173" i="2"/>
  <c r="AO176" i="2"/>
  <c r="AN179" i="2"/>
  <c r="AO181" i="2"/>
  <c r="AO184" i="2"/>
  <c r="AN187" i="2"/>
  <c r="AJ174" i="2"/>
  <c r="AJ176" i="2"/>
  <c r="AJ178" i="2"/>
  <c r="AJ180" i="2"/>
  <c r="AJ182" i="2"/>
  <c r="AJ184" i="2"/>
  <c r="AJ186" i="2"/>
  <c r="AJ188" i="2"/>
  <c r="AK172" i="2"/>
  <c r="AJ175" i="2"/>
  <c r="AK177" i="2"/>
  <c r="AK180" i="2"/>
  <c r="AJ183" i="2"/>
  <c r="AK185" i="2"/>
  <c r="AK188" i="2"/>
  <c r="AG175" i="2"/>
  <c r="AG179" i="2"/>
  <c r="AG183" i="2"/>
  <c r="AG187" i="2"/>
  <c r="AF173" i="2"/>
  <c r="AF177" i="2"/>
  <c r="AF181" i="2"/>
  <c r="AF185" i="2"/>
  <c r="AF189" i="2"/>
  <c r="AG174" i="2"/>
  <c r="AG180" i="2"/>
  <c r="AG185" i="2"/>
  <c r="AG172" i="2"/>
  <c r="AF178" i="2"/>
  <c r="AF183" i="2"/>
  <c r="AF188" i="2"/>
  <c r="AC175" i="2"/>
  <c r="AC179" i="2"/>
  <c r="AC183" i="2"/>
  <c r="AC187" i="2"/>
  <c r="AB173" i="2"/>
  <c r="AB177" i="2"/>
  <c r="AB181" i="2"/>
  <c r="AB185" i="2"/>
  <c r="AB189" i="2"/>
  <c r="AC177" i="2"/>
  <c r="AC182" i="2"/>
  <c r="AC188" i="2"/>
  <c r="AB175" i="2"/>
  <c r="AB180" i="2"/>
  <c r="AB186" i="2"/>
  <c r="Y173" i="2"/>
  <c r="Y177" i="2"/>
  <c r="Y181" i="2"/>
  <c r="Y185" i="2"/>
  <c r="X176" i="2"/>
  <c r="X180" i="2"/>
  <c r="X184" i="2"/>
  <c r="X188" i="2"/>
  <c r="R189" i="2"/>
  <c r="R185" i="2"/>
  <c r="R181" i="2"/>
  <c r="R177" i="2"/>
  <c r="R173" i="2"/>
  <c r="S186" i="2"/>
  <c r="S182" i="2"/>
  <c r="S178" i="2"/>
  <c r="T188" i="2"/>
  <c r="T184" i="2"/>
  <c r="T180" i="2"/>
  <c r="T176" i="2"/>
  <c r="U172" i="2"/>
  <c r="U186" i="2"/>
  <c r="U182" i="2"/>
  <c r="U178" i="2"/>
  <c r="V189" i="2"/>
  <c r="V185" i="2"/>
  <c r="V179" i="2"/>
  <c r="V174" i="2"/>
  <c r="W186" i="2"/>
  <c r="W180" i="2"/>
  <c r="W175" i="2"/>
  <c r="X189" i="2"/>
  <c r="X183" i="2"/>
  <c r="X178" i="2"/>
  <c r="X173" i="2"/>
  <c r="Y184" i="2"/>
  <c r="Y179" i="2"/>
  <c r="Y174" i="2"/>
  <c r="Z187" i="2"/>
  <c r="Z182" i="2"/>
  <c r="Z177" i="2"/>
  <c r="AA188" i="2"/>
  <c r="AA181" i="2"/>
  <c r="AA174" i="2"/>
  <c r="AB184" i="2"/>
  <c r="AB178" i="2"/>
  <c r="AC181" i="2"/>
  <c r="AC174" i="2"/>
  <c r="AD187" i="2"/>
  <c r="AD179" i="2"/>
  <c r="AE182" i="2"/>
  <c r="AE174" i="2"/>
  <c r="AF186" i="2"/>
  <c r="AF179" i="2"/>
  <c r="AG182" i="2"/>
  <c r="AG176" i="2"/>
  <c r="AH187" i="2"/>
  <c r="AH180" i="2"/>
  <c r="AH173" i="2"/>
  <c r="AI182" i="2"/>
  <c r="AI176" i="2"/>
  <c r="AJ189" i="2"/>
  <c r="AJ185" i="2"/>
  <c r="AK181" i="2"/>
  <c r="AK178" i="2"/>
  <c r="AK174" i="2"/>
  <c r="AL189" i="2"/>
  <c r="AM185" i="2"/>
  <c r="AM181" i="2"/>
  <c r="AM178" i="2"/>
  <c r="AL175" i="2"/>
  <c r="AN189" i="2"/>
  <c r="AO185" i="2"/>
  <c r="AO182" i="2"/>
  <c r="AO178" i="2"/>
  <c r="AN175" i="2"/>
  <c r="AQ185" i="2"/>
  <c r="AQ182" i="2"/>
  <c r="AP179" i="2"/>
  <c r="AP175" i="2"/>
  <c r="AR188" i="2"/>
  <c r="AR182" i="2"/>
  <c r="AR174" i="2"/>
  <c r="AS185" i="2"/>
  <c r="AS178" i="2"/>
  <c r="AS179" i="4"/>
  <c r="E166" i="2"/>
  <c r="D166" i="2"/>
  <c r="B167" i="2"/>
  <c r="B121" i="2"/>
  <c r="AQ163" i="4" l="1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62" i="4"/>
  <c r="AP179" i="4" l="1"/>
  <c r="AQ179" i="4"/>
  <c r="AO163" i="4" l="1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O162" i="4"/>
  <c r="AN162" i="4"/>
  <c r="AM162" i="4"/>
  <c r="AL162" i="4"/>
  <c r="AK162" i="4"/>
  <c r="AJ162" i="4"/>
  <c r="AE162" i="4"/>
  <c r="AD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C162" i="4"/>
  <c r="AB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AA162" i="4"/>
  <c r="Z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Y162" i="4"/>
  <c r="X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62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62" i="4"/>
  <c r="AO179" i="4" l="1"/>
  <c r="AF179" i="4"/>
  <c r="V179" i="4"/>
  <c r="W179" i="4"/>
  <c r="AN179" i="4"/>
  <c r="AG179" i="4"/>
  <c r="B122" i="2"/>
  <c r="C142" i="2"/>
  <c r="D141" i="2"/>
  <c r="D142" i="2"/>
  <c r="E141" i="2"/>
  <c r="E142" i="2"/>
  <c r="F141" i="2"/>
  <c r="F142" i="2"/>
  <c r="G141" i="2"/>
  <c r="G142" i="2"/>
  <c r="H141" i="2"/>
  <c r="H142" i="2"/>
  <c r="I141" i="2"/>
  <c r="I142" i="2"/>
  <c r="B141" i="2"/>
  <c r="B142" i="2"/>
  <c r="B125" i="2" l="1"/>
  <c r="B134" i="2"/>
  <c r="B133" i="2"/>
  <c r="B129" i="2"/>
  <c r="E143" i="2"/>
  <c r="B137" i="2"/>
  <c r="B128" i="2"/>
  <c r="H143" i="2"/>
  <c r="B124" i="2"/>
  <c r="B136" i="2"/>
  <c r="B132" i="2"/>
  <c r="B127" i="2"/>
  <c r="B123" i="2"/>
  <c r="C143" i="2"/>
  <c r="B135" i="2"/>
  <c r="B131" i="2"/>
  <c r="B126" i="2"/>
  <c r="D143" i="2"/>
  <c r="F143" i="2"/>
  <c r="I143" i="2"/>
  <c r="G143" i="2"/>
</calcChain>
</file>

<file path=xl/sharedStrings.xml><?xml version="1.0" encoding="utf-8"?>
<sst xmlns="http://schemas.openxmlformats.org/spreadsheetml/2006/main" count="1358" uniqueCount="126">
  <si>
    <t>Educación</t>
  </si>
  <si>
    <t>Pregrado</t>
  </si>
  <si>
    <t>Carreras Profesionales</t>
  </si>
  <si>
    <t>Arte y Arquitectura</t>
  </si>
  <si>
    <t>Humanidades</t>
  </si>
  <si>
    <t>Postítulo</t>
  </si>
  <si>
    <t>Ciencias Sociales</t>
  </si>
  <si>
    <t>Administración y Comercio</t>
  </si>
  <si>
    <t>Derecho</t>
  </si>
  <si>
    <t>Tecnología</t>
  </si>
  <si>
    <t>Salud</t>
  </si>
  <si>
    <t>Carreras Técnicas</t>
  </si>
  <si>
    <t>Agropecuaria</t>
  </si>
  <si>
    <t>Ciencias Básicas</t>
  </si>
  <si>
    <t>Doctorado</t>
  </si>
  <si>
    <t>Total general</t>
  </si>
  <si>
    <t>Tipo de institución</t>
  </si>
  <si>
    <t>CFT</t>
  </si>
  <si>
    <t>IP</t>
  </si>
  <si>
    <t>Universidad</t>
  </si>
  <si>
    <t>U. Privada</t>
  </si>
  <si>
    <t>Nivel de formación</t>
  </si>
  <si>
    <t>Posgrado</t>
  </si>
  <si>
    <t xml:space="preserve">Nivel de formación </t>
  </si>
  <si>
    <t>Área de conocimiento</t>
  </si>
  <si>
    <t>Región</t>
  </si>
  <si>
    <t>I Región</t>
  </si>
  <si>
    <t>II Región</t>
  </si>
  <si>
    <t>III Región</t>
  </si>
  <si>
    <t>IV Región</t>
  </si>
  <si>
    <t>V Región</t>
  </si>
  <si>
    <t>VI Región</t>
  </si>
  <si>
    <t>VII Región</t>
  </si>
  <si>
    <t>VIII Región</t>
  </si>
  <si>
    <t>IX Región</t>
  </si>
  <si>
    <t>X Región</t>
  </si>
  <si>
    <t>XI Región</t>
  </si>
  <si>
    <t>XII Región</t>
  </si>
  <si>
    <t>XIV Región</t>
  </si>
  <si>
    <t>XV Región</t>
  </si>
  <si>
    <t>Región Metropolitana</t>
  </si>
  <si>
    <t>Otras regiones</t>
  </si>
  <si>
    <t>Tipo de carrera</t>
  </si>
  <si>
    <t xml:space="preserve">Área de conocimiento </t>
  </si>
  <si>
    <t>Sin información</t>
  </si>
  <si>
    <t>Total General</t>
  </si>
  <si>
    <t>Total Posgrado</t>
  </si>
  <si>
    <t>Tipo de universidad</t>
  </si>
  <si>
    <t>Tipo de programa</t>
  </si>
  <si>
    <t>Magíster</t>
  </si>
  <si>
    <t>Total Magíster</t>
  </si>
  <si>
    <t>Total Doctorado</t>
  </si>
  <si>
    <t>Tipo universidad</t>
  </si>
  <si>
    <t>TITULACIÓN TOTAL DE EDUCACIÓN SUPERIOR</t>
  </si>
  <si>
    <t>TITULACIÓN DE PREGRADO DE EDUCACIÓN SUPERIOR</t>
  </si>
  <si>
    <t>Índice de tablas</t>
  </si>
  <si>
    <t xml:space="preserve">Hoja </t>
  </si>
  <si>
    <t>Tabla</t>
  </si>
  <si>
    <t>Contenido</t>
  </si>
  <si>
    <t>TITULACIÓN TOTAL DE PREGRADO</t>
  </si>
  <si>
    <t>TITULACIÓN TOTAL DE POSGRADO</t>
  </si>
  <si>
    <t>En caso de utilizar datos de esta base para notas periodísticas, estudios u otras publicaciones, se debe citar como fuente de los datos al Servicio de Información de Educación Superior (SIES), de Mineduc.</t>
  </si>
  <si>
    <t>Volver al Índice</t>
  </si>
  <si>
    <t>Sexo</t>
  </si>
  <si>
    <t>Hombre</t>
  </si>
  <si>
    <t>Mujer</t>
  </si>
  <si>
    <t>NOTA: Para el año 2004, aproximadamente el 33% de las instituciones vigentes a la fecha, no enviaron información sobre titulación. Se ha decidido mantener la información del año 2004 solo con las instituciones que informaron, para no perder la serie histórica.</t>
  </si>
  <si>
    <t>U. CRUCH</t>
  </si>
  <si>
    <t>XVI Región</t>
  </si>
  <si>
    <t>Evolución de Titulación de magíster por sexo 1999 -2018</t>
  </si>
  <si>
    <t>COMPENDIO HISTÓRICO TITULADOS EDUCACIÓN SUPERIOR</t>
  </si>
  <si>
    <t>Sin Información</t>
  </si>
  <si>
    <t>35.771(*)</t>
  </si>
  <si>
    <t>37.614(*)</t>
  </si>
  <si>
    <t>(*) El total incluye los estudiantes sin región definida.</t>
  </si>
  <si>
    <t>18.503(*)</t>
  </si>
  <si>
    <t>19.111(*)</t>
  </si>
  <si>
    <t>Evolución de Titulación de magíster por sexo 1999 -2021</t>
  </si>
  <si>
    <t>No Binario</t>
  </si>
  <si>
    <t>TITULACIÓN DE POSGRADO DE EDUCACIÓN SUPERIOR</t>
  </si>
  <si>
    <t>1999-2024</t>
  </si>
  <si>
    <t>Evolución de Titulación Total por sexo 1999 - 2024</t>
  </si>
  <si>
    <t>Evolución de Titulación Total por tipo general de institución 1999 - 2024</t>
  </si>
  <si>
    <t>Evolución de Titulación Total por tipo específico de institución 1999 - 2024</t>
  </si>
  <si>
    <t>Evolución de Titulación Total por tipo general de institución y sexo 1999 - 2024</t>
  </si>
  <si>
    <t>Evolución de Titulación Total por tipo específico de institución y sexo 1999 - 2024</t>
  </si>
  <si>
    <t>Evolución de Titulación Total por nivel de formación 1999 - 2024</t>
  </si>
  <si>
    <t>Evolución de Titulación Total por nivel de formación y sexo 1999 - 2024</t>
  </si>
  <si>
    <t>Evolución de Titulación Total por área del conocimiento 1999 - 2024</t>
  </si>
  <si>
    <t>Evolución de Titulación Total por área del conocimiento y sexo 1999 - 2024</t>
  </si>
  <si>
    <t>Evolución de Titulación Total por región 1999 - 2024</t>
  </si>
  <si>
    <t>Evolución de la participacion a nivel de región del número de estudiantes titulados de educación superior 1999 - 2024</t>
  </si>
  <si>
    <t>Evolución de N° de titulados en la Región Metropolitana y otras regiones 1999 - 2024</t>
  </si>
  <si>
    <t>Evolución del N° de estudiantes titulados en educación superior por región y sexo 1999 - 2024</t>
  </si>
  <si>
    <t>Evolución de la participación a nivel de región del n° de estudiantes titulados en educación superior por sexo 1999 - 2024</t>
  </si>
  <si>
    <t>Evolución del N° de estudiantes titulados en educación superior en la Región Metropolitana y otras regiones por sexo 1999 - 2024</t>
  </si>
  <si>
    <t>Evolución de Titulación Total de Pregrado por sexo 1999 - 2024</t>
  </si>
  <si>
    <t>Evolución de Titulación Total de Pregrado por tipo general de institución 1999 - 2024</t>
  </si>
  <si>
    <t>Evolución de Titulación Total de Pregrado por tipo especifico de institución 1999 - 2024</t>
  </si>
  <si>
    <t>Evolución de Titulación Total de Pregrado por tipo general de institución y sexo 1999 - 2024</t>
  </si>
  <si>
    <t>Evolución de Titulación Total de Pregrado por tipo específico de institución y sexo 1999 - 2024</t>
  </si>
  <si>
    <t>Evolución de Titulación Total de Pregrado por tipo de carrera 1999 - 2024</t>
  </si>
  <si>
    <t>Evolución de Titulación Total de Pregrado por área del conocimiento 1999 - 2024</t>
  </si>
  <si>
    <t>Evolución de Titulación Total de Pregrado por área del conocimiento y sexo 1999 - 2024</t>
  </si>
  <si>
    <t>Evolución de Titulación Total de Pregrado por región 1999 - 2024</t>
  </si>
  <si>
    <t>Evolución de la participacion a nivel de regiones de titulados de pregrado 1999 - 2024</t>
  </si>
  <si>
    <t>Evolución de Titulación Total de Pregrado en la Región Metropolitana y el resto de las regiones 1999 - 2024</t>
  </si>
  <si>
    <t>Evolución de Titulación Total de Pregrado por región y sexo 1999 - 2024</t>
  </si>
  <si>
    <t>Evolución de la participación de cada región en el número de titulados de pregrado por sexo 1999 - 2024</t>
  </si>
  <si>
    <t>Evolución del N° de estudiantes de pregrado titulados en educación superior en la Región Metropolitana y otras regiones por sexo 1999 - 2024</t>
  </si>
  <si>
    <t>Evolución de Titulación Total de Posgrado 1999 - 2024</t>
  </si>
  <si>
    <t>Evolución de Titulación Total de Posgrado por tipo de universidad 1999 - 2024</t>
  </si>
  <si>
    <t>Evolución de Titulación Total de Posgrado por nivel de formación 1999 - 2024</t>
  </si>
  <si>
    <t>Evolución de Titulación Total de Posgrado por sexo 1999 - 2024</t>
  </si>
  <si>
    <t>Evolución de Titulación Total de Posgrado por tipo de universidad y sexo 1999 - 2024</t>
  </si>
  <si>
    <t>Evolución de Titulación Total de Posgrado por nivel de formación y sexo 1999 - 2024</t>
  </si>
  <si>
    <t>Evolución de Titulación de magíster 1999 - 2024</t>
  </si>
  <si>
    <t>Evolución de Titulación de magíster por tipo de universidad 1999 - 2024</t>
  </si>
  <si>
    <t>Evolución de Titulación de magíster por tipo de universidad y sexo 1999 - 2024</t>
  </si>
  <si>
    <t>Evolución de Titulación de doctorado 1999 - 2024</t>
  </si>
  <si>
    <t>Evolución de Titulación de doctorado por tipo de universidad 1999 - 2024</t>
  </si>
  <si>
    <t>Evolución de Titulación de doctorado por sexo 1999 - 2024</t>
  </si>
  <si>
    <t>Evolución de Titulación de doctorado por tipo de universidad y sexo 1999 - 2024</t>
  </si>
  <si>
    <t>© Servicio de Información de Educación Superior 2025</t>
  </si>
  <si>
    <t>Evolución de Titulación Total de Pregrado por tipo específico de institución 1999 - 2024</t>
  </si>
  <si>
    <t>Evolución de la participación de cada región en el número de titulados de pregrado por sexo  1999 - 2024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</si>
</sst>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_-* #,##0.00_-;\-* #,##0.00_-;_-* &quot;-&quot;??_-;_-@_-"/>
    <numFmt numFmtId="165" formatCode="_-* #,##0.00\ _€_-;\-* #,##0.00\ _€_-;_-* &quot;-&quot;??\ _€_-;_-@_-"/>
    <numFmt numFmtId="166" formatCode="0.0%"/>
    <numFmt numFmtId="167" formatCode="_-* #,##0\ _€_-;\-* #,##0\ _€_-;_-* &quot;-&quot;??\ _€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21" fillId="34" borderId="10" xfId="43" applyFont="1" applyFill="1" applyBorder="1" applyAlignment="1">
      <alignment horizontal="left" vertical="center"/>
    </xf>
    <xf numFmtId="0" fontId="18" fillId="0" borderId="0" xfId="42"/>
    <xf numFmtId="0" fontId="21" fillId="34" borderId="10" xfId="43" applyFont="1" applyFill="1" applyBorder="1" applyAlignment="1">
      <alignment horizontal="center"/>
    </xf>
    <xf numFmtId="0" fontId="1" fillId="33" borderId="0" xfId="43" applyFill="1"/>
    <xf numFmtId="0" fontId="18" fillId="33" borderId="0" xfId="43" applyFont="1" applyFill="1"/>
    <xf numFmtId="0" fontId="16" fillId="33" borderId="0" xfId="43" applyFont="1" applyFill="1"/>
    <xf numFmtId="0" fontId="16" fillId="33" borderId="0" xfId="43" applyFont="1" applyFill="1" applyAlignment="1">
      <alignment horizontal="center"/>
    </xf>
    <xf numFmtId="0" fontId="1" fillId="33" borderId="0" xfId="43" applyFill="1" applyAlignment="1">
      <alignment horizontal="center"/>
    </xf>
    <xf numFmtId="0" fontId="20" fillId="33" borderId="0" xfId="43" applyFont="1" applyFill="1"/>
    <xf numFmtId="0" fontId="24" fillId="33" borderId="0" xfId="43" applyFont="1" applyFill="1"/>
    <xf numFmtId="0" fontId="1" fillId="0" borderId="0" xfId="42" applyFont="1"/>
    <xf numFmtId="0" fontId="19" fillId="33" borderId="0" xfId="44" applyFill="1"/>
    <xf numFmtId="0" fontId="0" fillId="0" borderId="0" xfId="0" applyAlignment="1">
      <alignment vertical="center"/>
    </xf>
    <xf numFmtId="166" fontId="22" fillId="0" borderId="10" xfId="46" applyNumberFormat="1" applyFont="1" applyFill="1" applyBorder="1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vertical="center"/>
    </xf>
    <xf numFmtId="0" fontId="19" fillId="33" borderId="0" xfId="44" applyFill="1" applyAlignment="1">
      <alignment vertical="center"/>
    </xf>
    <xf numFmtId="0" fontId="21" fillId="34" borderId="10" xfId="4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42" applyAlignment="1">
      <alignment horizontal="center" vertical="center"/>
    </xf>
    <xf numFmtId="3" fontId="22" fillId="0" borderId="10" xfId="43" applyNumberFormat="1" applyFont="1" applyBorder="1" applyAlignment="1">
      <alignment horizontal="center" vertical="center"/>
    </xf>
    <xf numFmtId="0" fontId="1" fillId="0" borderId="0" xfId="43" applyAlignment="1">
      <alignment horizontal="center" vertical="center"/>
    </xf>
    <xf numFmtId="0" fontId="23" fillId="0" borderId="0" xfId="43" applyFont="1" applyAlignment="1">
      <alignment horizontal="left" vertical="center"/>
    </xf>
    <xf numFmtId="0" fontId="20" fillId="0" borderId="0" xfId="43" applyFont="1" applyAlignment="1">
      <alignment horizontal="left" vertical="center"/>
    </xf>
    <xf numFmtId="3" fontId="22" fillId="0" borderId="10" xfId="43" applyNumberFormat="1" applyFont="1" applyBorder="1" applyAlignment="1">
      <alignment horizontal="left" vertical="center"/>
    </xf>
    <xf numFmtId="0" fontId="21" fillId="0" borderId="10" xfId="43" applyFont="1" applyBorder="1" applyAlignment="1">
      <alignment horizontal="left" vertical="center"/>
    </xf>
    <xf numFmtId="0" fontId="22" fillId="0" borderId="10" xfId="43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19" fillId="0" borderId="0" xfId="44" applyAlignment="1">
      <alignment horizontal="left" vertical="center"/>
    </xf>
    <xf numFmtId="167" fontId="22" fillId="0" borderId="10" xfId="47" applyNumberFormat="1" applyFont="1" applyFill="1" applyBorder="1" applyAlignment="1">
      <alignment horizontal="center" vertical="center"/>
    </xf>
    <xf numFmtId="166" fontId="22" fillId="0" borderId="10" xfId="43" applyNumberFormat="1" applyFont="1" applyBorder="1" applyAlignment="1">
      <alignment horizontal="center" vertical="center"/>
    </xf>
    <xf numFmtId="167" fontId="21" fillId="0" borderId="10" xfId="47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26" fillId="0" borderId="0" xfId="42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/>
    <xf numFmtId="0" fontId="26" fillId="0" borderId="0" xfId="42" applyFont="1"/>
    <xf numFmtId="167" fontId="0" fillId="0" borderId="0" xfId="0" applyNumberFormat="1" applyAlignment="1">
      <alignment vertical="center"/>
    </xf>
    <xf numFmtId="166" fontId="21" fillId="0" borderId="10" xfId="46" applyNumberFormat="1" applyFont="1" applyFill="1" applyBorder="1" applyAlignment="1">
      <alignment horizontal="center" vertical="center"/>
    </xf>
    <xf numFmtId="0" fontId="22" fillId="0" borderId="0" xfId="43" applyFont="1" applyAlignment="1">
      <alignment horizontal="left" vertical="center"/>
    </xf>
    <xf numFmtId="166" fontId="21" fillId="0" borderId="10" xfId="43" applyNumberFormat="1" applyFont="1" applyBorder="1" applyAlignment="1">
      <alignment horizontal="center" vertical="center"/>
    </xf>
    <xf numFmtId="166" fontId="0" fillId="0" borderId="0" xfId="46" applyNumberFormat="1" applyFont="1" applyAlignment="1">
      <alignment horizontal="center" vertical="center"/>
    </xf>
    <xf numFmtId="0" fontId="24" fillId="33" borderId="0" xfId="43" applyFont="1" applyFill="1" applyAlignment="1">
      <alignment horizontal="center"/>
    </xf>
    <xf numFmtId="0" fontId="27" fillId="0" borderId="0" xfId="0" applyFont="1" applyAlignment="1">
      <alignment horizontal="left" vertical="center"/>
    </xf>
    <xf numFmtId="41" fontId="22" fillId="0" borderId="10" xfId="49" applyFont="1" applyFill="1" applyBorder="1" applyAlignment="1">
      <alignment horizontal="center" vertical="center"/>
    </xf>
    <xf numFmtId="41" fontId="21" fillId="0" borderId="10" xfId="49" applyFont="1" applyFill="1" applyBorder="1" applyAlignment="1">
      <alignment horizontal="center" vertical="center"/>
    </xf>
    <xf numFmtId="41" fontId="21" fillId="0" borderId="10" xfId="49" applyFont="1" applyFill="1" applyBorder="1" applyAlignment="1">
      <alignment horizontal="right" vertical="center"/>
    </xf>
    <xf numFmtId="41" fontId="22" fillId="0" borderId="10" xfId="49" applyFont="1" applyFill="1" applyBorder="1" applyAlignment="1">
      <alignment horizontal="right"/>
    </xf>
    <xf numFmtId="41" fontId="21" fillId="0" borderId="10" xfId="49" applyFont="1" applyFill="1" applyBorder="1" applyAlignment="1">
      <alignment horizontal="right"/>
    </xf>
    <xf numFmtId="41" fontId="18" fillId="0" borderId="0" xfId="42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21" fillId="34" borderId="10" xfId="43" applyFont="1" applyFill="1" applyBorder="1" applyAlignment="1">
      <alignment horizontal="center" vertical="center"/>
    </xf>
    <xf numFmtId="0" fontId="21" fillId="34" borderId="10" xfId="43" applyFont="1" applyFill="1" applyBorder="1" applyAlignment="1">
      <alignment horizontal="left" vertical="center" wrapText="1"/>
    </xf>
    <xf numFmtId="0" fontId="21" fillId="34" borderId="11" xfId="43" applyFont="1" applyFill="1" applyBorder="1" applyAlignment="1">
      <alignment horizontal="center" vertical="center"/>
    </xf>
    <xf numFmtId="0" fontId="21" fillId="34" borderId="12" xfId="43" applyFont="1" applyFill="1" applyBorder="1" applyAlignment="1">
      <alignment horizontal="center" vertical="center"/>
    </xf>
    <xf numFmtId="0" fontId="21" fillId="34" borderId="13" xfId="43" applyFont="1" applyFill="1" applyBorder="1" applyAlignment="1">
      <alignment horizontal="center" vertical="center"/>
    </xf>
    <xf numFmtId="0" fontId="21" fillId="34" borderId="10" xfId="43" applyFont="1" applyFill="1" applyBorder="1" applyAlignment="1">
      <alignment horizontal="center"/>
    </xf>
    <xf numFmtId="0" fontId="21" fillId="34" borderId="11" xfId="43" applyFont="1" applyFill="1" applyBorder="1" applyAlignment="1">
      <alignment horizontal="center"/>
    </xf>
    <xf numFmtId="0" fontId="21" fillId="34" borderId="13" xfId="43" applyFont="1" applyFill="1" applyBorder="1" applyAlignment="1">
      <alignment horizontal="center"/>
    </xf>
  </cellXfs>
  <cellStyles count="50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4" builtinId="8"/>
    <cellStyle name="Incorrecto" xfId="7" builtinId="27" customBuiltin="1"/>
    <cellStyle name="Millares" xfId="47" builtinId="3"/>
    <cellStyle name="Millares [0]" xfId="49" builtinId="6"/>
    <cellStyle name="Millares 2" xfId="48" xr:uid="{00000000-0005-0000-0000-000022000000}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tas" xfId="15" builtinId="10" customBuiltin="1"/>
    <cellStyle name="Porcentaje" xfId="46" builtinId="5"/>
    <cellStyle name="Porcentaje 2" xfId="45" xr:uid="{00000000-0005-0000-0000-000029000000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624417</xdr:colOff>
      <xdr:row>0</xdr:row>
      <xdr:rowOff>74083</xdr:rowOff>
    </xdr:from>
    <xdr:to>
      <xdr:col>5</xdr:col>
      <xdr:colOff>452967</xdr:colOff>
      <xdr:row>2</xdr:row>
      <xdr:rowOff>135170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7584" y="74083"/>
          <a:ext cx="1352550" cy="928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265556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8AFD1-840A-4249-9B1E-563521C19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76806" cy="1248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428625</xdr:colOff>
      <xdr:row>0</xdr:row>
      <xdr:rowOff>11907</xdr:rowOff>
    </xdr:from>
    <xdr:to>
      <xdr:col>18</xdr:col>
      <xdr:colOff>74709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375" y="11907"/>
          <a:ext cx="1074834" cy="7381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357187</xdr:colOff>
      <xdr:row>0</xdr:row>
      <xdr:rowOff>0</xdr:rowOff>
    </xdr:from>
    <xdr:to>
      <xdr:col>18</xdr:col>
      <xdr:colOff>3271</xdr:colOff>
      <xdr:row>2</xdr:row>
      <xdr:rowOff>261937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A3EC73-9010-45B2-AFE6-430852699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0093" y="0"/>
          <a:ext cx="1074834" cy="7381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226218</xdr:colOff>
      <xdr:row>0</xdr:row>
      <xdr:rowOff>0</xdr:rowOff>
    </xdr:from>
    <xdr:to>
      <xdr:col>14</xdr:col>
      <xdr:colOff>646208</xdr:colOff>
      <xdr:row>2</xdr:row>
      <xdr:rowOff>309562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7D1A20-0BF9-4F87-8599-7873CE3E4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5843" y="0"/>
          <a:ext cx="1074834" cy="738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99"/>
  <sheetViews>
    <sheetView showGridLines="0" zoomScale="90" zoomScaleNormal="90" workbookViewId="0">
      <pane ySplit="4" topLeftCell="A46" activePane="bottomLeft" state="frozen"/>
      <selection pane="bottomLeft" activeCell="C9" sqref="C9"/>
    </sheetView>
  </sheetViews>
  <sheetFormatPr baseColWidth="10" defaultRowHeight="15" x14ac:dyDescent="0.25"/>
  <cols>
    <col min="1" max="2" width="16.7109375" customWidth="1"/>
    <col min="3" max="3" width="130.7109375" bestFit="1" customWidth="1"/>
    <col min="7" max="8" width="10.85546875" style="15"/>
    <col min="9" max="9" width="20.7109375" style="16" customWidth="1"/>
    <col min="10" max="43" width="10.85546875" style="15"/>
  </cols>
  <sheetData>
    <row r="1" spans="1:66" ht="33.75" x14ac:dyDescent="0.5">
      <c r="A1" s="4"/>
      <c r="B1" s="4"/>
      <c r="C1" s="10" t="s">
        <v>70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ht="33.75" x14ac:dyDescent="0.5">
      <c r="A2" s="4"/>
      <c r="B2" s="4"/>
      <c r="C2" s="49" t="s">
        <v>80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 x14ac:dyDescent="0.25">
      <c r="A3" s="4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 x14ac:dyDescent="0.25">
      <c r="A4" s="4"/>
      <c r="B4" s="4"/>
      <c r="C4" s="5"/>
      <c r="D4" s="4"/>
      <c r="E4" s="4"/>
      <c r="F4" s="4"/>
      <c r="G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6" x14ac:dyDescent="0.25">
      <c r="A5" s="4"/>
      <c r="B5" s="4"/>
      <c r="C5" s="4"/>
      <c r="D5" s="4"/>
      <c r="E5" s="4"/>
      <c r="F5" s="4"/>
      <c r="G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spans="1:66" x14ac:dyDescent="0.25">
      <c r="A6" s="6" t="s">
        <v>55</v>
      </c>
      <c r="B6" s="4"/>
      <c r="C6" s="4"/>
      <c r="D6" s="4"/>
      <c r="E6" s="4"/>
      <c r="F6" s="4"/>
      <c r="G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6" x14ac:dyDescent="0.25">
      <c r="A7" s="4"/>
      <c r="B7" s="4"/>
      <c r="C7" s="4"/>
      <c r="D7" s="4"/>
      <c r="E7" s="4"/>
      <c r="F7" s="4"/>
      <c r="G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6" x14ac:dyDescent="0.25">
      <c r="A8" s="7" t="s">
        <v>56</v>
      </c>
      <c r="B8" s="7" t="s">
        <v>57</v>
      </c>
      <c r="C8" s="6" t="s">
        <v>58</v>
      </c>
      <c r="D8" s="4"/>
      <c r="E8" s="4"/>
      <c r="F8" s="4"/>
      <c r="G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 spans="1:66" ht="15.75" x14ac:dyDescent="0.25">
      <c r="A9" s="8">
        <v>1</v>
      </c>
      <c r="B9" s="4"/>
      <c r="C9" s="9" t="s">
        <v>53</v>
      </c>
      <c r="D9" s="4"/>
      <c r="E9" s="4"/>
      <c r="F9" s="4"/>
      <c r="G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 spans="1:66" x14ac:dyDescent="0.25">
      <c r="A10" s="8">
        <v>1</v>
      </c>
      <c r="B10" s="8">
        <v>1</v>
      </c>
      <c r="C10" s="12" t="s">
        <v>81</v>
      </c>
      <c r="D10" s="4"/>
      <c r="E10" s="4"/>
      <c r="F10" s="4"/>
      <c r="G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 spans="1:66" x14ac:dyDescent="0.25">
      <c r="A11" s="8">
        <v>1</v>
      </c>
      <c r="B11" s="8">
        <v>2</v>
      </c>
      <c r="C11" s="12" t="s">
        <v>82</v>
      </c>
      <c r="D11" s="4"/>
      <c r="E11" s="4"/>
      <c r="F11" s="4"/>
      <c r="G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6" x14ac:dyDescent="0.25">
      <c r="A12" s="8">
        <v>1</v>
      </c>
      <c r="B12" s="8">
        <v>3</v>
      </c>
      <c r="C12" s="12" t="s">
        <v>83</v>
      </c>
      <c r="D12" s="4"/>
      <c r="E12" s="4"/>
      <c r="F12" s="4"/>
      <c r="G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 x14ac:dyDescent="0.25">
      <c r="A13" s="8">
        <v>1</v>
      </c>
      <c r="B13" s="8">
        <v>4</v>
      </c>
      <c r="C13" s="12" t="s">
        <v>84</v>
      </c>
      <c r="D13" s="4"/>
      <c r="E13" s="4"/>
      <c r="F13" s="4"/>
      <c r="G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6" x14ac:dyDescent="0.25">
      <c r="A14" s="8">
        <v>1</v>
      </c>
      <c r="B14" s="8">
        <v>5</v>
      </c>
      <c r="C14" s="12" t="s">
        <v>85</v>
      </c>
      <c r="D14" s="4"/>
      <c r="E14" s="4"/>
      <c r="F14" s="4"/>
      <c r="G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</row>
    <row r="15" spans="1:66" x14ac:dyDescent="0.25">
      <c r="A15" s="8">
        <v>1</v>
      </c>
      <c r="B15" s="8">
        <v>6</v>
      </c>
      <c r="C15" s="12" t="s">
        <v>86</v>
      </c>
      <c r="D15" s="4"/>
      <c r="E15" s="4"/>
      <c r="F15" s="4"/>
      <c r="G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 spans="1:66" x14ac:dyDescent="0.25">
      <c r="A16" s="8">
        <v>1</v>
      </c>
      <c r="B16" s="8">
        <v>7</v>
      </c>
      <c r="C16" s="12" t="s">
        <v>87</v>
      </c>
      <c r="D16" s="4"/>
      <c r="E16" s="4"/>
      <c r="F16" s="4"/>
      <c r="G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</row>
    <row r="17" spans="1:66" x14ac:dyDescent="0.25">
      <c r="A17" s="8">
        <v>1</v>
      </c>
      <c r="B17" s="8">
        <v>8</v>
      </c>
      <c r="C17" s="12" t="s">
        <v>88</v>
      </c>
      <c r="D17" s="4"/>
      <c r="E17" s="4"/>
      <c r="F17" s="4"/>
      <c r="G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 x14ac:dyDescent="0.25">
      <c r="A18" s="8">
        <v>1</v>
      </c>
      <c r="B18" s="8">
        <v>9</v>
      </c>
      <c r="C18" s="12" t="s">
        <v>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</row>
    <row r="19" spans="1:66" x14ac:dyDescent="0.25">
      <c r="A19" s="8">
        <v>1</v>
      </c>
      <c r="B19" s="8">
        <v>10</v>
      </c>
      <c r="C19" s="12" t="s">
        <v>90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6" x14ac:dyDescent="0.25">
      <c r="A20" s="8">
        <v>1</v>
      </c>
      <c r="B20" s="8">
        <v>11</v>
      </c>
      <c r="C20" s="12" t="s">
        <v>91</v>
      </c>
      <c r="D20" s="4"/>
      <c r="E20" s="4"/>
      <c r="F20" s="4"/>
      <c r="G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6" x14ac:dyDescent="0.25">
      <c r="A21" s="8">
        <v>1</v>
      </c>
      <c r="B21" s="8">
        <v>12</v>
      </c>
      <c r="C21" s="12" t="s">
        <v>92</v>
      </c>
      <c r="D21" s="4"/>
      <c r="E21" s="4"/>
      <c r="F21" s="4"/>
      <c r="G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6" x14ac:dyDescent="0.25">
      <c r="A22" s="8">
        <v>1</v>
      </c>
      <c r="B22" s="8">
        <v>13</v>
      </c>
      <c r="C22" s="12" t="s">
        <v>93</v>
      </c>
      <c r="D22" s="4"/>
      <c r="E22" s="4"/>
      <c r="F22" s="4"/>
      <c r="G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6" x14ac:dyDescent="0.25">
      <c r="A23" s="8">
        <v>1</v>
      </c>
      <c r="B23" s="8">
        <v>14</v>
      </c>
      <c r="C23" s="12" t="s">
        <v>94</v>
      </c>
      <c r="D23" s="4"/>
      <c r="E23" s="4"/>
      <c r="F23" s="4"/>
      <c r="G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6" x14ac:dyDescent="0.25">
      <c r="A24" s="8">
        <v>1</v>
      </c>
      <c r="B24" s="8">
        <v>15</v>
      </c>
      <c r="C24" s="12" t="s">
        <v>95</v>
      </c>
      <c r="D24" s="4"/>
      <c r="E24" s="4"/>
      <c r="F24" s="4"/>
      <c r="G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 spans="1:66" x14ac:dyDescent="0.25">
      <c r="A25" s="4"/>
      <c r="B25" s="4"/>
      <c r="C25" s="4"/>
      <c r="D25" s="4"/>
      <c r="E25" s="4"/>
      <c r="F25" s="4"/>
      <c r="G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</row>
    <row r="26" spans="1:66" ht="15.75" x14ac:dyDescent="0.25">
      <c r="A26" s="8">
        <v>2</v>
      </c>
      <c r="B26" s="4"/>
      <c r="C26" s="9" t="s">
        <v>59</v>
      </c>
      <c r="D26" s="4"/>
      <c r="E26" s="4"/>
      <c r="F26" s="4"/>
      <c r="G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6" x14ac:dyDescent="0.25">
      <c r="A27" s="8">
        <v>2</v>
      </c>
      <c r="B27" s="8">
        <v>1</v>
      </c>
      <c r="C27" s="12" t="s">
        <v>96</v>
      </c>
      <c r="D27" s="4"/>
      <c r="E27" s="4"/>
      <c r="F27" s="4"/>
      <c r="G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</row>
    <row r="28" spans="1:66" x14ac:dyDescent="0.25">
      <c r="A28" s="8">
        <v>2</v>
      </c>
      <c r="B28" s="8">
        <v>2</v>
      </c>
      <c r="C28" s="12" t="s">
        <v>97</v>
      </c>
      <c r="D28" s="4"/>
      <c r="E28" s="4"/>
      <c r="F28" s="4"/>
      <c r="G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spans="1:66" x14ac:dyDescent="0.25">
      <c r="A29" s="8">
        <v>2</v>
      </c>
      <c r="B29" s="8">
        <v>3</v>
      </c>
      <c r="C29" s="12" t="s">
        <v>98</v>
      </c>
      <c r="D29" s="4"/>
      <c r="E29" s="4"/>
      <c r="F29" s="4"/>
      <c r="G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</row>
    <row r="30" spans="1:66" x14ac:dyDescent="0.25">
      <c r="A30" s="8">
        <v>2</v>
      </c>
      <c r="B30" s="8">
        <v>4</v>
      </c>
      <c r="C30" s="12" t="s">
        <v>99</v>
      </c>
      <c r="D30" s="4"/>
      <c r="E30" s="4"/>
      <c r="F30" s="4"/>
      <c r="G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</row>
    <row r="31" spans="1:66" x14ac:dyDescent="0.25">
      <c r="A31" s="8">
        <v>2</v>
      </c>
      <c r="B31" s="8">
        <v>5</v>
      </c>
      <c r="C31" s="12" t="s">
        <v>100</v>
      </c>
      <c r="D31" s="4"/>
      <c r="E31" s="4"/>
      <c r="F31" s="4"/>
      <c r="G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6" x14ac:dyDescent="0.25">
      <c r="A32" s="8">
        <v>2</v>
      </c>
      <c r="B32" s="8">
        <v>6</v>
      </c>
      <c r="C32" s="12" t="s">
        <v>101</v>
      </c>
      <c r="D32" s="4"/>
      <c r="E32" s="4"/>
      <c r="F32" s="4"/>
      <c r="G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1:66" x14ac:dyDescent="0.25">
      <c r="A33" s="8">
        <v>2</v>
      </c>
      <c r="B33" s="8">
        <v>7</v>
      </c>
      <c r="C33" s="12" t="s">
        <v>102</v>
      </c>
      <c r="D33" s="4"/>
      <c r="E33" s="4"/>
      <c r="F33" s="4"/>
      <c r="G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6" x14ac:dyDescent="0.25">
      <c r="A34" s="8">
        <v>2</v>
      </c>
      <c r="B34" s="8">
        <v>8</v>
      </c>
      <c r="C34" s="12" t="s">
        <v>103</v>
      </c>
      <c r="D34" s="4"/>
      <c r="E34" s="4"/>
      <c r="F34" s="4"/>
      <c r="G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1:66" x14ac:dyDescent="0.25">
      <c r="A35" s="8">
        <v>2</v>
      </c>
      <c r="B35" s="8">
        <v>9</v>
      </c>
      <c r="C35" s="12" t="s">
        <v>104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6" x14ac:dyDescent="0.25">
      <c r="A36" s="8">
        <v>2</v>
      </c>
      <c r="B36" s="8">
        <v>10</v>
      </c>
      <c r="C36" s="12" t="s">
        <v>105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spans="1:66" x14ac:dyDescent="0.25">
      <c r="A37" s="8">
        <v>2</v>
      </c>
      <c r="B37" s="8">
        <v>11</v>
      </c>
      <c r="C37" s="12" t="s">
        <v>106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6" x14ac:dyDescent="0.25">
      <c r="A38" s="8">
        <v>2</v>
      </c>
      <c r="B38" s="8">
        <v>12</v>
      </c>
      <c r="C38" s="12" t="s">
        <v>107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 x14ac:dyDescent="0.25">
      <c r="A39" s="8">
        <v>2</v>
      </c>
      <c r="B39" s="8">
        <v>13</v>
      </c>
      <c r="C39" s="12" t="s">
        <v>108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 x14ac:dyDescent="0.25">
      <c r="A40" s="8">
        <v>2</v>
      </c>
      <c r="B40" s="8">
        <v>14</v>
      </c>
      <c r="C40" s="12" t="s">
        <v>109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1:66" ht="15.75" x14ac:dyDescent="0.25">
      <c r="A42" s="8">
        <v>3</v>
      </c>
      <c r="B42" s="4"/>
      <c r="C42" s="9" t="s">
        <v>60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spans="1:66" x14ac:dyDescent="0.25">
      <c r="A43" s="8">
        <v>3</v>
      </c>
      <c r="B43" s="8">
        <v>1</v>
      </c>
      <c r="C43" s="12" t="s">
        <v>110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spans="1:66" x14ac:dyDescent="0.25">
      <c r="A44" s="8">
        <v>3</v>
      </c>
      <c r="B44" s="8">
        <v>2</v>
      </c>
      <c r="C44" s="12" t="s">
        <v>111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 x14ac:dyDescent="0.25">
      <c r="A45" s="8">
        <v>3</v>
      </c>
      <c r="B45" s="8">
        <v>3</v>
      </c>
      <c r="C45" s="12" t="s">
        <v>112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 spans="1:66" x14ac:dyDescent="0.25">
      <c r="A46" s="8">
        <v>3</v>
      </c>
      <c r="B46" s="8">
        <v>4</v>
      </c>
      <c r="C46" s="12" t="s">
        <v>113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6" x14ac:dyDescent="0.25">
      <c r="A47" s="8">
        <v>3</v>
      </c>
      <c r="B47" s="8">
        <v>5</v>
      </c>
      <c r="C47" s="12" t="s">
        <v>114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spans="1:66" x14ac:dyDescent="0.25">
      <c r="A48" s="8">
        <v>3</v>
      </c>
      <c r="B48" s="8">
        <v>6</v>
      </c>
      <c r="C48" s="12" t="s">
        <v>115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1:66" x14ac:dyDescent="0.25">
      <c r="A49" s="8">
        <v>3</v>
      </c>
      <c r="B49" s="8">
        <v>7</v>
      </c>
      <c r="C49" s="12" t="s">
        <v>116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spans="1:66" x14ac:dyDescent="0.25">
      <c r="A50" s="8">
        <v>3</v>
      </c>
      <c r="B50" s="8">
        <v>8</v>
      </c>
      <c r="C50" s="12" t="s">
        <v>117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spans="1:66" x14ac:dyDescent="0.25">
      <c r="A51" s="8">
        <v>3</v>
      </c>
      <c r="B51" s="8">
        <v>9</v>
      </c>
      <c r="C51" s="12" t="s">
        <v>69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spans="1:66" x14ac:dyDescent="0.25">
      <c r="A52" s="8">
        <v>3</v>
      </c>
      <c r="B52" s="8">
        <v>10</v>
      </c>
      <c r="C52" s="12" t="s">
        <v>118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spans="1:66" x14ac:dyDescent="0.25">
      <c r="A53" s="8">
        <v>3</v>
      </c>
      <c r="B53" s="8">
        <v>11</v>
      </c>
      <c r="C53" s="12" t="s">
        <v>119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spans="1:66" x14ac:dyDescent="0.25">
      <c r="A54" s="8">
        <v>3</v>
      </c>
      <c r="B54" s="8">
        <v>12</v>
      </c>
      <c r="C54" s="12" t="s">
        <v>120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spans="1:66" x14ac:dyDescent="0.25">
      <c r="A55" s="8">
        <v>3</v>
      </c>
      <c r="B55" s="8">
        <v>13</v>
      </c>
      <c r="C55" s="12" t="s">
        <v>121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6" x14ac:dyDescent="0.25">
      <c r="A56" s="8">
        <v>3</v>
      </c>
      <c r="B56" s="8">
        <v>14</v>
      </c>
      <c r="C56" s="12" t="s">
        <v>122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1:6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spans="1:6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 spans="1:6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 spans="1:6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 spans="1:66" ht="15.75" x14ac:dyDescent="0.25">
      <c r="A61" s="9" t="s">
        <v>123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 spans="1:66" x14ac:dyDescent="0.25">
      <c r="A62" s="11" t="s">
        <v>61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 spans="1:6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 spans="1:6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 spans="1:6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 spans="1:6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spans="1:6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spans="1:6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</row>
    <row r="69" spans="1:6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spans="1:6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 spans="1:6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spans="1:6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 spans="1:6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spans="1:6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spans="1:6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spans="1:6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spans="1:6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spans="1:6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spans="1:6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spans="1:6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spans="1:6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spans="1:6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spans="1:6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spans="1:6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spans="1:6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spans="1:6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spans="1:66" x14ac:dyDescent="0.25">
      <c r="H87" s="4"/>
      <c r="I87" s="4"/>
      <c r="J87" s="4"/>
      <c r="K87" s="4"/>
    </row>
    <row r="88" spans="1:66" x14ac:dyDescent="0.25">
      <c r="H88" s="4"/>
      <c r="I88" s="4"/>
      <c r="J88" s="4"/>
      <c r="K88" s="4"/>
    </row>
    <row r="89" spans="1:66" x14ac:dyDescent="0.25">
      <c r="H89" s="4"/>
      <c r="I89" s="4"/>
      <c r="J89" s="4"/>
      <c r="K89" s="4"/>
    </row>
    <row r="90" spans="1:66" x14ac:dyDescent="0.25">
      <c r="H90" s="4"/>
      <c r="I90" s="4"/>
      <c r="J90" s="4"/>
      <c r="K90" s="4"/>
    </row>
    <row r="91" spans="1:66" x14ac:dyDescent="0.25">
      <c r="H91" s="4"/>
      <c r="I91" s="4"/>
      <c r="J91" s="4"/>
      <c r="K91" s="4"/>
    </row>
    <row r="92" spans="1:66" x14ac:dyDescent="0.25">
      <c r="H92" s="4"/>
      <c r="I92" s="4"/>
      <c r="J92" s="4"/>
      <c r="K92" s="4"/>
    </row>
    <row r="93" spans="1:66" x14ac:dyDescent="0.25">
      <c r="H93" s="4"/>
      <c r="I93" s="4"/>
      <c r="J93" s="4"/>
      <c r="K93" s="4"/>
    </row>
    <row r="94" spans="1:66" x14ac:dyDescent="0.25">
      <c r="H94" s="4"/>
      <c r="I94" s="4"/>
      <c r="J94" s="4"/>
      <c r="K94" s="4"/>
    </row>
    <row r="95" spans="1:66" x14ac:dyDescent="0.25">
      <c r="H95" s="4"/>
      <c r="I95" s="4"/>
      <c r="J95" s="4"/>
      <c r="K95" s="4"/>
    </row>
    <row r="96" spans="1:66" x14ac:dyDescent="0.25">
      <c r="H96" s="4"/>
      <c r="I96" s="4"/>
      <c r="J96" s="4"/>
      <c r="K96" s="4"/>
    </row>
    <row r="97" spans="8:11" x14ac:dyDescent="0.25">
      <c r="H97" s="4"/>
      <c r="I97" s="4"/>
      <c r="J97" s="4"/>
      <c r="K97" s="4"/>
    </row>
    <row r="98" spans="8:11" x14ac:dyDescent="0.25">
      <c r="H98" s="4"/>
      <c r="I98" s="4"/>
      <c r="J98" s="4"/>
      <c r="K98" s="4"/>
    </row>
    <row r="99" spans="8:11" x14ac:dyDescent="0.25">
      <c r="H99" s="4"/>
      <c r="I99" s="4"/>
      <c r="J99" s="4"/>
      <c r="K99" s="4"/>
    </row>
    <row r="100" spans="8:11" x14ac:dyDescent="0.25">
      <c r="H100" s="4"/>
      <c r="I100" s="4"/>
      <c r="J100" s="4"/>
      <c r="K100" s="4"/>
    </row>
    <row r="101" spans="8:11" x14ac:dyDescent="0.25">
      <c r="H101" s="4"/>
      <c r="I101" s="4"/>
      <c r="J101" s="4"/>
      <c r="K101" s="4"/>
    </row>
    <row r="102" spans="8:11" x14ac:dyDescent="0.25">
      <c r="H102" s="4"/>
      <c r="I102" s="4"/>
      <c r="J102" s="4"/>
      <c r="K102" s="4"/>
    </row>
    <row r="103" spans="8:11" x14ac:dyDescent="0.25">
      <c r="H103" s="4"/>
      <c r="I103" s="4"/>
      <c r="J103" s="4"/>
      <c r="K103" s="4"/>
    </row>
    <row r="104" spans="8:11" x14ac:dyDescent="0.25">
      <c r="H104" s="4"/>
      <c r="I104" s="4"/>
      <c r="J104" s="4"/>
      <c r="K104" s="4"/>
    </row>
    <row r="105" spans="8:11" x14ac:dyDescent="0.25">
      <c r="H105" s="4"/>
      <c r="I105" s="4"/>
      <c r="J105" s="4"/>
      <c r="K105" s="4"/>
    </row>
    <row r="106" spans="8:11" x14ac:dyDescent="0.25">
      <c r="H106" s="4"/>
      <c r="I106" s="4"/>
      <c r="J106" s="4"/>
      <c r="K106" s="4"/>
    </row>
    <row r="107" spans="8:11" x14ac:dyDescent="0.25">
      <c r="H107" s="4"/>
      <c r="I107" s="4"/>
      <c r="J107" s="4"/>
      <c r="K107" s="4"/>
    </row>
    <row r="108" spans="8:11" x14ac:dyDescent="0.25">
      <c r="H108" s="4"/>
      <c r="I108" s="4"/>
      <c r="J108" s="4"/>
      <c r="K108" s="4"/>
    </row>
    <row r="109" spans="8:11" x14ac:dyDescent="0.25">
      <c r="H109" s="4"/>
      <c r="I109" s="4"/>
      <c r="J109" s="4"/>
      <c r="K109" s="4"/>
    </row>
    <row r="110" spans="8:11" x14ac:dyDescent="0.25">
      <c r="H110" s="4"/>
      <c r="I110" s="4"/>
      <c r="J110" s="4"/>
      <c r="K110" s="4"/>
    </row>
    <row r="111" spans="8:11" x14ac:dyDescent="0.25">
      <c r="H111" s="4"/>
      <c r="I111" s="4"/>
      <c r="J111" s="4"/>
      <c r="K111" s="4"/>
    </row>
    <row r="112" spans="8:11" x14ac:dyDescent="0.25">
      <c r="H112" s="4"/>
      <c r="I112" s="4"/>
      <c r="J112" s="4"/>
      <c r="K112" s="4"/>
    </row>
    <row r="113" spans="8:11" x14ac:dyDescent="0.25">
      <c r="H113" s="4"/>
      <c r="I113" s="4"/>
      <c r="J113" s="4"/>
      <c r="K113" s="4"/>
    </row>
    <row r="114" spans="8:11" x14ac:dyDescent="0.25">
      <c r="H114" s="4"/>
      <c r="I114" s="4"/>
      <c r="J114" s="4"/>
      <c r="K114" s="4"/>
    </row>
    <row r="115" spans="8:11" x14ac:dyDescent="0.25">
      <c r="H115" s="4"/>
      <c r="I115" s="4"/>
      <c r="J115" s="4"/>
      <c r="K115" s="4"/>
    </row>
    <row r="116" spans="8:11" x14ac:dyDescent="0.25">
      <c r="H116" s="4"/>
      <c r="I116" s="4"/>
      <c r="J116" s="4"/>
      <c r="K116" s="4"/>
    </row>
    <row r="117" spans="8:11" x14ac:dyDescent="0.25">
      <c r="H117" s="4"/>
      <c r="I117" s="4"/>
      <c r="J117" s="4"/>
      <c r="K117" s="4"/>
    </row>
    <row r="118" spans="8:11" x14ac:dyDescent="0.25">
      <c r="H118" s="4"/>
      <c r="I118" s="4"/>
      <c r="J118" s="4"/>
      <c r="K118" s="4"/>
    </row>
    <row r="119" spans="8:11" x14ac:dyDescent="0.25">
      <c r="H119" s="4"/>
      <c r="I119" s="4"/>
      <c r="J119" s="4"/>
      <c r="K119" s="4"/>
    </row>
    <row r="120" spans="8:11" x14ac:dyDescent="0.25">
      <c r="H120" s="4"/>
      <c r="I120" s="4"/>
      <c r="J120" s="4"/>
      <c r="K120" s="4"/>
    </row>
    <row r="121" spans="8:11" x14ac:dyDescent="0.25">
      <c r="H121" s="4"/>
      <c r="I121" s="4"/>
      <c r="J121" s="4"/>
      <c r="K121" s="4"/>
    </row>
    <row r="122" spans="8:11" x14ac:dyDescent="0.25">
      <c r="H122" s="4"/>
      <c r="I122" s="4"/>
      <c r="J122" s="4"/>
      <c r="K122" s="4"/>
    </row>
    <row r="123" spans="8:11" x14ac:dyDescent="0.25">
      <c r="H123" s="4"/>
      <c r="I123" s="4"/>
      <c r="J123" s="4"/>
      <c r="K123" s="4"/>
    </row>
    <row r="124" spans="8:11" x14ac:dyDescent="0.25">
      <c r="H124" s="4"/>
      <c r="I124" s="4"/>
      <c r="J124" s="4"/>
      <c r="K124" s="4"/>
    </row>
    <row r="125" spans="8:11" x14ac:dyDescent="0.25">
      <c r="H125" s="4"/>
      <c r="I125" s="4"/>
      <c r="J125" s="4"/>
      <c r="K125" s="4"/>
    </row>
    <row r="126" spans="8:11" x14ac:dyDescent="0.25">
      <c r="H126" s="4"/>
      <c r="I126" s="4"/>
      <c r="J126" s="4"/>
      <c r="K126" s="4"/>
    </row>
    <row r="127" spans="8:11" x14ac:dyDescent="0.25">
      <c r="H127" s="4"/>
      <c r="I127" s="4"/>
      <c r="J127" s="4"/>
      <c r="K127" s="4"/>
    </row>
    <row r="128" spans="8:11" x14ac:dyDescent="0.25">
      <c r="H128" s="4"/>
      <c r="I128" s="4"/>
      <c r="J128" s="4"/>
      <c r="K128" s="4"/>
    </row>
    <row r="129" spans="8:11" x14ac:dyDescent="0.25">
      <c r="H129" s="4"/>
      <c r="I129" s="4"/>
      <c r="J129" s="4"/>
      <c r="K129" s="4"/>
    </row>
    <row r="130" spans="8:11" x14ac:dyDescent="0.25">
      <c r="H130" s="4"/>
      <c r="I130" s="4"/>
      <c r="J130" s="4"/>
      <c r="K130" s="4"/>
    </row>
    <row r="131" spans="8:11" x14ac:dyDescent="0.25">
      <c r="H131" s="4"/>
      <c r="I131" s="4"/>
      <c r="J131" s="4"/>
      <c r="K131" s="4"/>
    </row>
    <row r="132" spans="8:11" x14ac:dyDescent="0.25">
      <c r="H132" s="4"/>
      <c r="I132" s="4"/>
      <c r="J132" s="4"/>
      <c r="K132" s="4"/>
    </row>
    <row r="133" spans="8:11" x14ac:dyDescent="0.25">
      <c r="H133" s="4"/>
      <c r="I133" s="4"/>
      <c r="J133" s="4"/>
      <c r="K133" s="4"/>
    </row>
    <row r="134" spans="8:11" x14ac:dyDescent="0.25">
      <c r="H134" s="4"/>
      <c r="I134" s="4"/>
      <c r="J134" s="4"/>
      <c r="K134" s="4"/>
    </row>
    <row r="135" spans="8:11" x14ac:dyDescent="0.25">
      <c r="H135" s="4"/>
      <c r="I135" s="4"/>
      <c r="J135" s="4"/>
      <c r="K135" s="4"/>
    </row>
    <row r="136" spans="8:11" x14ac:dyDescent="0.25">
      <c r="H136" s="4"/>
      <c r="I136" s="4"/>
      <c r="J136" s="4"/>
      <c r="K136" s="4"/>
    </row>
    <row r="137" spans="8:11" x14ac:dyDescent="0.25">
      <c r="H137" s="4"/>
      <c r="I137" s="4"/>
      <c r="J137" s="4"/>
      <c r="K137" s="4"/>
    </row>
    <row r="138" spans="8:11" x14ac:dyDescent="0.25">
      <c r="H138" s="4"/>
      <c r="I138" s="4"/>
      <c r="J138" s="4"/>
      <c r="K138" s="4"/>
    </row>
    <row r="139" spans="8:11" x14ac:dyDescent="0.25">
      <c r="H139" s="4"/>
      <c r="I139" s="4"/>
      <c r="J139" s="4"/>
      <c r="K139" s="4"/>
    </row>
    <row r="140" spans="8:11" x14ac:dyDescent="0.25">
      <c r="H140" s="4"/>
      <c r="I140" s="4"/>
      <c r="J140" s="4"/>
      <c r="K140" s="4"/>
    </row>
    <row r="141" spans="8:11" x14ac:dyDescent="0.25">
      <c r="H141" s="4"/>
      <c r="I141" s="4"/>
      <c r="J141" s="4"/>
      <c r="K141" s="4"/>
    </row>
    <row r="142" spans="8:11" x14ac:dyDescent="0.25">
      <c r="H142" s="4"/>
      <c r="I142" s="4"/>
      <c r="J142" s="4"/>
      <c r="K142" s="4"/>
    </row>
    <row r="143" spans="8:11" x14ac:dyDescent="0.25">
      <c r="H143" s="4"/>
      <c r="I143" s="4"/>
      <c r="J143" s="4"/>
      <c r="K143" s="4"/>
    </row>
    <row r="144" spans="8:11" x14ac:dyDescent="0.25">
      <c r="H144" s="4"/>
      <c r="I144" s="4"/>
      <c r="J144" s="4"/>
      <c r="K144" s="4"/>
    </row>
    <row r="145" spans="8:11" x14ac:dyDescent="0.25">
      <c r="H145" s="4"/>
      <c r="I145" s="4"/>
      <c r="J145" s="4"/>
      <c r="K145" s="4"/>
    </row>
    <row r="146" spans="8:11" x14ac:dyDescent="0.25">
      <c r="H146" s="4"/>
      <c r="I146" s="4"/>
      <c r="J146" s="4"/>
      <c r="K146" s="4"/>
    </row>
    <row r="147" spans="8:11" x14ac:dyDescent="0.25">
      <c r="H147" s="4"/>
      <c r="I147" s="4"/>
      <c r="J147" s="4"/>
      <c r="K147" s="4"/>
    </row>
    <row r="148" spans="8:11" x14ac:dyDescent="0.25">
      <c r="H148" s="4"/>
      <c r="I148" s="4"/>
      <c r="J148" s="4"/>
      <c r="K148" s="4"/>
    </row>
    <row r="149" spans="8:11" x14ac:dyDescent="0.25">
      <c r="H149" s="4"/>
      <c r="I149" s="4"/>
      <c r="J149" s="4"/>
      <c r="K149" s="4"/>
    </row>
    <row r="150" spans="8:11" x14ac:dyDescent="0.25">
      <c r="H150" s="4"/>
      <c r="I150" s="4"/>
      <c r="J150" s="4"/>
      <c r="K150" s="4"/>
    </row>
    <row r="151" spans="8:11" x14ac:dyDescent="0.25">
      <c r="H151" s="4"/>
      <c r="I151" s="4"/>
      <c r="J151" s="4"/>
      <c r="K151" s="4"/>
    </row>
    <row r="152" spans="8:11" x14ac:dyDescent="0.25">
      <c r="H152" s="4"/>
      <c r="I152" s="4"/>
      <c r="J152" s="4"/>
      <c r="K152" s="4"/>
    </row>
    <row r="153" spans="8:11" x14ac:dyDescent="0.25">
      <c r="H153" s="4"/>
      <c r="I153" s="4"/>
      <c r="J153" s="4"/>
      <c r="K153" s="4"/>
    </row>
    <row r="154" spans="8:11" x14ac:dyDescent="0.25">
      <c r="H154" s="4"/>
      <c r="I154" s="4"/>
      <c r="J154" s="4"/>
      <c r="K154" s="4"/>
    </row>
    <row r="155" spans="8:11" x14ac:dyDescent="0.25">
      <c r="H155" s="4"/>
      <c r="I155" s="4"/>
      <c r="J155" s="4"/>
      <c r="K155" s="4"/>
    </row>
    <row r="156" spans="8:11" x14ac:dyDescent="0.25">
      <c r="H156" s="4"/>
      <c r="I156" s="4"/>
      <c r="J156" s="4"/>
      <c r="K156" s="4"/>
    </row>
    <row r="157" spans="8:11" x14ac:dyDescent="0.25">
      <c r="H157" s="4"/>
      <c r="I157" s="4"/>
      <c r="J157" s="4"/>
      <c r="K157" s="4"/>
    </row>
    <row r="158" spans="8:11" x14ac:dyDescent="0.25">
      <c r="H158" s="4"/>
      <c r="I158" s="4"/>
      <c r="J158" s="4"/>
      <c r="K158" s="4"/>
    </row>
    <row r="159" spans="8:11" x14ac:dyDescent="0.25">
      <c r="H159" s="4"/>
      <c r="I159" s="4"/>
      <c r="J159" s="4"/>
      <c r="K159" s="4"/>
    </row>
    <row r="160" spans="8:11" x14ac:dyDescent="0.25">
      <c r="H160" s="4"/>
      <c r="I160" s="4"/>
      <c r="J160" s="4"/>
      <c r="K160" s="4"/>
    </row>
    <row r="161" spans="8:11" x14ac:dyDescent="0.25">
      <c r="H161" s="4"/>
      <c r="I161" s="4"/>
      <c r="J161" s="4"/>
      <c r="K161" s="4"/>
    </row>
    <row r="162" spans="8:11" x14ac:dyDescent="0.25">
      <c r="H162" s="4"/>
      <c r="I162" s="4"/>
      <c r="J162" s="4"/>
      <c r="K162" s="4"/>
    </row>
    <row r="163" spans="8:11" x14ac:dyDescent="0.25">
      <c r="H163" s="4"/>
      <c r="I163" s="4"/>
      <c r="J163" s="4"/>
      <c r="K163" s="4"/>
    </row>
    <row r="164" spans="8:11" x14ac:dyDescent="0.25">
      <c r="H164" s="4"/>
      <c r="I164" s="4"/>
      <c r="J164" s="4"/>
      <c r="K164" s="4"/>
    </row>
    <row r="165" spans="8:11" x14ac:dyDescent="0.25">
      <c r="H165" s="4"/>
      <c r="I165" s="4"/>
      <c r="J165" s="4"/>
      <c r="K165" s="4"/>
    </row>
    <row r="166" spans="8:11" x14ac:dyDescent="0.25">
      <c r="H166" s="4"/>
      <c r="I166" s="4"/>
      <c r="J166" s="4"/>
      <c r="K166" s="4"/>
    </row>
    <row r="167" spans="8:11" x14ac:dyDescent="0.25">
      <c r="H167" s="4"/>
      <c r="I167" s="4"/>
      <c r="J167" s="4"/>
      <c r="K167" s="4"/>
    </row>
    <row r="168" spans="8:11" x14ac:dyDescent="0.25">
      <c r="H168" s="4"/>
      <c r="I168" s="4"/>
      <c r="J168" s="4"/>
      <c r="K168" s="4"/>
    </row>
    <row r="169" spans="8:11" x14ac:dyDescent="0.25">
      <c r="H169" s="4"/>
      <c r="I169" s="4"/>
      <c r="J169" s="4"/>
      <c r="K169" s="4"/>
    </row>
    <row r="170" spans="8:11" x14ac:dyDescent="0.25">
      <c r="H170" s="4"/>
      <c r="I170" s="4"/>
      <c r="J170" s="4"/>
      <c r="K170" s="4"/>
    </row>
    <row r="171" spans="8:11" x14ac:dyDescent="0.25">
      <c r="H171" s="4"/>
      <c r="I171" s="4"/>
      <c r="J171" s="4"/>
      <c r="K171" s="4"/>
    </row>
    <row r="172" spans="8:11" x14ac:dyDescent="0.25">
      <c r="H172" s="4"/>
      <c r="I172" s="4"/>
      <c r="J172" s="4"/>
      <c r="K172" s="4"/>
    </row>
    <row r="173" spans="8:11" x14ac:dyDescent="0.25">
      <c r="H173" s="4"/>
      <c r="I173" s="4"/>
      <c r="J173" s="4"/>
      <c r="K173" s="4"/>
    </row>
    <row r="174" spans="8:11" x14ac:dyDescent="0.25">
      <c r="H174" s="4"/>
      <c r="I174" s="4"/>
      <c r="J174" s="4"/>
      <c r="K174" s="4"/>
    </row>
    <row r="175" spans="8:11" x14ac:dyDescent="0.25">
      <c r="H175" s="4"/>
      <c r="I175" s="4"/>
      <c r="J175" s="4"/>
      <c r="K175" s="4"/>
    </row>
    <row r="176" spans="8:11" x14ac:dyDescent="0.25">
      <c r="H176" s="4"/>
      <c r="I176" s="4"/>
      <c r="J176" s="4"/>
      <c r="K176" s="4"/>
    </row>
    <row r="177" spans="8:11" x14ac:dyDescent="0.25">
      <c r="H177" s="4"/>
      <c r="I177" s="4"/>
      <c r="J177" s="4"/>
      <c r="K177" s="4"/>
    </row>
    <row r="178" spans="8:11" x14ac:dyDescent="0.25">
      <c r="H178" s="4"/>
      <c r="I178" s="4"/>
      <c r="J178" s="4"/>
      <c r="K178" s="4"/>
    </row>
    <row r="179" spans="8:11" x14ac:dyDescent="0.25">
      <c r="H179" s="4"/>
      <c r="I179" s="4"/>
      <c r="J179" s="4"/>
      <c r="K179" s="4"/>
    </row>
    <row r="180" spans="8:11" x14ac:dyDescent="0.25">
      <c r="H180" s="4"/>
      <c r="I180" s="4"/>
      <c r="J180" s="4"/>
      <c r="K180" s="4"/>
    </row>
    <row r="181" spans="8:11" x14ac:dyDescent="0.25">
      <c r="H181" s="4"/>
      <c r="I181" s="4"/>
      <c r="J181" s="4"/>
      <c r="K181" s="4"/>
    </row>
    <row r="182" spans="8:11" x14ac:dyDescent="0.25">
      <c r="H182" s="4"/>
      <c r="I182" s="4"/>
      <c r="J182" s="4"/>
      <c r="K182" s="4"/>
    </row>
    <row r="183" spans="8:11" x14ac:dyDescent="0.25">
      <c r="H183" s="4"/>
      <c r="I183" s="4"/>
      <c r="J183" s="4"/>
      <c r="K183" s="4"/>
    </row>
    <row r="184" spans="8:11" x14ac:dyDescent="0.25">
      <c r="H184" s="4"/>
      <c r="I184" s="4"/>
      <c r="J184" s="4"/>
      <c r="K184" s="4"/>
    </row>
    <row r="185" spans="8:11" x14ac:dyDescent="0.25">
      <c r="H185" s="4"/>
      <c r="I185" s="4"/>
      <c r="J185" s="4"/>
      <c r="K185" s="4"/>
    </row>
    <row r="186" spans="8:11" x14ac:dyDescent="0.25">
      <c r="H186" s="4"/>
      <c r="I186" s="4"/>
      <c r="J186" s="4"/>
      <c r="K186" s="4"/>
    </row>
    <row r="187" spans="8:11" x14ac:dyDescent="0.25">
      <c r="H187" s="4"/>
      <c r="I187" s="4"/>
      <c r="J187" s="4"/>
      <c r="K187" s="4"/>
    </row>
    <row r="188" spans="8:11" x14ac:dyDescent="0.25">
      <c r="H188" s="4"/>
      <c r="I188" s="4"/>
      <c r="J188" s="4"/>
      <c r="K188" s="4"/>
    </row>
    <row r="189" spans="8:11" x14ac:dyDescent="0.25">
      <c r="H189" s="4"/>
      <c r="I189" s="4"/>
      <c r="J189" s="4"/>
      <c r="K189" s="4"/>
    </row>
    <row r="190" spans="8:11" x14ac:dyDescent="0.25">
      <c r="H190" s="4"/>
      <c r="I190" s="4"/>
      <c r="J190" s="4"/>
      <c r="K190" s="4"/>
    </row>
    <row r="191" spans="8:11" x14ac:dyDescent="0.25">
      <c r="H191" s="4"/>
      <c r="I191" s="4"/>
      <c r="J191" s="4"/>
      <c r="K191" s="4"/>
    </row>
    <row r="192" spans="8:11" x14ac:dyDescent="0.25">
      <c r="H192" s="4"/>
      <c r="I192" s="4"/>
      <c r="J192" s="4"/>
      <c r="K192" s="4"/>
    </row>
    <row r="193" spans="8:11" x14ac:dyDescent="0.25">
      <c r="H193" s="4"/>
      <c r="I193" s="4"/>
      <c r="J193" s="4"/>
      <c r="K193" s="4"/>
    </row>
    <row r="194" spans="8:11" x14ac:dyDescent="0.25">
      <c r="H194" s="4"/>
      <c r="I194" s="4"/>
      <c r="J194" s="4"/>
      <c r="K194" s="4"/>
    </row>
    <row r="195" spans="8:11" x14ac:dyDescent="0.25">
      <c r="H195" s="4"/>
      <c r="I195" s="4"/>
      <c r="J195" s="4"/>
      <c r="K195" s="4"/>
    </row>
    <row r="196" spans="8:11" x14ac:dyDescent="0.25">
      <c r="H196" s="4"/>
      <c r="I196" s="4"/>
      <c r="J196" s="4"/>
      <c r="K196" s="4"/>
    </row>
    <row r="199" spans="8:11" x14ac:dyDescent="0.25">
      <c r="I199" s="17"/>
    </row>
  </sheetData>
  <sortState xmlns:xlrd2="http://schemas.microsoft.com/office/spreadsheetml/2017/richdata2" ref="D10:E24">
    <sortCondition ref="D20"/>
  </sortState>
  <hyperlinks>
    <hyperlink ref="C10" location="'Titulacion Total'!A5" display="Evolución de Titulación Total por sexo 1999 - 2020" xr:uid="{00000000-0004-0000-0000-000000000000}"/>
    <hyperlink ref="C11" location="'Titulacion Total'!A13" display="Evolución de Titulación Total por tipo general de institución 1999 - 2023" xr:uid="{00000000-0004-0000-0000-000001000000}"/>
    <hyperlink ref="C12" location="'Titulacion Total'!A21" display="Evolución de Titulación Total por tipo específico de institución 1999 - 2023" xr:uid="{00000000-0004-0000-0000-000002000000}"/>
    <hyperlink ref="C13" location="'Titulacion Total'!A30" display="Evolución de Titulación Total por tipo general de institución y sexo 1999 - 2023" xr:uid="{00000000-0004-0000-0000-000003000000}"/>
    <hyperlink ref="C14" location="'Titulacion Total'!A39" display="Evolución de Titulación Total por tipo específico de institución y sexo 1999 - 2023" xr:uid="{00000000-0004-0000-0000-000004000000}"/>
    <hyperlink ref="C15" location="'Titulacion Total'!A49" display="Evolución de Titulación Total por nivel de formación 1999 - 2023" xr:uid="{00000000-0004-0000-0000-000005000000}"/>
    <hyperlink ref="C16" location="'Titulacion Total'!A57" display="Evolución de Titulación Total por nivel de formación y sexo 1999 - 2023" xr:uid="{00000000-0004-0000-0000-000006000000}"/>
    <hyperlink ref="C17" location="'Titulacion Total'!A66" display="Evolución de Titulación Total por área del conocimiento 1999 - 2023" xr:uid="{00000000-0004-0000-0000-000007000000}"/>
    <hyperlink ref="C18" location="'Titulacion Total'!A81" display="Evolución de Titulación Total por área del conocimiento y sexo 1999 - 2023" xr:uid="{00000000-0004-0000-0000-000008000000}"/>
    <hyperlink ref="C19" location="'Titulacion Total'!A97" display="Evolución de Titulación Total por región 1999 - 2023" xr:uid="{00000000-0004-0000-0000-000009000000}"/>
    <hyperlink ref="C20" location="'Titulacion Total'!A119" display="Evolución de la participacion a nivel de región del número de estudiantes titulados de educación superior 1999 - 2023" xr:uid="{00000000-0004-0000-0000-00000A000000}"/>
    <hyperlink ref="C21" location="'Titulacion Total'!A139" display="Evolución de N° de titulados en la Región Metropolitana y otras regiones 1999 - 2023" xr:uid="{00000000-0004-0000-0000-00000B000000}"/>
    <hyperlink ref="C22" location="'Titulacion Total'!A146" display="Evolución del N° de estudiantes titulados en educación superior por región y sexo 1999 - 2023" xr:uid="{00000000-0004-0000-0000-00000C000000}"/>
    <hyperlink ref="C23" location="'Titulacion Total'!A169" display="Evolución de la participación a nivel de región del n° de estudiantes titulados en educación superior por sexo 1999 - 2023" xr:uid="{00000000-0004-0000-0000-00000D000000}"/>
    <hyperlink ref="C24" location="'Titulacion Total'!A191" display="Evolución del N° de estudiantes titulados en educación superior en la Región Metropolitana y otras regiones por sexo 1999 - 2020" xr:uid="{00000000-0004-0000-0000-00000E000000}"/>
    <hyperlink ref="C27" location="'Titulacion Pregrado'!A5" display="Evolución de Titulación Total de Pregrado por sexo 1999 - 2020" xr:uid="{00000000-0004-0000-0000-00000F000000}"/>
    <hyperlink ref="C28" location="'Titulacion Pregrado'!A13" display="Evolución de Titulación Total de Pregrado por tipo general de institución 1999 - 2023" xr:uid="{00000000-0004-0000-0000-000010000000}"/>
    <hyperlink ref="C29" location="'Titulacion Pregrado'!A21" display="Evolución de Titulación Total de Pregrado por tipo especifico de institución 1999 - 2023" xr:uid="{00000000-0004-0000-0000-000011000000}"/>
    <hyperlink ref="C30" location="'Titulacion Pregrado'!A30" display="Evolución de Titulación Total de Pregrado por tipo general de institución y sexo 1999 - 2023" xr:uid="{00000000-0004-0000-0000-000012000000}"/>
    <hyperlink ref="C31" location="'Titulacion Pregrado'!A39" display="Evolución de Titulación Total de Pregrado por tipo específico de institución y sexo 1999 - 2023" xr:uid="{00000000-0004-0000-0000-000013000000}"/>
    <hyperlink ref="C32" location="'Titulacion Pregrado'!A49" display="Evolución de Titulación Total de Pregrado por tipo de carrera 1999 - 2023" xr:uid="{00000000-0004-0000-0000-000014000000}"/>
    <hyperlink ref="C33" location="'Titulacion Pregrado'!A56" display="Evolución de Titulación Total de Pregrado por área del conocimiento 1999 - 2023" xr:uid="{00000000-0004-0000-0000-000015000000}"/>
    <hyperlink ref="C34" location="'Titulacion Pregrado'!A71" display="Evolución de Titulación Total de Pregrado por área del conocimiento y sexo 1999 - 2023" xr:uid="{00000000-0004-0000-0000-000016000000}"/>
    <hyperlink ref="C35" location="'Titulacion Pregrado'!A87" display="Evolución de Titulación Total de Pregrado por región 1999 - 2023" xr:uid="{00000000-0004-0000-0000-000017000000}"/>
    <hyperlink ref="C36" location="'Titulacion Pregrado'!A109" display="Evolución de la participacion a nivel de regiones de titulados de pregrado 1999 - 2023" xr:uid="{00000000-0004-0000-0000-000018000000}"/>
    <hyperlink ref="C37" location="'Titulacion Pregrado'!A129" display="Evolución de Titulación Total de Pregrado en la Región Metropolitana y el resto de las regiones 1999 - 2023" xr:uid="{00000000-0004-0000-0000-000019000000}"/>
    <hyperlink ref="C38" location="'Titulacion Pregrado'!A136" display="Evolución de Titulación Total de Pregrado por región y sexo 1999 - 2023" xr:uid="{00000000-0004-0000-0000-00001A000000}"/>
    <hyperlink ref="C39" location="'Titulacion Pregrado'!A159" display="Evolución de la participación de cada región en el número de titulados de pregrado por sexo 1999 - 2023" xr:uid="{00000000-0004-0000-0000-00001B000000}"/>
    <hyperlink ref="C40" location="'Titulacion Pregrado'!A181" display="Evolución del N° de estudiantes de pregrado titulados en educación superior en la Región Metropolitana y otras regiones por sexo 1999 - 2023" xr:uid="{00000000-0004-0000-0000-00001C000000}"/>
    <hyperlink ref="C43" location="'Titulacion Posgrado'!A5" display="Evolución de Titulación Total de Posgrado 1999 - 2023" xr:uid="{00000000-0004-0000-0000-00001D000000}"/>
    <hyperlink ref="C44" location="'Titulacion Posgrado'!A10" display="Evolución de Titulación Total de Posgrado por tipo de universidad 1999 - 2016" xr:uid="{00000000-0004-0000-0000-00001E000000}"/>
    <hyperlink ref="C45" location="'Titulacion Posgrado'!A17" display="Evolución de Titulación Total de Posgrado por nivel de formación 1999 - 2016" xr:uid="{00000000-0004-0000-0000-00001F000000}"/>
    <hyperlink ref="C46" location="'Titulacion Posgrado'!A24" display="Evolución de Titulación Total de Posgrado por sexo 1999 - 2016" xr:uid="{00000000-0004-0000-0000-000020000000}"/>
    <hyperlink ref="C47" location="'Titulacion Posgrado'!A32" display="Evolución de Titulación Total de Posgrado por tipo de universidad y sexo 1999 - 2023" xr:uid="{00000000-0004-0000-0000-000021000000}"/>
    <hyperlink ref="C48" location="'Titulacion Posgrado'!A40" display="Evolución de Titulación Total de Posgrado por nivel de formación y sexo 1999 - 2023" xr:uid="{00000000-0004-0000-0000-000022000000}"/>
    <hyperlink ref="C49" location="'Titulacion Posgrado'!A48" display="Evolución de Titulación de magíster 1999 - 2023" xr:uid="{00000000-0004-0000-0000-000023000000}"/>
    <hyperlink ref="C50" location="'Titulacion Posgrado'!A53" display="Evolución de Titulación de magíster por tipo de universidad 1999 - 2023" xr:uid="{00000000-0004-0000-0000-000024000000}"/>
    <hyperlink ref="C51" location="'Titulacion Posgrado'!A60" display="Evolución de Titulación de magíster por sexo 1999 -2018" xr:uid="{00000000-0004-0000-0000-000025000000}"/>
    <hyperlink ref="C52" location="'Titulacion Posgrado'!A68" display="Evolución de Titulación de magíster por tipo de universidad y sexo 1999 - 2023" xr:uid="{00000000-0004-0000-0000-000026000000}"/>
    <hyperlink ref="C53" location="'Titulacion Posgrado'!A76" display="Evolución de Titulación de doctorado 1999 - 2023" xr:uid="{00000000-0004-0000-0000-000027000000}"/>
    <hyperlink ref="C54" location="'Titulacion Posgrado'!A81" display="Evolución de Titulación de doctorado por tipo de universidad 1999 - 2023" xr:uid="{00000000-0004-0000-0000-000028000000}"/>
    <hyperlink ref="C55" location="'Titulacion Posgrado'!A88" display="Evolución de Titulación de doctorado por sexo 1999 - 2023" xr:uid="{00000000-0004-0000-0000-000029000000}"/>
    <hyperlink ref="C56" location="'Titulacion Posgrado'!A95" display="Evolución de Titulación de doctorado por tipo de universidad y sexo 1999 - 2023" xr:uid="{00000000-0004-0000-0000-00002A000000}"/>
  </hyperlinks>
  <pageMargins left="0.7" right="0.7" top="0.75" bottom="0.75" header="0.3" footer="0.3"/>
  <pageSetup orientation="portrait" verticalDpi="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07"/>
  <sheetViews>
    <sheetView showGridLines="0" zoomScale="80" zoomScaleNormal="80" zoomScalePageLayoutView="80" workbookViewId="0">
      <pane xSplit="1" ySplit="3" topLeftCell="D36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5" x14ac:dyDescent="0.25"/>
  <cols>
    <col min="1" max="1" width="20.7109375" style="28" customWidth="1"/>
    <col min="2" max="20" width="10.7109375" style="19" customWidth="1"/>
    <col min="21" max="21" width="11.42578125" style="19" customWidth="1"/>
    <col min="22" max="37" width="10.7109375" style="19" customWidth="1"/>
    <col min="38" max="39" width="10.85546875" style="13"/>
  </cols>
  <sheetData>
    <row r="1" spans="1:40" ht="18.75" x14ac:dyDescent="0.25">
      <c r="A1" s="23" t="s">
        <v>53</v>
      </c>
    </row>
    <row r="2" spans="1:40" ht="18.75" x14ac:dyDescent="0.25">
      <c r="A2" s="23"/>
    </row>
    <row r="3" spans="1:40" ht="21.75" customHeight="1" x14ac:dyDescent="0.25"/>
    <row r="5" spans="1:40" ht="15.75" x14ac:dyDescent="0.25">
      <c r="A5" s="24" t="s">
        <v>81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40" x14ac:dyDescent="0.25">
      <c r="A6" s="1" t="s">
        <v>63</v>
      </c>
      <c r="B6" s="18">
        <v>1999</v>
      </c>
      <c r="C6" s="18">
        <v>2000</v>
      </c>
      <c r="D6" s="18">
        <v>2001</v>
      </c>
      <c r="E6" s="18">
        <v>2002</v>
      </c>
      <c r="F6" s="18">
        <v>2003</v>
      </c>
      <c r="G6" s="18">
        <v>2004</v>
      </c>
      <c r="H6" s="18">
        <v>2005</v>
      </c>
      <c r="I6" s="18">
        <v>2006</v>
      </c>
      <c r="J6" s="18">
        <v>2007</v>
      </c>
      <c r="K6" s="18">
        <v>2008</v>
      </c>
      <c r="L6" s="18">
        <v>2009</v>
      </c>
      <c r="M6" s="18">
        <v>2010</v>
      </c>
      <c r="N6" s="18">
        <v>2011</v>
      </c>
      <c r="O6" s="18">
        <v>2012</v>
      </c>
      <c r="P6" s="18">
        <v>2013</v>
      </c>
      <c r="Q6" s="18">
        <v>2014</v>
      </c>
      <c r="R6" s="18">
        <v>2015</v>
      </c>
      <c r="S6" s="18">
        <v>2016</v>
      </c>
      <c r="T6" s="18">
        <v>2017</v>
      </c>
      <c r="U6" s="18">
        <v>2018</v>
      </c>
      <c r="V6" s="18">
        <v>2019</v>
      </c>
      <c r="W6" s="18">
        <v>2020</v>
      </c>
      <c r="X6" s="18">
        <v>2021</v>
      </c>
      <c r="Y6" s="18">
        <v>2022</v>
      </c>
      <c r="Z6" s="18">
        <v>2023</v>
      </c>
      <c r="AA6" s="18">
        <v>2024</v>
      </c>
      <c r="AL6" s="19"/>
      <c r="AN6" s="13"/>
    </row>
    <row r="7" spans="1:40" x14ac:dyDescent="0.25">
      <c r="A7" s="25" t="s">
        <v>64</v>
      </c>
      <c r="B7" s="31">
        <v>18503</v>
      </c>
      <c r="C7" s="31">
        <v>22777.4</v>
      </c>
      <c r="D7" s="31">
        <v>26454</v>
      </c>
      <c r="E7" s="31">
        <v>28890</v>
      </c>
      <c r="F7" s="31">
        <v>28224</v>
      </c>
      <c r="G7" s="31">
        <v>24939</v>
      </c>
      <c r="H7" s="31">
        <v>36401</v>
      </c>
      <c r="I7" s="31">
        <v>39880</v>
      </c>
      <c r="J7" s="31">
        <v>45374</v>
      </c>
      <c r="K7" s="31">
        <v>49535</v>
      </c>
      <c r="L7" s="31">
        <v>55717</v>
      </c>
      <c r="M7" s="31">
        <v>54383</v>
      </c>
      <c r="N7" s="31">
        <v>60698</v>
      </c>
      <c r="O7" s="31">
        <v>68253</v>
      </c>
      <c r="P7" s="31">
        <v>79379</v>
      </c>
      <c r="Q7" s="31">
        <v>87227</v>
      </c>
      <c r="R7" s="31">
        <v>96116</v>
      </c>
      <c r="S7" s="31">
        <v>100299</v>
      </c>
      <c r="T7" s="31">
        <v>105800</v>
      </c>
      <c r="U7" s="31">
        <v>108786</v>
      </c>
      <c r="V7" s="31">
        <v>106459</v>
      </c>
      <c r="W7" s="31">
        <v>88552</v>
      </c>
      <c r="X7" s="31">
        <v>118203</v>
      </c>
      <c r="Y7" s="31">
        <v>125257</v>
      </c>
      <c r="Z7" s="31">
        <v>131239</v>
      </c>
      <c r="AA7" s="31">
        <v>132797</v>
      </c>
      <c r="AL7" s="19"/>
      <c r="AN7" s="13"/>
    </row>
    <row r="8" spans="1:40" x14ac:dyDescent="0.25">
      <c r="A8" s="25" t="s">
        <v>65</v>
      </c>
      <c r="B8" s="31">
        <v>19111</v>
      </c>
      <c r="C8" s="31">
        <v>23928.6</v>
      </c>
      <c r="D8" s="31">
        <v>26598</v>
      </c>
      <c r="E8" s="31">
        <v>29670</v>
      </c>
      <c r="F8" s="31">
        <v>30675</v>
      </c>
      <c r="G8" s="31">
        <v>27634</v>
      </c>
      <c r="H8" s="31">
        <v>40951</v>
      </c>
      <c r="I8" s="31">
        <v>44530</v>
      </c>
      <c r="J8" s="31">
        <v>52250</v>
      </c>
      <c r="K8" s="31">
        <v>62378</v>
      </c>
      <c r="L8" s="31">
        <v>67802</v>
      </c>
      <c r="M8" s="31">
        <v>64722</v>
      </c>
      <c r="N8" s="31">
        <v>76375</v>
      </c>
      <c r="O8" s="31">
        <v>87747</v>
      </c>
      <c r="P8" s="31">
        <v>102800</v>
      </c>
      <c r="Q8" s="31">
        <v>110331</v>
      </c>
      <c r="R8" s="31">
        <v>120471</v>
      </c>
      <c r="S8" s="31">
        <v>130207</v>
      </c>
      <c r="T8" s="31">
        <v>138206</v>
      </c>
      <c r="U8" s="31">
        <v>141563</v>
      </c>
      <c r="V8" s="31">
        <v>140160</v>
      </c>
      <c r="W8" s="31">
        <v>115045</v>
      </c>
      <c r="X8" s="31">
        <v>163286</v>
      </c>
      <c r="Y8" s="31">
        <v>166196</v>
      </c>
      <c r="Z8" s="31">
        <v>168557</v>
      </c>
      <c r="AA8" s="31">
        <v>169933</v>
      </c>
      <c r="AL8" s="19"/>
      <c r="AN8" s="13"/>
    </row>
    <row r="9" spans="1:40" x14ac:dyDescent="0.25">
      <c r="A9" s="25" t="s">
        <v>78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3</v>
      </c>
      <c r="AA9" s="31">
        <v>2</v>
      </c>
      <c r="AL9" s="19"/>
      <c r="AN9" s="13"/>
    </row>
    <row r="10" spans="1:40" x14ac:dyDescent="0.25">
      <c r="A10" s="26" t="s">
        <v>15</v>
      </c>
      <c r="B10" s="33">
        <v>37614</v>
      </c>
      <c r="C10" s="33">
        <v>46706</v>
      </c>
      <c r="D10" s="33">
        <v>53052</v>
      </c>
      <c r="E10" s="33">
        <v>58560</v>
      </c>
      <c r="F10" s="33">
        <v>58899</v>
      </c>
      <c r="G10" s="33">
        <v>52573</v>
      </c>
      <c r="H10" s="33">
        <v>77352</v>
      </c>
      <c r="I10" s="33">
        <v>84410</v>
      </c>
      <c r="J10" s="33">
        <v>97624</v>
      </c>
      <c r="K10" s="33">
        <v>111913</v>
      </c>
      <c r="L10" s="33">
        <v>123519</v>
      </c>
      <c r="M10" s="33">
        <v>119105</v>
      </c>
      <c r="N10" s="33">
        <v>137073</v>
      </c>
      <c r="O10" s="33">
        <v>156000</v>
      </c>
      <c r="P10" s="33">
        <v>182179</v>
      </c>
      <c r="Q10" s="33">
        <v>197558</v>
      </c>
      <c r="R10" s="33">
        <v>216587</v>
      </c>
      <c r="S10" s="33">
        <v>230506</v>
      </c>
      <c r="T10" s="33">
        <v>244006</v>
      </c>
      <c r="U10" s="33">
        <v>250349</v>
      </c>
      <c r="V10" s="33">
        <v>246619</v>
      </c>
      <c r="W10" s="33">
        <v>203597</v>
      </c>
      <c r="X10" s="33">
        <v>281489</v>
      </c>
      <c r="Y10" s="33">
        <v>291453</v>
      </c>
      <c r="Z10" s="33">
        <v>299799</v>
      </c>
      <c r="AA10" s="33">
        <v>302732</v>
      </c>
      <c r="AL10" s="19"/>
      <c r="AN10" s="13"/>
    </row>
    <row r="11" spans="1:40" x14ac:dyDescent="0.25">
      <c r="A11" s="50"/>
    </row>
    <row r="12" spans="1:40" x14ac:dyDescent="0.25"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L12" s="19"/>
    </row>
    <row r="13" spans="1:40" ht="15.75" x14ac:dyDescent="0.25">
      <c r="A13" s="24" t="s">
        <v>82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AL13" s="19"/>
    </row>
    <row r="14" spans="1:40" x14ac:dyDescent="0.25">
      <c r="A14" s="1" t="s">
        <v>16</v>
      </c>
      <c r="B14" s="18">
        <v>1999</v>
      </c>
      <c r="C14" s="18">
        <v>2000</v>
      </c>
      <c r="D14" s="18">
        <v>2001</v>
      </c>
      <c r="E14" s="18">
        <v>2002</v>
      </c>
      <c r="F14" s="18">
        <v>2003</v>
      </c>
      <c r="G14" s="18">
        <v>2004</v>
      </c>
      <c r="H14" s="18">
        <v>2005</v>
      </c>
      <c r="I14" s="18">
        <v>2006</v>
      </c>
      <c r="J14" s="18">
        <v>2007</v>
      </c>
      <c r="K14" s="18">
        <v>2008</v>
      </c>
      <c r="L14" s="18">
        <v>2009</v>
      </c>
      <c r="M14" s="18">
        <v>2010</v>
      </c>
      <c r="N14" s="18">
        <v>2011</v>
      </c>
      <c r="O14" s="18">
        <v>2012</v>
      </c>
      <c r="P14" s="18">
        <v>2013</v>
      </c>
      <c r="Q14" s="18">
        <v>2014</v>
      </c>
      <c r="R14" s="18">
        <v>2015</v>
      </c>
      <c r="S14" s="18">
        <v>2016</v>
      </c>
      <c r="T14" s="18">
        <v>2017</v>
      </c>
      <c r="U14" s="18">
        <v>2018</v>
      </c>
      <c r="V14" s="18">
        <v>2019</v>
      </c>
      <c r="W14" s="18">
        <v>2020</v>
      </c>
      <c r="X14" s="18">
        <v>2021</v>
      </c>
      <c r="Y14" s="18">
        <v>2022</v>
      </c>
      <c r="Z14" s="18">
        <v>2023</v>
      </c>
      <c r="AA14" s="18">
        <v>2024</v>
      </c>
      <c r="AL14" s="19"/>
    </row>
    <row r="15" spans="1:40" x14ac:dyDescent="0.25">
      <c r="A15" s="27" t="s">
        <v>17</v>
      </c>
      <c r="B15" s="31">
        <v>9721</v>
      </c>
      <c r="C15" s="31">
        <v>7901</v>
      </c>
      <c r="D15" s="31">
        <v>11998</v>
      </c>
      <c r="E15" s="31">
        <v>10011</v>
      </c>
      <c r="F15" s="31">
        <v>10202</v>
      </c>
      <c r="G15" s="31">
        <v>8371</v>
      </c>
      <c r="H15" s="31">
        <v>12258</v>
      </c>
      <c r="I15" s="31">
        <v>15190</v>
      </c>
      <c r="J15" s="31">
        <v>13913</v>
      </c>
      <c r="K15" s="31">
        <v>20014</v>
      </c>
      <c r="L15" s="31">
        <v>16903</v>
      </c>
      <c r="M15" s="31">
        <v>14353</v>
      </c>
      <c r="N15" s="31">
        <v>22491</v>
      </c>
      <c r="O15" s="31">
        <v>25623</v>
      </c>
      <c r="P15" s="31">
        <v>28293</v>
      </c>
      <c r="Q15" s="31">
        <v>27779</v>
      </c>
      <c r="R15" s="31">
        <v>30655</v>
      </c>
      <c r="S15" s="31">
        <v>33939</v>
      </c>
      <c r="T15" s="31">
        <v>33024</v>
      </c>
      <c r="U15" s="31">
        <v>35359</v>
      </c>
      <c r="V15" s="31">
        <v>34050</v>
      </c>
      <c r="W15" s="31">
        <v>24216</v>
      </c>
      <c r="X15" s="31">
        <v>36481</v>
      </c>
      <c r="Y15" s="31">
        <v>38178</v>
      </c>
      <c r="Z15" s="31">
        <v>40657</v>
      </c>
      <c r="AA15" s="31">
        <v>37167</v>
      </c>
      <c r="AL15" s="19"/>
    </row>
    <row r="16" spans="1:40" x14ac:dyDescent="0.25">
      <c r="A16" s="27" t="s">
        <v>18</v>
      </c>
      <c r="B16" s="31">
        <v>4089</v>
      </c>
      <c r="C16" s="31">
        <v>5602</v>
      </c>
      <c r="D16" s="31">
        <v>6601</v>
      </c>
      <c r="E16" s="31">
        <v>9437</v>
      </c>
      <c r="F16" s="31">
        <v>10314</v>
      </c>
      <c r="G16" s="31">
        <v>7946</v>
      </c>
      <c r="H16" s="31">
        <v>14776</v>
      </c>
      <c r="I16" s="31">
        <v>16661</v>
      </c>
      <c r="J16" s="31">
        <v>17980</v>
      </c>
      <c r="K16" s="31">
        <v>19230</v>
      </c>
      <c r="L16" s="31">
        <v>23865</v>
      </c>
      <c r="M16" s="31">
        <v>23804</v>
      </c>
      <c r="N16" s="31">
        <v>30856</v>
      </c>
      <c r="O16" s="31">
        <v>38267</v>
      </c>
      <c r="P16" s="31">
        <v>47541</v>
      </c>
      <c r="Q16" s="31">
        <v>56531</v>
      </c>
      <c r="R16" s="31">
        <v>68554</v>
      </c>
      <c r="S16" s="31">
        <v>76576</v>
      </c>
      <c r="T16" s="31">
        <v>80297</v>
      </c>
      <c r="U16" s="31">
        <v>80211</v>
      </c>
      <c r="V16" s="31">
        <v>75780</v>
      </c>
      <c r="W16" s="31">
        <v>64502</v>
      </c>
      <c r="X16" s="31">
        <v>82802</v>
      </c>
      <c r="Y16" s="31">
        <v>78555</v>
      </c>
      <c r="Z16" s="31">
        <v>80127</v>
      </c>
      <c r="AA16" s="31">
        <v>81700</v>
      </c>
      <c r="AL16" s="19"/>
    </row>
    <row r="17" spans="1:55" x14ac:dyDescent="0.25">
      <c r="A17" s="27" t="s">
        <v>19</v>
      </c>
      <c r="B17" s="31">
        <v>23804</v>
      </c>
      <c r="C17" s="31">
        <v>33203</v>
      </c>
      <c r="D17" s="31">
        <v>34453</v>
      </c>
      <c r="E17" s="31">
        <v>39112</v>
      </c>
      <c r="F17" s="31">
        <v>38383</v>
      </c>
      <c r="G17" s="31">
        <v>36256</v>
      </c>
      <c r="H17" s="31">
        <v>50318</v>
      </c>
      <c r="I17" s="31">
        <v>52559</v>
      </c>
      <c r="J17" s="31">
        <v>65731</v>
      </c>
      <c r="K17" s="31">
        <v>72669</v>
      </c>
      <c r="L17" s="31">
        <v>82751</v>
      </c>
      <c r="M17" s="31">
        <v>80948</v>
      </c>
      <c r="N17" s="31">
        <v>83726</v>
      </c>
      <c r="O17" s="31">
        <v>92110</v>
      </c>
      <c r="P17" s="31">
        <v>106345</v>
      </c>
      <c r="Q17" s="31">
        <v>113248</v>
      </c>
      <c r="R17" s="31">
        <v>117378</v>
      </c>
      <c r="S17" s="31">
        <v>119991</v>
      </c>
      <c r="T17" s="31">
        <v>130685</v>
      </c>
      <c r="U17" s="31">
        <v>134779</v>
      </c>
      <c r="V17" s="31">
        <v>136789</v>
      </c>
      <c r="W17" s="31">
        <v>114879</v>
      </c>
      <c r="X17" s="31">
        <v>162206</v>
      </c>
      <c r="Y17" s="31">
        <v>174720</v>
      </c>
      <c r="Z17" s="31">
        <v>179015</v>
      </c>
      <c r="AA17" s="31">
        <v>183865</v>
      </c>
      <c r="AL17" s="19"/>
    </row>
    <row r="18" spans="1:55" s="36" customFormat="1" x14ac:dyDescent="0.25">
      <c r="A18" s="26" t="s">
        <v>15</v>
      </c>
      <c r="B18" s="33">
        <v>37614</v>
      </c>
      <c r="C18" s="33">
        <v>46706</v>
      </c>
      <c r="D18" s="33">
        <v>53052</v>
      </c>
      <c r="E18" s="33">
        <v>58560</v>
      </c>
      <c r="F18" s="33">
        <v>58899</v>
      </c>
      <c r="G18" s="33">
        <v>52573</v>
      </c>
      <c r="H18" s="33">
        <v>77352</v>
      </c>
      <c r="I18" s="33">
        <v>84410</v>
      </c>
      <c r="J18" s="33">
        <v>97624</v>
      </c>
      <c r="K18" s="33">
        <v>111913</v>
      </c>
      <c r="L18" s="33">
        <v>123519</v>
      </c>
      <c r="M18" s="33">
        <v>119105</v>
      </c>
      <c r="N18" s="33">
        <v>137073</v>
      </c>
      <c r="O18" s="33">
        <v>156000</v>
      </c>
      <c r="P18" s="33">
        <v>182179</v>
      </c>
      <c r="Q18" s="33">
        <v>197558</v>
      </c>
      <c r="R18" s="33">
        <v>216587</v>
      </c>
      <c r="S18" s="33">
        <v>230506</v>
      </c>
      <c r="T18" s="33">
        <v>244006</v>
      </c>
      <c r="U18" s="33">
        <v>250349</v>
      </c>
      <c r="V18" s="33">
        <v>246619</v>
      </c>
      <c r="W18" s="33">
        <v>203597</v>
      </c>
      <c r="X18" s="33">
        <v>281489</v>
      </c>
      <c r="Y18" s="33">
        <v>291453</v>
      </c>
      <c r="Z18" s="33">
        <v>299799</v>
      </c>
      <c r="AA18" s="33">
        <v>302732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35"/>
    </row>
    <row r="21" spans="1:55" ht="15.75" x14ac:dyDescent="0.25">
      <c r="A21" s="24" t="s">
        <v>83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55" x14ac:dyDescent="0.25">
      <c r="A22" s="1" t="s">
        <v>16</v>
      </c>
      <c r="B22" s="18">
        <v>1999</v>
      </c>
      <c r="C22" s="18">
        <v>2000</v>
      </c>
      <c r="D22" s="18">
        <v>2001</v>
      </c>
      <c r="E22" s="18">
        <v>2002</v>
      </c>
      <c r="F22" s="18">
        <v>2003</v>
      </c>
      <c r="G22" s="18">
        <v>2004</v>
      </c>
      <c r="H22" s="18">
        <v>2005</v>
      </c>
      <c r="I22" s="18">
        <v>2006</v>
      </c>
      <c r="J22" s="18">
        <v>2007</v>
      </c>
      <c r="K22" s="18">
        <v>2008</v>
      </c>
      <c r="L22" s="18">
        <v>2009</v>
      </c>
      <c r="M22" s="18">
        <v>2010</v>
      </c>
      <c r="N22" s="18">
        <v>2011</v>
      </c>
      <c r="O22" s="18">
        <v>2012</v>
      </c>
      <c r="P22" s="18">
        <v>2013</v>
      </c>
      <c r="Q22" s="18">
        <v>2014</v>
      </c>
      <c r="R22" s="18">
        <v>2015</v>
      </c>
      <c r="S22" s="18">
        <v>2016</v>
      </c>
      <c r="T22" s="18">
        <v>2017</v>
      </c>
      <c r="U22" s="18">
        <v>2018</v>
      </c>
      <c r="V22" s="18">
        <v>2019</v>
      </c>
      <c r="W22" s="18">
        <v>2020</v>
      </c>
      <c r="X22" s="18">
        <v>2021</v>
      </c>
      <c r="Y22" s="18">
        <v>2022</v>
      </c>
      <c r="Z22" s="18">
        <v>2023</v>
      </c>
      <c r="AA22" s="18">
        <v>2024</v>
      </c>
      <c r="AL22" s="19"/>
      <c r="AN22" s="13"/>
    </row>
    <row r="23" spans="1:55" x14ac:dyDescent="0.25">
      <c r="A23" s="27" t="s">
        <v>17</v>
      </c>
      <c r="B23" s="31">
        <v>9721</v>
      </c>
      <c r="C23" s="31">
        <v>7901</v>
      </c>
      <c r="D23" s="31">
        <v>11998</v>
      </c>
      <c r="E23" s="31">
        <v>10011</v>
      </c>
      <c r="F23" s="31">
        <v>10202</v>
      </c>
      <c r="G23" s="31">
        <v>8371</v>
      </c>
      <c r="H23" s="31">
        <v>12258</v>
      </c>
      <c r="I23" s="31">
        <v>15190</v>
      </c>
      <c r="J23" s="31">
        <v>13913</v>
      </c>
      <c r="K23" s="31">
        <v>20014</v>
      </c>
      <c r="L23" s="31">
        <v>16903</v>
      </c>
      <c r="M23" s="31">
        <v>14353</v>
      </c>
      <c r="N23" s="31">
        <v>22491</v>
      </c>
      <c r="O23" s="31">
        <v>25623</v>
      </c>
      <c r="P23" s="31">
        <v>28293</v>
      </c>
      <c r="Q23" s="31">
        <v>27779</v>
      </c>
      <c r="R23" s="31">
        <v>30655</v>
      </c>
      <c r="S23" s="31">
        <v>33939</v>
      </c>
      <c r="T23" s="31">
        <v>33024</v>
      </c>
      <c r="U23" s="31">
        <v>35359</v>
      </c>
      <c r="V23" s="31">
        <v>34050</v>
      </c>
      <c r="W23" s="31">
        <v>24216</v>
      </c>
      <c r="X23" s="31">
        <v>36481</v>
      </c>
      <c r="Y23" s="31">
        <v>38178</v>
      </c>
      <c r="Z23" s="31">
        <v>40657</v>
      </c>
      <c r="AA23" s="31">
        <v>37167</v>
      </c>
      <c r="AL23" s="19"/>
      <c r="AN23" s="13"/>
    </row>
    <row r="24" spans="1:55" x14ac:dyDescent="0.25">
      <c r="A24" s="27" t="s">
        <v>18</v>
      </c>
      <c r="B24" s="31">
        <v>4089</v>
      </c>
      <c r="C24" s="31">
        <v>5602</v>
      </c>
      <c r="D24" s="31">
        <v>6601</v>
      </c>
      <c r="E24" s="31">
        <v>9437</v>
      </c>
      <c r="F24" s="31">
        <v>10314</v>
      </c>
      <c r="G24" s="31">
        <v>7946</v>
      </c>
      <c r="H24" s="31">
        <v>14776</v>
      </c>
      <c r="I24" s="31">
        <v>16661</v>
      </c>
      <c r="J24" s="31">
        <v>17980</v>
      </c>
      <c r="K24" s="31">
        <v>19230</v>
      </c>
      <c r="L24" s="31">
        <v>23865</v>
      </c>
      <c r="M24" s="31">
        <v>23804</v>
      </c>
      <c r="N24" s="31">
        <v>30856</v>
      </c>
      <c r="O24" s="31">
        <v>38267</v>
      </c>
      <c r="P24" s="31">
        <v>47541</v>
      </c>
      <c r="Q24" s="31">
        <v>56531</v>
      </c>
      <c r="R24" s="31">
        <v>68554</v>
      </c>
      <c r="S24" s="31">
        <v>76576</v>
      </c>
      <c r="T24" s="31">
        <v>80297</v>
      </c>
      <c r="U24" s="31">
        <v>80211</v>
      </c>
      <c r="V24" s="31">
        <v>75780</v>
      </c>
      <c r="W24" s="31">
        <v>64502</v>
      </c>
      <c r="X24" s="31">
        <v>82802</v>
      </c>
      <c r="Y24" s="31">
        <v>78555</v>
      </c>
      <c r="Z24" s="31">
        <v>80127</v>
      </c>
      <c r="AA24" s="31">
        <v>81700</v>
      </c>
      <c r="AL24" s="19"/>
      <c r="AN24" s="13"/>
    </row>
    <row r="25" spans="1:55" x14ac:dyDescent="0.25">
      <c r="A25" s="27" t="s">
        <v>67</v>
      </c>
      <c r="B25" s="31">
        <v>18426</v>
      </c>
      <c r="C25" s="31">
        <v>22986</v>
      </c>
      <c r="D25" s="31">
        <v>24745</v>
      </c>
      <c r="E25" s="31">
        <v>27556</v>
      </c>
      <c r="F25" s="31">
        <v>26535</v>
      </c>
      <c r="G25" s="31">
        <v>24173</v>
      </c>
      <c r="H25" s="31">
        <v>33052</v>
      </c>
      <c r="I25" s="31">
        <v>34136</v>
      </c>
      <c r="J25" s="31">
        <v>38078</v>
      </c>
      <c r="K25" s="31">
        <v>39488</v>
      </c>
      <c r="L25" s="31">
        <v>44851</v>
      </c>
      <c r="M25" s="31">
        <v>44593</v>
      </c>
      <c r="N25" s="31">
        <v>43350</v>
      </c>
      <c r="O25" s="31">
        <v>45510</v>
      </c>
      <c r="P25" s="31">
        <v>48190</v>
      </c>
      <c r="Q25" s="31">
        <v>49958</v>
      </c>
      <c r="R25" s="31">
        <v>51968</v>
      </c>
      <c r="S25" s="31">
        <v>50938</v>
      </c>
      <c r="T25" s="31">
        <v>60788</v>
      </c>
      <c r="U25" s="31">
        <v>59375</v>
      </c>
      <c r="V25" s="31">
        <v>63672</v>
      </c>
      <c r="W25" s="31">
        <v>55888</v>
      </c>
      <c r="X25" s="31">
        <v>74791</v>
      </c>
      <c r="Y25" s="31">
        <v>90699</v>
      </c>
      <c r="Z25" s="31">
        <v>91764</v>
      </c>
      <c r="AA25" s="31">
        <v>97159</v>
      </c>
      <c r="AL25" s="19"/>
      <c r="AN25" s="13"/>
    </row>
    <row r="26" spans="1:55" x14ac:dyDescent="0.25">
      <c r="A26" s="27" t="s">
        <v>20</v>
      </c>
      <c r="B26" s="31">
        <v>5378</v>
      </c>
      <c r="C26" s="31">
        <v>10217</v>
      </c>
      <c r="D26" s="31">
        <v>9708</v>
      </c>
      <c r="E26" s="31">
        <v>11556</v>
      </c>
      <c r="F26" s="31">
        <v>11848</v>
      </c>
      <c r="G26" s="31">
        <v>12083</v>
      </c>
      <c r="H26" s="31">
        <v>17266</v>
      </c>
      <c r="I26" s="31">
        <v>18423</v>
      </c>
      <c r="J26" s="31">
        <v>27653</v>
      </c>
      <c r="K26" s="31">
        <v>33181</v>
      </c>
      <c r="L26" s="31">
        <v>37900</v>
      </c>
      <c r="M26" s="31">
        <v>36355</v>
      </c>
      <c r="N26" s="31">
        <v>40376</v>
      </c>
      <c r="O26" s="31">
        <v>46600</v>
      </c>
      <c r="P26" s="31">
        <v>58155</v>
      </c>
      <c r="Q26" s="31">
        <v>63290</v>
      </c>
      <c r="R26" s="31">
        <v>65410</v>
      </c>
      <c r="S26" s="31">
        <v>69053</v>
      </c>
      <c r="T26" s="31">
        <v>69897</v>
      </c>
      <c r="U26" s="31">
        <v>75404</v>
      </c>
      <c r="V26" s="31">
        <v>73117</v>
      </c>
      <c r="W26" s="31">
        <v>58991</v>
      </c>
      <c r="X26" s="31">
        <v>87415</v>
      </c>
      <c r="Y26" s="31">
        <v>84021</v>
      </c>
      <c r="Z26" s="31">
        <v>87251</v>
      </c>
      <c r="AA26" s="31">
        <v>86706</v>
      </c>
      <c r="AL26" s="19"/>
      <c r="AN26" s="13"/>
    </row>
    <row r="27" spans="1:55" s="36" customFormat="1" x14ac:dyDescent="0.25">
      <c r="A27" s="26" t="s">
        <v>15</v>
      </c>
      <c r="B27" s="33">
        <v>37614</v>
      </c>
      <c r="C27" s="33">
        <v>46706</v>
      </c>
      <c r="D27" s="33">
        <v>53052</v>
      </c>
      <c r="E27" s="33">
        <v>58560</v>
      </c>
      <c r="F27" s="33">
        <v>58899</v>
      </c>
      <c r="G27" s="33">
        <v>52573</v>
      </c>
      <c r="H27" s="33">
        <v>77352</v>
      </c>
      <c r="I27" s="33">
        <v>84410</v>
      </c>
      <c r="J27" s="33">
        <v>97624</v>
      </c>
      <c r="K27" s="33">
        <v>111913</v>
      </c>
      <c r="L27" s="33">
        <v>123519</v>
      </c>
      <c r="M27" s="33">
        <v>119105</v>
      </c>
      <c r="N27" s="33">
        <v>137073</v>
      </c>
      <c r="O27" s="33">
        <v>156000</v>
      </c>
      <c r="P27" s="33">
        <v>182179</v>
      </c>
      <c r="Q27" s="33">
        <v>197558</v>
      </c>
      <c r="R27" s="33">
        <v>216587</v>
      </c>
      <c r="S27" s="33">
        <v>230506</v>
      </c>
      <c r="T27" s="33">
        <v>244006</v>
      </c>
      <c r="U27" s="33">
        <v>250349</v>
      </c>
      <c r="V27" s="33">
        <v>246619</v>
      </c>
      <c r="W27" s="33">
        <v>203597</v>
      </c>
      <c r="X27" s="33">
        <v>281489</v>
      </c>
      <c r="Y27" s="33">
        <v>291453</v>
      </c>
      <c r="Z27" s="33">
        <v>299799</v>
      </c>
      <c r="AA27" s="33">
        <v>302732</v>
      </c>
      <c r="AB27" s="19"/>
      <c r="AC27" s="19"/>
      <c r="AD27" s="19"/>
      <c r="AE27" s="19"/>
      <c r="AF27" s="19"/>
      <c r="AG27" s="19"/>
      <c r="AH27" s="34"/>
      <c r="AI27" s="34"/>
      <c r="AJ27" s="34"/>
      <c r="AK27" s="34"/>
      <c r="AL27" s="34"/>
      <c r="AM27" s="35"/>
      <c r="AN27" s="35"/>
    </row>
    <row r="28" spans="1:55" x14ac:dyDescent="0.25"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30" spans="1:55" ht="15.75" x14ac:dyDescent="0.25">
      <c r="A30" s="24" t="s">
        <v>84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55" x14ac:dyDescent="0.25">
      <c r="A31" s="59" t="s">
        <v>16</v>
      </c>
      <c r="B31" s="58">
        <v>1999</v>
      </c>
      <c r="C31" s="58"/>
      <c r="D31" s="58">
        <v>2000</v>
      </c>
      <c r="E31" s="58"/>
      <c r="F31" s="58">
        <v>2001</v>
      </c>
      <c r="G31" s="58"/>
      <c r="H31" s="58">
        <v>2002</v>
      </c>
      <c r="I31" s="58"/>
      <c r="J31" s="58">
        <v>2003</v>
      </c>
      <c r="K31" s="58"/>
      <c r="L31" s="58">
        <v>2004</v>
      </c>
      <c r="M31" s="58"/>
      <c r="N31" s="58">
        <v>2005</v>
      </c>
      <c r="O31" s="58"/>
      <c r="P31" s="58">
        <v>2006</v>
      </c>
      <c r="Q31" s="58"/>
      <c r="R31" s="58">
        <v>2007</v>
      </c>
      <c r="S31" s="58"/>
      <c r="T31" s="58">
        <v>2008</v>
      </c>
      <c r="U31" s="58"/>
      <c r="V31" s="58">
        <v>2009</v>
      </c>
      <c r="W31" s="58"/>
      <c r="X31" s="58">
        <v>2010</v>
      </c>
      <c r="Y31" s="58"/>
      <c r="Z31" s="58">
        <v>2011</v>
      </c>
      <c r="AA31" s="58"/>
      <c r="AB31" s="58">
        <v>2012</v>
      </c>
      <c r="AC31" s="58"/>
      <c r="AD31" s="58">
        <v>2013</v>
      </c>
      <c r="AE31" s="58"/>
      <c r="AF31" s="58">
        <v>2014</v>
      </c>
      <c r="AG31" s="58"/>
      <c r="AH31" s="58">
        <v>2015</v>
      </c>
      <c r="AI31" s="58"/>
      <c r="AJ31" s="58">
        <v>2016</v>
      </c>
      <c r="AK31" s="58"/>
      <c r="AL31" s="58">
        <v>2017</v>
      </c>
      <c r="AM31" s="58"/>
      <c r="AN31" s="58">
        <v>2018</v>
      </c>
      <c r="AO31" s="58"/>
      <c r="AP31" s="58">
        <v>2019</v>
      </c>
      <c r="AQ31" s="58"/>
      <c r="AR31" s="58">
        <v>2020</v>
      </c>
      <c r="AS31" s="58"/>
      <c r="AT31" s="58">
        <v>2021</v>
      </c>
      <c r="AU31" s="58"/>
      <c r="AV31" s="58">
        <v>2022</v>
      </c>
      <c r="AW31" s="58"/>
      <c r="AX31" s="60">
        <v>2023</v>
      </c>
      <c r="AY31" s="61"/>
      <c r="AZ31" s="62"/>
      <c r="BA31" s="60">
        <v>2024</v>
      </c>
      <c r="BB31" s="61"/>
      <c r="BC31" s="62"/>
    </row>
    <row r="32" spans="1:55" x14ac:dyDescent="0.25">
      <c r="A32" s="59"/>
      <c r="B32" s="18" t="s">
        <v>64</v>
      </c>
      <c r="C32" s="18" t="s">
        <v>65</v>
      </c>
      <c r="D32" s="18" t="s">
        <v>64</v>
      </c>
      <c r="E32" s="18" t="s">
        <v>65</v>
      </c>
      <c r="F32" s="18" t="s">
        <v>64</v>
      </c>
      <c r="G32" s="18" t="s">
        <v>65</v>
      </c>
      <c r="H32" s="18" t="s">
        <v>64</v>
      </c>
      <c r="I32" s="18" t="s">
        <v>65</v>
      </c>
      <c r="J32" s="18" t="s">
        <v>64</v>
      </c>
      <c r="K32" s="18" t="s">
        <v>65</v>
      </c>
      <c r="L32" s="18" t="s">
        <v>64</v>
      </c>
      <c r="M32" s="18" t="s">
        <v>65</v>
      </c>
      <c r="N32" s="18" t="s">
        <v>64</v>
      </c>
      <c r="O32" s="18" t="s">
        <v>65</v>
      </c>
      <c r="P32" s="18" t="s">
        <v>64</v>
      </c>
      <c r="Q32" s="18" t="s">
        <v>65</v>
      </c>
      <c r="R32" s="18" t="s">
        <v>64</v>
      </c>
      <c r="S32" s="18" t="s">
        <v>65</v>
      </c>
      <c r="T32" s="18" t="s">
        <v>64</v>
      </c>
      <c r="U32" s="18" t="s">
        <v>65</v>
      </c>
      <c r="V32" s="18" t="s">
        <v>64</v>
      </c>
      <c r="W32" s="18" t="s">
        <v>65</v>
      </c>
      <c r="X32" s="18" t="s">
        <v>64</v>
      </c>
      <c r="Y32" s="18" t="s">
        <v>65</v>
      </c>
      <c r="Z32" s="18" t="s">
        <v>64</v>
      </c>
      <c r="AA32" s="18" t="s">
        <v>65</v>
      </c>
      <c r="AB32" s="18" t="s">
        <v>64</v>
      </c>
      <c r="AC32" s="18" t="s">
        <v>65</v>
      </c>
      <c r="AD32" s="18" t="s">
        <v>64</v>
      </c>
      <c r="AE32" s="18" t="s">
        <v>65</v>
      </c>
      <c r="AF32" s="18" t="s">
        <v>64</v>
      </c>
      <c r="AG32" s="18" t="s">
        <v>65</v>
      </c>
      <c r="AH32" s="18" t="s">
        <v>64</v>
      </c>
      <c r="AI32" s="18" t="s">
        <v>65</v>
      </c>
      <c r="AJ32" s="18" t="s">
        <v>64</v>
      </c>
      <c r="AK32" s="18" t="s">
        <v>65</v>
      </c>
      <c r="AL32" s="18" t="s">
        <v>64</v>
      </c>
      <c r="AM32" s="18" t="s">
        <v>65</v>
      </c>
      <c r="AN32" s="18" t="s">
        <v>64</v>
      </c>
      <c r="AO32" s="18" t="s">
        <v>65</v>
      </c>
      <c r="AP32" s="18" t="s">
        <v>64</v>
      </c>
      <c r="AQ32" s="18" t="s">
        <v>65</v>
      </c>
      <c r="AR32" s="18" t="s">
        <v>64</v>
      </c>
      <c r="AS32" s="18" t="s">
        <v>65</v>
      </c>
      <c r="AT32" s="18" t="s">
        <v>64</v>
      </c>
      <c r="AU32" s="18" t="s">
        <v>65</v>
      </c>
      <c r="AV32" s="18" t="s">
        <v>64</v>
      </c>
      <c r="AW32" s="18" t="s">
        <v>65</v>
      </c>
      <c r="AX32" s="18" t="s">
        <v>64</v>
      </c>
      <c r="AY32" s="18" t="s">
        <v>65</v>
      </c>
      <c r="AZ32" s="18" t="s">
        <v>78</v>
      </c>
      <c r="BA32" s="18" t="s">
        <v>64</v>
      </c>
      <c r="BB32" s="18" t="s">
        <v>65</v>
      </c>
      <c r="BC32" s="18" t="s">
        <v>78</v>
      </c>
    </row>
    <row r="33" spans="1:55" x14ac:dyDescent="0.25">
      <c r="A33" s="27" t="s">
        <v>17</v>
      </c>
      <c r="B33" s="31">
        <v>4457</v>
      </c>
      <c r="C33" s="31">
        <v>5264</v>
      </c>
      <c r="D33" s="31">
        <v>3418</v>
      </c>
      <c r="E33" s="31">
        <v>4483</v>
      </c>
      <c r="F33" s="31">
        <v>5707</v>
      </c>
      <c r="G33" s="31">
        <v>6291</v>
      </c>
      <c r="H33" s="31">
        <v>4155</v>
      </c>
      <c r="I33" s="31">
        <v>5856</v>
      </c>
      <c r="J33" s="31">
        <v>3990</v>
      </c>
      <c r="K33" s="31">
        <v>6212</v>
      </c>
      <c r="L33" s="31">
        <v>3299</v>
      </c>
      <c r="M33" s="31">
        <v>5072</v>
      </c>
      <c r="N33" s="31">
        <v>4854</v>
      </c>
      <c r="O33" s="31">
        <v>7404</v>
      </c>
      <c r="P33" s="31">
        <v>6404</v>
      </c>
      <c r="Q33" s="31">
        <v>8786</v>
      </c>
      <c r="R33" s="31">
        <v>6158</v>
      </c>
      <c r="S33" s="31">
        <v>7755</v>
      </c>
      <c r="T33" s="31">
        <v>7870</v>
      </c>
      <c r="U33" s="31">
        <v>12144</v>
      </c>
      <c r="V33" s="31">
        <v>6981</v>
      </c>
      <c r="W33" s="31">
        <v>9922</v>
      </c>
      <c r="X33" s="31">
        <v>6288</v>
      </c>
      <c r="Y33" s="31">
        <v>8065</v>
      </c>
      <c r="Z33" s="31">
        <v>8757</v>
      </c>
      <c r="AA33" s="31">
        <v>13734</v>
      </c>
      <c r="AB33" s="31">
        <v>9782</v>
      </c>
      <c r="AC33" s="31">
        <v>15841</v>
      </c>
      <c r="AD33" s="31">
        <v>10995</v>
      </c>
      <c r="AE33" s="31">
        <v>17298</v>
      </c>
      <c r="AF33" s="31">
        <v>11152</v>
      </c>
      <c r="AG33" s="31">
        <v>16627</v>
      </c>
      <c r="AH33" s="31">
        <v>12955</v>
      </c>
      <c r="AI33" s="31">
        <v>17700</v>
      </c>
      <c r="AJ33" s="31">
        <v>14295</v>
      </c>
      <c r="AK33" s="31">
        <v>19644</v>
      </c>
      <c r="AL33" s="31">
        <v>14711</v>
      </c>
      <c r="AM33" s="31">
        <v>18313</v>
      </c>
      <c r="AN33" s="31">
        <v>15500</v>
      </c>
      <c r="AO33" s="31">
        <v>19859</v>
      </c>
      <c r="AP33" s="31">
        <v>15260</v>
      </c>
      <c r="AQ33" s="31">
        <v>18790</v>
      </c>
      <c r="AR33" s="31">
        <v>10108</v>
      </c>
      <c r="AS33" s="31">
        <v>14108</v>
      </c>
      <c r="AT33" s="31">
        <v>14873</v>
      </c>
      <c r="AU33" s="31">
        <v>21608</v>
      </c>
      <c r="AV33" s="31">
        <v>15994</v>
      </c>
      <c r="AW33" s="31">
        <v>22184</v>
      </c>
      <c r="AX33" s="31">
        <v>17593</v>
      </c>
      <c r="AY33" s="31">
        <v>23064</v>
      </c>
      <c r="AZ33" s="31">
        <v>0</v>
      </c>
      <c r="BA33" s="31">
        <v>15987</v>
      </c>
      <c r="BB33" s="31">
        <v>21180</v>
      </c>
      <c r="BC33" s="31">
        <v>0</v>
      </c>
    </row>
    <row r="34" spans="1:55" x14ac:dyDescent="0.25">
      <c r="A34" s="27" t="s">
        <v>18</v>
      </c>
      <c r="B34" s="31">
        <v>2003</v>
      </c>
      <c r="C34" s="31">
        <v>2086</v>
      </c>
      <c r="D34" s="31">
        <v>2839</v>
      </c>
      <c r="E34" s="31">
        <v>2763</v>
      </c>
      <c r="F34" s="31">
        <v>3481</v>
      </c>
      <c r="G34" s="31">
        <v>3120</v>
      </c>
      <c r="H34" s="31">
        <v>5175</v>
      </c>
      <c r="I34" s="31">
        <v>4262</v>
      </c>
      <c r="J34" s="31">
        <v>6010</v>
      </c>
      <c r="K34" s="31">
        <v>4304</v>
      </c>
      <c r="L34" s="31">
        <v>4493</v>
      </c>
      <c r="M34" s="31">
        <v>3453</v>
      </c>
      <c r="N34" s="31">
        <v>8404</v>
      </c>
      <c r="O34" s="31">
        <v>6372</v>
      </c>
      <c r="P34" s="31">
        <v>9574</v>
      </c>
      <c r="Q34" s="31">
        <v>7087</v>
      </c>
      <c r="R34" s="31">
        <v>9694</v>
      </c>
      <c r="S34" s="31">
        <v>8286</v>
      </c>
      <c r="T34" s="31">
        <v>9740</v>
      </c>
      <c r="U34" s="31">
        <v>9490</v>
      </c>
      <c r="V34" s="31">
        <v>11575</v>
      </c>
      <c r="W34" s="31">
        <v>12290</v>
      </c>
      <c r="X34" s="31">
        <v>11164</v>
      </c>
      <c r="Y34" s="31">
        <v>12640</v>
      </c>
      <c r="Z34" s="31">
        <v>14232</v>
      </c>
      <c r="AA34" s="31">
        <v>16624</v>
      </c>
      <c r="AB34" s="31">
        <v>16873</v>
      </c>
      <c r="AC34" s="31">
        <v>21394</v>
      </c>
      <c r="AD34" s="31">
        <v>20484</v>
      </c>
      <c r="AE34" s="31">
        <v>27057</v>
      </c>
      <c r="AF34" s="31">
        <v>24804</v>
      </c>
      <c r="AG34" s="31">
        <v>31727</v>
      </c>
      <c r="AH34" s="31">
        <v>29883</v>
      </c>
      <c r="AI34" s="31">
        <v>38671</v>
      </c>
      <c r="AJ34" s="31">
        <v>32675</v>
      </c>
      <c r="AK34" s="31">
        <v>43901</v>
      </c>
      <c r="AL34" s="31">
        <v>34384</v>
      </c>
      <c r="AM34" s="31">
        <v>45913</v>
      </c>
      <c r="AN34" s="31">
        <v>35260</v>
      </c>
      <c r="AO34" s="31">
        <v>44951</v>
      </c>
      <c r="AP34" s="31">
        <v>33058</v>
      </c>
      <c r="AQ34" s="31">
        <v>42722</v>
      </c>
      <c r="AR34" s="31">
        <v>27314</v>
      </c>
      <c r="AS34" s="31">
        <v>37188</v>
      </c>
      <c r="AT34" s="31">
        <v>36249</v>
      </c>
      <c r="AU34" s="31">
        <v>46553</v>
      </c>
      <c r="AV34" s="31">
        <v>35048</v>
      </c>
      <c r="AW34" s="31">
        <v>43507</v>
      </c>
      <c r="AX34" s="31">
        <v>36232</v>
      </c>
      <c r="AY34" s="31">
        <v>43895</v>
      </c>
      <c r="AZ34" s="31">
        <v>0</v>
      </c>
      <c r="BA34" s="31">
        <v>37208</v>
      </c>
      <c r="BB34" s="31">
        <v>44492</v>
      </c>
      <c r="BC34" s="31">
        <v>0</v>
      </c>
    </row>
    <row r="35" spans="1:55" x14ac:dyDescent="0.25">
      <c r="A35" s="27" t="s">
        <v>19</v>
      </c>
      <c r="B35" s="31">
        <v>12043</v>
      </c>
      <c r="C35" s="31">
        <v>11761</v>
      </c>
      <c r="D35" s="31">
        <v>16520.400000000001</v>
      </c>
      <c r="E35" s="31">
        <v>16682.599999999999</v>
      </c>
      <c r="F35" s="31">
        <v>17266</v>
      </c>
      <c r="G35" s="31">
        <v>17187</v>
      </c>
      <c r="H35" s="31">
        <v>19560</v>
      </c>
      <c r="I35" s="31">
        <v>19552</v>
      </c>
      <c r="J35" s="31">
        <v>18224</v>
      </c>
      <c r="K35" s="31">
        <v>20159</v>
      </c>
      <c r="L35" s="31">
        <v>17147</v>
      </c>
      <c r="M35" s="31">
        <v>19109</v>
      </c>
      <c r="N35" s="31">
        <v>23143</v>
      </c>
      <c r="O35" s="31">
        <v>27175</v>
      </c>
      <c r="P35" s="31">
        <v>23902</v>
      </c>
      <c r="Q35" s="31">
        <v>28657</v>
      </c>
      <c r="R35" s="31">
        <v>29522</v>
      </c>
      <c r="S35" s="31">
        <v>36209</v>
      </c>
      <c r="T35" s="31">
        <v>31925</v>
      </c>
      <c r="U35" s="31">
        <v>40744</v>
      </c>
      <c r="V35" s="31">
        <v>37161</v>
      </c>
      <c r="W35" s="31">
        <v>45590</v>
      </c>
      <c r="X35" s="31">
        <v>36931</v>
      </c>
      <c r="Y35" s="31">
        <v>44017</v>
      </c>
      <c r="Z35" s="31">
        <v>37709</v>
      </c>
      <c r="AA35" s="31">
        <v>46017</v>
      </c>
      <c r="AB35" s="31">
        <v>41598</v>
      </c>
      <c r="AC35" s="31">
        <v>50512</v>
      </c>
      <c r="AD35" s="31">
        <v>47900</v>
      </c>
      <c r="AE35" s="31">
        <v>58445</v>
      </c>
      <c r="AF35" s="31">
        <v>51271</v>
      </c>
      <c r="AG35" s="31">
        <v>61977</v>
      </c>
      <c r="AH35" s="31">
        <v>53278</v>
      </c>
      <c r="AI35" s="31">
        <v>64100</v>
      </c>
      <c r="AJ35" s="31">
        <v>53329</v>
      </c>
      <c r="AK35" s="31">
        <v>66662</v>
      </c>
      <c r="AL35" s="31">
        <v>56705</v>
      </c>
      <c r="AM35" s="31">
        <v>73980</v>
      </c>
      <c r="AN35" s="31">
        <v>58026</v>
      </c>
      <c r="AO35" s="31">
        <v>76753</v>
      </c>
      <c r="AP35" s="31">
        <v>58141</v>
      </c>
      <c r="AQ35" s="31">
        <v>78648</v>
      </c>
      <c r="AR35" s="31">
        <v>51130</v>
      </c>
      <c r="AS35" s="31">
        <v>63749</v>
      </c>
      <c r="AT35" s="31">
        <v>67081</v>
      </c>
      <c r="AU35" s="31">
        <v>95125</v>
      </c>
      <c r="AV35" s="31">
        <v>74215</v>
      </c>
      <c r="AW35" s="31">
        <v>100505</v>
      </c>
      <c r="AX35" s="31">
        <v>77414</v>
      </c>
      <c r="AY35" s="31">
        <v>101598</v>
      </c>
      <c r="AZ35" s="31">
        <v>3</v>
      </c>
      <c r="BA35" s="31">
        <v>79602</v>
      </c>
      <c r="BB35" s="31">
        <v>104261</v>
      </c>
      <c r="BC35" s="31">
        <v>2</v>
      </c>
    </row>
    <row r="36" spans="1:55" s="36" customFormat="1" x14ac:dyDescent="0.25">
      <c r="A36" s="26" t="s">
        <v>15</v>
      </c>
      <c r="B36" s="33">
        <v>18503</v>
      </c>
      <c r="C36" s="33">
        <v>19111</v>
      </c>
      <c r="D36" s="33">
        <v>22777.4</v>
      </c>
      <c r="E36" s="33">
        <v>23928.6</v>
      </c>
      <c r="F36" s="33">
        <v>26454</v>
      </c>
      <c r="G36" s="33">
        <v>26598</v>
      </c>
      <c r="H36" s="33">
        <v>28890</v>
      </c>
      <c r="I36" s="33">
        <v>29670</v>
      </c>
      <c r="J36" s="33">
        <v>28224</v>
      </c>
      <c r="K36" s="33">
        <v>30675</v>
      </c>
      <c r="L36" s="33">
        <v>24939</v>
      </c>
      <c r="M36" s="33">
        <v>27634</v>
      </c>
      <c r="N36" s="33">
        <v>36401</v>
      </c>
      <c r="O36" s="33">
        <v>40951</v>
      </c>
      <c r="P36" s="33">
        <v>39880</v>
      </c>
      <c r="Q36" s="33">
        <v>44530</v>
      </c>
      <c r="R36" s="33">
        <v>45374</v>
      </c>
      <c r="S36" s="33">
        <v>52250</v>
      </c>
      <c r="T36" s="33">
        <v>49535</v>
      </c>
      <c r="U36" s="33">
        <v>62378</v>
      </c>
      <c r="V36" s="33">
        <v>55717</v>
      </c>
      <c r="W36" s="33">
        <v>67802</v>
      </c>
      <c r="X36" s="33">
        <v>54383</v>
      </c>
      <c r="Y36" s="33">
        <v>64722</v>
      </c>
      <c r="Z36" s="33">
        <v>60698</v>
      </c>
      <c r="AA36" s="33">
        <v>76375</v>
      </c>
      <c r="AB36" s="33">
        <v>68253</v>
      </c>
      <c r="AC36" s="33">
        <v>87747</v>
      </c>
      <c r="AD36" s="33">
        <v>79379</v>
      </c>
      <c r="AE36" s="33">
        <v>102800</v>
      </c>
      <c r="AF36" s="33">
        <v>87227</v>
      </c>
      <c r="AG36" s="33">
        <v>110331</v>
      </c>
      <c r="AH36" s="33">
        <v>96116</v>
      </c>
      <c r="AI36" s="33">
        <v>120471</v>
      </c>
      <c r="AJ36" s="33">
        <v>100299</v>
      </c>
      <c r="AK36" s="33">
        <v>130207</v>
      </c>
      <c r="AL36" s="33">
        <v>105800</v>
      </c>
      <c r="AM36" s="33">
        <v>138206</v>
      </c>
      <c r="AN36" s="33">
        <v>108786</v>
      </c>
      <c r="AO36" s="33">
        <v>141563</v>
      </c>
      <c r="AP36" s="33">
        <v>106459</v>
      </c>
      <c r="AQ36" s="33">
        <v>140160</v>
      </c>
      <c r="AR36" s="33">
        <v>88552</v>
      </c>
      <c r="AS36" s="33">
        <v>115045</v>
      </c>
      <c r="AT36" s="33">
        <v>118203</v>
      </c>
      <c r="AU36" s="33">
        <v>163286</v>
      </c>
      <c r="AV36" s="33">
        <v>125257</v>
      </c>
      <c r="AW36" s="33">
        <v>166196</v>
      </c>
      <c r="AX36" s="33">
        <v>131239</v>
      </c>
      <c r="AY36" s="33">
        <v>168557</v>
      </c>
      <c r="AZ36" s="33">
        <v>3</v>
      </c>
      <c r="BA36" s="33">
        <v>132797</v>
      </c>
      <c r="BB36" s="33">
        <v>169933</v>
      </c>
      <c r="BC36" s="33">
        <v>2</v>
      </c>
    </row>
    <row r="37" spans="1:55" x14ac:dyDescent="0.25">
      <c r="C37" s="38"/>
      <c r="E37" s="38"/>
      <c r="G37" s="38"/>
      <c r="I37" s="38"/>
      <c r="K37" s="39"/>
      <c r="M37" s="38"/>
      <c r="O37" s="38"/>
      <c r="Q37" s="38"/>
      <c r="S37" s="38"/>
      <c r="U37" s="38"/>
      <c r="W37" s="38"/>
      <c r="Y37" s="38"/>
      <c r="AA37" s="38"/>
      <c r="AC37" s="38"/>
      <c r="AE37" s="39"/>
      <c r="AG37" s="39"/>
      <c r="AI37" s="39"/>
      <c r="AK37" s="38"/>
      <c r="AM37" s="38"/>
    </row>
    <row r="38" spans="1:55" x14ac:dyDescent="0.25">
      <c r="K38" s="39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</row>
    <row r="39" spans="1:55" ht="15.75" x14ac:dyDescent="0.25">
      <c r="A39" s="24" t="s">
        <v>85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55" x14ac:dyDescent="0.25">
      <c r="A40" s="59" t="s">
        <v>16</v>
      </c>
      <c r="B40" s="58">
        <v>1999</v>
      </c>
      <c r="C40" s="58"/>
      <c r="D40" s="58">
        <v>2000</v>
      </c>
      <c r="E40" s="58"/>
      <c r="F40" s="58">
        <v>2001</v>
      </c>
      <c r="G40" s="58"/>
      <c r="H40" s="58">
        <v>2002</v>
      </c>
      <c r="I40" s="58"/>
      <c r="J40" s="58">
        <v>2003</v>
      </c>
      <c r="K40" s="58"/>
      <c r="L40" s="58">
        <v>2004</v>
      </c>
      <c r="M40" s="58"/>
      <c r="N40" s="58">
        <v>2005</v>
      </c>
      <c r="O40" s="58"/>
      <c r="P40" s="58">
        <v>2006</v>
      </c>
      <c r="Q40" s="58"/>
      <c r="R40" s="58">
        <v>2007</v>
      </c>
      <c r="S40" s="58"/>
      <c r="T40" s="58">
        <v>2008</v>
      </c>
      <c r="U40" s="58"/>
      <c r="V40" s="58">
        <v>2009</v>
      </c>
      <c r="W40" s="58"/>
      <c r="X40" s="58">
        <v>2010</v>
      </c>
      <c r="Y40" s="58"/>
      <c r="Z40" s="58">
        <v>2011</v>
      </c>
      <c r="AA40" s="58"/>
      <c r="AB40" s="58">
        <v>2012</v>
      </c>
      <c r="AC40" s="58"/>
      <c r="AD40" s="58">
        <v>2013</v>
      </c>
      <c r="AE40" s="58"/>
      <c r="AF40" s="58">
        <v>2014</v>
      </c>
      <c r="AG40" s="58"/>
      <c r="AH40" s="58">
        <v>2015</v>
      </c>
      <c r="AI40" s="58"/>
      <c r="AJ40" s="58">
        <v>2016</v>
      </c>
      <c r="AK40" s="58"/>
      <c r="AL40" s="58">
        <v>2017</v>
      </c>
      <c r="AM40" s="58"/>
      <c r="AN40" s="58">
        <v>2018</v>
      </c>
      <c r="AO40" s="58"/>
      <c r="AP40" s="58">
        <v>2019</v>
      </c>
      <c r="AQ40" s="58"/>
      <c r="AR40" s="58">
        <v>2020</v>
      </c>
      <c r="AS40" s="58"/>
      <c r="AT40" s="58">
        <v>2021</v>
      </c>
      <c r="AU40" s="58"/>
      <c r="AV40" s="58">
        <v>2022</v>
      </c>
      <c r="AW40" s="58"/>
      <c r="AX40" s="60">
        <v>2023</v>
      </c>
      <c r="AY40" s="61"/>
      <c r="AZ40" s="62"/>
      <c r="BA40" s="60">
        <v>2024</v>
      </c>
      <c r="BB40" s="61"/>
      <c r="BC40" s="62"/>
    </row>
    <row r="41" spans="1:55" x14ac:dyDescent="0.25">
      <c r="A41" s="59"/>
      <c r="B41" s="18" t="s">
        <v>64</v>
      </c>
      <c r="C41" s="18" t="s">
        <v>65</v>
      </c>
      <c r="D41" s="18" t="s">
        <v>64</v>
      </c>
      <c r="E41" s="18" t="s">
        <v>65</v>
      </c>
      <c r="F41" s="18" t="s">
        <v>64</v>
      </c>
      <c r="G41" s="18" t="s">
        <v>65</v>
      </c>
      <c r="H41" s="18" t="s">
        <v>64</v>
      </c>
      <c r="I41" s="18" t="s">
        <v>65</v>
      </c>
      <c r="J41" s="18" t="s">
        <v>64</v>
      </c>
      <c r="K41" s="18" t="s">
        <v>65</v>
      </c>
      <c r="L41" s="18" t="s">
        <v>64</v>
      </c>
      <c r="M41" s="18" t="s">
        <v>65</v>
      </c>
      <c r="N41" s="18" t="s">
        <v>64</v>
      </c>
      <c r="O41" s="18" t="s">
        <v>65</v>
      </c>
      <c r="P41" s="18" t="s">
        <v>64</v>
      </c>
      <c r="Q41" s="18" t="s">
        <v>65</v>
      </c>
      <c r="R41" s="18" t="s">
        <v>64</v>
      </c>
      <c r="S41" s="18" t="s">
        <v>65</v>
      </c>
      <c r="T41" s="18" t="s">
        <v>64</v>
      </c>
      <c r="U41" s="18" t="s">
        <v>65</v>
      </c>
      <c r="V41" s="18" t="s">
        <v>64</v>
      </c>
      <c r="W41" s="18" t="s">
        <v>65</v>
      </c>
      <c r="X41" s="18" t="s">
        <v>64</v>
      </c>
      <c r="Y41" s="18" t="s">
        <v>65</v>
      </c>
      <c r="Z41" s="18" t="s">
        <v>64</v>
      </c>
      <c r="AA41" s="18" t="s">
        <v>65</v>
      </c>
      <c r="AB41" s="18" t="s">
        <v>64</v>
      </c>
      <c r="AC41" s="18" t="s">
        <v>65</v>
      </c>
      <c r="AD41" s="18" t="s">
        <v>64</v>
      </c>
      <c r="AE41" s="18" t="s">
        <v>65</v>
      </c>
      <c r="AF41" s="18" t="s">
        <v>64</v>
      </c>
      <c r="AG41" s="18" t="s">
        <v>65</v>
      </c>
      <c r="AH41" s="18" t="s">
        <v>64</v>
      </c>
      <c r="AI41" s="18" t="s">
        <v>65</v>
      </c>
      <c r="AJ41" s="18" t="s">
        <v>64</v>
      </c>
      <c r="AK41" s="18" t="s">
        <v>65</v>
      </c>
      <c r="AL41" s="18" t="s">
        <v>64</v>
      </c>
      <c r="AM41" s="18" t="s">
        <v>65</v>
      </c>
      <c r="AN41" s="18" t="s">
        <v>64</v>
      </c>
      <c r="AO41" s="18" t="s">
        <v>65</v>
      </c>
      <c r="AP41" s="18" t="s">
        <v>64</v>
      </c>
      <c r="AQ41" s="18" t="s">
        <v>65</v>
      </c>
      <c r="AR41" s="18" t="s">
        <v>64</v>
      </c>
      <c r="AS41" s="18" t="s">
        <v>65</v>
      </c>
      <c r="AT41" s="18" t="s">
        <v>64</v>
      </c>
      <c r="AU41" s="18" t="s">
        <v>65</v>
      </c>
      <c r="AV41" s="18" t="s">
        <v>64</v>
      </c>
      <c r="AW41" s="18" t="s">
        <v>65</v>
      </c>
      <c r="AX41" s="18" t="s">
        <v>64</v>
      </c>
      <c r="AY41" s="18" t="s">
        <v>65</v>
      </c>
      <c r="AZ41" s="18" t="s">
        <v>78</v>
      </c>
      <c r="BA41" s="18" t="s">
        <v>64</v>
      </c>
      <c r="BB41" s="18" t="s">
        <v>65</v>
      </c>
      <c r="BC41" s="18" t="s">
        <v>78</v>
      </c>
    </row>
    <row r="42" spans="1:55" x14ac:dyDescent="0.25">
      <c r="A42" s="27" t="s">
        <v>17</v>
      </c>
      <c r="B42" s="31">
        <v>4457</v>
      </c>
      <c r="C42" s="31">
        <v>5264</v>
      </c>
      <c r="D42" s="31">
        <v>3418</v>
      </c>
      <c r="E42" s="31">
        <v>4483</v>
      </c>
      <c r="F42" s="31">
        <v>5707</v>
      </c>
      <c r="G42" s="31">
        <v>6291</v>
      </c>
      <c r="H42" s="31">
        <v>4155</v>
      </c>
      <c r="I42" s="31">
        <v>5856</v>
      </c>
      <c r="J42" s="31">
        <v>3990</v>
      </c>
      <c r="K42" s="31">
        <v>6212</v>
      </c>
      <c r="L42" s="31">
        <v>3299</v>
      </c>
      <c r="M42" s="31">
        <v>5072</v>
      </c>
      <c r="N42" s="31">
        <v>4854</v>
      </c>
      <c r="O42" s="31">
        <v>7404</v>
      </c>
      <c r="P42" s="31">
        <v>6404</v>
      </c>
      <c r="Q42" s="31">
        <v>8786</v>
      </c>
      <c r="R42" s="31">
        <v>6158</v>
      </c>
      <c r="S42" s="31">
        <v>7755</v>
      </c>
      <c r="T42" s="31">
        <v>7870</v>
      </c>
      <c r="U42" s="31">
        <v>12144</v>
      </c>
      <c r="V42" s="31">
        <v>6981</v>
      </c>
      <c r="W42" s="31">
        <v>9922</v>
      </c>
      <c r="X42" s="31">
        <v>6288</v>
      </c>
      <c r="Y42" s="31">
        <v>8065</v>
      </c>
      <c r="Z42" s="31">
        <v>8757</v>
      </c>
      <c r="AA42" s="31">
        <v>13734</v>
      </c>
      <c r="AB42" s="31">
        <v>9782</v>
      </c>
      <c r="AC42" s="31">
        <v>15841</v>
      </c>
      <c r="AD42" s="31">
        <v>10995</v>
      </c>
      <c r="AE42" s="31">
        <v>17298</v>
      </c>
      <c r="AF42" s="31">
        <v>11152</v>
      </c>
      <c r="AG42" s="31">
        <v>16627</v>
      </c>
      <c r="AH42" s="31">
        <v>12955</v>
      </c>
      <c r="AI42" s="31">
        <v>17700</v>
      </c>
      <c r="AJ42" s="31">
        <v>14295</v>
      </c>
      <c r="AK42" s="31">
        <v>19644</v>
      </c>
      <c r="AL42" s="31">
        <v>14711</v>
      </c>
      <c r="AM42" s="31">
        <v>18313</v>
      </c>
      <c r="AN42" s="31">
        <v>15500</v>
      </c>
      <c r="AO42" s="31">
        <v>19859</v>
      </c>
      <c r="AP42" s="31">
        <v>15260</v>
      </c>
      <c r="AQ42" s="31">
        <v>18790</v>
      </c>
      <c r="AR42" s="31">
        <v>10108</v>
      </c>
      <c r="AS42" s="31">
        <v>14108</v>
      </c>
      <c r="AT42" s="31">
        <v>14873</v>
      </c>
      <c r="AU42" s="31">
        <v>21608</v>
      </c>
      <c r="AV42" s="31">
        <v>15994</v>
      </c>
      <c r="AW42" s="31">
        <v>22184</v>
      </c>
      <c r="AX42" s="31">
        <v>17593</v>
      </c>
      <c r="AY42" s="31">
        <v>23064</v>
      </c>
      <c r="AZ42" s="31">
        <v>0</v>
      </c>
      <c r="BA42" s="31">
        <v>15987</v>
      </c>
      <c r="BB42" s="31">
        <v>21180</v>
      </c>
      <c r="BC42" s="31">
        <v>0</v>
      </c>
    </row>
    <row r="43" spans="1:55" x14ac:dyDescent="0.25">
      <c r="A43" s="27" t="s">
        <v>18</v>
      </c>
      <c r="B43" s="31">
        <v>2003</v>
      </c>
      <c r="C43" s="31">
        <v>2086</v>
      </c>
      <c r="D43" s="31">
        <v>2839</v>
      </c>
      <c r="E43" s="31">
        <v>2763</v>
      </c>
      <c r="F43" s="31">
        <v>3481</v>
      </c>
      <c r="G43" s="31">
        <v>3120</v>
      </c>
      <c r="H43" s="31">
        <v>5175</v>
      </c>
      <c r="I43" s="31">
        <v>4262</v>
      </c>
      <c r="J43" s="31">
        <v>6010</v>
      </c>
      <c r="K43" s="31">
        <v>4304</v>
      </c>
      <c r="L43" s="31">
        <v>4493</v>
      </c>
      <c r="M43" s="31">
        <v>3453</v>
      </c>
      <c r="N43" s="31">
        <v>8404</v>
      </c>
      <c r="O43" s="31">
        <v>6372</v>
      </c>
      <c r="P43" s="31">
        <v>9574</v>
      </c>
      <c r="Q43" s="31">
        <v>7087</v>
      </c>
      <c r="R43" s="31">
        <v>9694</v>
      </c>
      <c r="S43" s="31">
        <v>8286</v>
      </c>
      <c r="T43" s="31">
        <v>9740</v>
      </c>
      <c r="U43" s="31">
        <v>9490</v>
      </c>
      <c r="V43" s="31">
        <v>11575</v>
      </c>
      <c r="W43" s="31">
        <v>12290</v>
      </c>
      <c r="X43" s="31">
        <v>11164</v>
      </c>
      <c r="Y43" s="31">
        <v>12640</v>
      </c>
      <c r="Z43" s="31">
        <v>14232</v>
      </c>
      <c r="AA43" s="31">
        <v>16624</v>
      </c>
      <c r="AB43" s="31">
        <v>16873</v>
      </c>
      <c r="AC43" s="31">
        <v>21394</v>
      </c>
      <c r="AD43" s="31">
        <v>20484</v>
      </c>
      <c r="AE43" s="31">
        <v>27057</v>
      </c>
      <c r="AF43" s="31">
        <v>24804</v>
      </c>
      <c r="AG43" s="31">
        <v>31727</v>
      </c>
      <c r="AH43" s="31">
        <v>29883</v>
      </c>
      <c r="AI43" s="31">
        <v>38671</v>
      </c>
      <c r="AJ43" s="31">
        <v>32675</v>
      </c>
      <c r="AK43" s="31">
        <v>43901</v>
      </c>
      <c r="AL43" s="31">
        <v>34384</v>
      </c>
      <c r="AM43" s="31">
        <v>45913</v>
      </c>
      <c r="AN43" s="31">
        <v>35260</v>
      </c>
      <c r="AO43" s="31">
        <v>44951</v>
      </c>
      <c r="AP43" s="31">
        <v>33058</v>
      </c>
      <c r="AQ43" s="31">
        <v>42722</v>
      </c>
      <c r="AR43" s="31">
        <v>27314</v>
      </c>
      <c r="AS43" s="31">
        <v>37188</v>
      </c>
      <c r="AT43" s="31">
        <v>36249</v>
      </c>
      <c r="AU43" s="31">
        <v>46553</v>
      </c>
      <c r="AV43" s="31">
        <v>35048</v>
      </c>
      <c r="AW43" s="31">
        <v>43507</v>
      </c>
      <c r="AX43" s="31">
        <v>36232</v>
      </c>
      <c r="AY43" s="31">
        <v>43895</v>
      </c>
      <c r="AZ43" s="31">
        <v>0</v>
      </c>
      <c r="BA43" s="31">
        <v>37208</v>
      </c>
      <c r="BB43" s="31">
        <v>44492</v>
      </c>
      <c r="BC43" s="31">
        <v>0</v>
      </c>
    </row>
    <row r="44" spans="1:55" x14ac:dyDescent="0.25">
      <c r="A44" s="27" t="s">
        <v>67</v>
      </c>
      <c r="B44" s="31">
        <v>9447</v>
      </c>
      <c r="C44" s="31">
        <v>8979</v>
      </c>
      <c r="D44" s="31">
        <v>11663</v>
      </c>
      <c r="E44" s="31">
        <v>11323</v>
      </c>
      <c r="F44" s="31">
        <v>12394</v>
      </c>
      <c r="G44" s="31">
        <v>12351</v>
      </c>
      <c r="H44" s="31">
        <v>13834</v>
      </c>
      <c r="I44" s="31">
        <v>13722</v>
      </c>
      <c r="J44" s="31">
        <v>12822</v>
      </c>
      <c r="K44" s="31">
        <v>13713</v>
      </c>
      <c r="L44" s="31">
        <v>11620</v>
      </c>
      <c r="M44" s="31">
        <v>12553</v>
      </c>
      <c r="N44" s="31">
        <v>15439</v>
      </c>
      <c r="O44" s="31">
        <v>17613</v>
      </c>
      <c r="P44" s="31">
        <v>15919</v>
      </c>
      <c r="Q44" s="31">
        <v>18217</v>
      </c>
      <c r="R44" s="31">
        <v>17676</v>
      </c>
      <c r="S44" s="31">
        <v>20402</v>
      </c>
      <c r="T44" s="31">
        <v>18163</v>
      </c>
      <c r="U44" s="31">
        <v>21325</v>
      </c>
      <c r="V44" s="31">
        <v>20722</v>
      </c>
      <c r="W44" s="31">
        <v>24129</v>
      </c>
      <c r="X44" s="31">
        <v>20724</v>
      </c>
      <c r="Y44" s="31">
        <v>23869</v>
      </c>
      <c r="Z44" s="31">
        <v>20465</v>
      </c>
      <c r="AA44" s="31">
        <v>22885</v>
      </c>
      <c r="AB44" s="31">
        <v>21542</v>
      </c>
      <c r="AC44" s="31">
        <v>23968</v>
      </c>
      <c r="AD44" s="31">
        <v>23179</v>
      </c>
      <c r="AE44" s="31">
        <v>25011</v>
      </c>
      <c r="AF44" s="31">
        <v>24443</v>
      </c>
      <c r="AG44" s="31">
        <v>25515</v>
      </c>
      <c r="AH44" s="31">
        <v>25337</v>
      </c>
      <c r="AI44" s="31">
        <v>26631</v>
      </c>
      <c r="AJ44" s="31">
        <v>24281</v>
      </c>
      <c r="AK44" s="31">
        <v>26657</v>
      </c>
      <c r="AL44" s="31">
        <v>28580</v>
      </c>
      <c r="AM44" s="31">
        <v>32208</v>
      </c>
      <c r="AN44" s="31">
        <v>28703</v>
      </c>
      <c r="AO44" s="31">
        <v>30672</v>
      </c>
      <c r="AP44" s="31">
        <v>30144</v>
      </c>
      <c r="AQ44" s="31">
        <v>33528</v>
      </c>
      <c r="AR44" s="31">
        <v>26687</v>
      </c>
      <c r="AS44" s="31">
        <v>29201</v>
      </c>
      <c r="AT44" s="31">
        <v>33747</v>
      </c>
      <c r="AU44" s="31">
        <v>41044</v>
      </c>
      <c r="AV44" s="31">
        <v>40452</v>
      </c>
      <c r="AW44" s="31">
        <v>50247</v>
      </c>
      <c r="AX44" s="31">
        <v>41898</v>
      </c>
      <c r="AY44" s="31">
        <v>49863</v>
      </c>
      <c r="AZ44" s="31">
        <v>3</v>
      </c>
      <c r="BA44" s="31">
        <v>44177</v>
      </c>
      <c r="BB44" s="31">
        <v>52980</v>
      </c>
      <c r="BC44" s="31">
        <v>2</v>
      </c>
    </row>
    <row r="45" spans="1:55" x14ac:dyDescent="0.25">
      <c r="A45" s="27" t="s">
        <v>20</v>
      </c>
      <c r="B45" s="31">
        <v>2596</v>
      </c>
      <c r="C45" s="31">
        <v>2782</v>
      </c>
      <c r="D45" s="31">
        <v>4857.3999999999996</v>
      </c>
      <c r="E45" s="31">
        <v>5359.6</v>
      </c>
      <c r="F45" s="31">
        <v>4872</v>
      </c>
      <c r="G45" s="31">
        <v>4836</v>
      </c>
      <c r="H45" s="31">
        <v>5726</v>
      </c>
      <c r="I45" s="31">
        <v>5830</v>
      </c>
      <c r="J45" s="31">
        <v>5402</v>
      </c>
      <c r="K45" s="31">
        <v>6446</v>
      </c>
      <c r="L45" s="31">
        <v>5527</v>
      </c>
      <c r="M45" s="31">
        <v>6556</v>
      </c>
      <c r="N45" s="31">
        <v>7704</v>
      </c>
      <c r="O45" s="31">
        <v>9562</v>
      </c>
      <c r="P45" s="31">
        <v>7983</v>
      </c>
      <c r="Q45" s="31">
        <v>10440</v>
      </c>
      <c r="R45" s="31">
        <v>11846</v>
      </c>
      <c r="S45" s="31">
        <v>15807</v>
      </c>
      <c r="T45" s="31">
        <v>13762</v>
      </c>
      <c r="U45" s="31">
        <v>19419</v>
      </c>
      <c r="V45" s="31">
        <v>16439</v>
      </c>
      <c r="W45" s="31">
        <v>21461</v>
      </c>
      <c r="X45" s="31">
        <v>16207</v>
      </c>
      <c r="Y45" s="31">
        <v>20148</v>
      </c>
      <c r="Z45" s="31">
        <v>17244</v>
      </c>
      <c r="AA45" s="31">
        <v>23132</v>
      </c>
      <c r="AB45" s="31">
        <v>20056</v>
      </c>
      <c r="AC45" s="31">
        <v>26544</v>
      </c>
      <c r="AD45" s="31">
        <v>24721</v>
      </c>
      <c r="AE45" s="31">
        <v>33434</v>
      </c>
      <c r="AF45" s="31">
        <v>26828</v>
      </c>
      <c r="AG45" s="31">
        <v>36462</v>
      </c>
      <c r="AH45" s="31">
        <v>27941</v>
      </c>
      <c r="AI45" s="31">
        <v>37469</v>
      </c>
      <c r="AJ45" s="31">
        <v>29048</v>
      </c>
      <c r="AK45" s="31">
        <v>40005</v>
      </c>
      <c r="AL45" s="31">
        <v>28125</v>
      </c>
      <c r="AM45" s="31">
        <v>41772</v>
      </c>
      <c r="AN45" s="31">
        <v>29323</v>
      </c>
      <c r="AO45" s="31">
        <v>46081</v>
      </c>
      <c r="AP45" s="31">
        <v>27997</v>
      </c>
      <c r="AQ45" s="31">
        <v>45120</v>
      </c>
      <c r="AR45" s="31">
        <v>24443</v>
      </c>
      <c r="AS45" s="31">
        <v>34548</v>
      </c>
      <c r="AT45" s="31">
        <v>33334</v>
      </c>
      <c r="AU45" s="31">
        <v>54081</v>
      </c>
      <c r="AV45" s="31">
        <v>33763</v>
      </c>
      <c r="AW45" s="31">
        <v>50258</v>
      </c>
      <c r="AX45" s="31">
        <v>35516</v>
      </c>
      <c r="AY45" s="31">
        <v>51735</v>
      </c>
      <c r="AZ45" s="33">
        <v>0</v>
      </c>
      <c r="BA45" s="31">
        <v>35425</v>
      </c>
      <c r="BB45" s="31">
        <v>51281</v>
      </c>
      <c r="BC45" s="33">
        <v>0</v>
      </c>
    </row>
    <row r="46" spans="1:55" s="36" customFormat="1" x14ac:dyDescent="0.25">
      <c r="A46" s="26" t="s">
        <v>15</v>
      </c>
      <c r="B46" s="33">
        <v>18503</v>
      </c>
      <c r="C46" s="33">
        <v>19111</v>
      </c>
      <c r="D46" s="33">
        <v>22777.4</v>
      </c>
      <c r="E46" s="33">
        <v>23928.6</v>
      </c>
      <c r="F46" s="33">
        <v>26454</v>
      </c>
      <c r="G46" s="33">
        <v>26598</v>
      </c>
      <c r="H46" s="33">
        <v>28890</v>
      </c>
      <c r="I46" s="33">
        <v>29670</v>
      </c>
      <c r="J46" s="33">
        <v>28224</v>
      </c>
      <c r="K46" s="33">
        <v>30675</v>
      </c>
      <c r="L46" s="33">
        <v>24939</v>
      </c>
      <c r="M46" s="33">
        <v>27634</v>
      </c>
      <c r="N46" s="33">
        <v>36401</v>
      </c>
      <c r="O46" s="33">
        <v>40951</v>
      </c>
      <c r="P46" s="33">
        <v>39880</v>
      </c>
      <c r="Q46" s="33">
        <v>44530</v>
      </c>
      <c r="R46" s="33">
        <v>45374</v>
      </c>
      <c r="S46" s="33">
        <v>52250</v>
      </c>
      <c r="T46" s="33">
        <v>49535</v>
      </c>
      <c r="U46" s="33">
        <v>62378</v>
      </c>
      <c r="V46" s="33">
        <v>55717</v>
      </c>
      <c r="W46" s="33">
        <v>67802</v>
      </c>
      <c r="X46" s="33">
        <v>54383</v>
      </c>
      <c r="Y46" s="33">
        <v>64722</v>
      </c>
      <c r="Z46" s="33">
        <v>60698</v>
      </c>
      <c r="AA46" s="33">
        <v>76375</v>
      </c>
      <c r="AB46" s="33">
        <v>68253</v>
      </c>
      <c r="AC46" s="33">
        <v>87747</v>
      </c>
      <c r="AD46" s="33">
        <v>79379</v>
      </c>
      <c r="AE46" s="33">
        <v>102800</v>
      </c>
      <c r="AF46" s="33">
        <v>87227</v>
      </c>
      <c r="AG46" s="33">
        <v>110331</v>
      </c>
      <c r="AH46" s="33">
        <v>96116</v>
      </c>
      <c r="AI46" s="33">
        <v>120471</v>
      </c>
      <c r="AJ46" s="33">
        <v>100299</v>
      </c>
      <c r="AK46" s="33">
        <v>130207</v>
      </c>
      <c r="AL46" s="33">
        <v>105800</v>
      </c>
      <c r="AM46" s="33">
        <v>138206</v>
      </c>
      <c r="AN46" s="33">
        <v>108786</v>
      </c>
      <c r="AO46" s="33">
        <v>141563</v>
      </c>
      <c r="AP46" s="33">
        <v>106459</v>
      </c>
      <c r="AQ46" s="33">
        <v>140160</v>
      </c>
      <c r="AR46" s="33">
        <v>88552</v>
      </c>
      <c r="AS46" s="33">
        <v>115045</v>
      </c>
      <c r="AT46" s="33">
        <v>118203</v>
      </c>
      <c r="AU46" s="33">
        <v>163286</v>
      </c>
      <c r="AV46" s="33">
        <v>125257</v>
      </c>
      <c r="AW46" s="33">
        <v>166196</v>
      </c>
      <c r="AX46" s="33">
        <v>131239</v>
      </c>
      <c r="AY46" s="33">
        <v>168557</v>
      </c>
      <c r="AZ46" s="33">
        <v>3</v>
      </c>
      <c r="BA46" s="33">
        <v>132797</v>
      </c>
      <c r="BB46" s="33">
        <v>169933</v>
      </c>
      <c r="BC46" s="33">
        <v>2</v>
      </c>
    </row>
    <row r="47" spans="1:55" x14ac:dyDescent="0.25">
      <c r="K47" s="39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</row>
    <row r="48" spans="1:55" x14ac:dyDescent="0.25">
      <c r="K48" s="40"/>
    </row>
    <row r="49" spans="1:55" ht="15.75" x14ac:dyDescent="0.25">
      <c r="A49" s="24" t="s">
        <v>86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55" x14ac:dyDescent="0.25">
      <c r="A50" s="1" t="s">
        <v>21</v>
      </c>
      <c r="B50" s="18">
        <v>1999</v>
      </c>
      <c r="C50" s="18">
        <v>2000</v>
      </c>
      <c r="D50" s="18">
        <v>2001</v>
      </c>
      <c r="E50" s="18">
        <v>2002</v>
      </c>
      <c r="F50" s="18">
        <v>2003</v>
      </c>
      <c r="G50" s="18">
        <v>2004</v>
      </c>
      <c r="H50" s="18">
        <v>2005</v>
      </c>
      <c r="I50" s="18">
        <v>2006</v>
      </c>
      <c r="J50" s="18">
        <v>2007</v>
      </c>
      <c r="K50" s="18">
        <v>2008</v>
      </c>
      <c r="L50" s="18">
        <v>2009</v>
      </c>
      <c r="M50" s="18">
        <v>2010</v>
      </c>
      <c r="N50" s="18">
        <v>2011</v>
      </c>
      <c r="O50" s="18">
        <v>2012</v>
      </c>
      <c r="P50" s="18">
        <v>2013</v>
      </c>
      <c r="Q50" s="18">
        <v>2014</v>
      </c>
      <c r="R50" s="18">
        <v>2015</v>
      </c>
      <c r="S50" s="18">
        <v>2016</v>
      </c>
      <c r="T50" s="18">
        <v>2017</v>
      </c>
      <c r="U50" s="18">
        <v>2018</v>
      </c>
      <c r="V50" s="18">
        <v>2019</v>
      </c>
      <c r="W50" s="18">
        <v>2020</v>
      </c>
      <c r="X50" s="18">
        <v>2021</v>
      </c>
      <c r="Y50" s="18">
        <v>2022</v>
      </c>
      <c r="Z50" s="18">
        <v>2023</v>
      </c>
      <c r="AA50" s="18">
        <v>2024</v>
      </c>
    </row>
    <row r="51" spans="1:55" x14ac:dyDescent="0.25">
      <c r="A51" s="27" t="s">
        <v>1</v>
      </c>
      <c r="B51" s="31">
        <v>35771</v>
      </c>
      <c r="C51" s="31">
        <v>42006</v>
      </c>
      <c r="D51" s="31">
        <v>47586</v>
      </c>
      <c r="E51" s="31">
        <v>52247</v>
      </c>
      <c r="F51" s="31">
        <v>53243</v>
      </c>
      <c r="G51" s="31">
        <v>47934</v>
      </c>
      <c r="H51" s="31">
        <v>71169</v>
      </c>
      <c r="I51" s="31">
        <v>77456</v>
      </c>
      <c r="J51" s="31">
        <v>87126</v>
      </c>
      <c r="K51" s="31">
        <v>98022</v>
      </c>
      <c r="L51" s="31">
        <v>106130</v>
      </c>
      <c r="M51" s="31">
        <v>102164</v>
      </c>
      <c r="N51" s="31">
        <v>118332</v>
      </c>
      <c r="O51" s="31">
        <v>135721</v>
      </c>
      <c r="P51" s="31">
        <v>156991</v>
      </c>
      <c r="Q51" s="31">
        <v>171648</v>
      </c>
      <c r="R51" s="31">
        <v>189086</v>
      </c>
      <c r="S51" s="31">
        <v>197568</v>
      </c>
      <c r="T51" s="31">
        <v>206554</v>
      </c>
      <c r="U51" s="31">
        <v>209022</v>
      </c>
      <c r="V51" s="31">
        <v>201142</v>
      </c>
      <c r="W51" s="31">
        <v>160890</v>
      </c>
      <c r="X51" s="31">
        <v>228691</v>
      </c>
      <c r="Y51" s="31">
        <v>225935</v>
      </c>
      <c r="Z51" s="31">
        <v>231169</v>
      </c>
      <c r="AA51" s="31">
        <v>224817</v>
      </c>
    </row>
    <row r="52" spans="1:55" x14ac:dyDescent="0.25">
      <c r="A52" s="27" t="s">
        <v>22</v>
      </c>
      <c r="B52" s="31">
        <v>1073</v>
      </c>
      <c r="C52" s="31">
        <v>1900</v>
      </c>
      <c r="D52" s="31">
        <v>2085</v>
      </c>
      <c r="E52" s="31">
        <v>2553</v>
      </c>
      <c r="F52" s="31">
        <v>2959</v>
      </c>
      <c r="G52" s="31">
        <v>3066</v>
      </c>
      <c r="H52" s="31">
        <v>3460</v>
      </c>
      <c r="I52" s="31">
        <v>3650</v>
      </c>
      <c r="J52" s="31">
        <v>5481</v>
      </c>
      <c r="K52" s="31">
        <v>6239</v>
      </c>
      <c r="L52" s="31">
        <v>8606</v>
      </c>
      <c r="M52" s="31">
        <v>8088</v>
      </c>
      <c r="N52" s="31">
        <v>10011</v>
      </c>
      <c r="O52" s="31">
        <v>10589</v>
      </c>
      <c r="P52" s="31">
        <v>12613</v>
      </c>
      <c r="Q52" s="31">
        <v>13015</v>
      </c>
      <c r="R52" s="31">
        <v>13984</v>
      </c>
      <c r="S52" s="31">
        <v>13984</v>
      </c>
      <c r="T52" s="31">
        <v>14827</v>
      </c>
      <c r="U52" s="31">
        <v>16379</v>
      </c>
      <c r="V52" s="31">
        <v>16244</v>
      </c>
      <c r="W52" s="31">
        <v>15352</v>
      </c>
      <c r="X52" s="31">
        <v>19391</v>
      </c>
      <c r="Y52" s="31">
        <v>19485</v>
      </c>
      <c r="Z52" s="31">
        <v>22177</v>
      </c>
      <c r="AA52" s="31">
        <v>20875</v>
      </c>
    </row>
    <row r="53" spans="1:55" x14ac:dyDescent="0.25">
      <c r="A53" s="27" t="s">
        <v>5</v>
      </c>
      <c r="B53" s="31">
        <v>770</v>
      </c>
      <c r="C53" s="31">
        <v>2800</v>
      </c>
      <c r="D53" s="31">
        <v>3381</v>
      </c>
      <c r="E53" s="31">
        <v>3760</v>
      </c>
      <c r="F53" s="31">
        <v>2697</v>
      </c>
      <c r="G53" s="31">
        <v>1573</v>
      </c>
      <c r="H53" s="31">
        <v>2723</v>
      </c>
      <c r="I53" s="31">
        <v>3304</v>
      </c>
      <c r="J53" s="31">
        <v>5017</v>
      </c>
      <c r="K53" s="31">
        <v>7652</v>
      </c>
      <c r="L53" s="31">
        <v>8783</v>
      </c>
      <c r="M53" s="31">
        <v>8853</v>
      </c>
      <c r="N53" s="31">
        <v>8730</v>
      </c>
      <c r="O53" s="31">
        <v>9690</v>
      </c>
      <c r="P53" s="31">
        <v>12575</v>
      </c>
      <c r="Q53" s="31">
        <v>12895</v>
      </c>
      <c r="R53" s="31">
        <v>13517</v>
      </c>
      <c r="S53" s="31">
        <v>18954</v>
      </c>
      <c r="T53" s="31">
        <v>22625</v>
      </c>
      <c r="U53" s="31">
        <v>24948</v>
      </c>
      <c r="V53" s="31">
        <v>29233</v>
      </c>
      <c r="W53" s="31">
        <v>27355</v>
      </c>
      <c r="X53" s="31">
        <v>33407</v>
      </c>
      <c r="Y53" s="31">
        <v>46033</v>
      </c>
      <c r="Z53" s="31">
        <v>46453</v>
      </c>
      <c r="AA53" s="31">
        <v>57040</v>
      </c>
    </row>
    <row r="54" spans="1:55" s="36" customFormat="1" x14ac:dyDescent="0.25">
      <c r="A54" s="26" t="s">
        <v>15</v>
      </c>
      <c r="B54" s="33">
        <v>37614</v>
      </c>
      <c r="C54" s="33">
        <v>46706</v>
      </c>
      <c r="D54" s="33">
        <v>53052</v>
      </c>
      <c r="E54" s="33">
        <v>58560</v>
      </c>
      <c r="F54" s="33">
        <v>58899</v>
      </c>
      <c r="G54" s="33">
        <v>52573</v>
      </c>
      <c r="H54" s="33">
        <v>77352</v>
      </c>
      <c r="I54" s="33">
        <v>84410</v>
      </c>
      <c r="J54" s="33">
        <v>97624</v>
      </c>
      <c r="K54" s="33">
        <v>111913</v>
      </c>
      <c r="L54" s="33">
        <v>123519</v>
      </c>
      <c r="M54" s="33">
        <v>119105</v>
      </c>
      <c r="N54" s="33">
        <v>137073</v>
      </c>
      <c r="O54" s="33">
        <v>156000</v>
      </c>
      <c r="P54" s="33">
        <v>182179</v>
      </c>
      <c r="Q54" s="33">
        <v>197558</v>
      </c>
      <c r="R54" s="33">
        <v>216587</v>
      </c>
      <c r="S54" s="33">
        <v>230506</v>
      </c>
      <c r="T54" s="33">
        <v>244006</v>
      </c>
      <c r="U54" s="33">
        <v>250349</v>
      </c>
      <c r="V54" s="33">
        <v>246619</v>
      </c>
      <c r="W54" s="33">
        <v>203597</v>
      </c>
      <c r="X54" s="33">
        <v>281489</v>
      </c>
      <c r="Y54" s="33">
        <v>291453</v>
      </c>
      <c r="Z54" s="33">
        <v>299799</v>
      </c>
      <c r="AA54" s="33">
        <v>302732</v>
      </c>
      <c r="AB54" s="19"/>
      <c r="AC54" s="19"/>
      <c r="AD54" s="19"/>
      <c r="AE54" s="19"/>
      <c r="AF54" s="19"/>
      <c r="AG54" s="19"/>
      <c r="AH54" s="34"/>
      <c r="AI54" s="34"/>
      <c r="AJ54" s="34"/>
      <c r="AK54" s="34"/>
      <c r="AL54" s="35"/>
      <c r="AM54" s="35"/>
    </row>
    <row r="57" spans="1:55" ht="15.75" x14ac:dyDescent="0.25">
      <c r="A57" s="24" t="s">
        <v>87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55" x14ac:dyDescent="0.25">
      <c r="A58" s="59" t="s">
        <v>23</v>
      </c>
      <c r="B58" s="58">
        <v>1999</v>
      </c>
      <c r="C58" s="58"/>
      <c r="D58" s="58">
        <v>2000</v>
      </c>
      <c r="E58" s="58"/>
      <c r="F58" s="58">
        <v>2001</v>
      </c>
      <c r="G58" s="58"/>
      <c r="H58" s="58">
        <v>2002</v>
      </c>
      <c r="I58" s="58"/>
      <c r="J58" s="58">
        <v>2003</v>
      </c>
      <c r="K58" s="58"/>
      <c r="L58" s="58">
        <v>2004</v>
      </c>
      <c r="M58" s="58"/>
      <c r="N58" s="58">
        <v>2005</v>
      </c>
      <c r="O58" s="58"/>
      <c r="P58" s="58">
        <v>2006</v>
      </c>
      <c r="Q58" s="58"/>
      <c r="R58" s="58">
        <v>2007</v>
      </c>
      <c r="S58" s="58"/>
      <c r="T58" s="58">
        <v>2008</v>
      </c>
      <c r="U58" s="58"/>
      <c r="V58" s="58">
        <v>2009</v>
      </c>
      <c r="W58" s="58"/>
      <c r="X58" s="58">
        <v>2010</v>
      </c>
      <c r="Y58" s="58"/>
      <c r="Z58" s="58">
        <v>2011</v>
      </c>
      <c r="AA58" s="58"/>
      <c r="AB58" s="58">
        <v>2012</v>
      </c>
      <c r="AC58" s="58"/>
      <c r="AD58" s="58">
        <v>2013</v>
      </c>
      <c r="AE58" s="58"/>
      <c r="AF58" s="58">
        <v>2014</v>
      </c>
      <c r="AG58" s="58"/>
      <c r="AH58" s="58">
        <v>2015</v>
      </c>
      <c r="AI58" s="58"/>
      <c r="AJ58" s="58">
        <v>2016</v>
      </c>
      <c r="AK58" s="58"/>
      <c r="AL58" s="58">
        <v>2017</v>
      </c>
      <c r="AM58" s="58"/>
      <c r="AN58" s="58">
        <v>2018</v>
      </c>
      <c r="AO58" s="58"/>
      <c r="AP58" s="58">
        <v>2019</v>
      </c>
      <c r="AQ58" s="58"/>
      <c r="AR58" s="58">
        <v>2020</v>
      </c>
      <c r="AS58" s="58"/>
      <c r="AT58" s="58">
        <v>2021</v>
      </c>
      <c r="AU58" s="58"/>
      <c r="AV58" s="58">
        <v>2022</v>
      </c>
      <c r="AW58" s="58"/>
      <c r="AX58" s="60">
        <v>2023</v>
      </c>
      <c r="AY58" s="61"/>
      <c r="AZ58" s="62"/>
      <c r="BA58" s="60">
        <v>2024</v>
      </c>
      <c r="BB58" s="61"/>
      <c r="BC58" s="62"/>
    </row>
    <row r="59" spans="1:55" x14ac:dyDescent="0.25">
      <c r="A59" s="59"/>
      <c r="B59" s="18" t="s">
        <v>64</v>
      </c>
      <c r="C59" s="18" t="s">
        <v>65</v>
      </c>
      <c r="D59" s="18" t="s">
        <v>64</v>
      </c>
      <c r="E59" s="18" t="s">
        <v>65</v>
      </c>
      <c r="F59" s="18" t="s">
        <v>64</v>
      </c>
      <c r="G59" s="18" t="s">
        <v>65</v>
      </c>
      <c r="H59" s="18" t="s">
        <v>64</v>
      </c>
      <c r="I59" s="18" t="s">
        <v>65</v>
      </c>
      <c r="J59" s="18" t="s">
        <v>64</v>
      </c>
      <c r="K59" s="18" t="s">
        <v>65</v>
      </c>
      <c r="L59" s="18" t="s">
        <v>64</v>
      </c>
      <c r="M59" s="18" t="s">
        <v>65</v>
      </c>
      <c r="N59" s="18" t="s">
        <v>64</v>
      </c>
      <c r="O59" s="18" t="s">
        <v>65</v>
      </c>
      <c r="P59" s="18" t="s">
        <v>64</v>
      </c>
      <c r="Q59" s="18" t="s">
        <v>65</v>
      </c>
      <c r="R59" s="18" t="s">
        <v>64</v>
      </c>
      <c r="S59" s="18" t="s">
        <v>65</v>
      </c>
      <c r="T59" s="18" t="s">
        <v>64</v>
      </c>
      <c r="U59" s="18" t="s">
        <v>65</v>
      </c>
      <c r="V59" s="18" t="s">
        <v>64</v>
      </c>
      <c r="W59" s="18" t="s">
        <v>65</v>
      </c>
      <c r="X59" s="18" t="s">
        <v>64</v>
      </c>
      <c r="Y59" s="18" t="s">
        <v>65</v>
      </c>
      <c r="Z59" s="18" t="s">
        <v>64</v>
      </c>
      <c r="AA59" s="18" t="s">
        <v>65</v>
      </c>
      <c r="AB59" s="18" t="s">
        <v>64</v>
      </c>
      <c r="AC59" s="18" t="s">
        <v>65</v>
      </c>
      <c r="AD59" s="18" t="s">
        <v>64</v>
      </c>
      <c r="AE59" s="18" t="s">
        <v>65</v>
      </c>
      <c r="AF59" s="18" t="s">
        <v>64</v>
      </c>
      <c r="AG59" s="18" t="s">
        <v>65</v>
      </c>
      <c r="AH59" s="18" t="s">
        <v>64</v>
      </c>
      <c r="AI59" s="18" t="s">
        <v>65</v>
      </c>
      <c r="AJ59" s="18" t="s">
        <v>64</v>
      </c>
      <c r="AK59" s="18" t="s">
        <v>65</v>
      </c>
      <c r="AL59" s="18" t="s">
        <v>64</v>
      </c>
      <c r="AM59" s="18" t="s">
        <v>65</v>
      </c>
      <c r="AN59" s="18" t="s">
        <v>64</v>
      </c>
      <c r="AO59" s="18" t="s">
        <v>65</v>
      </c>
      <c r="AP59" s="18" t="s">
        <v>64</v>
      </c>
      <c r="AQ59" s="18" t="s">
        <v>65</v>
      </c>
      <c r="AR59" s="18" t="s">
        <v>64</v>
      </c>
      <c r="AS59" s="18" t="s">
        <v>65</v>
      </c>
      <c r="AT59" s="18" t="s">
        <v>64</v>
      </c>
      <c r="AU59" s="18" t="s">
        <v>65</v>
      </c>
      <c r="AV59" s="18" t="s">
        <v>64</v>
      </c>
      <c r="AW59" s="18" t="s">
        <v>65</v>
      </c>
      <c r="AX59" s="18" t="s">
        <v>64</v>
      </c>
      <c r="AY59" s="18" t="s">
        <v>65</v>
      </c>
      <c r="AZ59" s="18" t="s">
        <v>78</v>
      </c>
      <c r="BA59" s="18" t="s">
        <v>64</v>
      </c>
      <c r="BB59" s="18" t="s">
        <v>65</v>
      </c>
      <c r="BC59" s="18" t="s">
        <v>78</v>
      </c>
    </row>
    <row r="60" spans="1:55" x14ac:dyDescent="0.25">
      <c r="A60" s="27" t="s">
        <v>1</v>
      </c>
      <c r="B60" s="31">
        <v>17238</v>
      </c>
      <c r="C60" s="31">
        <v>18533</v>
      </c>
      <c r="D60" s="31">
        <v>20303.400000000001</v>
      </c>
      <c r="E60" s="31">
        <v>21702.6</v>
      </c>
      <c r="F60" s="31">
        <v>23235</v>
      </c>
      <c r="G60" s="31">
        <v>24351</v>
      </c>
      <c r="H60" s="31">
        <v>25236</v>
      </c>
      <c r="I60" s="31">
        <v>27011</v>
      </c>
      <c r="J60" s="31">
        <v>25097</v>
      </c>
      <c r="K60" s="31">
        <v>28146</v>
      </c>
      <c r="L60" s="31">
        <v>22155</v>
      </c>
      <c r="M60" s="31">
        <v>25779</v>
      </c>
      <c r="N60" s="31">
        <v>33177</v>
      </c>
      <c r="O60" s="31">
        <v>37992</v>
      </c>
      <c r="P60" s="31">
        <v>36270</v>
      </c>
      <c r="Q60" s="31">
        <v>41186</v>
      </c>
      <c r="R60" s="31">
        <v>40269</v>
      </c>
      <c r="S60" s="31">
        <v>46857</v>
      </c>
      <c r="T60" s="31">
        <v>43282</v>
      </c>
      <c r="U60" s="31">
        <v>54740</v>
      </c>
      <c r="V60" s="31">
        <v>47619</v>
      </c>
      <c r="W60" s="31">
        <v>58511</v>
      </c>
      <c r="X60" s="31">
        <v>46404</v>
      </c>
      <c r="Y60" s="31">
        <v>55760</v>
      </c>
      <c r="Z60" s="31">
        <v>52346</v>
      </c>
      <c r="AA60" s="31">
        <v>65986</v>
      </c>
      <c r="AB60" s="31">
        <v>58939</v>
      </c>
      <c r="AC60" s="31">
        <v>76782</v>
      </c>
      <c r="AD60" s="31">
        <v>68105</v>
      </c>
      <c r="AE60" s="31">
        <v>88886</v>
      </c>
      <c r="AF60" s="31">
        <v>75661</v>
      </c>
      <c r="AG60" s="31">
        <v>95987</v>
      </c>
      <c r="AH60" s="31">
        <v>83686</v>
      </c>
      <c r="AI60" s="31">
        <v>105400</v>
      </c>
      <c r="AJ60" s="31">
        <v>85859</v>
      </c>
      <c r="AK60" s="31">
        <v>111709</v>
      </c>
      <c r="AL60" s="31">
        <v>90044</v>
      </c>
      <c r="AM60" s="31">
        <v>116510</v>
      </c>
      <c r="AN60" s="31">
        <v>90766</v>
      </c>
      <c r="AO60" s="31">
        <v>118256</v>
      </c>
      <c r="AP60" s="31">
        <v>86661</v>
      </c>
      <c r="AQ60" s="31">
        <v>114481</v>
      </c>
      <c r="AR60" s="31">
        <v>69748</v>
      </c>
      <c r="AS60" s="31">
        <v>91142</v>
      </c>
      <c r="AT60" s="31">
        <v>95873</v>
      </c>
      <c r="AU60" s="31">
        <v>132818</v>
      </c>
      <c r="AV60" s="31">
        <v>97170</v>
      </c>
      <c r="AW60" s="31">
        <v>128765</v>
      </c>
      <c r="AX60" s="31">
        <v>101439</v>
      </c>
      <c r="AY60" s="31">
        <v>129729</v>
      </c>
      <c r="AZ60" s="31">
        <v>1</v>
      </c>
      <c r="BA60" s="31">
        <v>99468</v>
      </c>
      <c r="BB60" s="31">
        <v>125348</v>
      </c>
      <c r="BC60" s="31">
        <v>1</v>
      </c>
    </row>
    <row r="61" spans="1:55" x14ac:dyDescent="0.25">
      <c r="A61" s="27" t="s">
        <v>22</v>
      </c>
      <c r="B61" s="31">
        <v>770</v>
      </c>
      <c r="C61" s="31">
        <v>303</v>
      </c>
      <c r="D61" s="31">
        <v>1203</v>
      </c>
      <c r="E61" s="31">
        <v>697</v>
      </c>
      <c r="F61" s="31">
        <v>1486</v>
      </c>
      <c r="G61" s="31">
        <v>599</v>
      </c>
      <c r="H61" s="31">
        <v>1786</v>
      </c>
      <c r="I61" s="31">
        <v>767</v>
      </c>
      <c r="J61" s="31">
        <v>1933</v>
      </c>
      <c r="K61" s="31">
        <v>1026</v>
      </c>
      <c r="L61" s="31">
        <v>1999</v>
      </c>
      <c r="M61" s="31">
        <v>1067</v>
      </c>
      <c r="N61" s="31">
        <v>2199</v>
      </c>
      <c r="O61" s="31">
        <v>1261</v>
      </c>
      <c r="P61" s="31">
        <v>2311</v>
      </c>
      <c r="Q61" s="31">
        <v>1339</v>
      </c>
      <c r="R61" s="31">
        <v>3219</v>
      </c>
      <c r="S61" s="31">
        <v>2262</v>
      </c>
      <c r="T61" s="31">
        <v>3614</v>
      </c>
      <c r="U61" s="31">
        <v>2625</v>
      </c>
      <c r="V61" s="31">
        <v>4867</v>
      </c>
      <c r="W61" s="31">
        <v>3739</v>
      </c>
      <c r="X61" s="31">
        <v>4429</v>
      </c>
      <c r="Y61" s="31">
        <v>3659</v>
      </c>
      <c r="Z61" s="31">
        <v>5197</v>
      </c>
      <c r="AA61" s="31">
        <v>4814</v>
      </c>
      <c r="AB61" s="31">
        <v>5501</v>
      </c>
      <c r="AC61" s="31">
        <v>5088</v>
      </c>
      <c r="AD61" s="31">
        <v>6514</v>
      </c>
      <c r="AE61" s="31">
        <v>6099</v>
      </c>
      <c r="AF61" s="31">
        <v>6801</v>
      </c>
      <c r="AG61" s="31">
        <v>6214</v>
      </c>
      <c r="AH61" s="31">
        <v>7199</v>
      </c>
      <c r="AI61" s="31">
        <v>6785</v>
      </c>
      <c r="AJ61" s="31">
        <v>7149</v>
      </c>
      <c r="AK61" s="31">
        <v>6835</v>
      </c>
      <c r="AL61" s="31">
        <v>7461</v>
      </c>
      <c r="AM61" s="31">
        <v>7366</v>
      </c>
      <c r="AN61" s="31">
        <v>8262</v>
      </c>
      <c r="AO61" s="31">
        <v>8117</v>
      </c>
      <c r="AP61" s="31">
        <v>8037</v>
      </c>
      <c r="AQ61" s="31">
        <v>8207</v>
      </c>
      <c r="AR61" s="31">
        <v>7490</v>
      </c>
      <c r="AS61" s="31">
        <v>7862</v>
      </c>
      <c r="AT61" s="31">
        <v>9556</v>
      </c>
      <c r="AU61" s="31">
        <v>9835</v>
      </c>
      <c r="AV61" s="31">
        <v>9522</v>
      </c>
      <c r="AW61" s="31">
        <v>9963</v>
      </c>
      <c r="AX61" s="31">
        <v>10907</v>
      </c>
      <c r="AY61" s="31">
        <v>11269</v>
      </c>
      <c r="AZ61" s="31">
        <v>1</v>
      </c>
      <c r="BA61" s="31">
        <v>10462</v>
      </c>
      <c r="BB61" s="31">
        <v>10412</v>
      </c>
      <c r="BC61" s="31">
        <v>1</v>
      </c>
    </row>
    <row r="62" spans="1:55" x14ac:dyDescent="0.25">
      <c r="A62" s="27" t="s">
        <v>5</v>
      </c>
      <c r="B62" s="31">
        <v>495</v>
      </c>
      <c r="C62" s="31">
        <v>275</v>
      </c>
      <c r="D62" s="31">
        <v>1271</v>
      </c>
      <c r="E62" s="31">
        <v>1529</v>
      </c>
      <c r="F62" s="31">
        <v>1733</v>
      </c>
      <c r="G62" s="31">
        <v>1648</v>
      </c>
      <c r="H62" s="31">
        <v>1868</v>
      </c>
      <c r="I62" s="31">
        <v>1892</v>
      </c>
      <c r="J62" s="31">
        <v>1194</v>
      </c>
      <c r="K62" s="31">
        <v>1503</v>
      </c>
      <c r="L62" s="31">
        <v>785</v>
      </c>
      <c r="M62" s="31">
        <v>788</v>
      </c>
      <c r="N62" s="31">
        <v>1025</v>
      </c>
      <c r="O62" s="31">
        <v>1698</v>
      </c>
      <c r="P62" s="31">
        <v>1299</v>
      </c>
      <c r="Q62" s="31">
        <v>2005</v>
      </c>
      <c r="R62" s="31">
        <v>1886</v>
      </c>
      <c r="S62" s="31">
        <v>3131</v>
      </c>
      <c r="T62" s="31">
        <v>2639</v>
      </c>
      <c r="U62" s="31">
        <v>5013</v>
      </c>
      <c r="V62" s="31">
        <v>3231</v>
      </c>
      <c r="W62" s="31">
        <v>5552</v>
      </c>
      <c r="X62" s="31">
        <v>3550</v>
      </c>
      <c r="Y62" s="31">
        <v>5303</v>
      </c>
      <c r="Z62" s="31">
        <v>3155</v>
      </c>
      <c r="AA62" s="31">
        <v>5575</v>
      </c>
      <c r="AB62" s="31">
        <v>3813</v>
      </c>
      <c r="AC62" s="31">
        <v>5877</v>
      </c>
      <c r="AD62" s="31">
        <v>4760</v>
      </c>
      <c r="AE62" s="31">
        <v>7815</v>
      </c>
      <c r="AF62" s="31">
        <v>4765</v>
      </c>
      <c r="AG62" s="31">
        <v>8130</v>
      </c>
      <c r="AH62" s="31">
        <v>5231</v>
      </c>
      <c r="AI62" s="31">
        <v>8286</v>
      </c>
      <c r="AJ62" s="31">
        <v>7291</v>
      </c>
      <c r="AK62" s="31">
        <v>11663</v>
      </c>
      <c r="AL62" s="31">
        <v>8295</v>
      </c>
      <c r="AM62" s="31">
        <v>14330</v>
      </c>
      <c r="AN62" s="31">
        <v>9758</v>
      </c>
      <c r="AO62" s="31">
        <v>15190</v>
      </c>
      <c r="AP62" s="31">
        <v>11761</v>
      </c>
      <c r="AQ62" s="31">
        <v>17472</v>
      </c>
      <c r="AR62" s="31">
        <v>11314</v>
      </c>
      <c r="AS62" s="31">
        <v>16041</v>
      </c>
      <c r="AT62" s="31">
        <v>12774</v>
      </c>
      <c r="AU62" s="31">
        <v>20633</v>
      </c>
      <c r="AV62" s="31">
        <v>18565</v>
      </c>
      <c r="AW62" s="31">
        <v>27468</v>
      </c>
      <c r="AX62" s="31">
        <v>18893</v>
      </c>
      <c r="AY62" s="31">
        <v>27559</v>
      </c>
      <c r="AZ62" s="31">
        <v>1</v>
      </c>
      <c r="BA62" s="31">
        <v>22867</v>
      </c>
      <c r="BB62" s="31">
        <v>34173</v>
      </c>
      <c r="BC62" s="31">
        <v>0</v>
      </c>
    </row>
    <row r="63" spans="1:55" s="36" customFormat="1" x14ac:dyDescent="0.25">
      <c r="A63" s="26" t="s">
        <v>15</v>
      </c>
      <c r="B63" s="33">
        <v>18503</v>
      </c>
      <c r="C63" s="33">
        <v>19111</v>
      </c>
      <c r="D63" s="33">
        <v>22777.4</v>
      </c>
      <c r="E63" s="33">
        <v>23928.6</v>
      </c>
      <c r="F63" s="33">
        <v>26454</v>
      </c>
      <c r="G63" s="33">
        <v>26598</v>
      </c>
      <c r="H63" s="33">
        <v>28890</v>
      </c>
      <c r="I63" s="33">
        <v>29670</v>
      </c>
      <c r="J63" s="33">
        <v>28224</v>
      </c>
      <c r="K63" s="33">
        <v>30675</v>
      </c>
      <c r="L63" s="33">
        <v>24939</v>
      </c>
      <c r="M63" s="33">
        <v>27634</v>
      </c>
      <c r="N63" s="33">
        <v>36401</v>
      </c>
      <c r="O63" s="33">
        <v>40951</v>
      </c>
      <c r="P63" s="33">
        <v>39880</v>
      </c>
      <c r="Q63" s="33">
        <v>44530</v>
      </c>
      <c r="R63" s="33">
        <v>45374</v>
      </c>
      <c r="S63" s="33">
        <v>52250</v>
      </c>
      <c r="T63" s="33">
        <v>49535</v>
      </c>
      <c r="U63" s="33">
        <v>62378</v>
      </c>
      <c r="V63" s="33">
        <v>55717</v>
      </c>
      <c r="W63" s="33">
        <v>67802</v>
      </c>
      <c r="X63" s="33">
        <v>54383</v>
      </c>
      <c r="Y63" s="33">
        <v>64722</v>
      </c>
      <c r="Z63" s="33">
        <v>60698</v>
      </c>
      <c r="AA63" s="33">
        <v>76375</v>
      </c>
      <c r="AB63" s="33">
        <v>68253</v>
      </c>
      <c r="AC63" s="33">
        <v>87747</v>
      </c>
      <c r="AD63" s="33">
        <v>79379</v>
      </c>
      <c r="AE63" s="33">
        <v>102800</v>
      </c>
      <c r="AF63" s="33">
        <v>87227</v>
      </c>
      <c r="AG63" s="33">
        <v>110331</v>
      </c>
      <c r="AH63" s="33">
        <v>96116</v>
      </c>
      <c r="AI63" s="33">
        <v>120471</v>
      </c>
      <c r="AJ63" s="33">
        <v>100299</v>
      </c>
      <c r="AK63" s="33">
        <v>130207</v>
      </c>
      <c r="AL63" s="33">
        <v>105800</v>
      </c>
      <c r="AM63" s="33">
        <v>138206</v>
      </c>
      <c r="AN63" s="33">
        <v>108786</v>
      </c>
      <c r="AO63" s="33">
        <v>141563</v>
      </c>
      <c r="AP63" s="33">
        <v>106459</v>
      </c>
      <c r="AQ63" s="33">
        <v>140160</v>
      </c>
      <c r="AR63" s="33">
        <v>88552</v>
      </c>
      <c r="AS63" s="33">
        <v>115045</v>
      </c>
      <c r="AT63" s="33">
        <v>118203</v>
      </c>
      <c r="AU63" s="33">
        <v>163286</v>
      </c>
      <c r="AV63" s="33">
        <v>125257</v>
      </c>
      <c r="AW63" s="33">
        <v>166196</v>
      </c>
      <c r="AX63" s="33">
        <v>131239</v>
      </c>
      <c r="AY63" s="33">
        <v>168557</v>
      </c>
      <c r="AZ63" s="33">
        <v>3</v>
      </c>
      <c r="BA63" s="33">
        <v>132797</v>
      </c>
      <c r="BB63" s="33">
        <v>169933</v>
      </c>
      <c r="BC63" s="33">
        <v>2</v>
      </c>
    </row>
    <row r="66" spans="1:39" ht="15.75" x14ac:dyDescent="0.25">
      <c r="A66" s="24" t="s">
        <v>88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9" x14ac:dyDescent="0.25">
      <c r="A67" s="1" t="s">
        <v>24</v>
      </c>
      <c r="B67" s="18">
        <v>1999</v>
      </c>
      <c r="C67" s="18">
        <v>2000</v>
      </c>
      <c r="D67" s="18">
        <v>2001</v>
      </c>
      <c r="E67" s="18">
        <v>2002</v>
      </c>
      <c r="F67" s="18">
        <v>2003</v>
      </c>
      <c r="G67" s="18">
        <v>2004</v>
      </c>
      <c r="H67" s="18">
        <v>2005</v>
      </c>
      <c r="I67" s="18">
        <v>2006</v>
      </c>
      <c r="J67" s="18">
        <v>2007</v>
      </c>
      <c r="K67" s="18">
        <v>2008</v>
      </c>
      <c r="L67" s="18">
        <v>2009</v>
      </c>
      <c r="M67" s="18">
        <v>2010</v>
      </c>
      <c r="N67" s="18">
        <v>2011</v>
      </c>
      <c r="O67" s="18">
        <v>2012</v>
      </c>
      <c r="P67" s="18">
        <v>2013</v>
      </c>
      <c r="Q67" s="18">
        <v>2014</v>
      </c>
      <c r="R67" s="18">
        <v>2015</v>
      </c>
      <c r="S67" s="18">
        <v>2016</v>
      </c>
      <c r="T67" s="18">
        <v>2017</v>
      </c>
      <c r="U67" s="18">
        <v>2018</v>
      </c>
      <c r="V67" s="18">
        <v>2019</v>
      </c>
      <c r="W67" s="18">
        <v>2020</v>
      </c>
      <c r="X67" s="18">
        <v>2021</v>
      </c>
      <c r="Y67" s="18">
        <v>2022</v>
      </c>
      <c r="Z67" s="18">
        <v>2023</v>
      </c>
      <c r="AA67" s="18">
        <v>2024</v>
      </c>
      <c r="AB67" s="20"/>
      <c r="AC67" s="20"/>
      <c r="AD67" s="20"/>
      <c r="AE67" s="20"/>
      <c r="AF67" s="20"/>
      <c r="AG67" s="20"/>
      <c r="AH67" s="20"/>
    </row>
    <row r="68" spans="1:39" x14ac:dyDescent="0.25">
      <c r="A68" s="27" t="s">
        <v>7</v>
      </c>
      <c r="B68" s="31">
        <v>10390</v>
      </c>
      <c r="C68" s="31">
        <v>10117</v>
      </c>
      <c r="D68" s="31">
        <v>11421</v>
      </c>
      <c r="E68" s="31">
        <v>11991</v>
      </c>
      <c r="F68" s="31">
        <v>10834</v>
      </c>
      <c r="G68" s="31">
        <v>8834</v>
      </c>
      <c r="H68" s="31">
        <v>14091</v>
      </c>
      <c r="I68" s="31">
        <v>14639</v>
      </c>
      <c r="J68" s="31">
        <v>19358</v>
      </c>
      <c r="K68" s="31">
        <v>20609</v>
      </c>
      <c r="L68" s="31">
        <v>23936</v>
      </c>
      <c r="M68" s="31">
        <v>23675</v>
      </c>
      <c r="N68" s="31">
        <v>27622</v>
      </c>
      <c r="O68" s="31">
        <v>31999</v>
      </c>
      <c r="P68" s="31">
        <v>38876</v>
      </c>
      <c r="Q68" s="31">
        <v>42034</v>
      </c>
      <c r="R68" s="31">
        <v>45999</v>
      </c>
      <c r="S68" s="31">
        <v>52561</v>
      </c>
      <c r="T68" s="31">
        <v>54518</v>
      </c>
      <c r="U68" s="31">
        <v>58859</v>
      </c>
      <c r="V68" s="31">
        <v>60103</v>
      </c>
      <c r="W68" s="31">
        <v>54786</v>
      </c>
      <c r="X68" s="31">
        <v>68684</v>
      </c>
      <c r="Y68" s="31">
        <v>69791</v>
      </c>
      <c r="Z68" s="31">
        <v>72139</v>
      </c>
      <c r="AA68" s="31">
        <v>73264</v>
      </c>
      <c r="AB68" s="20"/>
      <c r="AC68" s="20"/>
      <c r="AD68" s="20"/>
      <c r="AE68" s="20"/>
      <c r="AF68" s="20"/>
      <c r="AG68" s="20"/>
      <c r="AH68" s="20"/>
    </row>
    <row r="69" spans="1:39" x14ac:dyDescent="0.25">
      <c r="A69" s="27" t="s">
        <v>12</v>
      </c>
      <c r="B69" s="31">
        <v>2222</v>
      </c>
      <c r="C69" s="31">
        <v>3041</v>
      </c>
      <c r="D69" s="31">
        <v>2414</v>
      </c>
      <c r="E69" s="31">
        <v>2580</v>
      </c>
      <c r="F69" s="31">
        <v>2824</v>
      </c>
      <c r="G69" s="31">
        <v>2400</v>
      </c>
      <c r="H69" s="31">
        <v>2510</v>
      </c>
      <c r="I69" s="31">
        <v>2691</v>
      </c>
      <c r="J69" s="31">
        <v>2922</v>
      </c>
      <c r="K69" s="31">
        <v>3489</v>
      </c>
      <c r="L69" s="31">
        <v>3431</v>
      </c>
      <c r="M69" s="31">
        <v>3247</v>
      </c>
      <c r="N69" s="31">
        <v>3437</v>
      </c>
      <c r="O69" s="31">
        <v>3829</v>
      </c>
      <c r="P69" s="31">
        <v>3980</v>
      </c>
      <c r="Q69" s="31">
        <v>4310</v>
      </c>
      <c r="R69" s="31">
        <v>4338</v>
      </c>
      <c r="S69" s="31">
        <v>4358</v>
      </c>
      <c r="T69" s="31">
        <v>4264</v>
      </c>
      <c r="U69" s="31">
        <v>4195</v>
      </c>
      <c r="V69" s="31">
        <v>4382</v>
      </c>
      <c r="W69" s="31">
        <v>3554</v>
      </c>
      <c r="X69" s="31">
        <v>5368</v>
      </c>
      <c r="Y69" s="31">
        <v>5860</v>
      </c>
      <c r="Z69" s="31">
        <v>7067</v>
      </c>
      <c r="AA69" s="31">
        <v>6909</v>
      </c>
      <c r="AB69" s="20"/>
      <c r="AC69" s="20"/>
      <c r="AD69" s="20"/>
      <c r="AE69" s="20"/>
      <c r="AF69" s="20"/>
      <c r="AG69" s="20"/>
      <c r="AH69" s="20"/>
    </row>
    <row r="70" spans="1:39" x14ac:dyDescent="0.25">
      <c r="A70" s="27" t="s">
        <v>3</v>
      </c>
      <c r="B70" s="31">
        <v>1989</v>
      </c>
      <c r="C70" s="31">
        <v>3100</v>
      </c>
      <c r="D70" s="31">
        <v>3388</v>
      </c>
      <c r="E70" s="31">
        <v>3382</v>
      </c>
      <c r="F70" s="31">
        <v>2746</v>
      </c>
      <c r="G70" s="31">
        <v>3537</v>
      </c>
      <c r="H70" s="31">
        <v>4072</v>
      </c>
      <c r="I70" s="31">
        <v>4450</v>
      </c>
      <c r="J70" s="31">
        <v>5094</v>
      </c>
      <c r="K70" s="31">
        <v>5292</v>
      </c>
      <c r="L70" s="31">
        <v>5874</v>
      </c>
      <c r="M70" s="31">
        <v>5543</v>
      </c>
      <c r="N70" s="31">
        <v>6149</v>
      </c>
      <c r="O70" s="31">
        <v>6618</v>
      </c>
      <c r="P70" s="31">
        <v>7755</v>
      </c>
      <c r="Q70" s="31">
        <v>7564</v>
      </c>
      <c r="R70" s="31">
        <v>7804</v>
      </c>
      <c r="S70" s="31">
        <v>7267</v>
      </c>
      <c r="T70" s="31">
        <v>8343</v>
      </c>
      <c r="U70" s="31">
        <v>8192</v>
      </c>
      <c r="V70" s="31">
        <v>7658</v>
      </c>
      <c r="W70" s="31">
        <v>6699</v>
      </c>
      <c r="X70" s="31">
        <v>9408</v>
      </c>
      <c r="Y70" s="31">
        <v>10686</v>
      </c>
      <c r="Z70" s="31">
        <v>11208</v>
      </c>
      <c r="AA70" s="31">
        <v>12128</v>
      </c>
      <c r="AB70" s="20"/>
      <c r="AC70" s="20"/>
      <c r="AD70" s="20"/>
      <c r="AE70" s="20"/>
      <c r="AF70" s="20"/>
      <c r="AG70" s="20"/>
      <c r="AH70" s="20"/>
    </row>
    <row r="71" spans="1:39" x14ac:dyDescent="0.25">
      <c r="A71" s="27" t="s">
        <v>13</v>
      </c>
      <c r="B71" s="31">
        <v>984</v>
      </c>
      <c r="C71" s="31">
        <v>1237</v>
      </c>
      <c r="D71" s="31">
        <v>660</v>
      </c>
      <c r="E71" s="31">
        <v>1062</v>
      </c>
      <c r="F71" s="31">
        <v>1033</v>
      </c>
      <c r="G71" s="31">
        <v>1084</v>
      </c>
      <c r="H71" s="31">
        <v>1153</v>
      </c>
      <c r="I71" s="31">
        <v>1254</v>
      </c>
      <c r="J71" s="31">
        <v>1791</v>
      </c>
      <c r="K71" s="31">
        <v>1739</v>
      </c>
      <c r="L71" s="31">
        <v>1869</v>
      </c>
      <c r="M71" s="31">
        <v>1793</v>
      </c>
      <c r="N71" s="31">
        <v>1939</v>
      </c>
      <c r="O71" s="31">
        <v>2094</v>
      </c>
      <c r="P71" s="31">
        <v>2120</v>
      </c>
      <c r="Q71" s="31">
        <v>2332</v>
      </c>
      <c r="R71" s="31">
        <v>2651</v>
      </c>
      <c r="S71" s="31">
        <v>2639</v>
      </c>
      <c r="T71" s="31">
        <v>2737</v>
      </c>
      <c r="U71" s="31">
        <v>2823</v>
      </c>
      <c r="V71" s="31">
        <v>3107</v>
      </c>
      <c r="W71" s="31">
        <v>2977</v>
      </c>
      <c r="X71" s="31">
        <v>3473</v>
      </c>
      <c r="Y71" s="31">
        <v>5004</v>
      </c>
      <c r="Z71" s="31">
        <v>5416</v>
      </c>
      <c r="AA71" s="31">
        <v>5021</v>
      </c>
      <c r="AB71" s="20"/>
      <c r="AC71" s="20"/>
      <c r="AD71" s="20"/>
      <c r="AE71" s="20"/>
      <c r="AF71" s="20"/>
      <c r="AG71" s="20"/>
      <c r="AH71" s="20"/>
    </row>
    <row r="72" spans="1:39" x14ac:dyDescent="0.25">
      <c r="A72" s="27" t="s">
        <v>6</v>
      </c>
      <c r="B72" s="31">
        <v>5564</v>
      </c>
      <c r="C72" s="31">
        <v>7807</v>
      </c>
      <c r="D72" s="31">
        <v>8413</v>
      </c>
      <c r="E72" s="31">
        <v>9542</v>
      </c>
      <c r="F72" s="31">
        <v>10649</v>
      </c>
      <c r="G72" s="31">
        <v>8867</v>
      </c>
      <c r="H72" s="31">
        <v>12117</v>
      </c>
      <c r="I72" s="31">
        <v>12564</v>
      </c>
      <c r="J72" s="31">
        <v>11097</v>
      </c>
      <c r="K72" s="31">
        <v>12172</v>
      </c>
      <c r="L72" s="31">
        <v>13181</v>
      </c>
      <c r="M72" s="31">
        <v>12368</v>
      </c>
      <c r="N72" s="31">
        <v>13807</v>
      </c>
      <c r="O72" s="31">
        <v>15495</v>
      </c>
      <c r="P72" s="31">
        <v>17403</v>
      </c>
      <c r="Q72" s="31">
        <v>19014</v>
      </c>
      <c r="R72" s="31">
        <v>20333</v>
      </c>
      <c r="S72" s="31">
        <v>20355</v>
      </c>
      <c r="T72" s="31">
        <v>22801</v>
      </c>
      <c r="U72" s="31">
        <v>23280</v>
      </c>
      <c r="V72" s="31">
        <v>23613</v>
      </c>
      <c r="W72" s="31">
        <v>22354</v>
      </c>
      <c r="X72" s="31">
        <v>30051</v>
      </c>
      <c r="Y72" s="31">
        <v>32035</v>
      </c>
      <c r="Z72" s="31">
        <v>33344</v>
      </c>
      <c r="AA72" s="31">
        <v>33345</v>
      </c>
      <c r="AB72" s="20"/>
      <c r="AC72" s="20"/>
      <c r="AD72" s="20"/>
      <c r="AE72" s="20"/>
      <c r="AF72" s="20"/>
      <c r="AG72" s="20"/>
      <c r="AH72" s="20"/>
    </row>
    <row r="73" spans="1:39" x14ac:dyDescent="0.25">
      <c r="A73" s="27" t="s">
        <v>8</v>
      </c>
      <c r="B73" s="31">
        <v>737</v>
      </c>
      <c r="C73" s="31">
        <v>1431</v>
      </c>
      <c r="D73" s="31">
        <v>1655</v>
      </c>
      <c r="E73" s="31">
        <v>2339</v>
      </c>
      <c r="F73" s="31">
        <v>2145</v>
      </c>
      <c r="G73" s="31">
        <v>1813</v>
      </c>
      <c r="H73" s="31">
        <v>2635</v>
      </c>
      <c r="I73" s="31">
        <v>3739</v>
      </c>
      <c r="J73" s="31">
        <v>4878</v>
      </c>
      <c r="K73" s="31">
        <v>6093</v>
      </c>
      <c r="L73" s="31">
        <v>6453</v>
      </c>
      <c r="M73" s="31">
        <v>5203</v>
      </c>
      <c r="N73" s="31">
        <v>5242</v>
      </c>
      <c r="O73" s="31">
        <v>5225</v>
      </c>
      <c r="P73" s="31">
        <v>5118</v>
      </c>
      <c r="Q73" s="31">
        <v>5505</v>
      </c>
      <c r="R73" s="31">
        <v>5610</v>
      </c>
      <c r="S73" s="31">
        <v>5766</v>
      </c>
      <c r="T73" s="31">
        <v>7050</v>
      </c>
      <c r="U73" s="31">
        <v>6608</v>
      </c>
      <c r="V73" s="31">
        <v>6868</v>
      </c>
      <c r="W73" s="31">
        <v>5687</v>
      </c>
      <c r="X73" s="31">
        <v>7625</v>
      </c>
      <c r="Y73" s="31">
        <v>10178</v>
      </c>
      <c r="Z73" s="31">
        <v>9828</v>
      </c>
      <c r="AA73" s="31">
        <v>11384</v>
      </c>
      <c r="AB73" s="20"/>
      <c r="AC73" s="20"/>
      <c r="AD73" s="20"/>
      <c r="AE73" s="20"/>
      <c r="AF73" s="20"/>
      <c r="AG73" s="20"/>
      <c r="AH73" s="20"/>
    </row>
    <row r="74" spans="1:39" x14ac:dyDescent="0.25">
      <c r="A74" s="27" t="s">
        <v>0</v>
      </c>
      <c r="B74" s="31">
        <v>4743</v>
      </c>
      <c r="C74" s="31">
        <v>5725</v>
      </c>
      <c r="D74" s="31">
        <v>5833</v>
      </c>
      <c r="E74" s="31">
        <v>7414</v>
      </c>
      <c r="F74" s="31">
        <v>8069</v>
      </c>
      <c r="G74" s="31">
        <v>8096</v>
      </c>
      <c r="H74" s="31">
        <v>12701</v>
      </c>
      <c r="I74" s="31">
        <v>13637</v>
      </c>
      <c r="J74" s="31">
        <v>18587</v>
      </c>
      <c r="K74" s="31">
        <v>20937</v>
      </c>
      <c r="L74" s="31">
        <v>23864</v>
      </c>
      <c r="M74" s="31">
        <v>23180</v>
      </c>
      <c r="N74" s="31">
        <v>25370</v>
      </c>
      <c r="O74" s="31">
        <v>27733</v>
      </c>
      <c r="P74" s="31">
        <v>32345</v>
      </c>
      <c r="Q74" s="31">
        <v>33310</v>
      </c>
      <c r="R74" s="31">
        <v>34050</v>
      </c>
      <c r="S74" s="31">
        <v>37076</v>
      </c>
      <c r="T74" s="31">
        <v>38342</v>
      </c>
      <c r="U74" s="31">
        <v>37762</v>
      </c>
      <c r="V74" s="31">
        <v>40273</v>
      </c>
      <c r="W74" s="31">
        <v>33844</v>
      </c>
      <c r="X74" s="31">
        <v>43750</v>
      </c>
      <c r="Y74" s="31">
        <v>38980</v>
      </c>
      <c r="Z74" s="31">
        <v>37201</v>
      </c>
      <c r="AA74" s="31">
        <v>35219</v>
      </c>
      <c r="AB74" s="20"/>
      <c r="AC74" s="20"/>
      <c r="AD74" s="20"/>
      <c r="AE74" s="20"/>
      <c r="AF74" s="20"/>
      <c r="AG74" s="20"/>
    </row>
    <row r="75" spans="1:39" x14ac:dyDescent="0.25">
      <c r="A75" s="27" t="s">
        <v>4</v>
      </c>
      <c r="B75" s="31">
        <v>753</v>
      </c>
      <c r="C75" s="31">
        <v>778</v>
      </c>
      <c r="D75" s="31">
        <v>1074</v>
      </c>
      <c r="E75" s="31">
        <v>901</v>
      </c>
      <c r="F75" s="31">
        <v>872</v>
      </c>
      <c r="G75" s="31">
        <v>772</v>
      </c>
      <c r="H75" s="31">
        <v>1019</v>
      </c>
      <c r="I75" s="31">
        <v>1223</v>
      </c>
      <c r="J75" s="31">
        <v>1003</v>
      </c>
      <c r="K75" s="31">
        <v>1399</v>
      </c>
      <c r="L75" s="31">
        <v>1410</v>
      </c>
      <c r="M75" s="31">
        <v>1438</v>
      </c>
      <c r="N75" s="31">
        <v>1552</v>
      </c>
      <c r="O75" s="31">
        <v>1658</v>
      </c>
      <c r="P75" s="31">
        <v>1628</v>
      </c>
      <c r="Q75" s="31">
        <v>1676</v>
      </c>
      <c r="R75" s="31">
        <v>2157</v>
      </c>
      <c r="S75" s="31">
        <v>1664</v>
      </c>
      <c r="T75" s="31">
        <v>2167</v>
      </c>
      <c r="U75" s="31">
        <v>1864</v>
      </c>
      <c r="V75" s="31">
        <v>2156</v>
      </c>
      <c r="W75" s="31">
        <v>1846</v>
      </c>
      <c r="X75" s="31">
        <v>2085</v>
      </c>
      <c r="Y75" s="31">
        <v>2436</v>
      </c>
      <c r="Z75" s="31">
        <v>2560</v>
      </c>
      <c r="AA75" s="31">
        <v>2310</v>
      </c>
      <c r="AB75" s="20"/>
      <c r="AC75" s="20"/>
      <c r="AD75" s="20"/>
      <c r="AE75" s="20"/>
      <c r="AF75" s="20"/>
      <c r="AG75" s="20"/>
    </row>
    <row r="76" spans="1:39" x14ac:dyDescent="0.25">
      <c r="A76" s="27" t="s">
        <v>10</v>
      </c>
      <c r="B76" s="31">
        <v>2650</v>
      </c>
      <c r="C76" s="31">
        <v>4123</v>
      </c>
      <c r="D76" s="31">
        <v>4709</v>
      </c>
      <c r="E76" s="31">
        <v>5446</v>
      </c>
      <c r="F76" s="31">
        <v>5924</v>
      </c>
      <c r="G76" s="31">
        <v>6014</v>
      </c>
      <c r="H76" s="31">
        <v>8244</v>
      </c>
      <c r="I76" s="31">
        <v>9902</v>
      </c>
      <c r="J76" s="31">
        <v>11256</v>
      </c>
      <c r="K76" s="31">
        <v>18177</v>
      </c>
      <c r="L76" s="31">
        <v>18536</v>
      </c>
      <c r="M76" s="31">
        <v>17912</v>
      </c>
      <c r="N76" s="31">
        <v>24054</v>
      </c>
      <c r="O76" s="31">
        <v>28742</v>
      </c>
      <c r="P76" s="31">
        <v>32956</v>
      </c>
      <c r="Q76" s="31">
        <v>35635</v>
      </c>
      <c r="R76" s="31">
        <v>38495</v>
      </c>
      <c r="S76" s="31">
        <v>40701</v>
      </c>
      <c r="T76" s="31">
        <v>43230</v>
      </c>
      <c r="U76" s="31">
        <v>45582</v>
      </c>
      <c r="V76" s="31">
        <v>43099</v>
      </c>
      <c r="W76" s="31">
        <v>26384</v>
      </c>
      <c r="X76" s="31">
        <v>53005</v>
      </c>
      <c r="Y76" s="31">
        <v>56739</v>
      </c>
      <c r="Z76" s="31">
        <v>56868</v>
      </c>
      <c r="AA76" s="31">
        <v>57379</v>
      </c>
      <c r="AB76" s="20"/>
      <c r="AC76" s="20"/>
      <c r="AD76" s="20"/>
      <c r="AE76" s="20"/>
      <c r="AF76" s="20"/>
      <c r="AG76" s="20"/>
    </row>
    <row r="77" spans="1:39" x14ac:dyDescent="0.25">
      <c r="A77" s="27" t="s">
        <v>9</v>
      </c>
      <c r="B77" s="31">
        <v>7582</v>
      </c>
      <c r="C77" s="31">
        <v>9347</v>
      </c>
      <c r="D77" s="31">
        <v>13485</v>
      </c>
      <c r="E77" s="31">
        <v>13903</v>
      </c>
      <c r="F77" s="31">
        <v>13803</v>
      </c>
      <c r="G77" s="31">
        <v>11156</v>
      </c>
      <c r="H77" s="31">
        <v>18810</v>
      </c>
      <c r="I77" s="31">
        <v>20311</v>
      </c>
      <c r="J77" s="31">
        <v>21638</v>
      </c>
      <c r="K77" s="31">
        <v>22006</v>
      </c>
      <c r="L77" s="31">
        <v>24965</v>
      </c>
      <c r="M77" s="31">
        <v>24746</v>
      </c>
      <c r="N77" s="31">
        <v>27901</v>
      </c>
      <c r="O77" s="31">
        <v>32607</v>
      </c>
      <c r="P77" s="31">
        <v>39998</v>
      </c>
      <c r="Q77" s="31">
        <v>46178</v>
      </c>
      <c r="R77" s="31">
        <v>55150</v>
      </c>
      <c r="S77" s="31">
        <v>58119</v>
      </c>
      <c r="T77" s="31">
        <v>60554</v>
      </c>
      <c r="U77" s="31">
        <v>61184</v>
      </c>
      <c r="V77" s="31">
        <v>55360</v>
      </c>
      <c r="W77" s="31">
        <v>45466</v>
      </c>
      <c r="X77" s="31">
        <v>58040</v>
      </c>
      <c r="Y77" s="31">
        <v>59744</v>
      </c>
      <c r="Z77" s="31">
        <v>64168</v>
      </c>
      <c r="AA77" s="31">
        <v>65773</v>
      </c>
      <c r="AB77" s="20"/>
      <c r="AC77" s="20"/>
      <c r="AD77" s="20"/>
      <c r="AE77" s="20"/>
      <c r="AF77" s="20"/>
      <c r="AG77" s="20"/>
    </row>
    <row r="78" spans="1:39" s="36" customFormat="1" x14ac:dyDescent="0.25">
      <c r="A78" s="26" t="s">
        <v>15</v>
      </c>
      <c r="B78" s="33">
        <v>37614</v>
      </c>
      <c r="C78" s="33">
        <v>46706</v>
      </c>
      <c r="D78" s="33">
        <v>53052</v>
      </c>
      <c r="E78" s="33">
        <v>58560</v>
      </c>
      <c r="F78" s="33">
        <v>58899</v>
      </c>
      <c r="G78" s="33">
        <v>52573</v>
      </c>
      <c r="H78" s="33">
        <v>77352</v>
      </c>
      <c r="I78" s="33">
        <v>84410</v>
      </c>
      <c r="J78" s="33">
        <v>97624</v>
      </c>
      <c r="K78" s="33">
        <v>111913</v>
      </c>
      <c r="L78" s="33">
        <v>123519</v>
      </c>
      <c r="M78" s="33">
        <v>119105</v>
      </c>
      <c r="N78" s="33">
        <v>137073</v>
      </c>
      <c r="O78" s="33">
        <v>156000</v>
      </c>
      <c r="P78" s="33">
        <v>182179</v>
      </c>
      <c r="Q78" s="33">
        <v>197558</v>
      </c>
      <c r="R78" s="33">
        <v>216587</v>
      </c>
      <c r="S78" s="33">
        <v>230506</v>
      </c>
      <c r="T78" s="33">
        <v>244006</v>
      </c>
      <c r="U78" s="33">
        <v>250349</v>
      </c>
      <c r="V78" s="33">
        <v>246619</v>
      </c>
      <c r="W78" s="33">
        <v>203597</v>
      </c>
      <c r="X78" s="33">
        <v>281489</v>
      </c>
      <c r="Y78" s="33">
        <v>291453</v>
      </c>
      <c r="Z78" s="33">
        <v>299799</v>
      </c>
      <c r="AA78" s="33">
        <v>302732</v>
      </c>
      <c r="AB78" s="37"/>
      <c r="AC78" s="37"/>
      <c r="AD78" s="37"/>
      <c r="AE78" s="37"/>
      <c r="AF78" s="37"/>
      <c r="AG78" s="37"/>
      <c r="AH78" s="34"/>
      <c r="AI78" s="34"/>
      <c r="AJ78" s="34"/>
      <c r="AK78" s="34"/>
      <c r="AL78" s="35"/>
      <c r="AM78" s="35"/>
    </row>
    <row r="81" spans="1:55" ht="15.75" x14ac:dyDescent="0.25">
      <c r="A81" s="24" t="s">
        <v>89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55" x14ac:dyDescent="0.25">
      <c r="A82" s="59" t="s">
        <v>24</v>
      </c>
      <c r="B82" s="58">
        <v>1999</v>
      </c>
      <c r="C82" s="58"/>
      <c r="D82" s="58">
        <v>2000</v>
      </c>
      <c r="E82" s="58"/>
      <c r="F82" s="58">
        <v>2001</v>
      </c>
      <c r="G82" s="58"/>
      <c r="H82" s="58">
        <v>2002</v>
      </c>
      <c r="I82" s="58"/>
      <c r="J82" s="58">
        <v>2003</v>
      </c>
      <c r="K82" s="58"/>
      <c r="L82" s="58">
        <v>2004</v>
      </c>
      <c r="M82" s="58"/>
      <c r="N82" s="58">
        <v>2005</v>
      </c>
      <c r="O82" s="58"/>
      <c r="P82" s="58">
        <v>2006</v>
      </c>
      <c r="Q82" s="58"/>
      <c r="R82" s="58">
        <v>2007</v>
      </c>
      <c r="S82" s="58"/>
      <c r="T82" s="58">
        <v>2008</v>
      </c>
      <c r="U82" s="58"/>
      <c r="V82" s="58">
        <v>2009</v>
      </c>
      <c r="W82" s="58"/>
      <c r="X82" s="58">
        <v>2010</v>
      </c>
      <c r="Y82" s="58"/>
      <c r="Z82" s="58">
        <v>2011</v>
      </c>
      <c r="AA82" s="58"/>
      <c r="AB82" s="58">
        <v>2012</v>
      </c>
      <c r="AC82" s="58"/>
      <c r="AD82" s="58">
        <v>2013</v>
      </c>
      <c r="AE82" s="58"/>
      <c r="AF82" s="58">
        <v>2014</v>
      </c>
      <c r="AG82" s="58"/>
      <c r="AH82" s="58">
        <v>2015</v>
      </c>
      <c r="AI82" s="58"/>
      <c r="AJ82" s="58">
        <v>2016</v>
      </c>
      <c r="AK82" s="58"/>
      <c r="AL82" s="58">
        <v>2017</v>
      </c>
      <c r="AM82" s="58"/>
      <c r="AN82" s="58">
        <v>2018</v>
      </c>
      <c r="AO82" s="58"/>
      <c r="AP82" s="58">
        <v>2019</v>
      </c>
      <c r="AQ82" s="58"/>
      <c r="AR82" s="58">
        <v>2020</v>
      </c>
      <c r="AS82" s="58"/>
      <c r="AT82" s="58">
        <v>2021</v>
      </c>
      <c r="AU82" s="58"/>
      <c r="AV82" s="58">
        <v>2022</v>
      </c>
      <c r="AW82" s="58"/>
      <c r="AX82" s="60">
        <v>2023</v>
      </c>
      <c r="AY82" s="61"/>
      <c r="AZ82" s="62"/>
      <c r="BA82" s="60">
        <v>2024</v>
      </c>
      <c r="BB82" s="61"/>
      <c r="BC82" s="62"/>
    </row>
    <row r="83" spans="1:55" x14ac:dyDescent="0.25">
      <c r="A83" s="59"/>
      <c r="B83" s="18" t="s">
        <v>64</v>
      </c>
      <c r="C83" s="18" t="s">
        <v>65</v>
      </c>
      <c r="D83" s="18" t="s">
        <v>64</v>
      </c>
      <c r="E83" s="18" t="s">
        <v>65</v>
      </c>
      <c r="F83" s="18" t="s">
        <v>64</v>
      </c>
      <c r="G83" s="18" t="s">
        <v>65</v>
      </c>
      <c r="H83" s="18" t="s">
        <v>64</v>
      </c>
      <c r="I83" s="18" t="s">
        <v>65</v>
      </c>
      <c r="J83" s="18" t="s">
        <v>64</v>
      </c>
      <c r="K83" s="18" t="s">
        <v>65</v>
      </c>
      <c r="L83" s="18" t="s">
        <v>64</v>
      </c>
      <c r="M83" s="18" t="s">
        <v>65</v>
      </c>
      <c r="N83" s="18" t="s">
        <v>64</v>
      </c>
      <c r="O83" s="18" t="s">
        <v>65</v>
      </c>
      <c r="P83" s="18" t="s">
        <v>64</v>
      </c>
      <c r="Q83" s="18" t="s">
        <v>65</v>
      </c>
      <c r="R83" s="18" t="s">
        <v>64</v>
      </c>
      <c r="S83" s="18" t="s">
        <v>65</v>
      </c>
      <c r="T83" s="18" t="s">
        <v>64</v>
      </c>
      <c r="U83" s="18" t="s">
        <v>65</v>
      </c>
      <c r="V83" s="18" t="s">
        <v>64</v>
      </c>
      <c r="W83" s="18" t="s">
        <v>65</v>
      </c>
      <c r="X83" s="18" t="s">
        <v>64</v>
      </c>
      <c r="Y83" s="18" t="s">
        <v>65</v>
      </c>
      <c r="Z83" s="18" t="s">
        <v>64</v>
      </c>
      <c r="AA83" s="18" t="s">
        <v>65</v>
      </c>
      <c r="AB83" s="18" t="s">
        <v>64</v>
      </c>
      <c r="AC83" s="18" t="s">
        <v>65</v>
      </c>
      <c r="AD83" s="18" t="s">
        <v>64</v>
      </c>
      <c r="AE83" s="18" t="s">
        <v>65</v>
      </c>
      <c r="AF83" s="18" t="s">
        <v>64</v>
      </c>
      <c r="AG83" s="18" t="s">
        <v>65</v>
      </c>
      <c r="AH83" s="18" t="s">
        <v>64</v>
      </c>
      <c r="AI83" s="18" t="s">
        <v>65</v>
      </c>
      <c r="AJ83" s="18" t="s">
        <v>64</v>
      </c>
      <c r="AK83" s="18" t="s">
        <v>65</v>
      </c>
      <c r="AL83" s="18" t="s">
        <v>64</v>
      </c>
      <c r="AM83" s="18" t="s">
        <v>65</v>
      </c>
      <c r="AN83" s="18" t="s">
        <v>64</v>
      </c>
      <c r="AO83" s="18" t="s">
        <v>65</v>
      </c>
      <c r="AP83" s="18" t="s">
        <v>64</v>
      </c>
      <c r="AQ83" s="18" t="s">
        <v>65</v>
      </c>
      <c r="AR83" s="18" t="s">
        <v>64</v>
      </c>
      <c r="AS83" s="18" t="s">
        <v>65</v>
      </c>
      <c r="AT83" s="18" t="s">
        <v>64</v>
      </c>
      <c r="AU83" s="18" t="s">
        <v>65</v>
      </c>
      <c r="AV83" s="18" t="s">
        <v>64</v>
      </c>
      <c r="AW83" s="18" t="s">
        <v>65</v>
      </c>
      <c r="AX83" s="18" t="s">
        <v>64</v>
      </c>
      <c r="AY83" s="18" t="s">
        <v>65</v>
      </c>
      <c r="AZ83" s="18" t="s">
        <v>78</v>
      </c>
      <c r="BA83" s="18" t="s">
        <v>64</v>
      </c>
      <c r="BB83" s="18" t="s">
        <v>65</v>
      </c>
      <c r="BC83" s="18" t="s">
        <v>78</v>
      </c>
    </row>
    <row r="84" spans="1:55" x14ac:dyDescent="0.25">
      <c r="A84" s="27" t="s">
        <v>7</v>
      </c>
      <c r="B84" s="31">
        <v>4504</v>
      </c>
      <c r="C84" s="31">
        <v>5886</v>
      </c>
      <c r="D84" s="31">
        <v>4626</v>
      </c>
      <c r="E84" s="31">
        <v>5491</v>
      </c>
      <c r="F84" s="31">
        <v>5139</v>
      </c>
      <c r="G84" s="31">
        <v>6282</v>
      </c>
      <c r="H84" s="31">
        <v>5546</v>
      </c>
      <c r="I84" s="31">
        <v>6445</v>
      </c>
      <c r="J84" s="31">
        <v>5080</v>
      </c>
      <c r="K84" s="31">
        <v>5754</v>
      </c>
      <c r="L84" s="31">
        <v>4272</v>
      </c>
      <c r="M84" s="31">
        <v>4562</v>
      </c>
      <c r="N84" s="31">
        <v>6718</v>
      </c>
      <c r="O84" s="31">
        <v>7373</v>
      </c>
      <c r="P84" s="31">
        <v>6900</v>
      </c>
      <c r="Q84" s="31">
        <v>7739</v>
      </c>
      <c r="R84" s="31">
        <v>9719</v>
      </c>
      <c r="S84" s="31">
        <v>9639</v>
      </c>
      <c r="T84" s="31">
        <v>10245</v>
      </c>
      <c r="U84" s="31">
        <v>10364</v>
      </c>
      <c r="V84" s="31">
        <v>11623</v>
      </c>
      <c r="W84" s="31">
        <v>12313</v>
      </c>
      <c r="X84" s="31">
        <v>11429</v>
      </c>
      <c r="Y84" s="31">
        <v>12246</v>
      </c>
      <c r="Z84" s="31">
        <v>12874</v>
      </c>
      <c r="AA84" s="31">
        <v>14748</v>
      </c>
      <c r="AB84" s="31">
        <v>14585</v>
      </c>
      <c r="AC84" s="31">
        <v>17414</v>
      </c>
      <c r="AD84" s="31">
        <v>17349</v>
      </c>
      <c r="AE84" s="31">
        <v>21527</v>
      </c>
      <c r="AF84" s="31">
        <v>18576</v>
      </c>
      <c r="AG84" s="31">
        <v>23458</v>
      </c>
      <c r="AH84" s="31">
        <v>20370</v>
      </c>
      <c r="AI84" s="31">
        <v>25629</v>
      </c>
      <c r="AJ84" s="31">
        <v>22375</v>
      </c>
      <c r="AK84" s="31">
        <v>30186</v>
      </c>
      <c r="AL84" s="31">
        <v>23225</v>
      </c>
      <c r="AM84" s="31">
        <v>31293</v>
      </c>
      <c r="AN84" s="31">
        <v>25197</v>
      </c>
      <c r="AO84" s="31">
        <v>33662</v>
      </c>
      <c r="AP84" s="31">
        <v>25673</v>
      </c>
      <c r="AQ84" s="31">
        <v>34430</v>
      </c>
      <c r="AR84" s="31">
        <v>23635</v>
      </c>
      <c r="AS84" s="31">
        <v>31151</v>
      </c>
      <c r="AT84" s="31">
        <v>29260</v>
      </c>
      <c r="AU84" s="31">
        <v>39424</v>
      </c>
      <c r="AV84" s="31">
        <v>30093</v>
      </c>
      <c r="AW84" s="31">
        <v>39698</v>
      </c>
      <c r="AX84" s="31">
        <v>31589</v>
      </c>
      <c r="AY84" s="31">
        <v>40550</v>
      </c>
      <c r="AZ84" s="31">
        <v>0</v>
      </c>
      <c r="BA84" s="31">
        <v>32146</v>
      </c>
      <c r="BB84" s="31">
        <v>41118</v>
      </c>
      <c r="BC84" s="31">
        <v>0</v>
      </c>
    </row>
    <row r="85" spans="1:55" x14ac:dyDescent="0.25">
      <c r="A85" s="27" t="s">
        <v>12</v>
      </c>
      <c r="B85" s="31">
        <v>1470</v>
      </c>
      <c r="C85" s="31">
        <v>752</v>
      </c>
      <c r="D85" s="31">
        <v>1890</v>
      </c>
      <c r="E85" s="31">
        <v>1151</v>
      </c>
      <c r="F85" s="31">
        <v>1498</v>
      </c>
      <c r="G85" s="31">
        <v>916</v>
      </c>
      <c r="H85" s="31">
        <v>1577</v>
      </c>
      <c r="I85" s="31">
        <v>1003</v>
      </c>
      <c r="J85" s="31">
        <v>1579</v>
      </c>
      <c r="K85" s="31">
        <v>1245</v>
      </c>
      <c r="L85" s="31">
        <v>1390</v>
      </c>
      <c r="M85" s="31">
        <v>1010</v>
      </c>
      <c r="N85" s="31">
        <v>1518</v>
      </c>
      <c r="O85" s="31">
        <v>992</v>
      </c>
      <c r="P85" s="31">
        <v>1580</v>
      </c>
      <c r="Q85" s="31">
        <v>1111</v>
      </c>
      <c r="R85" s="31">
        <v>1703</v>
      </c>
      <c r="S85" s="31">
        <v>1219</v>
      </c>
      <c r="T85" s="31">
        <v>2000</v>
      </c>
      <c r="U85" s="31">
        <v>1489</v>
      </c>
      <c r="V85" s="31">
        <v>1961</v>
      </c>
      <c r="W85" s="31">
        <v>1470</v>
      </c>
      <c r="X85" s="31">
        <v>1772</v>
      </c>
      <c r="Y85" s="31">
        <v>1475</v>
      </c>
      <c r="Z85" s="31">
        <v>1954</v>
      </c>
      <c r="AA85" s="31">
        <v>1483</v>
      </c>
      <c r="AB85" s="31">
        <v>2089</v>
      </c>
      <c r="AC85" s="31">
        <v>1740</v>
      </c>
      <c r="AD85" s="31">
        <v>2155</v>
      </c>
      <c r="AE85" s="31">
        <v>1825</v>
      </c>
      <c r="AF85" s="31">
        <v>2298</v>
      </c>
      <c r="AG85" s="31">
        <v>2012</v>
      </c>
      <c r="AH85" s="31">
        <v>2277</v>
      </c>
      <c r="AI85" s="31">
        <v>2061</v>
      </c>
      <c r="AJ85" s="31">
        <v>2317</v>
      </c>
      <c r="AK85" s="31">
        <v>2041</v>
      </c>
      <c r="AL85" s="31">
        <v>2236</v>
      </c>
      <c r="AM85" s="31">
        <v>2028</v>
      </c>
      <c r="AN85" s="31">
        <v>2188</v>
      </c>
      <c r="AO85" s="31">
        <v>2007</v>
      </c>
      <c r="AP85" s="31">
        <v>2223</v>
      </c>
      <c r="AQ85" s="31">
        <v>2159</v>
      </c>
      <c r="AR85" s="31">
        <v>1798</v>
      </c>
      <c r="AS85" s="31">
        <v>1756</v>
      </c>
      <c r="AT85" s="31">
        <v>2475</v>
      </c>
      <c r="AU85" s="31">
        <v>2893</v>
      </c>
      <c r="AV85" s="31">
        <v>2714</v>
      </c>
      <c r="AW85" s="31">
        <v>3146</v>
      </c>
      <c r="AX85" s="31">
        <v>3116</v>
      </c>
      <c r="AY85" s="31">
        <v>3951</v>
      </c>
      <c r="AZ85" s="31">
        <v>0</v>
      </c>
      <c r="BA85" s="31">
        <v>2920</v>
      </c>
      <c r="BB85" s="31">
        <v>3989</v>
      </c>
      <c r="BC85" s="31">
        <v>0</v>
      </c>
    </row>
    <row r="86" spans="1:55" x14ac:dyDescent="0.25">
      <c r="A86" s="27" t="s">
        <v>3</v>
      </c>
      <c r="B86" s="31">
        <v>830</v>
      </c>
      <c r="C86" s="31">
        <v>1159</v>
      </c>
      <c r="D86" s="31">
        <v>1359</v>
      </c>
      <c r="E86" s="31">
        <v>1741</v>
      </c>
      <c r="F86" s="31">
        <v>1602</v>
      </c>
      <c r="G86" s="31">
        <v>1786</v>
      </c>
      <c r="H86" s="31">
        <v>1636</v>
      </c>
      <c r="I86" s="31">
        <v>1746</v>
      </c>
      <c r="J86" s="31">
        <v>1273</v>
      </c>
      <c r="K86" s="31">
        <v>1473</v>
      </c>
      <c r="L86" s="31">
        <v>1784</v>
      </c>
      <c r="M86" s="31">
        <v>1753</v>
      </c>
      <c r="N86" s="31">
        <v>2123</v>
      </c>
      <c r="O86" s="31">
        <v>1949</v>
      </c>
      <c r="P86" s="31">
        <v>2316</v>
      </c>
      <c r="Q86" s="31">
        <v>2134</v>
      </c>
      <c r="R86" s="31">
        <v>2483</v>
      </c>
      <c r="S86" s="31">
        <v>2611</v>
      </c>
      <c r="T86" s="31">
        <v>2616</v>
      </c>
      <c r="U86" s="31">
        <v>2676</v>
      </c>
      <c r="V86" s="31">
        <v>2878</v>
      </c>
      <c r="W86" s="31">
        <v>2996</v>
      </c>
      <c r="X86" s="31">
        <v>2747</v>
      </c>
      <c r="Y86" s="31">
        <v>2796</v>
      </c>
      <c r="Z86" s="31">
        <v>3093</v>
      </c>
      <c r="AA86" s="31">
        <v>3056</v>
      </c>
      <c r="AB86" s="31">
        <v>3091</v>
      </c>
      <c r="AC86" s="31">
        <v>3527</v>
      </c>
      <c r="AD86" s="31">
        <v>3541</v>
      </c>
      <c r="AE86" s="31">
        <v>4214</v>
      </c>
      <c r="AF86" s="31">
        <v>3510</v>
      </c>
      <c r="AG86" s="31">
        <v>4054</v>
      </c>
      <c r="AH86" s="31">
        <v>3451</v>
      </c>
      <c r="AI86" s="31">
        <v>4353</v>
      </c>
      <c r="AJ86" s="31">
        <v>3231</v>
      </c>
      <c r="AK86" s="31">
        <v>4036</v>
      </c>
      <c r="AL86" s="31">
        <v>3535</v>
      </c>
      <c r="AM86" s="31">
        <v>4808</v>
      </c>
      <c r="AN86" s="31">
        <v>3509</v>
      </c>
      <c r="AO86" s="31">
        <v>4683</v>
      </c>
      <c r="AP86" s="31">
        <v>3190</v>
      </c>
      <c r="AQ86" s="31">
        <v>4468</v>
      </c>
      <c r="AR86" s="31">
        <v>2706</v>
      </c>
      <c r="AS86" s="31">
        <v>3993</v>
      </c>
      <c r="AT86" s="31">
        <v>3843</v>
      </c>
      <c r="AU86" s="31">
        <v>5565</v>
      </c>
      <c r="AV86" s="31">
        <v>4097</v>
      </c>
      <c r="AW86" s="31">
        <v>6589</v>
      </c>
      <c r="AX86" s="31">
        <v>4305</v>
      </c>
      <c r="AY86" s="31">
        <v>6903</v>
      </c>
      <c r="AZ86" s="31">
        <v>0</v>
      </c>
      <c r="BA86" s="31">
        <v>4233</v>
      </c>
      <c r="BB86" s="31">
        <v>7895</v>
      </c>
      <c r="BC86" s="31">
        <v>0</v>
      </c>
    </row>
    <row r="87" spans="1:55" x14ac:dyDescent="0.25">
      <c r="A87" s="27" t="s">
        <v>13</v>
      </c>
      <c r="B87" s="31">
        <v>553</v>
      </c>
      <c r="C87" s="31">
        <v>431</v>
      </c>
      <c r="D87" s="31">
        <v>634</v>
      </c>
      <c r="E87" s="31">
        <v>603</v>
      </c>
      <c r="F87" s="31">
        <v>353</v>
      </c>
      <c r="G87" s="31">
        <v>307</v>
      </c>
      <c r="H87" s="31">
        <v>548</v>
      </c>
      <c r="I87" s="31">
        <v>514</v>
      </c>
      <c r="J87" s="31">
        <v>547</v>
      </c>
      <c r="K87" s="31">
        <v>486</v>
      </c>
      <c r="L87" s="31">
        <v>567</v>
      </c>
      <c r="M87" s="31">
        <v>517</v>
      </c>
      <c r="N87" s="31">
        <v>593</v>
      </c>
      <c r="O87" s="31">
        <v>560</v>
      </c>
      <c r="P87" s="31">
        <v>641</v>
      </c>
      <c r="Q87" s="31">
        <v>613</v>
      </c>
      <c r="R87" s="31">
        <v>869</v>
      </c>
      <c r="S87" s="31">
        <v>922</v>
      </c>
      <c r="T87" s="31">
        <v>900</v>
      </c>
      <c r="U87" s="31">
        <v>839</v>
      </c>
      <c r="V87" s="31">
        <v>956</v>
      </c>
      <c r="W87" s="31">
        <v>913</v>
      </c>
      <c r="X87" s="31">
        <v>940</v>
      </c>
      <c r="Y87" s="31">
        <v>853</v>
      </c>
      <c r="Z87" s="31">
        <v>998</v>
      </c>
      <c r="AA87" s="31">
        <v>941</v>
      </c>
      <c r="AB87" s="31">
        <v>1064</v>
      </c>
      <c r="AC87" s="31">
        <v>1030</v>
      </c>
      <c r="AD87" s="31">
        <v>1074</v>
      </c>
      <c r="AE87" s="31">
        <v>1046</v>
      </c>
      <c r="AF87" s="31">
        <v>1270</v>
      </c>
      <c r="AG87" s="31">
        <v>1062</v>
      </c>
      <c r="AH87" s="31">
        <v>1425</v>
      </c>
      <c r="AI87" s="31">
        <v>1226</v>
      </c>
      <c r="AJ87" s="31">
        <v>1488</v>
      </c>
      <c r="AK87" s="31">
        <v>1151</v>
      </c>
      <c r="AL87" s="31">
        <v>1552</v>
      </c>
      <c r="AM87" s="31">
        <v>1185</v>
      </c>
      <c r="AN87" s="31">
        <v>1604</v>
      </c>
      <c r="AO87" s="31">
        <v>1219</v>
      </c>
      <c r="AP87" s="31">
        <v>1758</v>
      </c>
      <c r="AQ87" s="31">
        <v>1349</v>
      </c>
      <c r="AR87" s="31">
        <v>1864</v>
      </c>
      <c r="AS87" s="31">
        <v>1113</v>
      </c>
      <c r="AT87" s="31">
        <v>2127</v>
      </c>
      <c r="AU87" s="31">
        <v>1346</v>
      </c>
      <c r="AV87" s="31">
        <v>3046</v>
      </c>
      <c r="AW87" s="31">
        <v>1958</v>
      </c>
      <c r="AX87" s="31">
        <v>3311</v>
      </c>
      <c r="AY87" s="31">
        <v>2105</v>
      </c>
      <c r="AZ87" s="31">
        <v>0</v>
      </c>
      <c r="BA87" s="31">
        <v>2993</v>
      </c>
      <c r="BB87" s="31">
        <v>2027</v>
      </c>
      <c r="BC87" s="31">
        <v>1</v>
      </c>
    </row>
    <row r="88" spans="1:55" x14ac:dyDescent="0.25">
      <c r="A88" s="27" t="s">
        <v>6</v>
      </c>
      <c r="B88" s="31">
        <v>2302</v>
      </c>
      <c r="C88" s="31">
        <v>3262</v>
      </c>
      <c r="D88" s="31">
        <v>3118</v>
      </c>
      <c r="E88" s="31">
        <v>4689</v>
      </c>
      <c r="F88" s="31">
        <v>3483</v>
      </c>
      <c r="G88" s="31">
        <v>4930</v>
      </c>
      <c r="H88" s="31">
        <v>3796</v>
      </c>
      <c r="I88" s="31">
        <v>5746</v>
      </c>
      <c r="J88" s="31">
        <v>4094</v>
      </c>
      <c r="K88" s="31">
        <v>6555</v>
      </c>
      <c r="L88" s="31">
        <v>3366</v>
      </c>
      <c r="M88" s="31">
        <v>5501</v>
      </c>
      <c r="N88" s="31">
        <v>4388</v>
      </c>
      <c r="O88" s="31">
        <v>7729</v>
      </c>
      <c r="P88" s="31">
        <v>4551</v>
      </c>
      <c r="Q88" s="31">
        <v>8013</v>
      </c>
      <c r="R88" s="31">
        <v>3231</v>
      </c>
      <c r="S88" s="31">
        <v>7866</v>
      </c>
      <c r="T88" s="31">
        <v>3747</v>
      </c>
      <c r="U88" s="31">
        <v>8425</v>
      </c>
      <c r="V88" s="31">
        <v>4226</v>
      </c>
      <c r="W88" s="31">
        <v>8955</v>
      </c>
      <c r="X88" s="31">
        <v>3981</v>
      </c>
      <c r="Y88" s="31">
        <v>8387</v>
      </c>
      <c r="Z88" s="31">
        <v>4328</v>
      </c>
      <c r="AA88" s="31">
        <v>9479</v>
      </c>
      <c r="AB88" s="31">
        <v>4792</v>
      </c>
      <c r="AC88" s="31">
        <v>10703</v>
      </c>
      <c r="AD88" s="31">
        <v>5474</v>
      </c>
      <c r="AE88" s="31">
        <v>11929</v>
      </c>
      <c r="AF88" s="31">
        <v>5833</v>
      </c>
      <c r="AG88" s="31">
        <v>13181</v>
      </c>
      <c r="AH88" s="31">
        <v>6245</v>
      </c>
      <c r="AI88" s="31">
        <v>14088</v>
      </c>
      <c r="AJ88" s="31">
        <v>6116</v>
      </c>
      <c r="AK88" s="31">
        <v>14239</v>
      </c>
      <c r="AL88" s="31">
        <v>6899</v>
      </c>
      <c r="AM88" s="31">
        <v>15902</v>
      </c>
      <c r="AN88" s="31">
        <v>6757</v>
      </c>
      <c r="AO88" s="31">
        <v>16523</v>
      </c>
      <c r="AP88" s="31">
        <v>7225</v>
      </c>
      <c r="AQ88" s="31">
        <v>16388</v>
      </c>
      <c r="AR88" s="31">
        <v>6542</v>
      </c>
      <c r="AS88" s="31">
        <v>15812</v>
      </c>
      <c r="AT88" s="31">
        <v>8765</v>
      </c>
      <c r="AU88" s="31">
        <v>21286</v>
      </c>
      <c r="AV88" s="31">
        <v>9370</v>
      </c>
      <c r="AW88" s="31">
        <v>22665</v>
      </c>
      <c r="AX88" s="31">
        <v>9734</v>
      </c>
      <c r="AY88" s="31">
        <v>23607</v>
      </c>
      <c r="AZ88" s="31">
        <v>3</v>
      </c>
      <c r="BA88" s="31">
        <v>9426</v>
      </c>
      <c r="BB88" s="31">
        <v>23919</v>
      </c>
      <c r="BC88" s="31">
        <v>0</v>
      </c>
    </row>
    <row r="89" spans="1:55" x14ac:dyDescent="0.25">
      <c r="A89" s="27" t="s">
        <v>8</v>
      </c>
      <c r="B89" s="31">
        <v>461</v>
      </c>
      <c r="C89" s="31">
        <v>276</v>
      </c>
      <c r="D89" s="31">
        <v>713</v>
      </c>
      <c r="E89" s="31">
        <v>718</v>
      </c>
      <c r="F89" s="31">
        <v>857</v>
      </c>
      <c r="G89" s="31">
        <v>798</v>
      </c>
      <c r="H89" s="31">
        <v>1154</v>
      </c>
      <c r="I89" s="31">
        <v>1185</v>
      </c>
      <c r="J89" s="31">
        <v>961</v>
      </c>
      <c r="K89" s="31">
        <v>1184</v>
      </c>
      <c r="L89" s="31">
        <v>845</v>
      </c>
      <c r="M89" s="31">
        <v>968</v>
      </c>
      <c r="N89" s="31">
        <v>1208</v>
      </c>
      <c r="O89" s="31">
        <v>1427</v>
      </c>
      <c r="P89" s="31">
        <v>1558</v>
      </c>
      <c r="Q89" s="31">
        <v>2181</v>
      </c>
      <c r="R89" s="31">
        <v>2031</v>
      </c>
      <c r="S89" s="31">
        <v>2847</v>
      </c>
      <c r="T89" s="31">
        <v>2429</v>
      </c>
      <c r="U89" s="31">
        <v>3664</v>
      </c>
      <c r="V89" s="31">
        <v>2739</v>
      </c>
      <c r="W89" s="31">
        <v>3714</v>
      </c>
      <c r="X89" s="31">
        <v>2305</v>
      </c>
      <c r="Y89" s="31">
        <v>2898</v>
      </c>
      <c r="Z89" s="31">
        <v>2357</v>
      </c>
      <c r="AA89" s="31">
        <v>2885</v>
      </c>
      <c r="AB89" s="31">
        <v>2251</v>
      </c>
      <c r="AC89" s="31">
        <v>2974</v>
      </c>
      <c r="AD89" s="31">
        <v>2364</v>
      </c>
      <c r="AE89" s="31">
        <v>2754</v>
      </c>
      <c r="AF89" s="31">
        <v>2624</v>
      </c>
      <c r="AG89" s="31">
        <v>2881</v>
      </c>
      <c r="AH89" s="31">
        <v>2668</v>
      </c>
      <c r="AI89" s="31">
        <v>2942</v>
      </c>
      <c r="AJ89" s="31">
        <v>2752</v>
      </c>
      <c r="AK89" s="31">
        <v>3014</v>
      </c>
      <c r="AL89" s="31">
        <v>3448</v>
      </c>
      <c r="AM89" s="31">
        <v>3602</v>
      </c>
      <c r="AN89" s="31">
        <v>3137</v>
      </c>
      <c r="AO89" s="31">
        <v>3471</v>
      </c>
      <c r="AP89" s="31">
        <v>3224</v>
      </c>
      <c r="AQ89" s="31">
        <v>3644</v>
      </c>
      <c r="AR89" s="31">
        <v>2718</v>
      </c>
      <c r="AS89" s="31">
        <v>2969</v>
      </c>
      <c r="AT89" s="31">
        <v>3585</v>
      </c>
      <c r="AU89" s="31">
        <v>4040</v>
      </c>
      <c r="AV89" s="31">
        <v>4715</v>
      </c>
      <c r="AW89" s="31">
        <v>5463</v>
      </c>
      <c r="AX89" s="31">
        <v>4444</v>
      </c>
      <c r="AY89" s="31">
        <v>5384</v>
      </c>
      <c r="AZ89" s="31">
        <v>0</v>
      </c>
      <c r="BA89" s="31">
        <v>5148</v>
      </c>
      <c r="BB89" s="31">
        <v>6236</v>
      </c>
      <c r="BC89" s="31">
        <v>0</v>
      </c>
    </row>
    <row r="90" spans="1:55" x14ac:dyDescent="0.25">
      <c r="A90" s="27" t="s">
        <v>0</v>
      </c>
      <c r="B90" s="31">
        <v>1030</v>
      </c>
      <c r="C90" s="31">
        <v>3713</v>
      </c>
      <c r="D90" s="31">
        <v>1460</v>
      </c>
      <c r="E90" s="31">
        <v>4265</v>
      </c>
      <c r="F90" s="31">
        <v>1232</v>
      </c>
      <c r="G90" s="31">
        <v>4601</v>
      </c>
      <c r="H90" s="31">
        <v>1508</v>
      </c>
      <c r="I90" s="31">
        <v>5906</v>
      </c>
      <c r="J90" s="31">
        <v>1655</v>
      </c>
      <c r="K90" s="31">
        <v>6414</v>
      </c>
      <c r="L90" s="31">
        <v>1605</v>
      </c>
      <c r="M90" s="31">
        <v>6491</v>
      </c>
      <c r="N90" s="31">
        <v>2706</v>
      </c>
      <c r="O90" s="31">
        <v>9995</v>
      </c>
      <c r="P90" s="31">
        <v>3202</v>
      </c>
      <c r="Q90" s="31">
        <v>10435</v>
      </c>
      <c r="R90" s="31">
        <v>4529</v>
      </c>
      <c r="S90" s="31">
        <v>14058</v>
      </c>
      <c r="T90" s="31">
        <v>5030</v>
      </c>
      <c r="U90" s="31">
        <v>15907</v>
      </c>
      <c r="V90" s="31">
        <v>6131</v>
      </c>
      <c r="W90" s="31">
        <v>17733</v>
      </c>
      <c r="X90" s="31">
        <v>6180</v>
      </c>
      <c r="Y90" s="31">
        <v>17000</v>
      </c>
      <c r="Z90" s="31">
        <v>6535</v>
      </c>
      <c r="AA90" s="31">
        <v>18835</v>
      </c>
      <c r="AB90" s="31">
        <v>7532</v>
      </c>
      <c r="AC90" s="31">
        <v>20201</v>
      </c>
      <c r="AD90" s="31">
        <v>7978</v>
      </c>
      <c r="AE90" s="31">
        <v>24367</v>
      </c>
      <c r="AF90" s="31">
        <v>8419</v>
      </c>
      <c r="AG90" s="31">
        <v>24891</v>
      </c>
      <c r="AH90" s="31">
        <v>8308</v>
      </c>
      <c r="AI90" s="31">
        <v>25742</v>
      </c>
      <c r="AJ90" s="31">
        <v>8645</v>
      </c>
      <c r="AK90" s="31">
        <v>28431</v>
      </c>
      <c r="AL90" s="31">
        <v>8364</v>
      </c>
      <c r="AM90" s="31">
        <v>29978</v>
      </c>
      <c r="AN90" s="31">
        <v>7981</v>
      </c>
      <c r="AO90" s="31">
        <v>29781</v>
      </c>
      <c r="AP90" s="31">
        <v>8374</v>
      </c>
      <c r="AQ90" s="31">
        <v>31899</v>
      </c>
      <c r="AR90" s="31">
        <v>6459</v>
      </c>
      <c r="AS90" s="31">
        <v>27385</v>
      </c>
      <c r="AT90" s="31">
        <v>8676</v>
      </c>
      <c r="AU90" s="31">
        <v>35074</v>
      </c>
      <c r="AV90" s="31">
        <v>8793</v>
      </c>
      <c r="AW90" s="31">
        <v>30187</v>
      </c>
      <c r="AX90" s="31">
        <v>8690</v>
      </c>
      <c r="AY90" s="31">
        <v>28511</v>
      </c>
      <c r="AZ90" s="31">
        <v>0</v>
      </c>
      <c r="BA90" s="31">
        <v>8475</v>
      </c>
      <c r="BB90" s="31">
        <v>26743</v>
      </c>
      <c r="BC90" s="31">
        <v>1</v>
      </c>
    </row>
    <row r="91" spans="1:55" x14ac:dyDescent="0.25">
      <c r="A91" s="27" t="s">
        <v>4</v>
      </c>
      <c r="B91" s="31">
        <v>275</v>
      </c>
      <c r="C91" s="31">
        <v>478</v>
      </c>
      <c r="D91" s="31">
        <v>343</v>
      </c>
      <c r="E91" s="31">
        <v>435</v>
      </c>
      <c r="F91" s="31">
        <v>373</v>
      </c>
      <c r="G91" s="31">
        <v>701</v>
      </c>
      <c r="H91" s="31">
        <v>377</v>
      </c>
      <c r="I91" s="31">
        <v>524</v>
      </c>
      <c r="J91" s="31">
        <v>367</v>
      </c>
      <c r="K91" s="31">
        <v>505</v>
      </c>
      <c r="L91" s="31">
        <v>297</v>
      </c>
      <c r="M91" s="31">
        <v>475</v>
      </c>
      <c r="N91" s="31">
        <v>353</v>
      </c>
      <c r="O91" s="31">
        <v>666</v>
      </c>
      <c r="P91" s="31">
        <v>436</v>
      </c>
      <c r="Q91" s="31">
        <v>787</v>
      </c>
      <c r="R91" s="31">
        <v>369</v>
      </c>
      <c r="S91" s="31">
        <v>634</v>
      </c>
      <c r="T91" s="31">
        <v>444</v>
      </c>
      <c r="U91" s="31">
        <v>955</v>
      </c>
      <c r="V91" s="31">
        <v>519</v>
      </c>
      <c r="W91" s="31">
        <v>891</v>
      </c>
      <c r="X91" s="31">
        <v>557</v>
      </c>
      <c r="Y91" s="31">
        <v>881</v>
      </c>
      <c r="Z91" s="31">
        <v>571</v>
      </c>
      <c r="AA91" s="31">
        <v>981</v>
      </c>
      <c r="AB91" s="31">
        <v>598</v>
      </c>
      <c r="AC91" s="31">
        <v>1060</v>
      </c>
      <c r="AD91" s="31">
        <v>623</v>
      </c>
      <c r="AE91" s="31">
        <v>1005</v>
      </c>
      <c r="AF91" s="31">
        <v>644</v>
      </c>
      <c r="AG91" s="31">
        <v>1032</v>
      </c>
      <c r="AH91" s="31">
        <v>840</v>
      </c>
      <c r="AI91" s="31">
        <v>1317</v>
      </c>
      <c r="AJ91" s="31">
        <v>660</v>
      </c>
      <c r="AK91" s="31">
        <v>1004</v>
      </c>
      <c r="AL91" s="31">
        <v>794</v>
      </c>
      <c r="AM91" s="31">
        <v>1373</v>
      </c>
      <c r="AN91" s="31">
        <v>741</v>
      </c>
      <c r="AO91" s="31">
        <v>1123</v>
      </c>
      <c r="AP91" s="31">
        <v>887</v>
      </c>
      <c r="AQ91" s="31">
        <v>1269</v>
      </c>
      <c r="AR91" s="31">
        <v>659</v>
      </c>
      <c r="AS91" s="31">
        <v>1187</v>
      </c>
      <c r="AT91" s="31">
        <v>832</v>
      </c>
      <c r="AU91" s="31">
        <v>1253</v>
      </c>
      <c r="AV91" s="31">
        <v>1009</v>
      </c>
      <c r="AW91" s="31">
        <v>1427</v>
      </c>
      <c r="AX91" s="31">
        <v>968</v>
      </c>
      <c r="AY91" s="31">
        <v>1592</v>
      </c>
      <c r="AZ91" s="31">
        <v>0</v>
      </c>
      <c r="BA91" s="31">
        <v>1035</v>
      </c>
      <c r="BB91" s="31">
        <v>1275</v>
      </c>
      <c r="BC91" s="31">
        <v>0</v>
      </c>
    </row>
    <row r="92" spans="1:55" x14ac:dyDescent="0.25">
      <c r="A92" s="27" t="s">
        <v>10</v>
      </c>
      <c r="B92" s="31">
        <v>942</v>
      </c>
      <c r="C92" s="31">
        <v>1708</v>
      </c>
      <c r="D92" s="31">
        <v>1449</v>
      </c>
      <c r="E92" s="31">
        <v>2674</v>
      </c>
      <c r="F92" s="31">
        <v>1510</v>
      </c>
      <c r="G92" s="31">
        <v>3199</v>
      </c>
      <c r="H92" s="31">
        <v>1657</v>
      </c>
      <c r="I92" s="31">
        <v>3789</v>
      </c>
      <c r="J92" s="31">
        <v>1718</v>
      </c>
      <c r="K92" s="31">
        <v>4206</v>
      </c>
      <c r="L92" s="31">
        <v>1857</v>
      </c>
      <c r="M92" s="31">
        <v>4157</v>
      </c>
      <c r="N92" s="31">
        <v>2101</v>
      </c>
      <c r="O92" s="31">
        <v>6143</v>
      </c>
      <c r="P92" s="31">
        <v>2609</v>
      </c>
      <c r="Q92" s="31">
        <v>7293</v>
      </c>
      <c r="R92" s="31">
        <v>3050</v>
      </c>
      <c r="S92" s="31">
        <v>8206</v>
      </c>
      <c r="T92" s="31">
        <v>4182</v>
      </c>
      <c r="U92" s="31">
        <v>13995</v>
      </c>
      <c r="V92" s="31">
        <v>4421</v>
      </c>
      <c r="W92" s="31">
        <v>14115</v>
      </c>
      <c r="X92" s="31">
        <v>4380</v>
      </c>
      <c r="Y92" s="31">
        <v>13532</v>
      </c>
      <c r="Z92" s="31">
        <v>5521</v>
      </c>
      <c r="AA92" s="31">
        <v>18533</v>
      </c>
      <c r="AB92" s="31">
        <v>6463</v>
      </c>
      <c r="AC92" s="31">
        <v>22279</v>
      </c>
      <c r="AD92" s="31">
        <v>7437</v>
      </c>
      <c r="AE92" s="31">
        <v>25519</v>
      </c>
      <c r="AF92" s="31">
        <v>8218</v>
      </c>
      <c r="AG92" s="31">
        <v>27417</v>
      </c>
      <c r="AH92" s="31">
        <v>8727</v>
      </c>
      <c r="AI92" s="31">
        <v>29768</v>
      </c>
      <c r="AJ92" s="31">
        <v>9071</v>
      </c>
      <c r="AK92" s="31">
        <v>31630</v>
      </c>
      <c r="AL92" s="31">
        <v>9881</v>
      </c>
      <c r="AM92" s="31">
        <v>33349</v>
      </c>
      <c r="AN92" s="31">
        <v>10568</v>
      </c>
      <c r="AO92" s="31">
        <v>35014</v>
      </c>
      <c r="AP92" s="31">
        <v>10250</v>
      </c>
      <c r="AQ92" s="31">
        <v>32849</v>
      </c>
      <c r="AR92" s="31">
        <v>6149</v>
      </c>
      <c r="AS92" s="31">
        <v>20235</v>
      </c>
      <c r="AT92" s="31">
        <v>11915</v>
      </c>
      <c r="AU92" s="31">
        <v>41090</v>
      </c>
      <c r="AV92" s="31">
        <v>13597</v>
      </c>
      <c r="AW92" s="31">
        <v>43142</v>
      </c>
      <c r="AX92" s="31">
        <v>13579</v>
      </c>
      <c r="AY92" s="31">
        <v>43289</v>
      </c>
      <c r="AZ92" s="31">
        <v>0</v>
      </c>
      <c r="BA92" s="31">
        <v>13714</v>
      </c>
      <c r="BB92" s="31">
        <v>43665</v>
      </c>
      <c r="BC92" s="31">
        <v>0</v>
      </c>
    </row>
    <row r="93" spans="1:55" x14ac:dyDescent="0.25">
      <c r="A93" s="27" t="s">
        <v>9</v>
      </c>
      <c r="B93" s="31">
        <v>6136</v>
      </c>
      <c r="C93" s="31">
        <v>1446</v>
      </c>
      <c r="D93" s="31">
        <v>7185.4</v>
      </c>
      <c r="E93" s="31">
        <v>2161.6</v>
      </c>
      <c r="F93" s="31">
        <v>10407</v>
      </c>
      <c r="G93" s="31">
        <v>3078</v>
      </c>
      <c r="H93" s="31">
        <v>11091</v>
      </c>
      <c r="I93" s="31">
        <v>2812</v>
      </c>
      <c r="J93" s="31">
        <v>10950</v>
      </c>
      <c r="K93" s="31">
        <v>2853</v>
      </c>
      <c r="L93" s="31">
        <v>8956</v>
      </c>
      <c r="M93" s="31">
        <v>2200</v>
      </c>
      <c r="N93" s="31">
        <v>14693</v>
      </c>
      <c r="O93" s="31">
        <v>4117</v>
      </c>
      <c r="P93" s="31">
        <v>16087</v>
      </c>
      <c r="Q93" s="31">
        <v>4224</v>
      </c>
      <c r="R93" s="31">
        <v>17390</v>
      </c>
      <c r="S93" s="31">
        <v>4248</v>
      </c>
      <c r="T93" s="31">
        <v>17942</v>
      </c>
      <c r="U93" s="31">
        <v>4064</v>
      </c>
      <c r="V93" s="31">
        <v>20263</v>
      </c>
      <c r="W93" s="31">
        <v>4702</v>
      </c>
      <c r="X93" s="31">
        <v>20092</v>
      </c>
      <c r="Y93" s="31">
        <v>4654</v>
      </c>
      <c r="Z93" s="31">
        <v>22467</v>
      </c>
      <c r="AA93" s="31">
        <v>5434</v>
      </c>
      <c r="AB93" s="31">
        <v>25788</v>
      </c>
      <c r="AC93" s="31">
        <v>6819</v>
      </c>
      <c r="AD93" s="31">
        <v>31384</v>
      </c>
      <c r="AE93" s="31">
        <v>8614</v>
      </c>
      <c r="AF93" s="31">
        <v>35835</v>
      </c>
      <c r="AG93" s="31">
        <v>10343</v>
      </c>
      <c r="AH93" s="31">
        <v>41805</v>
      </c>
      <c r="AI93" s="31">
        <v>13345</v>
      </c>
      <c r="AJ93" s="31">
        <v>43644</v>
      </c>
      <c r="AK93" s="31">
        <v>14475</v>
      </c>
      <c r="AL93" s="31">
        <v>45866</v>
      </c>
      <c r="AM93" s="31">
        <v>14688</v>
      </c>
      <c r="AN93" s="31">
        <v>47104</v>
      </c>
      <c r="AO93" s="31">
        <v>14080</v>
      </c>
      <c r="AP93" s="31">
        <v>43655</v>
      </c>
      <c r="AQ93" s="31">
        <v>11705</v>
      </c>
      <c r="AR93" s="31">
        <v>36022</v>
      </c>
      <c r="AS93" s="31">
        <v>9444</v>
      </c>
      <c r="AT93" s="31">
        <v>46725</v>
      </c>
      <c r="AU93" s="31">
        <v>11315</v>
      </c>
      <c r="AV93" s="31">
        <v>47823</v>
      </c>
      <c r="AW93" s="31">
        <v>11921</v>
      </c>
      <c r="AX93" s="31">
        <v>51503</v>
      </c>
      <c r="AY93" s="31">
        <v>12665</v>
      </c>
      <c r="AZ93" s="31">
        <v>0</v>
      </c>
      <c r="BA93" s="31">
        <v>52707</v>
      </c>
      <c r="BB93" s="31">
        <v>13066</v>
      </c>
      <c r="BC93" s="31">
        <v>0</v>
      </c>
    </row>
    <row r="94" spans="1:55" s="36" customFormat="1" x14ac:dyDescent="0.25">
      <c r="A94" s="26" t="s">
        <v>15</v>
      </c>
      <c r="B94" s="33">
        <v>18503</v>
      </c>
      <c r="C94" s="33">
        <v>19111</v>
      </c>
      <c r="D94" s="33">
        <v>22777.4</v>
      </c>
      <c r="E94" s="33">
        <v>23928.6</v>
      </c>
      <c r="F94" s="33">
        <v>26454</v>
      </c>
      <c r="G94" s="33">
        <v>26598</v>
      </c>
      <c r="H94" s="33">
        <v>28890</v>
      </c>
      <c r="I94" s="33">
        <v>29670</v>
      </c>
      <c r="J94" s="33">
        <v>28224</v>
      </c>
      <c r="K94" s="33">
        <v>30675</v>
      </c>
      <c r="L94" s="33">
        <v>24939</v>
      </c>
      <c r="M94" s="33">
        <v>27634</v>
      </c>
      <c r="N94" s="33">
        <v>36401</v>
      </c>
      <c r="O94" s="33">
        <v>40951</v>
      </c>
      <c r="P94" s="33">
        <v>39880</v>
      </c>
      <c r="Q94" s="33">
        <v>44530</v>
      </c>
      <c r="R94" s="33">
        <v>45374</v>
      </c>
      <c r="S94" s="33">
        <v>52250</v>
      </c>
      <c r="T94" s="33">
        <v>49535</v>
      </c>
      <c r="U94" s="33">
        <v>62378</v>
      </c>
      <c r="V94" s="33">
        <v>55717</v>
      </c>
      <c r="W94" s="33">
        <v>67802</v>
      </c>
      <c r="X94" s="33">
        <v>54383</v>
      </c>
      <c r="Y94" s="33">
        <v>64722</v>
      </c>
      <c r="Z94" s="33">
        <v>60698</v>
      </c>
      <c r="AA94" s="33">
        <v>76375</v>
      </c>
      <c r="AB94" s="33">
        <v>68253</v>
      </c>
      <c r="AC94" s="33">
        <v>87747</v>
      </c>
      <c r="AD94" s="33">
        <v>79379</v>
      </c>
      <c r="AE94" s="33">
        <v>102800</v>
      </c>
      <c r="AF94" s="33">
        <v>87227</v>
      </c>
      <c r="AG94" s="33">
        <v>110331</v>
      </c>
      <c r="AH94" s="33">
        <v>96116</v>
      </c>
      <c r="AI94" s="33">
        <v>120471</v>
      </c>
      <c r="AJ94" s="33">
        <v>100299</v>
      </c>
      <c r="AK94" s="33">
        <v>130207</v>
      </c>
      <c r="AL94" s="33">
        <v>105800</v>
      </c>
      <c r="AM94" s="33">
        <v>138206</v>
      </c>
      <c r="AN94" s="33">
        <v>108786</v>
      </c>
      <c r="AO94" s="33">
        <v>141563</v>
      </c>
      <c r="AP94" s="33">
        <v>106459</v>
      </c>
      <c r="AQ94" s="33">
        <v>140160</v>
      </c>
      <c r="AR94" s="33">
        <v>88552</v>
      </c>
      <c r="AS94" s="33">
        <v>115045</v>
      </c>
      <c r="AT94" s="33">
        <v>118203</v>
      </c>
      <c r="AU94" s="33">
        <v>163286</v>
      </c>
      <c r="AV94" s="33">
        <v>125257</v>
      </c>
      <c r="AW94" s="33">
        <v>166196</v>
      </c>
      <c r="AX94" s="33">
        <v>131239</v>
      </c>
      <c r="AY94" s="33">
        <v>168557</v>
      </c>
      <c r="AZ94" s="33">
        <v>3</v>
      </c>
      <c r="BA94" s="33">
        <v>132797</v>
      </c>
      <c r="BB94" s="33">
        <v>169933</v>
      </c>
      <c r="BC94" s="33">
        <v>2</v>
      </c>
    </row>
    <row r="95" spans="1:55" x14ac:dyDescent="0.25">
      <c r="C95" s="38"/>
    </row>
    <row r="97" spans="1:33" ht="15.75" x14ac:dyDescent="0.25">
      <c r="A97" s="24" t="s">
        <v>90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x14ac:dyDescent="0.25">
      <c r="A98" s="1" t="s">
        <v>25</v>
      </c>
      <c r="B98" s="18">
        <v>1999</v>
      </c>
      <c r="C98" s="18">
        <v>2000</v>
      </c>
      <c r="D98" s="18">
        <v>2001</v>
      </c>
      <c r="E98" s="18">
        <v>2002</v>
      </c>
      <c r="F98" s="18">
        <v>2003</v>
      </c>
      <c r="G98" s="18">
        <v>2004</v>
      </c>
      <c r="H98" s="18">
        <v>2005</v>
      </c>
      <c r="I98" s="18">
        <v>2006</v>
      </c>
      <c r="J98" s="18">
        <v>2007</v>
      </c>
      <c r="K98" s="18">
        <v>2008</v>
      </c>
      <c r="L98" s="18">
        <v>2009</v>
      </c>
      <c r="M98" s="18">
        <v>2010</v>
      </c>
      <c r="N98" s="18">
        <v>2011</v>
      </c>
      <c r="O98" s="18">
        <v>2012</v>
      </c>
      <c r="P98" s="18">
        <v>2013</v>
      </c>
      <c r="Q98" s="18">
        <v>2014</v>
      </c>
      <c r="R98" s="18">
        <v>2015</v>
      </c>
      <c r="S98" s="18">
        <v>2016</v>
      </c>
      <c r="T98" s="18">
        <v>2017</v>
      </c>
      <c r="U98" s="18">
        <v>2018</v>
      </c>
      <c r="V98" s="18">
        <v>2019</v>
      </c>
      <c r="W98" s="18">
        <v>2020</v>
      </c>
      <c r="X98" s="18">
        <v>2021</v>
      </c>
      <c r="Y98" s="18">
        <v>2022</v>
      </c>
      <c r="Z98" s="18">
        <v>2023</v>
      </c>
      <c r="AA98" s="18">
        <v>2024</v>
      </c>
      <c r="AB98" s="20"/>
      <c r="AC98" s="20"/>
      <c r="AD98" s="20"/>
      <c r="AE98" s="20"/>
      <c r="AF98" s="20"/>
      <c r="AG98" s="20"/>
    </row>
    <row r="99" spans="1:33" x14ac:dyDescent="0.25">
      <c r="A99" s="27" t="s">
        <v>39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1777</v>
      </c>
      <c r="K99" s="31">
        <v>1848</v>
      </c>
      <c r="L99" s="31">
        <v>1938</v>
      </c>
      <c r="M99" s="31">
        <v>1866</v>
      </c>
      <c r="N99" s="31">
        <v>2077</v>
      </c>
      <c r="O99" s="31">
        <v>2070</v>
      </c>
      <c r="P99" s="31">
        <v>2365</v>
      </c>
      <c r="Q99" s="31">
        <v>2759</v>
      </c>
      <c r="R99" s="31">
        <v>2574</v>
      </c>
      <c r="S99" s="31">
        <v>2517</v>
      </c>
      <c r="T99" s="31">
        <v>2822</v>
      </c>
      <c r="U99" s="31">
        <v>3176</v>
      </c>
      <c r="V99" s="31">
        <v>3046</v>
      </c>
      <c r="W99" s="31">
        <v>2507</v>
      </c>
      <c r="X99" s="31">
        <v>3646</v>
      </c>
      <c r="Y99" s="31">
        <v>3123</v>
      </c>
      <c r="Z99" s="31">
        <v>3490</v>
      </c>
      <c r="AA99" s="31">
        <v>3238</v>
      </c>
    </row>
    <row r="100" spans="1:33" x14ac:dyDescent="0.25">
      <c r="A100" s="27" t="s">
        <v>26</v>
      </c>
      <c r="B100" s="31">
        <v>792</v>
      </c>
      <c r="C100" s="31">
        <v>836</v>
      </c>
      <c r="D100" s="31">
        <v>813</v>
      </c>
      <c r="E100" s="31">
        <v>608</v>
      </c>
      <c r="F100" s="31">
        <v>736</v>
      </c>
      <c r="G100" s="31">
        <v>981</v>
      </c>
      <c r="H100" s="31">
        <v>1603</v>
      </c>
      <c r="I100" s="31">
        <v>2133</v>
      </c>
      <c r="J100" s="31">
        <v>1135</v>
      </c>
      <c r="K100" s="31">
        <v>1492</v>
      </c>
      <c r="L100" s="31">
        <v>1411</v>
      </c>
      <c r="M100" s="31">
        <v>1311</v>
      </c>
      <c r="N100" s="31">
        <v>1536</v>
      </c>
      <c r="O100" s="31">
        <v>1598</v>
      </c>
      <c r="P100" s="31">
        <v>1940</v>
      </c>
      <c r="Q100" s="31">
        <v>2211</v>
      </c>
      <c r="R100" s="31">
        <v>2553</v>
      </c>
      <c r="S100" s="31">
        <v>2582</v>
      </c>
      <c r="T100" s="31">
        <v>3044</v>
      </c>
      <c r="U100" s="31">
        <v>3598</v>
      </c>
      <c r="V100" s="31">
        <v>3093</v>
      </c>
      <c r="W100" s="31">
        <v>2708</v>
      </c>
      <c r="X100" s="31">
        <v>4381</v>
      </c>
      <c r="Y100" s="31">
        <v>3821</v>
      </c>
      <c r="Z100" s="31">
        <v>3866</v>
      </c>
      <c r="AA100" s="31">
        <v>3412</v>
      </c>
      <c r="AB100" s="20"/>
      <c r="AC100" s="20"/>
      <c r="AD100" s="20"/>
      <c r="AE100" s="20"/>
      <c r="AF100" s="20"/>
      <c r="AG100" s="20"/>
    </row>
    <row r="101" spans="1:33" x14ac:dyDescent="0.25">
      <c r="A101" s="27" t="s">
        <v>27</v>
      </c>
      <c r="B101" s="31">
        <v>895</v>
      </c>
      <c r="C101" s="31">
        <v>928</v>
      </c>
      <c r="D101" s="31">
        <v>1526</v>
      </c>
      <c r="E101" s="31">
        <v>2059</v>
      </c>
      <c r="F101" s="31">
        <v>1941</v>
      </c>
      <c r="G101" s="31">
        <v>1184</v>
      </c>
      <c r="H101" s="31">
        <v>1859</v>
      </c>
      <c r="I101" s="31">
        <v>2161</v>
      </c>
      <c r="J101" s="31">
        <v>3672</v>
      </c>
      <c r="K101" s="31">
        <v>3788</v>
      </c>
      <c r="L101" s="31">
        <v>4373</v>
      </c>
      <c r="M101" s="31">
        <v>4202</v>
      </c>
      <c r="N101" s="31">
        <v>4402</v>
      </c>
      <c r="O101" s="31">
        <v>5209</v>
      </c>
      <c r="P101" s="31">
        <v>6149</v>
      </c>
      <c r="Q101" s="31">
        <v>6636</v>
      </c>
      <c r="R101" s="31">
        <v>8271</v>
      </c>
      <c r="S101" s="31">
        <v>7604</v>
      </c>
      <c r="T101" s="31">
        <v>7247</v>
      </c>
      <c r="U101" s="31">
        <v>7641</v>
      </c>
      <c r="V101" s="31">
        <v>7155</v>
      </c>
      <c r="W101" s="31">
        <v>5937</v>
      </c>
      <c r="X101" s="31">
        <v>7480</v>
      </c>
      <c r="Y101" s="31">
        <v>7928</v>
      </c>
      <c r="Z101" s="31">
        <v>8209</v>
      </c>
      <c r="AA101" s="31">
        <v>7259</v>
      </c>
      <c r="AB101" s="20"/>
      <c r="AC101" s="20"/>
      <c r="AD101" s="20"/>
      <c r="AE101" s="20"/>
      <c r="AF101" s="20"/>
      <c r="AG101" s="20"/>
    </row>
    <row r="102" spans="1:33" x14ac:dyDescent="0.25">
      <c r="A102" s="27" t="s">
        <v>28</v>
      </c>
      <c r="B102" s="31">
        <v>81</v>
      </c>
      <c r="C102" s="31">
        <v>368</v>
      </c>
      <c r="D102" s="31">
        <v>737</v>
      </c>
      <c r="E102" s="31">
        <v>723</v>
      </c>
      <c r="F102" s="31">
        <v>651</v>
      </c>
      <c r="G102" s="31">
        <v>417</v>
      </c>
      <c r="H102" s="31">
        <v>634</v>
      </c>
      <c r="I102" s="31">
        <v>681</v>
      </c>
      <c r="J102" s="31">
        <v>661</v>
      </c>
      <c r="K102" s="31">
        <v>743</v>
      </c>
      <c r="L102" s="31">
        <v>942</v>
      </c>
      <c r="M102" s="31">
        <v>1074</v>
      </c>
      <c r="N102" s="31">
        <v>831</v>
      </c>
      <c r="O102" s="31">
        <v>1064</v>
      </c>
      <c r="P102" s="31">
        <v>1178</v>
      </c>
      <c r="Q102" s="31">
        <v>1362</v>
      </c>
      <c r="R102" s="31">
        <v>1587</v>
      </c>
      <c r="S102" s="31">
        <v>1924</v>
      </c>
      <c r="T102" s="31">
        <v>1992</v>
      </c>
      <c r="U102" s="31">
        <v>1880</v>
      </c>
      <c r="V102" s="31">
        <v>2121</v>
      </c>
      <c r="W102" s="31">
        <v>1894</v>
      </c>
      <c r="X102" s="31">
        <v>2641</v>
      </c>
      <c r="Y102" s="31">
        <v>2800</v>
      </c>
      <c r="Z102" s="31">
        <v>2543</v>
      </c>
      <c r="AA102" s="31">
        <v>2679</v>
      </c>
      <c r="AB102" s="20"/>
      <c r="AC102" s="20"/>
      <c r="AD102" s="20"/>
      <c r="AE102" s="20"/>
      <c r="AF102" s="20"/>
      <c r="AG102" s="20"/>
    </row>
    <row r="103" spans="1:33" x14ac:dyDescent="0.25">
      <c r="A103" s="27" t="s">
        <v>29</v>
      </c>
      <c r="B103" s="31">
        <v>613</v>
      </c>
      <c r="C103" s="31">
        <v>652</v>
      </c>
      <c r="D103" s="31">
        <v>853</v>
      </c>
      <c r="E103" s="31">
        <v>1165</v>
      </c>
      <c r="F103" s="31">
        <v>1544</v>
      </c>
      <c r="G103" s="31">
        <v>1724</v>
      </c>
      <c r="H103" s="31">
        <v>1516</v>
      </c>
      <c r="I103" s="31">
        <v>1888</v>
      </c>
      <c r="J103" s="31">
        <v>3166</v>
      </c>
      <c r="K103" s="31">
        <v>4253</v>
      </c>
      <c r="L103" s="31">
        <v>3763</v>
      </c>
      <c r="M103" s="31">
        <v>3387</v>
      </c>
      <c r="N103" s="31">
        <v>3661</v>
      </c>
      <c r="O103" s="31">
        <v>4491</v>
      </c>
      <c r="P103" s="31">
        <v>6150</v>
      </c>
      <c r="Q103" s="31">
        <v>6138</v>
      </c>
      <c r="R103" s="31">
        <v>6493</v>
      </c>
      <c r="S103" s="31">
        <v>7040</v>
      </c>
      <c r="T103" s="31">
        <v>7564</v>
      </c>
      <c r="U103" s="31">
        <v>8290</v>
      </c>
      <c r="V103" s="31">
        <v>8483</v>
      </c>
      <c r="W103" s="31">
        <v>5889</v>
      </c>
      <c r="X103" s="31">
        <v>9960</v>
      </c>
      <c r="Y103" s="31">
        <v>9358</v>
      </c>
      <c r="Z103" s="31">
        <v>9839</v>
      </c>
      <c r="AA103" s="31">
        <v>10089</v>
      </c>
      <c r="AB103" s="20"/>
      <c r="AC103" s="20"/>
      <c r="AD103" s="20"/>
      <c r="AE103" s="20"/>
      <c r="AF103" s="20"/>
      <c r="AG103" s="20"/>
    </row>
    <row r="104" spans="1:33" x14ac:dyDescent="0.25">
      <c r="A104" s="27" t="s">
        <v>30</v>
      </c>
      <c r="B104" s="31">
        <v>5242</v>
      </c>
      <c r="C104" s="31">
        <v>5184</v>
      </c>
      <c r="D104" s="31">
        <v>5491</v>
      </c>
      <c r="E104" s="31">
        <v>6529</v>
      </c>
      <c r="F104" s="31">
        <v>7343</v>
      </c>
      <c r="G104" s="31">
        <v>6270</v>
      </c>
      <c r="H104" s="31">
        <v>9153</v>
      </c>
      <c r="I104" s="31">
        <v>8908</v>
      </c>
      <c r="J104" s="31">
        <v>11186</v>
      </c>
      <c r="K104" s="31">
        <v>12413</v>
      </c>
      <c r="L104" s="31">
        <v>13896</v>
      </c>
      <c r="M104" s="31">
        <v>12558</v>
      </c>
      <c r="N104" s="31">
        <v>14071</v>
      </c>
      <c r="O104" s="31">
        <v>17577</v>
      </c>
      <c r="P104" s="31">
        <v>19038</v>
      </c>
      <c r="Q104" s="31">
        <v>21112</v>
      </c>
      <c r="R104" s="31">
        <v>22756</v>
      </c>
      <c r="S104" s="31">
        <v>23656</v>
      </c>
      <c r="T104" s="31">
        <v>24949</v>
      </c>
      <c r="U104" s="31">
        <v>24120</v>
      </c>
      <c r="V104" s="31">
        <v>23177</v>
      </c>
      <c r="W104" s="31">
        <v>19027</v>
      </c>
      <c r="X104" s="31">
        <v>25261</v>
      </c>
      <c r="Y104" s="31">
        <v>26304</v>
      </c>
      <c r="Z104" s="31">
        <v>25702</v>
      </c>
      <c r="AA104" s="31">
        <v>24919</v>
      </c>
      <c r="AB104" s="20"/>
      <c r="AC104" s="20"/>
      <c r="AD104" s="20"/>
      <c r="AE104" s="20"/>
      <c r="AF104" s="20"/>
      <c r="AG104" s="20"/>
    </row>
    <row r="105" spans="1:33" x14ac:dyDescent="0.25">
      <c r="A105" s="27" t="s">
        <v>40</v>
      </c>
      <c r="B105" s="31">
        <v>20138</v>
      </c>
      <c r="C105" s="31">
        <v>29617</v>
      </c>
      <c r="D105" s="31">
        <v>33049</v>
      </c>
      <c r="E105" s="31">
        <v>35369</v>
      </c>
      <c r="F105" s="31">
        <v>32737</v>
      </c>
      <c r="G105" s="31">
        <v>29631</v>
      </c>
      <c r="H105" s="31">
        <v>44241</v>
      </c>
      <c r="I105" s="31">
        <v>48500</v>
      </c>
      <c r="J105" s="31">
        <v>48276</v>
      </c>
      <c r="K105" s="31">
        <v>54003</v>
      </c>
      <c r="L105" s="31">
        <v>60191</v>
      </c>
      <c r="M105" s="31">
        <v>61307</v>
      </c>
      <c r="N105" s="31">
        <v>70401</v>
      </c>
      <c r="O105" s="31">
        <v>78121</v>
      </c>
      <c r="P105" s="31">
        <v>91385</v>
      </c>
      <c r="Q105" s="31">
        <v>97371</v>
      </c>
      <c r="R105" s="31">
        <v>105397</v>
      </c>
      <c r="S105" s="31">
        <v>113223</v>
      </c>
      <c r="T105" s="31">
        <v>122259</v>
      </c>
      <c r="U105" s="31">
        <v>125883</v>
      </c>
      <c r="V105" s="31">
        <v>127430</v>
      </c>
      <c r="W105" s="31">
        <v>110474</v>
      </c>
      <c r="X105" s="31">
        <v>148765</v>
      </c>
      <c r="Y105" s="31">
        <v>158532</v>
      </c>
      <c r="Z105" s="31">
        <v>166547</v>
      </c>
      <c r="AA105" s="31">
        <v>171351</v>
      </c>
    </row>
    <row r="106" spans="1:33" x14ac:dyDescent="0.25">
      <c r="A106" s="27" t="s">
        <v>31</v>
      </c>
      <c r="B106" s="31">
        <v>22</v>
      </c>
      <c r="C106" s="31">
        <v>54</v>
      </c>
      <c r="D106" s="31">
        <v>0</v>
      </c>
      <c r="E106" s="31">
        <v>407</v>
      </c>
      <c r="F106" s="31">
        <v>370</v>
      </c>
      <c r="G106" s="31">
        <v>416</v>
      </c>
      <c r="H106" s="31">
        <v>351</v>
      </c>
      <c r="I106" s="31">
        <v>352</v>
      </c>
      <c r="J106" s="31">
        <v>1782</v>
      </c>
      <c r="K106" s="31">
        <v>2307</v>
      </c>
      <c r="L106" s="31">
        <v>2363</v>
      </c>
      <c r="M106" s="31">
        <v>2332</v>
      </c>
      <c r="N106" s="31">
        <v>3387</v>
      </c>
      <c r="O106" s="31">
        <v>3848</v>
      </c>
      <c r="P106" s="31">
        <v>4639</v>
      </c>
      <c r="Q106" s="31">
        <v>5238</v>
      </c>
      <c r="R106" s="31">
        <v>6444</v>
      </c>
      <c r="S106" s="31">
        <v>7181</v>
      </c>
      <c r="T106" s="31">
        <v>6781</v>
      </c>
      <c r="U106" s="31">
        <v>6537</v>
      </c>
      <c r="V106" s="31">
        <v>6317</v>
      </c>
      <c r="W106" s="31">
        <v>4750</v>
      </c>
      <c r="X106" s="31">
        <v>5820</v>
      </c>
      <c r="Y106" s="31">
        <v>5701</v>
      </c>
      <c r="Z106" s="31">
        <v>5359</v>
      </c>
      <c r="AA106" s="31">
        <v>5560</v>
      </c>
    </row>
    <row r="107" spans="1:33" x14ac:dyDescent="0.25">
      <c r="A107" s="27" t="s">
        <v>32</v>
      </c>
      <c r="B107" s="31">
        <v>463</v>
      </c>
      <c r="C107" s="31">
        <v>1061</v>
      </c>
      <c r="D107" s="31">
        <v>1147</v>
      </c>
      <c r="E107" s="31">
        <v>1363</v>
      </c>
      <c r="F107" s="31">
        <v>1216</v>
      </c>
      <c r="G107" s="31">
        <v>1079</v>
      </c>
      <c r="H107" s="31">
        <v>3068</v>
      </c>
      <c r="I107" s="31">
        <v>3238</v>
      </c>
      <c r="J107" s="31">
        <v>3179</v>
      </c>
      <c r="K107" s="31">
        <v>4428</v>
      </c>
      <c r="L107" s="31">
        <v>6242</v>
      </c>
      <c r="M107" s="31">
        <v>4359</v>
      </c>
      <c r="N107" s="31">
        <v>5155</v>
      </c>
      <c r="O107" s="31">
        <v>6668</v>
      </c>
      <c r="P107" s="31">
        <v>7555</v>
      </c>
      <c r="Q107" s="31">
        <v>8308</v>
      </c>
      <c r="R107" s="31">
        <v>9216</v>
      </c>
      <c r="S107" s="31">
        <v>9955</v>
      </c>
      <c r="T107" s="31">
        <v>10250</v>
      </c>
      <c r="U107" s="31">
        <v>10513</v>
      </c>
      <c r="V107" s="31">
        <v>10143</v>
      </c>
      <c r="W107" s="31">
        <v>8311</v>
      </c>
      <c r="X107" s="31">
        <v>11615</v>
      </c>
      <c r="Y107" s="31">
        <v>12288</v>
      </c>
      <c r="Z107" s="31">
        <v>11786</v>
      </c>
      <c r="AA107" s="31">
        <v>11566</v>
      </c>
    </row>
    <row r="108" spans="1:33" x14ac:dyDescent="0.25">
      <c r="A108" s="27" t="s">
        <v>68</v>
      </c>
      <c r="B108" s="31"/>
      <c r="C108" s="31"/>
      <c r="D108" s="31">
        <v>0</v>
      </c>
      <c r="E108" s="31"/>
      <c r="F108" s="31"/>
      <c r="G108" s="31"/>
      <c r="H108" s="31"/>
      <c r="I108" s="31"/>
      <c r="J108" s="31">
        <v>1965</v>
      </c>
      <c r="K108" s="31">
        <v>2085</v>
      </c>
      <c r="L108" s="31">
        <v>2533</v>
      </c>
      <c r="M108" s="31">
        <v>2198</v>
      </c>
      <c r="N108" s="31">
        <v>3111</v>
      </c>
      <c r="O108" s="31">
        <v>3385</v>
      </c>
      <c r="P108" s="31">
        <v>4240</v>
      </c>
      <c r="Q108" s="31">
        <v>4421</v>
      </c>
      <c r="R108" s="31">
        <v>4862</v>
      </c>
      <c r="S108" s="31">
        <v>5118</v>
      </c>
      <c r="T108" s="31">
        <v>5298</v>
      </c>
      <c r="U108" s="31">
        <v>5747</v>
      </c>
      <c r="V108" s="31">
        <v>4967</v>
      </c>
      <c r="W108" s="31">
        <v>3409</v>
      </c>
      <c r="X108" s="31">
        <v>5440</v>
      </c>
      <c r="Y108" s="31">
        <v>5228</v>
      </c>
      <c r="Z108" s="31">
        <v>5326</v>
      </c>
      <c r="AA108" s="31">
        <v>4777</v>
      </c>
    </row>
    <row r="109" spans="1:33" x14ac:dyDescent="0.25">
      <c r="A109" s="27" t="s">
        <v>33</v>
      </c>
      <c r="B109" s="31">
        <v>4772</v>
      </c>
      <c r="C109" s="31">
        <v>4285</v>
      </c>
      <c r="D109" s="31">
        <v>6174</v>
      </c>
      <c r="E109" s="31">
        <v>5771</v>
      </c>
      <c r="F109" s="31">
        <v>7096</v>
      </c>
      <c r="G109" s="31">
        <v>6928</v>
      </c>
      <c r="H109" s="31">
        <v>8579</v>
      </c>
      <c r="I109" s="31">
        <v>10116</v>
      </c>
      <c r="J109" s="31">
        <v>10948</v>
      </c>
      <c r="K109" s="31">
        <v>13052</v>
      </c>
      <c r="L109" s="31">
        <v>12876</v>
      </c>
      <c r="M109" s="31">
        <v>12328</v>
      </c>
      <c r="N109" s="31">
        <v>14551</v>
      </c>
      <c r="O109" s="31">
        <v>16809</v>
      </c>
      <c r="P109" s="31">
        <v>20458</v>
      </c>
      <c r="Q109" s="31">
        <v>22231</v>
      </c>
      <c r="R109" s="31">
        <v>24423</v>
      </c>
      <c r="S109" s="31">
        <v>25132</v>
      </c>
      <c r="T109" s="31">
        <v>26145</v>
      </c>
      <c r="U109" s="31">
        <v>26858</v>
      </c>
      <c r="V109" s="31">
        <v>25789</v>
      </c>
      <c r="W109" s="31">
        <v>19967</v>
      </c>
      <c r="X109" s="31">
        <v>28228</v>
      </c>
      <c r="Y109" s="31">
        <v>26958</v>
      </c>
      <c r="Z109" s="31">
        <v>27867</v>
      </c>
      <c r="AA109" s="31">
        <v>25817</v>
      </c>
    </row>
    <row r="110" spans="1:33" x14ac:dyDescent="0.25">
      <c r="A110" s="27" t="s">
        <v>34</v>
      </c>
      <c r="B110" s="31">
        <v>1108</v>
      </c>
      <c r="C110" s="31">
        <v>1198</v>
      </c>
      <c r="D110" s="31">
        <v>1437</v>
      </c>
      <c r="E110" s="31">
        <v>2253</v>
      </c>
      <c r="F110" s="31">
        <v>2639</v>
      </c>
      <c r="G110" s="31">
        <v>2300</v>
      </c>
      <c r="H110" s="31">
        <v>3004</v>
      </c>
      <c r="I110" s="31">
        <v>3110</v>
      </c>
      <c r="J110" s="31">
        <v>4821</v>
      </c>
      <c r="K110" s="31">
        <v>5810</v>
      </c>
      <c r="L110" s="31">
        <v>5888</v>
      </c>
      <c r="M110" s="31">
        <v>5915</v>
      </c>
      <c r="N110" s="31">
        <v>6359</v>
      </c>
      <c r="O110" s="31">
        <v>6816</v>
      </c>
      <c r="P110" s="31">
        <v>7755</v>
      </c>
      <c r="Q110" s="31">
        <v>9368</v>
      </c>
      <c r="R110" s="31">
        <v>10367</v>
      </c>
      <c r="S110" s="31">
        <v>11539</v>
      </c>
      <c r="T110" s="31">
        <v>10990</v>
      </c>
      <c r="U110" s="31">
        <v>11265</v>
      </c>
      <c r="V110" s="31">
        <v>11216</v>
      </c>
      <c r="W110" s="31">
        <v>7772</v>
      </c>
      <c r="X110" s="31">
        <v>12847</v>
      </c>
      <c r="Y110" s="31">
        <v>14399</v>
      </c>
      <c r="Z110" s="31">
        <v>13997</v>
      </c>
      <c r="AA110" s="31">
        <v>16805</v>
      </c>
    </row>
    <row r="111" spans="1:33" x14ac:dyDescent="0.25">
      <c r="A111" s="27" t="s">
        <v>38</v>
      </c>
      <c r="B111" s="31">
        <v>0</v>
      </c>
      <c r="C111" s="31">
        <v>0</v>
      </c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1757</v>
      </c>
      <c r="K111" s="31">
        <v>1800</v>
      </c>
      <c r="L111" s="31">
        <v>2310</v>
      </c>
      <c r="M111" s="31">
        <v>1846</v>
      </c>
      <c r="N111" s="31">
        <v>2329</v>
      </c>
      <c r="O111" s="31">
        <v>2267</v>
      </c>
      <c r="P111" s="31">
        <v>2770</v>
      </c>
      <c r="Q111" s="31">
        <v>3078</v>
      </c>
      <c r="R111" s="31">
        <v>3312</v>
      </c>
      <c r="S111" s="31">
        <v>3508</v>
      </c>
      <c r="T111" s="31">
        <v>3842</v>
      </c>
      <c r="U111" s="31">
        <v>3772</v>
      </c>
      <c r="V111" s="31">
        <v>4086</v>
      </c>
      <c r="W111" s="31">
        <v>3000</v>
      </c>
      <c r="X111" s="31">
        <v>4754</v>
      </c>
      <c r="Y111" s="31">
        <v>4859</v>
      </c>
      <c r="Z111" s="31">
        <v>4782</v>
      </c>
      <c r="AA111" s="31">
        <v>5098</v>
      </c>
    </row>
    <row r="112" spans="1:33" x14ac:dyDescent="0.25">
      <c r="A112" s="27" t="s">
        <v>35</v>
      </c>
      <c r="B112" s="31">
        <v>1703</v>
      </c>
      <c r="C112" s="31">
        <v>2113</v>
      </c>
      <c r="D112" s="31">
        <v>1471</v>
      </c>
      <c r="E112" s="31">
        <v>1872</v>
      </c>
      <c r="F112" s="31">
        <v>2040</v>
      </c>
      <c r="G112" s="31">
        <v>1125</v>
      </c>
      <c r="H112" s="31">
        <v>2130</v>
      </c>
      <c r="I112" s="31">
        <v>2393</v>
      </c>
      <c r="J112" s="31">
        <v>2306</v>
      </c>
      <c r="K112" s="31">
        <v>2797</v>
      </c>
      <c r="L112" s="31">
        <v>3477</v>
      </c>
      <c r="M112" s="31">
        <v>3335</v>
      </c>
      <c r="N112" s="31">
        <v>3855</v>
      </c>
      <c r="O112" s="31">
        <v>4849</v>
      </c>
      <c r="P112" s="31">
        <v>5114</v>
      </c>
      <c r="Q112" s="31">
        <v>5657</v>
      </c>
      <c r="R112" s="31">
        <v>6505</v>
      </c>
      <c r="S112" s="31">
        <v>7843</v>
      </c>
      <c r="T112" s="31">
        <v>8708</v>
      </c>
      <c r="U112" s="31">
        <v>8892</v>
      </c>
      <c r="V112" s="31">
        <v>7891</v>
      </c>
      <c r="W112" s="31">
        <v>6549</v>
      </c>
      <c r="X112" s="31">
        <v>8686</v>
      </c>
      <c r="Y112" s="31">
        <v>8033</v>
      </c>
      <c r="Z112" s="31">
        <v>8742</v>
      </c>
      <c r="AA112" s="31">
        <v>8402</v>
      </c>
    </row>
    <row r="113" spans="1:39" x14ac:dyDescent="0.25">
      <c r="A113" s="27" t="s">
        <v>36</v>
      </c>
      <c r="B113" s="31">
        <v>0</v>
      </c>
      <c r="C113" s="31">
        <v>0</v>
      </c>
      <c r="D113" s="31">
        <v>0</v>
      </c>
      <c r="E113" s="31">
        <v>5</v>
      </c>
      <c r="F113" s="31">
        <v>104</v>
      </c>
      <c r="G113" s="31">
        <v>43</v>
      </c>
      <c r="H113" s="31">
        <v>81</v>
      </c>
      <c r="I113" s="31">
        <v>102</v>
      </c>
      <c r="J113" s="31">
        <v>208</v>
      </c>
      <c r="K113" s="31">
        <v>146</v>
      </c>
      <c r="L113" s="31">
        <v>202</v>
      </c>
      <c r="M113" s="31">
        <v>267</v>
      </c>
      <c r="N113" s="31">
        <v>228</v>
      </c>
      <c r="O113" s="31">
        <v>177</v>
      </c>
      <c r="P113" s="31">
        <v>215</v>
      </c>
      <c r="Q113" s="31">
        <v>410</v>
      </c>
      <c r="R113" s="31">
        <v>404</v>
      </c>
      <c r="S113" s="31">
        <v>458</v>
      </c>
      <c r="T113" s="31">
        <v>568</v>
      </c>
      <c r="U113" s="31">
        <v>587</v>
      </c>
      <c r="V113" s="31">
        <v>523</v>
      </c>
      <c r="W113" s="31">
        <v>501</v>
      </c>
      <c r="X113" s="31">
        <v>585</v>
      </c>
      <c r="Y113" s="31">
        <v>529</v>
      </c>
      <c r="Z113" s="31">
        <v>423</v>
      </c>
      <c r="AA113" s="31">
        <v>432</v>
      </c>
    </row>
    <row r="114" spans="1:39" x14ac:dyDescent="0.25">
      <c r="A114" s="27" t="s">
        <v>37</v>
      </c>
      <c r="B114" s="31">
        <v>244</v>
      </c>
      <c r="C114" s="31">
        <v>410</v>
      </c>
      <c r="D114" s="31">
        <v>354</v>
      </c>
      <c r="E114" s="31">
        <v>436</v>
      </c>
      <c r="F114" s="31">
        <v>483</v>
      </c>
      <c r="G114" s="31">
        <v>475</v>
      </c>
      <c r="H114" s="31">
        <v>1133</v>
      </c>
      <c r="I114" s="31">
        <v>828</v>
      </c>
      <c r="J114" s="31">
        <v>785</v>
      </c>
      <c r="K114" s="31">
        <v>948</v>
      </c>
      <c r="L114" s="31">
        <v>1114</v>
      </c>
      <c r="M114" s="31">
        <v>820</v>
      </c>
      <c r="N114" s="31">
        <v>1119</v>
      </c>
      <c r="O114" s="31">
        <v>1051</v>
      </c>
      <c r="P114" s="31">
        <v>1228</v>
      </c>
      <c r="Q114" s="31">
        <v>1258</v>
      </c>
      <c r="R114" s="31">
        <v>1423</v>
      </c>
      <c r="S114" s="31">
        <v>1226</v>
      </c>
      <c r="T114" s="31">
        <v>1547</v>
      </c>
      <c r="U114" s="31">
        <v>1590</v>
      </c>
      <c r="V114" s="31">
        <v>1182</v>
      </c>
      <c r="W114" s="31">
        <v>902</v>
      </c>
      <c r="X114" s="31">
        <v>1380</v>
      </c>
      <c r="Y114" s="31">
        <v>1592</v>
      </c>
      <c r="Z114" s="31">
        <v>1321</v>
      </c>
      <c r="AA114" s="31">
        <v>1328</v>
      </c>
    </row>
    <row r="115" spans="1:39" x14ac:dyDescent="0.25">
      <c r="A115" s="27" t="s">
        <v>71</v>
      </c>
      <c r="B115" s="31">
        <v>1541</v>
      </c>
      <c r="C115" s="31">
        <v>0</v>
      </c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1">
        <v>0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</row>
    <row r="116" spans="1:39" s="36" customFormat="1" x14ac:dyDescent="0.25">
      <c r="A116" s="26" t="s">
        <v>15</v>
      </c>
      <c r="B116" s="33">
        <v>37614</v>
      </c>
      <c r="C116" s="33">
        <v>46706</v>
      </c>
      <c r="D116" s="33">
        <v>53052</v>
      </c>
      <c r="E116" s="33">
        <v>58560</v>
      </c>
      <c r="F116" s="33">
        <v>58900</v>
      </c>
      <c r="G116" s="33">
        <v>52573</v>
      </c>
      <c r="H116" s="33">
        <v>77352</v>
      </c>
      <c r="I116" s="33">
        <v>84410</v>
      </c>
      <c r="J116" s="33">
        <v>97624</v>
      </c>
      <c r="K116" s="33">
        <v>111913</v>
      </c>
      <c r="L116" s="33">
        <v>123519</v>
      </c>
      <c r="M116" s="33">
        <v>119105</v>
      </c>
      <c r="N116" s="33">
        <v>137073</v>
      </c>
      <c r="O116" s="33">
        <v>156000</v>
      </c>
      <c r="P116" s="33">
        <v>182179</v>
      </c>
      <c r="Q116" s="33">
        <v>197558</v>
      </c>
      <c r="R116" s="33">
        <v>216587</v>
      </c>
      <c r="S116" s="33">
        <v>230506</v>
      </c>
      <c r="T116" s="33">
        <v>244006</v>
      </c>
      <c r="U116" s="33">
        <v>250349</v>
      </c>
      <c r="V116" s="33">
        <v>246619</v>
      </c>
      <c r="W116" s="33">
        <v>203597</v>
      </c>
      <c r="X116" s="33">
        <v>281489</v>
      </c>
      <c r="Y116" s="33">
        <v>291453</v>
      </c>
      <c r="Z116" s="33">
        <v>299799</v>
      </c>
      <c r="AA116" s="33">
        <v>302732</v>
      </c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5"/>
      <c r="AM116" s="35"/>
    </row>
    <row r="117" spans="1:39" ht="21" customHeight="1" x14ac:dyDescent="0.25">
      <c r="T117" s="20"/>
    </row>
    <row r="119" spans="1:39" ht="15.75" x14ac:dyDescent="0.25">
      <c r="A119" s="24" t="s">
        <v>91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X119" s="48"/>
    </row>
    <row r="120" spans="1:39" x14ac:dyDescent="0.25">
      <c r="A120" s="1" t="s">
        <v>25</v>
      </c>
      <c r="B120" s="18">
        <v>1999</v>
      </c>
      <c r="C120" s="18">
        <v>2000</v>
      </c>
      <c r="D120" s="18">
        <v>2001</v>
      </c>
      <c r="E120" s="18">
        <v>2002</v>
      </c>
      <c r="F120" s="18">
        <v>2003</v>
      </c>
      <c r="G120" s="18">
        <v>2004</v>
      </c>
      <c r="H120" s="18">
        <v>2005</v>
      </c>
      <c r="I120" s="18">
        <v>2006</v>
      </c>
      <c r="J120" s="18">
        <v>2007</v>
      </c>
      <c r="K120" s="18">
        <v>2008</v>
      </c>
      <c r="L120" s="18">
        <v>2009</v>
      </c>
      <c r="M120" s="18">
        <v>2010</v>
      </c>
      <c r="N120" s="18">
        <v>2011</v>
      </c>
      <c r="O120" s="18">
        <v>2012</v>
      </c>
      <c r="P120" s="18">
        <v>2013</v>
      </c>
      <c r="Q120" s="18">
        <v>2014</v>
      </c>
      <c r="R120" s="18">
        <v>2015</v>
      </c>
      <c r="S120" s="18">
        <v>2016</v>
      </c>
      <c r="T120" s="18">
        <v>2017</v>
      </c>
      <c r="U120" s="18">
        <v>2018</v>
      </c>
      <c r="V120" s="18">
        <v>2019</v>
      </c>
      <c r="W120" s="18">
        <v>2020</v>
      </c>
      <c r="X120" s="18">
        <v>2021</v>
      </c>
      <c r="Y120" s="18">
        <v>2022</v>
      </c>
      <c r="Z120" s="18">
        <v>2023</v>
      </c>
      <c r="AA120" s="18">
        <v>2024</v>
      </c>
    </row>
    <row r="121" spans="1:39" x14ac:dyDescent="0.25">
      <c r="A121" s="27" t="s">
        <v>39</v>
      </c>
      <c r="B121" s="14">
        <f>+B99/$B$116</f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f>J99/J$116</f>
        <v>1.8202491190690815E-2</v>
      </c>
      <c r="K121" s="14">
        <f t="shared" ref="K121:AA136" si="0">K99/K$116</f>
        <v>1.6512826928060189E-2</v>
      </c>
      <c r="L121" s="14">
        <f t="shared" si="0"/>
        <v>1.5689893862482696E-2</v>
      </c>
      <c r="M121" s="14">
        <f t="shared" si="0"/>
        <v>1.566684857898493E-2</v>
      </c>
      <c r="N121" s="14">
        <f t="shared" si="0"/>
        <v>1.5152509976435915E-2</v>
      </c>
      <c r="O121" s="14">
        <f t="shared" si="0"/>
        <v>1.3269230769230769E-2</v>
      </c>
      <c r="P121" s="14">
        <f t="shared" si="0"/>
        <v>1.2981737741452089E-2</v>
      </c>
      <c r="Q121" s="14">
        <f t="shared" si="0"/>
        <v>1.3965518986829184E-2</v>
      </c>
      <c r="R121" s="14">
        <f t="shared" si="0"/>
        <v>1.1884369791354052E-2</v>
      </c>
      <c r="S121" s="14">
        <f t="shared" si="0"/>
        <v>1.0919455458860073E-2</v>
      </c>
      <c r="T121" s="14">
        <f t="shared" si="0"/>
        <v>1.1565289378130046E-2</v>
      </c>
      <c r="U121" s="14">
        <f t="shared" si="0"/>
        <v>1.2686289939244814E-2</v>
      </c>
      <c r="V121" s="14">
        <f t="shared" si="0"/>
        <v>1.2351035402787295E-2</v>
      </c>
      <c r="W121" s="14">
        <f t="shared" si="0"/>
        <v>1.2313540965731323E-2</v>
      </c>
      <c r="X121" s="14">
        <f t="shared" si="0"/>
        <v>1.2952548767447395E-2</v>
      </c>
      <c r="Y121" s="14">
        <f t="shared" si="0"/>
        <v>1.0715278278144332E-2</v>
      </c>
      <c r="Z121" s="14">
        <f t="shared" si="0"/>
        <v>1.1641132892371222E-2</v>
      </c>
      <c r="AA121" s="14">
        <f t="shared" si="0"/>
        <v>1.0695929072579047E-2</v>
      </c>
    </row>
    <row r="122" spans="1:39" x14ac:dyDescent="0.25">
      <c r="A122" s="27" t="s">
        <v>26</v>
      </c>
      <c r="B122" s="14">
        <f t="shared" ref="B122:B129" si="1">+B100/$B$116</f>
        <v>2.1055989791035252E-2</v>
      </c>
      <c r="C122" s="14">
        <v>1.791300621384187E-2</v>
      </c>
      <c r="D122" s="14">
        <v>1.5058344137803296E-2</v>
      </c>
      <c r="E122" s="14">
        <v>1.0382513661202186E-2</v>
      </c>
      <c r="F122" s="14">
        <v>1.2495755517826826E-2</v>
      </c>
      <c r="G122" s="14">
        <v>1.8659768322142545E-2</v>
      </c>
      <c r="H122" s="14">
        <v>2.0723446064742992E-2</v>
      </c>
      <c r="I122" s="14">
        <v>2.5269517829641038E-2</v>
      </c>
      <c r="J122" s="14">
        <f t="shared" ref="J122:Y137" si="2">J100/J$116</f>
        <v>1.1626239449315743E-2</v>
      </c>
      <c r="K122" s="14">
        <f t="shared" si="2"/>
        <v>1.3331784511182793E-2</v>
      </c>
      <c r="L122" s="14">
        <f t="shared" si="2"/>
        <v>1.1423343777070735E-2</v>
      </c>
      <c r="M122" s="14">
        <f t="shared" si="2"/>
        <v>1.1007094580412241E-2</v>
      </c>
      <c r="N122" s="14">
        <f t="shared" si="2"/>
        <v>1.1205707907465366E-2</v>
      </c>
      <c r="O122" s="14">
        <f t="shared" si="2"/>
        <v>1.0243589743589743E-2</v>
      </c>
      <c r="P122" s="14">
        <f t="shared" si="2"/>
        <v>1.0648867322797908E-2</v>
      </c>
      <c r="Q122" s="14">
        <f t="shared" si="2"/>
        <v>1.1191650047074782E-2</v>
      </c>
      <c r="R122" s="14">
        <f t="shared" si="2"/>
        <v>1.1787411063452562E-2</v>
      </c>
      <c r="S122" s="14">
        <f t="shared" si="2"/>
        <v>1.1201443780205288E-2</v>
      </c>
      <c r="T122" s="14">
        <f t="shared" si="2"/>
        <v>1.2475103071235952E-2</v>
      </c>
      <c r="U122" s="14">
        <f t="shared" si="2"/>
        <v>1.4371936776260341E-2</v>
      </c>
      <c r="V122" s="14">
        <f t="shared" si="2"/>
        <v>1.2541612771116581E-2</v>
      </c>
      <c r="W122" s="14">
        <f t="shared" si="2"/>
        <v>1.3300785375030084E-2</v>
      </c>
      <c r="X122" s="14">
        <f t="shared" si="2"/>
        <v>1.5563663233732046E-2</v>
      </c>
      <c r="Y122" s="14">
        <f t="shared" si="2"/>
        <v>1.3110175568616553E-2</v>
      </c>
      <c r="Z122" s="14">
        <f t="shared" si="0"/>
        <v>1.2895306522036432E-2</v>
      </c>
      <c r="AA122" s="14">
        <f t="shared" si="0"/>
        <v>1.1270694872032028E-2</v>
      </c>
    </row>
    <row r="123" spans="1:39" x14ac:dyDescent="0.25">
      <c r="A123" s="27" t="s">
        <v>27</v>
      </c>
      <c r="B123" s="14">
        <f t="shared" si="1"/>
        <v>2.3794331897697665E-2</v>
      </c>
      <c r="C123" s="14">
        <v>1.9884293979001499E-2</v>
      </c>
      <c r="D123" s="14">
        <v>2.8264493424708281E-2</v>
      </c>
      <c r="E123" s="14">
        <v>3.5160519125683062E-2</v>
      </c>
      <c r="F123" s="14">
        <v>3.295415959252971E-2</v>
      </c>
      <c r="G123" s="14">
        <v>2.2521065946398341E-2</v>
      </c>
      <c r="H123" s="14">
        <v>2.4032992036405007E-2</v>
      </c>
      <c r="I123" s="14">
        <v>2.5601232081506931E-2</v>
      </c>
      <c r="J123" s="14">
        <f t="shared" si="2"/>
        <v>3.7613701548799477E-2</v>
      </c>
      <c r="K123" s="14">
        <f t="shared" si="0"/>
        <v>3.3847720997560608E-2</v>
      </c>
      <c r="L123" s="14">
        <f t="shared" si="0"/>
        <v>3.5403460196407027E-2</v>
      </c>
      <c r="M123" s="14">
        <f t="shared" si="0"/>
        <v>3.5279795138743124E-2</v>
      </c>
      <c r="N123" s="14">
        <f t="shared" si="0"/>
        <v>3.2114274875431337E-2</v>
      </c>
      <c r="O123" s="14">
        <f t="shared" si="0"/>
        <v>3.339102564102564E-2</v>
      </c>
      <c r="P123" s="14">
        <f t="shared" si="0"/>
        <v>3.3752518127775431E-2</v>
      </c>
      <c r="Q123" s="14">
        <f t="shared" si="0"/>
        <v>3.3590135555128117E-2</v>
      </c>
      <c r="R123" s="14">
        <f t="shared" si="0"/>
        <v>3.8187887546343967E-2</v>
      </c>
      <c r="S123" s="14">
        <f t="shared" si="0"/>
        <v>3.298829531552324E-2</v>
      </c>
      <c r="T123" s="14">
        <f t="shared" si="0"/>
        <v>2.9700089342065358E-2</v>
      </c>
      <c r="U123" s="14">
        <f t="shared" si="0"/>
        <v>3.0521392136577338E-2</v>
      </c>
      <c r="V123" s="14">
        <f t="shared" si="0"/>
        <v>2.901236319991566E-2</v>
      </c>
      <c r="W123" s="14">
        <f t="shared" si="0"/>
        <v>2.9160547552272383E-2</v>
      </c>
      <c r="X123" s="14">
        <f t="shared" si="0"/>
        <v>2.657297443239345E-2</v>
      </c>
      <c r="Y123" s="14">
        <f t="shared" si="0"/>
        <v>2.720164143103691E-2</v>
      </c>
      <c r="Z123" s="14">
        <f t="shared" si="0"/>
        <v>2.7381679058302397E-2</v>
      </c>
      <c r="AA123" s="14">
        <f t="shared" si="0"/>
        <v>2.3978304242696511E-2</v>
      </c>
    </row>
    <row r="124" spans="1:39" x14ac:dyDescent="0.25">
      <c r="A124" s="27" t="s">
        <v>28</v>
      </c>
      <c r="B124" s="14">
        <f t="shared" si="1"/>
        <v>2.1534535013558783E-3</v>
      </c>
      <c r="C124" s="14">
        <v>7.8851510606385254E-3</v>
      </c>
      <c r="D124" s="14">
        <v>1.3650676051120579E-2</v>
      </c>
      <c r="E124" s="14">
        <v>1.2346311475409835E-2</v>
      </c>
      <c r="F124" s="14">
        <v>1.1052631578947368E-2</v>
      </c>
      <c r="G124" s="14">
        <v>7.9318281247027934E-3</v>
      </c>
      <c r="H124" s="14">
        <v>8.1962974454442023E-3</v>
      </c>
      <c r="I124" s="14">
        <v>8.0677644828811759E-3</v>
      </c>
      <c r="J124" s="14">
        <f t="shared" si="2"/>
        <v>6.7708760140948948E-3</v>
      </c>
      <c r="K124" s="14">
        <f t="shared" si="0"/>
        <v>6.6390857183705196E-3</v>
      </c>
      <c r="L124" s="14">
        <f t="shared" si="0"/>
        <v>7.6263570786680593E-3</v>
      </c>
      <c r="M124" s="14">
        <f t="shared" si="0"/>
        <v>9.0172536837244445E-3</v>
      </c>
      <c r="N124" s="14">
        <f t="shared" si="0"/>
        <v>6.0624630671248167E-3</v>
      </c>
      <c r="O124" s="14">
        <f t="shared" si="0"/>
        <v>6.8205128205128208E-3</v>
      </c>
      <c r="P124" s="14">
        <f t="shared" si="0"/>
        <v>6.4661678898226471E-3</v>
      </c>
      <c r="Q124" s="14">
        <f t="shared" si="0"/>
        <v>6.8941779123092963E-3</v>
      </c>
      <c r="R124" s="14">
        <f t="shared" si="0"/>
        <v>7.3273095799840249E-3</v>
      </c>
      <c r="S124" s="14">
        <f t="shared" si="0"/>
        <v>8.346854311818348E-3</v>
      </c>
      <c r="T124" s="14">
        <f t="shared" si="0"/>
        <v>8.1637336786800317E-3</v>
      </c>
      <c r="U124" s="14">
        <f t="shared" si="0"/>
        <v>7.5095167146663261E-3</v>
      </c>
      <c r="V124" s="14">
        <f t="shared" si="0"/>
        <v>8.6003106005620011E-3</v>
      </c>
      <c r="W124" s="14">
        <f t="shared" si="0"/>
        <v>9.302691100556492E-3</v>
      </c>
      <c r="X124" s="14">
        <f t="shared" si="0"/>
        <v>9.3822493951806283E-3</v>
      </c>
      <c r="Y124" s="14">
        <f t="shared" si="0"/>
        <v>9.60703784143584E-3</v>
      </c>
      <c r="Z124" s="14">
        <f t="shared" si="0"/>
        <v>8.4823498410601765E-3</v>
      </c>
      <c r="AA124" s="14">
        <f t="shared" si="0"/>
        <v>8.8494113605433189E-3</v>
      </c>
    </row>
    <row r="125" spans="1:39" x14ac:dyDescent="0.25">
      <c r="A125" s="27" t="s">
        <v>29</v>
      </c>
      <c r="B125" s="14">
        <f t="shared" si="1"/>
        <v>1.629712341149572E-2</v>
      </c>
      <c r="C125" s="14">
        <v>1.3970430683522606E-2</v>
      </c>
      <c r="D125" s="14">
        <v>1.5799222078162624E-2</v>
      </c>
      <c r="E125" s="14">
        <v>1.9894125683060111E-2</v>
      </c>
      <c r="F125" s="14">
        <v>2.6213921901528013E-2</v>
      </c>
      <c r="G125" s="14">
        <v>3.2792498050330014E-2</v>
      </c>
      <c r="H125" s="14">
        <v>1.9598717550935982E-2</v>
      </c>
      <c r="I125" s="14">
        <v>2.2367018125814476E-2</v>
      </c>
      <c r="J125" s="14">
        <f t="shared" si="2"/>
        <v>3.2430549864787349E-2</v>
      </c>
      <c r="K125" s="14">
        <f t="shared" si="0"/>
        <v>3.8002734266796533E-2</v>
      </c>
      <c r="L125" s="14">
        <f t="shared" si="0"/>
        <v>3.0464948712343849E-2</v>
      </c>
      <c r="M125" s="14">
        <f t="shared" si="0"/>
        <v>2.843709332101927E-2</v>
      </c>
      <c r="N125" s="14">
        <f t="shared" si="0"/>
        <v>2.670839625600957E-2</v>
      </c>
      <c r="O125" s="14">
        <f t="shared" si="0"/>
        <v>2.8788461538461537E-2</v>
      </c>
      <c r="P125" s="14">
        <f t="shared" si="0"/>
        <v>3.3758007234642853E-2</v>
      </c>
      <c r="Q125" s="14">
        <f t="shared" si="0"/>
        <v>3.106935684710313E-2</v>
      </c>
      <c r="R125" s="14">
        <f t="shared" si="0"/>
        <v>2.9978715250684483E-2</v>
      </c>
      <c r="S125" s="14">
        <f t="shared" si="0"/>
        <v>3.0541504342620148E-2</v>
      </c>
      <c r="T125" s="14">
        <f t="shared" si="0"/>
        <v>3.0999237723662532E-2</v>
      </c>
      <c r="U125" s="14">
        <f t="shared" si="0"/>
        <v>3.3113773172650976E-2</v>
      </c>
      <c r="V125" s="14">
        <f t="shared" si="0"/>
        <v>3.4397187564623975E-2</v>
      </c>
      <c r="W125" s="14">
        <f t="shared" si="0"/>
        <v>2.8924787693335362E-2</v>
      </c>
      <c r="X125" s="14">
        <f t="shared" si="0"/>
        <v>3.5383265420673632E-2</v>
      </c>
      <c r="Y125" s="14">
        <f t="shared" si="0"/>
        <v>3.2108092900055923E-2</v>
      </c>
      <c r="Z125" s="14">
        <f t="shared" si="0"/>
        <v>3.2818655165627639E-2</v>
      </c>
      <c r="AA125" s="14">
        <f t="shared" si="0"/>
        <v>3.3326506613109944E-2</v>
      </c>
    </row>
    <row r="126" spans="1:39" x14ac:dyDescent="0.25">
      <c r="A126" s="27" t="s">
        <v>30</v>
      </c>
      <c r="B126" s="14">
        <f t="shared" si="1"/>
        <v>0.13936300313712979</v>
      </c>
      <c r="C126" s="14">
        <v>0.1110777801585601</v>
      </c>
      <c r="D126" s="14">
        <v>0.10170401926282645</v>
      </c>
      <c r="E126" s="14">
        <v>0.11149248633879781</v>
      </c>
      <c r="F126" s="14">
        <v>0.12466893039049236</v>
      </c>
      <c r="G126" s="14">
        <v>0.11926273942898447</v>
      </c>
      <c r="H126" s="14">
        <v>0.11832919640086875</v>
      </c>
      <c r="I126" s="14">
        <v>0.10553251984362043</v>
      </c>
      <c r="J126" s="14">
        <f t="shared" si="2"/>
        <v>0.11458247971810211</v>
      </c>
      <c r="K126" s="14">
        <f t="shared" si="0"/>
        <v>0.11091651550758178</v>
      </c>
      <c r="L126" s="14">
        <f t="shared" si="0"/>
        <v>0.11250091079105239</v>
      </c>
      <c r="M126" s="14">
        <f t="shared" si="0"/>
        <v>0.10543637966500147</v>
      </c>
      <c r="N126" s="14">
        <f t="shared" si="0"/>
        <v>0.10265333070699555</v>
      </c>
      <c r="O126" s="14">
        <f t="shared" si="0"/>
        <v>0.11267307692307692</v>
      </c>
      <c r="P126" s="14">
        <f t="shared" si="0"/>
        <v>0.10450161654197246</v>
      </c>
      <c r="Q126" s="14">
        <f t="shared" si="0"/>
        <v>0.10686481944542868</v>
      </c>
      <c r="R126" s="14">
        <f t="shared" si="0"/>
        <v>0.10506632438696691</v>
      </c>
      <c r="S126" s="14">
        <f t="shared" si="0"/>
        <v>0.10262639584219066</v>
      </c>
      <c r="T126" s="14">
        <f t="shared" si="0"/>
        <v>0.10224748571756433</v>
      </c>
      <c r="U126" s="14">
        <f t="shared" si="0"/>
        <v>9.6345501679655207E-2</v>
      </c>
      <c r="V126" s="14">
        <f t="shared" si="0"/>
        <v>9.3978971612081796E-2</v>
      </c>
      <c r="W126" s="14">
        <f t="shared" si="0"/>
        <v>9.3454225749888264E-2</v>
      </c>
      <c r="X126" s="14">
        <f t="shared" si="0"/>
        <v>8.9740629296349059E-2</v>
      </c>
      <c r="Y126" s="14">
        <f t="shared" si="0"/>
        <v>9.0251258350402985E-2</v>
      </c>
      <c r="Z126" s="14">
        <f t="shared" si="0"/>
        <v>8.5730772951210649E-2</v>
      </c>
      <c r="AA126" s="14">
        <f t="shared" si="0"/>
        <v>8.2313729635453137E-2</v>
      </c>
    </row>
    <row r="127" spans="1:39" x14ac:dyDescent="0.25">
      <c r="A127" s="27" t="s">
        <v>40</v>
      </c>
      <c r="B127" s="14">
        <f t="shared" si="1"/>
        <v>0.53538576062104537</v>
      </c>
      <c r="C127" s="14">
        <v>0.6346046710949218</v>
      </c>
      <c r="D127" s="14">
        <v>0.62950546397481011</v>
      </c>
      <c r="E127" s="14">
        <v>0.60397882513661205</v>
      </c>
      <c r="F127" s="14">
        <v>0.55580645161290321</v>
      </c>
      <c r="G127" s="14">
        <v>0.56361630494740644</v>
      </c>
      <c r="H127" s="14">
        <v>0.57194384114179331</v>
      </c>
      <c r="I127" s="14">
        <v>0.57457647198199269</v>
      </c>
      <c r="J127" s="14">
        <f t="shared" si="2"/>
        <v>0.49450954683274606</v>
      </c>
      <c r="K127" s="14">
        <f t="shared" si="0"/>
        <v>0.48254447651300564</v>
      </c>
      <c r="L127" s="14">
        <f t="shared" si="0"/>
        <v>0.48730154874958509</v>
      </c>
      <c r="M127" s="14">
        <f t="shared" si="0"/>
        <v>0.51473069980269515</v>
      </c>
      <c r="N127" s="14">
        <f t="shared" si="0"/>
        <v>0.51360224114158148</v>
      </c>
      <c r="O127" s="14">
        <f t="shared" si="0"/>
        <v>0.50077564102564098</v>
      </c>
      <c r="P127" s="14">
        <f t="shared" si="0"/>
        <v>0.50162203107932313</v>
      </c>
      <c r="Q127" s="14">
        <f t="shared" si="0"/>
        <v>0.49287297907449962</v>
      </c>
      <c r="R127" s="14">
        <f t="shared" si="0"/>
        <v>0.48662662117301592</v>
      </c>
      <c r="S127" s="14">
        <f t="shared" si="0"/>
        <v>0.49119328781029559</v>
      </c>
      <c r="T127" s="14">
        <f t="shared" si="0"/>
        <v>0.50104915452898702</v>
      </c>
      <c r="U127" s="14">
        <f t="shared" si="0"/>
        <v>0.5028300492512453</v>
      </c>
      <c r="V127" s="14">
        <f t="shared" si="0"/>
        <v>0.51670795842980466</v>
      </c>
      <c r="W127" s="14">
        <f t="shared" si="0"/>
        <v>0.54261113867100208</v>
      </c>
      <c r="X127" s="14">
        <f t="shared" si="0"/>
        <v>0.52849312051270214</v>
      </c>
      <c r="Y127" s="14">
        <f t="shared" si="0"/>
        <v>0.54393675824232379</v>
      </c>
      <c r="Z127" s="14">
        <f t="shared" si="0"/>
        <v>0.55552887101024351</v>
      </c>
      <c r="AA127" s="14">
        <f>AA105/AA$116</f>
        <v>0.56601548564406801</v>
      </c>
    </row>
    <row r="128" spans="1:39" x14ac:dyDescent="0.25">
      <c r="A128" s="27" t="s">
        <v>31</v>
      </c>
      <c r="B128" s="14">
        <f t="shared" si="1"/>
        <v>5.8488860530653481E-4</v>
      </c>
      <c r="C128" s="14">
        <v>1.1570602099850011E-3</v>
      </c>
      <c r="D128" s="14">
        <v>0</v>
      </c>
      <c r="E128" s="14">
        <v>6.9501366120218577E-3</v>
      </c>
      <c r="F128" s="14">
        <v>6.2818336162988112E-3</v>
      </c>
      <c r="G128" s="14">
        <v>7.9128069541399577E-3</v>
      </c>
      <c r="H128" s="14">
        <v>4.5376977970834629E-3</v>
      </c>
      <c r="I128" s="14">
        <v>4.1701220234569361E-3</v>
      </c>
      <c r="J128" s="14">
        <f t="shared" si="2"/>
        <v>1.8253708104564451E-2</v>
      </c>
      <c r="K128" s="14">
        <f t="shared" si="0"/>
        <v>2.0614227122854361E-2</v>
      </c>
      <c r="L128" s="14">
        <f t="shared" si="0"/>
        <v>1.9130660060395568E-2</v>
      </c>
      <c r="M128" s="14">
        <f t="shared" si="0"/>
        <v>1.9579362747155871E-2</v>
      </c>
      <c r="N128" s="14">
        <f t="shared" si="0"/>
        <v>2.4709461381891402E-2</v>
      </c>
      <c r="O128" s="14">
        <f t="shared" si="0"/>
        <v>2.4666666666666667E-2</v>
      </c>
      <c r="P128" s="14">
        <f t="shared" si="0"/>
        <v>2.546396675796881E-2</v>
      </c>
      <c r="Q128" s="14">
        <f t="shared" si="0"/>
        <v>2.651373267597364E-2</v>
      </c>
      <c r="R128" s="14">
        <f t="shared" si="0"/>
        <v>2.975247821891434E-2</v>
      </c>
      <c r="S128" s="14">
        <f t="shared" si="0"/>
        <v>3.1153202085845922E-2</v>
      </c>
      <c r="T128" s="14">
        <f t="shared" si="0"/>
        <v>2.7790300238518726E-2</v>
      </c>
      <c r="U128" s="14">
        <f t="shared" si="0"/>
        <v>2.6111548278603069E-2</v>
      </c>
      <c r="V128" s="14">
        <f t="shared" si="0"/>
        <v>2.5614409270980742E-2</v>
      </c>
      <c r="W128" s="14">
        <f t="shared" si="0"/>
        <v>2.3330402707309048E-2</v>
      </c>
      <c r="X128" s="14">
        <f t="shared" si="0"/>
        <v>2.0675763528947844E-2</v>
      </c>
      <c r="Y128" s="14">
        <f t="shared" si="0"/>
        <v>1.9560615262152047E-2</v>
      </c>
      <c r="Z128" s="14">
        <f t="shared" si="0"/>
        <v>1.7875309790893232E-2</v>
      </c>
      <c r="AA128" s="14">
        <f t="shared" si="0"/>
        <v>1.8366079568727454E-2</v>
      </c>
    </row>
    <row r="129" spans="1:33" x14ac:dyDescent="0.25">
      <c r="A129" s="27" t="s">
        <v>32</v>
      </c>
      <c r="B129" s="14">
        <f t="shared" si="1"/>
        <v>1.2309246557132983E-2</v>
      </c>
      <c r="C129" s="14">
        <v>2.2734090422112708E-2</v>
      </c>
      <c r="D129" s="14">
        <v>2.1244674939803667E-2</v>
      </c>
      <c r="E129" s="14">
        <v>2.3275273224043717E-2</v>
      </c>
      <c r="F129" s="14">
        <v>2.0645161290322581E-2</v>
      </c>
      <c r="G129" s="14">
        <v>2.0523843037300517E-2</v>
      </c>
      <c r="H129" s="14">
        <v>3.9662840004136932E-2</v>
      </c>
      <c r="I129" s="14">
        <v>3.8360383840777161E-2</v>
      </c>
      <c r="J129" s="14">
        <f t="shared" si="2"/>
        <v>3.2563713840858807E-2</v>
      </c>
      <c r="K129" s="14">
        <f t="shared" si="0"/>
        <v>3.9566448938014351E-2</v>
      </c>
      <c r="L129" s="14">
        <f t="shared" si="0"/>
        <v>5.053473554675799E-2</v>
      </c>
      <c r="M129" s="14">
        <f t="shared" si="0"/>
        <v>3.6597959783384405E-2</v>
      </c>
      <c r="N129" s="14">
        <f t="shared" si="0"/>
        <v>3.7607698087880177E-2</v>
      </c>
      <c r="O129" s="14">
        <f t="shared" si="0"/>
        <v>4.2743589743589744E-2</v>
      </c>
      <c r="P129" s="14">
        <f t="shared" si="0"/>
        <v>4.1470202383370201E-2</v>
      </c>
      <c r="Q129" s="14">
        <f t="shared" si="0"/>
        <v>4.205347290415979E-2</v>
      </c>
      <c r="R129" s="14">
        <f t="shared" si="0"/>
        <v>4.2551030301911014E-2</v>
      </c>
      <c r="S129" s="14">
        <f t="shared" si="0"/>
        <v>4.3187595984486307E-2</v>
      </c>
      <c r="T129" s="14">
        <f t="shared" si="0"/>
        <v>4.200716375826824E-2</v>
      </c>
      <c r="U129" s="14">
        <f t="shared" si="0"/>
        <v>4.1993377245365469E-2</v>
      </c>
      <c r="V129" s="14">
        <f t="shared" si="0"/>
        <v>4.1128218020509366E-2</v>
      </c>
      <c r="W129" s="14">
        <f t="shared" si="0"/>
        <v>4.0820837242199051E-2</v>
      </c>
      <c r="X129" s="14">
        <f t="shared" si="0"/>
        <v>4.1262713640675124E-2</v>
      </c>
      <c r="Y129" s="14">
        <f t="shared" si="0"/>
        <v>4.2161171784129862E-2</v>
      </c>
      <c r="Z129" s="14">
        <f t="shared" si="0"/>
        <v>3.9313006380941901E-2</v>
      </c>
      <c r="AA129" s="14">
        <f t="shared" si="0"/>
        <v>3.8205409405018299E-2</v>
      </c>
    </row>
    <row r="130" spans="1:33" x14ac:dyDescent="0.25">
      <c r="A130" s="27" t="s">
        <v>68</v>
      </c>
      <c r="B130" s="31">
        <v>0</v>
      </c>
      <c r="C130" s="31">
        <v>0</v>
      </c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14">
        <f t="shared" si="2"/>
        <v>2.0128247152339587E-2</v>
      </c>
      <c r="K130" s="14">
        <f t="shared" si="0"/>
        <v>1.8630543368509469E-2</v>
      </c>
      <c r="L130" s="14">
        <f t="shared" si="0"/>
        <v>2.0506966539560717E-2</v>
      </c>
      <c r="M130" s="14">
        <f t="shared" si="0"/>
        <v>1.8454305024977961E-2</v>
      </c>
      <c r="N130" s="14">
        <f t="shared" si="0"/>
        <v>2.2695935742268719E-2</v>
      </c>
      <c r="O130" s="14">
        <f t="shared" si="0"/>
        <v>2.1698717948717947E-2</v>
      </c>
      <c r="P130" s="14">
        <f t="shared" si="0"/>
        <v>2.3273813117867592E-2</v>
      </c>
      <c r="Q130" s="14">
        <f t="shared" si="0"/>
        <v>2.2378238289514976E-2</v>
      </c>
      <c r="R130" s="14">
        <f t="shared" si="0"/>
        <v>2.2448254050335431E-2</v>
      </c>
      <c r="S130" s="14">
        <f t="shared" si="0"/>
        <v>2.22033265945355E-2</v>
      </c>
      <c r="T130" s="14">
        <f t="shared" si="0"/>
        <v>2.1712580838176111E-2</v>
      </c>
      <c r="U130" s="14">
        <f t="shared" si="0"/>
        <v>2.2955953488929454E-2</v>
      </c>
      <c r="V130" s="14">
        <f t="shared" si="0"/>
        <v>2.0140378478543827E-2</v>
      </c>
      <c r="W130" s="14">
        <f t="shared" si="0"/>
        <v>1.6743861648256114E-2</v>
      </c>
      <c r="X130" s="14">
        <f t="shared" si="0"/>
        <v>1.9325799587195238E-2</v>
      </c>
      <c r="Y130" s="14">
        <f t="shared" si="0"/>
        <v>1.7937712083938063E-2</v>
      </c>
      <c r="Z130" s="14">
        <f t="shared" si="0"/>
        <v>1.7765236041481124E-2</v>
      </c>
      <c r="AA130" s="14">
        <f t="shared" si="0"/>
        <v>1.5779633471189037E-2</v>
      </c>
    </row>
    <row r="131" spans="1:33" x14ac:dyDescent="0.25">
      <c r="A131" s="27" t="s">
        <v>33</v>
      </c>
      <c r="B131" s="14">
        <f t="shared" ref="B131:B137" si="3">+B109/$B$116</f>
        <v>0.12686765566012656</v>
      </c>
      <c r="C131" s="14">
        <v>9.1043496893079071E-2</v>
      </c>
      <c r="D131" s="14">
        <v>0.11435451009446193</v>
      </c>
      <c r="E131" s="14">
        <v>9.8548497267759563E-2</v>
      </c>
      <c r="F131" s="14">
        <v>0.12047538200339558</v>
      </c>
      <c r="G131" s="14">
        <v>0.13177866965933083</v>
      </c>
      <c r="H131" s="14">
        <v>0.11090857379253284</v>
      </c>
      <c r="I131" s="14">
        <v>0.11984362042412036</v>
      </c>
      <c r="J131" s="14">
        <f t="shared" si="2"/>
        <v>0.11214455461771695</v>
      </c>
      <c r="K131" s="14">
        <f t="shared" si="0"/>
        <v>0.11662630793562857</v>
      </c>
      <c r="L131" s="14">
        <f t="shared" si="0"/>
        <v>0.1042430719160615</v>
      </c>
      <c r="M131" s="14">
        <f t="shared" si="0"/>
        <v>0.10350531044036775</v>
      </c>
      <c r="N131" s="14">
        <f t="shared" si="0"/>
        <v>0.10615511442807847</v>
      </c>
      <c r="O131" s="14">
        <f t="shared" si="0"/>
        <v>0.10775</v>
      </c>
      <c r="P131" s="14">
        <f t="shared" si="0"/>
        <v>0.11229614829371114</v>
      </c>
      <c r="Q131" s="14">
        <f t="shared" si="0"/>
        <v>0.11252897883153302</v>
      </c>
      <c r="R131" s="14">
        <f t="shared" si="0"/>
        <v>0.11276300054943279</v>
      </c>
      <c r="S131" s="14">
        <f t="shared" si="0"/>
        <v>0.10902969987766045</v>
      </c>
      <c r="T131" s="14">
        <f t="shared" si="0"/>
        <v>0.10714900453267542</v>
      </c>
      <c r="U131" s="14">
        <f t="shared" si="0"/>
        <v>0.10728223400133413</v>
      </c>
      <c r="V131" s="14">
        <f t="shared" si="0"/>
        <v>0.10457020748604122</v>
      </c>
      <c r="W131" s="14">
        <f t="shared" si="0"/>
        <v>9.8071189654071522E-2</v>
      </c>
      <c r="X131" s="14">
        <f t="shared" si="0"/>
        <v>0.10028100565208588</v>
      </c>
      <c r="Y131" s="14">
        <f t="shared" si="0"/>
        <v>9.2495187903366929E-2</v>
      </c>
      <c r="Z131" s="14">
        <f t="shared" si="0"/>
        <v>9.2952278026277604E-2</v>
      </c>
      <c r="AA131" s="14">
        <f t="shared" si="0"/>
        <v>8.5280049680905884E-2</v>
      </c>
    </row>
    <row r="132" spans="1:33" x14ac:dyDescent="0.25">
      <c r="A132" s="27" t="s">
        <v>34</v>
      </c>
      <c r="B132" s="14">
        <f t="shared" si="3"/>
        <v>2.9457117030892752E-2</v>
      </c>
      <c r="C132" s="14">
        <v>2.5669595028926507E-2</v>
      </c>
      <c r="D132" s="14">
        <v>2.6616040007408779E-2</v>
      </c>
      <c r="E132" s="14">
        <v>3.8473360655737705E-2</v>
      </c>
      <c r="F132" s="14">
        <v>4.4804753820033953E-2</v>
      </c>
      <c r="G132" s="14">
        <v>4.3748692294523807E-2</v>
      </c>
      <c r="H132" s="14">
        <v>3.8835453511221432E-2</v>
      </c>
      <c r="I132" s="14">
        <v>3.6843975832247362E-2</v>
      </c>
      <c r="J132" s="14">
        <f t="shared" si="2"/>
        <v>4.9383348356961405E-2</v>
      </c>
      <c r="K132" s="14">
        <f t="shared" si="0"/>
        <v>5.1915327084431653E-2</v>
      </c>
      <c r="L132" s="14">
        <f t="shared" si="0"/>
        <v>4.7668779701908207E-2</v>
      </c>
      <c r="M132" s="14">
        <f t="shared" si="0"/>
        <v>4.9662062885689098E-2</v>
      </c>
      <c r="N132" s="14">
        <f t="shared" si="0"/>
        <v>4.6391338921596519E-2</v>
      </c>
      <c r="O132" s="14">
        <f t="shared" si="0"/>
        <v>4.369230769230769E-2</v>
      </c>
      <c r="P132" s="14">
        <f t="shared" si="0"/>
        <v>4.256802375685452E-2</v>
      </c>
      <c r="Q132" s="14">
        <f t="shared" si="0"/>
        <v>4.7418985816823411E-2</v>
      </c>
      <c r="R132" s="14">
        <f t="shared" si="0"/>
        <v>4.7865292007368866E-2</v>
      </c>
      <c r="S132" s="14">
        <f t="shared" si="0"/>
        <v>5.005943446157584E-2</v>
      </c>
      <c r="T132" s="14">
        <f t="shared" si="0"/>
        <v>4.5039876068621261E-2</v>
      </c>
      <c r="U132" s="14">
        <f t="shared" si="0"/>
        <v>4.4997183931231997E-2</v>
      </c>
      <c r="V132" s="14">
        <f t="shared" si="0"/>
        <v>4.547905879109071E-2</v>
      </c>
      <c r="W132" s="14">
        <f t="shared" si="0"/>
        <v>3.8173450492885452E-2</v>
      </c>
      <c r="X132" s="14">
        <f t="shared" si="0"/>
        <v>4.5639438841304635E-2</v>
      </c>
      <c r="Y132" s="14">
        <f t="shared" si="0"/>
        <v>4.9404192099583806E-2</v>
      </c>
      <c r="Z132" s="14">
        <f t="shared" si="0"/>
        <v>4.6687947591553008E-2</v>
      </c>
      <c r="AA132" s="14">
        <f t="shared" si="0"/>
        <v>5.5511145171306633E-2</v>
      </c>
    </row>
    <row r="133" spans="1:33" x14ac:dyDescent="0.25">
      <c r="A133" s="27" t="s">
        <v>38</v>
      </c>
      <c r="B133" s="14">
        <f t="shared" si="3"/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f t="shared" si="2"/>
        <v>1.7997623535196263E-2</v>
      </c>
      <c r="K133" s="14">
        <f t="shared" si="0"/>
        <v>1.608392233252616E-2</v>
      </c>
      <c r="L133" s="14">
        <f t="shared" si="0"/>
        <v>1.8701576275714667E-2</v>
      </c>
      <c r="M133" s="14">
        <f t="shared" si="0"/>
        <v>1.54989295159733E-2</v>
      </c>
      <c r="N133" s="14">
        <f t="shared" si="0"/>
        <v>1.6990946430004449E-2</v>
      </c>
      <c r="O133" s="14">
        <f t="shared" si="0"/>
        <v>1.4532051282051282E-2</v>
      </c>
      <c r="P133" s="14">
        <f t="shared" si="0"/>
        <v>1.5204826022757837E-2</v>
      </c>
      <c r="Q133" s="14">
        <f t="shared" si="0"/>
        <v>1.5580234665262859E-2</v>
      </c>
      <c r="R133" s="14">
        <f t="shared" si="0"/>
        <v>1.5291776514749269E-2</v>
      </c>
      <c r="S133" s="14">
        <f t="shared" si="0"/>
        <v>1.5218692788907881E-2</v>
      </c>
      <c r="T133" s="14">
        <f t="shared" si="0"/>
        <v>1.5745514454562591E-2</v>
      </c>
      <c r="U133" s="14">
        <f t="shared" si="0"/>
        <v>1.5066966514745416E-2</v>
      </c>
      <c r="V133" s="14">
        <f t="shared" si="0"/>
        <v>1.6568066531775734E-2</v>
      </c>
      <c r="W133" s="14">
        <f t="shared" si="0"/>
        <v>1.4734991183563608E-2</v>
      </c>
      <c r="X133" s="14">
        <f t="shared" si="0"/>
        <v>1.6888759418662896E-2</v>
      </c>
      <c r="Y133" s="14">
        <f t="shared" si="0"/>
        <v>1.6671641739834552E-2</v>
      </c>
      <c r="Z133" s="14">
        <f t="shared" si="0"/>
        <v>1.5950686960263378E-2</v>
      </c>
      <c r="AA133" s="14">
        <f t="shared" si="0"/>
        <v>1.6839977273628161E-2</v>
      </c>
    </row>
    <row r="134" spans="1:33" x14ac:dyDescent="0.25">
      <c r="A134" s="27" t="s">
        <v>35</v>
      </c>
      <c r="B134" s="14">
        <f t="shared" si="3"/>
        <v>4.5275695219864943E-2</v>
      </c>
      <c r="C134" s="14">
        <v>4.527533747589458E-2</v>
      </c>
      <c r="D134" s="14">
        <v>2.7245786256714206E-2</v>
      </c>
      <c r="E134" s="14">
        <v>3.1967213114754096E-2</v>
      </c>
      <c r="F134" s="14">
        <v>3.463497453310696E-2</v>
      </c>
      <c r="G134" s="14">
        <v>2.139881688319099E-2</v>
      </c>
      <c r="H134" s="14">
        <v>2.7536456717344088E-2</v>
      </c>
      <c r="I134" s="14">
        <v>2.8349721596967185E-2</v>
      </c>
      <c r="J134" s="14">
        <f t="shared" si="2"/>
        <v>2.3621240678521675E-2</v>
      </c>
      <c r="K134" s="14">
        <f t="shared" si="0"/>
        <v>2.499262820226426E-2</v>
      </c>
      <c r="L134" s="14">
        <f t="shared" si="0"/>
        <v>2.814951545916013E-2</v>
      </c>
      <c r="M134" s="14">
        <f t="shared" si="0"/>
        <v>2.8000503757189033E-2</v>
      </c>
      <c r="N134" s="14">
        <f t="shared" si="0"/>
        <v>2.8123700509947256E-2</v>
      </c>
      <c r="O134" s="14">
        <f t="shared" si="0"/>
        <v>3.1083333333333334E-2</v>
      </c>
      <c r="P134" s="14">
        <f t="shared" si="0"/>
        <v>2.8071292519994073E-2</v>
      </c>
      <c r="Q134" s="14">
        <f t="shared" si="0"/>
        <v>2.8634628817866145E-2</v>
      </c>
      <c r="R134" s="14">
        <f t="shared" si="0"/>
        <v>3.0034120238056763E-2</v>
      </c>
      <c r="S134" s="14">
        <f t="shared" si="0"/>
        <v>3.4025144681700259E-2</v>
      </c>
      <c r="T134" s="14">
        <f t="shared" si="0"/>
        <v>3.5687647025073155E-2</v>
      </c>
      <c r="U134" s="14">
        <f t="shared" si="0"/>
        <v>3.551841629085796E-2</v>
      </c>
      <c r="V134" s="14">
        <f t="shared" si="0"/>
        <v>3.1996723691199783E-2</v>
      </c>
      <c r="W134" s="14">
        <f t="shared" si="0"/>
        <v>3.2166485753719359E-2</v>
      </c>
      <c r="X134" s="14">
        <f t="shared" si="0"/>
        <v>3.0857333679113572E-2</v>
      </c>
      <c r="Y134" s="14">
        <f t="shared" si="0"/>
        <v>2.7561905350090753E-2</v>
      </c>
      <c r="Z134" s="14">
        <f t="shared" si="0"/>
        <v>2.915953688971611E-2</v>
      </c>
      <c r="AA134" s="14">
        <f t="shared" si="0"/>
        <v>2.775392095979282E-2</v>
      </c>
    </row>
    <row r="135" spans="1:33" x14ac:dyDescent="0.25">
      <c r="A135" s="27" t="s">
        <v>36</v>
      </c>
      <c r="B135" s="14">
        <f t="shared" si="3"/>
        <v>0</v>
      </c>
      <c r="C135" s="14">
        <v>0</v>
      </c>
      <c r="D135" s="14">
        <v>0</v>
      </c>
      <c r="E135" s="14">
        <v>8.5382513661202186E-5</v>
      </c>
      <c r="F135" s="14">
        <v>1.7657045840407471E-3</v>
      </c>
      <c r="G135" s="14">
        <v>8.1791033420196681E-4</v>
      </c>
      <c r="H135" s="14">
        <v>1.0471610300961836E-3</v>
      </c>
      <c r="I135" s="14">
        <v>1.2083876317971803E-3</v>
      </c>
      <c r="J135" s="14">
        <f t="shared" si="2"/>
        <v>2.1306236171433255E-3</v>
      </c>
      <c r="K135" s="14">
        <f t="shared" si="0"/>
        <v>1.3045848114160107E-3</v>
      </c>
      <c r="L135" s="14">
        <f t="shared" si="0"/>
        <v>1.6353759340668238E-3</v>
      </c>
      <c r="M135" s="14">
        <f t="shared" si="0"/>
        <v>2.2417194912052389E-3</v>
      </c>
      <c r="N135" s="14">
        <f t="shared" si="0"/>
        <v>1.6633472675143901E-3</v>
      </c>
      <c r="O135" s="14">
        <f t="shared" si="0"/>
        <v>1.1346153846153845E-3</v>
      </c>
      <c r="P135" s="14">
        <f t="shared" si="0"/>
        <v>1.1801579764956444E-3</v>
      </c>
      <c r="Q135" s="14">
        <f t="shared" si="0"/>
        <v>2.0753399001812128E-3</v>
      </c>
      <c r="R135" s="14">
        <f t="shared" si="0"/>
        <v>1.8653012415334254E-3</v>
      </c>
      <c r="S135" s="14">
        <f t="shared" si="0"/>
        <v>1.9869330950170495E-3</v>
      </c>
      <c r="T135" s="14">
        <f t="shared" si="0"/>
        <v>2.3278116111898886E-3</v>
      </c>
      <c r="U135" s="14">
        <f t="shared" si="0"/>
        <v>2.3447267614410284E-3</v>
      </c>
      <c r="V135" s="14">
        <f t="shared" si="0"/>
        <v>2.120680077366302E-3</v>
      </c>
      <c r="W135" s="14">
        <f t="shared" si="0"/>
        <v>2.4607435276551228E-3</v>
      </c>
      <c r="X135" s="14">
        <f t="shared" si="0"/>
        <v>2.0782339629612525E-3</v>
      </c>
      <c r="Y135" s="14">
        <f t="shared" si="0"/>
        <v>1.8150439350426999E-3</v>
      </c>
      <c r="Z135" s="14">
        <f t="shared" si="0"/>
        <v>1.4109453333733602E-3</v>
      </c>
      <c r="AA135" s="14">
        <f t="shared" si="0"/>
        <v>1.4270047434694713E-3</v>
      </c>
    </row>
    <row r="136" spans="1:33" x14ac:dyDescent="0.25">
      <c r="A136" s="27" t="s">
        <v>37</v>
      </c>
      <c r="B136" s="14">
        <f t="shared" si="3"/>
        <v>6.4869463497633862E-3</v>
      </c>
      <c r="C136" s="14">
        <v>8.7850867795157481E-3</v>
      </c>
      <c r="D136" s="14">
        <v>6.5567697721800331E-3</v>
      </c>
      <c r="E136" s="14">
        <v>7.4453551912568305E-3</v>
      </c>
      <c r="F136" s="14">
        <v>8.2003395585738548E-3</v>
      </c>
      <c r="G136" s="14">
        <v>9.0350560173473073E-3</v>
      </c>
      <c r="H136" s="14">
        <v>1.4647326507394767E-2</v>
      </c>
      <c r="I136" s="14">
        <v>9.8092643051771126E-3</v>
      </c>
      <c r="J136" s="14">
        <f t="shared" si="2"/>
        <v>8.041055478161108E-3</v>
      </c>
      <c r="K136" s="14">
        <f t="shared" si="0"/>
        <v>8.4708657617971108E-3</v>
      </c>
      <c r="L136" s="14">
        <f t="shared" si="0"/>
        <v>9.0188553987645623E-3</v>
      </c>
      <c r="M136" s="14">
        <f t="shared" si="0"/>
        <v>6.8846815834767644E-3</v>
      </c>
      <c r="N136" s="14">
        <f t="shared" si="0"/>
        <v>8.1635332997745721E-3</v>
      </c>
      <c r="O136" s="14">
        <f t="shared" si="0"/>
        <v>6.7371794871794871E-3</v>
      </c>
      <c r="P136" s="14">
        <f t="shared" si="0"/>
        <v>6.7406232331937268E-3</v>
      </c>
      <c r="Q136" s="14">
        <f t="shared" si="0"/>
        <v>6.3677502303121107E-3</v>
      </c>
      <c r="R136" s="14">
        <f t="shared" si="0"/>
        <v>6.5701080858961989E-3</v>
      </c>
      <c r="S136" s="14">
        <f t="shared" si="0"/>
        <v>5.3187335687574291E-3</v>
      </c>
      <c r="T136" s="14">
        <f t="shared" si="0"/>
        <v>6.3400080325893629E-3</v>
      </c>
      <c r="U136" s="14">
        <f t="shared" si="0"/>
        <v>6.3511338171912011E-3</v>
      </c>
      <c r="V136" s="14">
        <f t="shared" si="0"/>
        <v>4.7928180716003228E-3</v>
      </c>
      <c r="W136" s="14">
        <f t="shared" si="0"/>
        <v>4.4303206825247916E-3</v>
      </c>
      <c r="X136" s="14">
        <f t="shared" si="0"/>
        <v>4.9025006305752619E-3</v>
      </c>
      <c r="Y136" s="14">
        <f t="shared" si="0"/>
        <v>5.4622872298449492E-3</v>
      </c>
      <c r="Z136" s="14">
        <f t="shared" ref="K136:AA137" si="4">Z114/Z$116</f>
        <v>4.4062855446482477E-3</v>
      </c>
      <c r="AA136" s="14">
        <f t="shared" si="4"/>
        <v>4.3867182854802267E-3</v>
      </c>
    </row>
    <row r="137" spans="1:33" x14ac:dyDescent="0.25">
      <c r="A137" s="27" t="s">
        <v>71</v>
      </c>
      <c r="B137" s="14">
        <f t="shared" si="3"/>
        <v>4.096878821715319E-2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f t="shared" si="2"/>
        <v>0</v>
      </c>
      <c r="K137" s="14">
        <f t="shared" si="4"/>
        <v>0</v>
      </c>
      <c r="L137" s="14">
        <f t="shared" si="4"/>
        <v>0</v>
      </c>
      <c r="M137" s="14">
        <f t="shared" si="4"/>
        <v>0</v>
      </c>
      <c r="N137" s="14">
        <f t="shared" si="4"/>
        <v>0</v>
      </c>
      <c r="O137" s="14">
        <f t="shared" si="4"/>
        <v>0</v>
      </c>
      <c r="P137" s="14">
        <f t="shared" si="4"/>
        <v>0</v>
      </c>
      <c r="Q137" s="14">
        <f t="shared" si="4"/>
        <v>0</v>
      </c>
      <c r="R137" s="14">
        <f t="shared" si="4"/>
        <v>0</v>
      </c>
      <c r="S137" s="14">
        <f t="shared" si="4"/>
        <v>0</v>
      </c>
      <c r="T137" s="14">
        <f t="shared" si="4"/>
        <v>0</v>
      </c>
      <c r="U137" s="14">
        <f t="shared" si="4"/>
        <v>0</v>
      </c>
      <c r="V137" s="14">
        <f t="shared" si="4"/>
        <v>0</v>
      </c>
      <c r="W137" s="14">
        <f t="shared" si="4"/>
        <v>0</v>
      </c>
      <c r="X137" s="14">
        <f t="shared" si="4"/>
        <v>0</v>
      </c>
      <c r="Y137" s="14">
        <f t="shared" si="4"/>
        <v>0</v>
      </c>
      <c r="Z137" s="14">
        <f t="shared" si="4"/>
        <v>0</v>
      </c>
      <c r="AA137" s="14">
        <f t="shared" si="4"/>
        <v>0</v>
      </c>
      <c r="AB137" s="28"/>
    </row>
    <row r="138" spans="1:33" x14ac:dyDescent="0.25">
      <c r="B138" s="41"/>
    </row>
    <row r="139" spans="1:33" ht="15.75" x14ac:dyDescent="0.25">
      <c r="A139" s="24" t="s">
        <v>92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x14ac:dyDescent="0.25">
      <c r="A140" s="1" t="s">
        <v>25</v>
      </c>
      <c r="B140" s="18">
        <v>1999</v>
      </c>
      <c r="C140" s="18">
        <v>2000</v>
      </c>
      <c r="D140" s="18">
        <v>2001</v>
      </c>
      <c r="E140" s="18">
        <v>2002</v>
      </c>
      <c r="F140" s="18">
        <v>2003</v>
      </c>
      <c r="G140" s="18">
        <v>2004</v>
      </c>
      <c r="H140" s="18">
        <v>2005</v>
      </c>
      <c r="I140" s="18">
        <v>2006</v>
      </c>
      <c r="J140" s="18">
        <v>2007</v>
      </c>
      <c r="K140" s="18">
        <v>2008</v>
      </c>
      <c r="L140" s="18">
        <v>2009</v>
      </c>
      <c r="M140" s="18">
        <v>2010</v>
      </c>
      <c r="N140" s="18">
        <v>2011</v>
      </c>
      <c r="O140" s="18">
        <v>2012</v>
      </c>
      <c r="P140" s="18">
        <v>2013</v>
      </c>
      <c r="Q140" s="18">
        <v>2014</v>
      </c>
      <c r="R140" s="18">
        <v>2015</v>
      </c>
      <c r="S140" s="18">
        <v>2016</v>
      </c>
      <c r="T140" s="18">
        <v>2017</v>
      </c>
      <c r="U140" s="18">
        <v>2018</v>
      </c>
      <c r="V140" s="18">
        <v>2019</v>
      </c>
      <c r="W140" s="18">
        <v>2020</v>
      </c>
      <c r="X140" s="18">
        <v>2021</v>
      </c>
      <c r="Y140" s="18">
        <v>2022</v>
      </c>
      <c r="Z140" s="18">
        <v>2023</v>
      </c>
      <c r="AA140" s="18">
        <v>2024</v>
      </c>
      <c r="AB140" s="20"/>
      <c r="AC140" s="20"/>
      <c r="AD140" s="20"/>
      <c r="AE140" s="20"/>
      <c r="AF140" s="20"/>
      <c r="AG140" s="20"/>
    </row>
    <row r="141" spans="1:33" x14ac:dyDescent="0.25">
      <c r="A141" s="27" t="s">
        <v>41</v>
      </c>
      <c r="B141" s="31">
        <f>SUM(B99:B104,B106:B114)</f>
        <v>15935</v>
      </c>
      <c r="C141" s="31">
        <v>17089</v>
      </c>
      <c r="D141" s="31">
        <f t="shared" ref="D141:I141" si="5">SUM(D99:D104,D106:D115)</f>
        <v>20003</v>
      </c>
      <c r="E141" s="31">
        <f t="shared" si="5"/>
        <v>23191</v>
      </c>
      <c r="F141" s="31">
        <f t="shared" si="5"/>
        <v>26163</v>
      </c>
      <c r="G141" s="31">
        <f t="shared" si="5"/>
        <v>22942</v>
      </c>
      <c r="H141" s="31">
        <f t="shared" si="5"/>
        <v>33111</v>
      </c>
      <c r="I141" s="31">
        <f t="shared" si="5"/>
        <v>35910</v>
      </c>
      <c r="J141" s="31">
        <v>49348</v>
      </c>
      <c r="K141" s="31">
        <v>57910</v>
      </c>
      <c r="L141" s="31">
        <v>63328</v>
      </c>
      <c r="M141" s="31">
        <v>57798</v>
      </c>
      <c r="N141" s="31">
        <v>66672</v>
      </c>
      <c r="O141" s="31">
        <v>77879</v>
      </c>
      <c r="P141" s="31">
        <v>90794</v>
      </c>
      <c r="Q141" s="31">
        <v>100187</v>
      </c>
      <c r="R141" s="31">
        <v>111190</v>
      </c>
      <c r="S141" s="31">
        <v>117283</v>
      </c>
      <c r="T141" s="31">
        <v>121747</v>
      </c>
      <c r="U141" s="31">
        <v>124466</v>
      </c>
      <c r="V141" s="31">
        <v>119189</v>
      </c>
      <c r="W141" s="31">
        <v>93123</v>
      </c>
      <c r="X141" s="31">
        <v>132724</v>
      </c>
      <c r="Y141" s="31">
        <v>132921</v>
      </c>
      <c r="Z141" s="31">
        <v>133252</v>
      </c>
      <c r="AA141" s="31">
        <v>131381</v>
      </c>
      <c r="AB141" s="20"/>
      <c r="AC141" s="20"/>
      <c r="AD141" s="20"/>
      <c r="AE141" s="20"/>
      <c r="AF141" s="20"/>
      <c r="AG141" s="20"/>
    </row>
    <row r="142" spans="1:33" x14ac:dyDescent="0.25">
      <c r="A142" s="27" t="s">
        <v>40</v>
      </c>
      <c r="B142" s="31">
        <f t="shared" ref="B142:I142" si="6">+B105</f>
        <v>20138</v>
      </c>
      <c r="C142" s="31">
        <f t="shared" si="6"/>
        <v>29617</v>
      </c>
      <c r="D142" s="31">
        <f t="shared" si="6"/>
        <v>33049</v>
      </c>
      <c r="E142" s="31">
        <f t="shared" si="6"/>
        <v>35369</v>
      </c>
      <c r="F142" s="31">
        <f t="shared" si="6"/>
        <v>32737</v>
      </c>
      <c r="G142" s="31">
        <f t="shared" si="6"/>
        <v>29631</v>
      </c>
      <c r="H142" s="31">
        <f t="shared" si="6"/>
        <v>44241</v>
      </c>
      <c r="I142" s="31">
        <f t="shared" si="6"/>
        <v>48500</v>
      </c>
      <c r="J142" s="31">
        <v>48276</v>
      </c>
      <c r="K142" s="31">
        <v>54003</v>
      </c>
      <c r="L142" s="31">
        <v>60191</v>
      </c>
      <c r="M142" s="31">
        <v>61307</v>
      </c>
      <c r="N142" s="31">
        <v>70401</v>
      </c>
      <c r="O142" s="31">
        <v>78121</v>
      </c>
      <c r="P142" s="31">
        <v>91385</v>
      </c>
      <c r="Q142" s="31">
        <v>97371</v>
      </c>
      <c r="R142" s="31">
        <v>105397</v>
      </c>
      <c r="S142" s="31">
        <v>113223</v>
      </c>
      <c r="T142" s="31">
        <v>122259</v>
      </c>
      <c r="U142" s="31">
        <v>125883</v>
      </c>
      <c r="V142" s="31">
        <v>127430</v>
      </c>
      <c r="W142" s="31">
        <v>110474</v>
      </c>
      <c r="X142" s="31">
        <v>148765</v>
      </c>
      <c r="Y142" s="31">
        <v>158532</v>
      </c>
      <c r="Z142" s="31">
        <v>166547</v>
      </c>
      <c r="AA142" s="31">
        <v>171351</v>
      </c>
      <c r="AB142" s="20"/>
      <c r="AC142" s="20"/>
      <c r="AD142" s="20"/>
      <c r="AE142" s="20"/>
      <c r="AF142" s="20"/>
      <c r="AG142" s="20"/>
    </row>
    <row r="143" spans="1:33" x14ac:dyDescent="0.25">
      <c r="A143" s="26" t="s">
        <v>15</v>
      </c>
      <c r="B143" s="33" t="s">
        <v>73</v>
      </c>
      <c r="C143" s="33">
        <f t="shared" ref="C143:I143" si="7">SUM(C141:C142)</f>
        <v>46706</v>
      </c>
      <c r="D143" s="33">
        <f t="shared" si="7"/>
        <v>53052</v>
      </c>
      <c r="E143" s="33">
        <f t="shared" si="7"/>
        <v>58560</v>
      </c>
      <c r="F143" s="33">
        <f t="shared" si="7"/>
        <v>58900</v>
      </c>
      <c r="G143" s="33">
        <f t="shared" si="7"/>
        <v>52573</v>
      </c>
      <c r="H143" s="33">
        <f t="shared" si="7"/>
        <v>77352</v>
      </c>
      <c r="I143" s="33">
        <f t="shared" si="7"/>
        <v>84410</v>
      </c>
      <c r="J143" s="33">
        <v>97624</v>
      </c>
      <c r="K143" s="33">
        <v>111913</v>
      </c>
      <c r="L143" s="33">
        <v>123519</v>
      </c>
      <c r="M143" s="33">
        <v>119105</v>
      </c>
      <c r="N143" s="33">
        <v>137073</v>
      </c>
      <c r="O143" s="33">
        <v>156000</v>
      </c>
      <c r="P143" s="33">
        <v>182179</v>
      </c>
      <c r="Q143" s="33">
        <v>197558</v>
      </c>
      <c r="R143" s="33">
        <v>216587</v>
      </c>
      <c r="S143" s="33">
        <v>230506</v>
      </c>
      <c r="T143" s="33">
        <v>244006</v>
      </c>
      <c r="U143" s="33">
        <v>250349</v>
      </c>
      <c r="V143" s="33">
        <v>246619</v>
      </c>
      <c r="W143" s="33">
        <v>203597</v>
      </c>
      <c r="X143" s="33">
        <v>281489</v>
      </c>
      <c r="Y143" s="33">
        <v>291453</v>
      </c>
      <c r="Z143" s="33">
        <v>299799</v>
      </c>
      <c r="AA143" s="33">
        <v>302732</v>
      </c>
      <c r="AB143" s="20"/>
      <c r="AC143" s="20"/>
      <c r="AD143" s="20"/>
      <c r="AE143" s="20"/>
      <c r="AF143" s="20"/>
      <c r="AG143" s="20"/>
    </row>
    <row r="144" spans="1:33" x14ac:dyDescent="0.25">
      <c r="A144" s="50" t="s">
        <v>74</v>
      </c>
    </row>
    <row r="146" spans="1:55" ht="15.75" x14ac:dyDescent="0.25">
      <c r="A146" s="24" t="s">
        <v>93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55" x14ac:dyDescent="0.25">
      <c r="A147" s="59" t="s">
        <v>25</v>
      </c>
      <c r="B147" s="58">
        <v>1999</v>
      </c>
      <c r="C147" s="58"/>
      <c r="D147" s="58">
        <v>2000</v>
      </c>
      <c r="E147" s="58"/>
      <c r="F147" s="58">
        <v>2001</v>
      </c>
      <c r="G147" s="58"/>
      <c r="H147" s="58">
        <v>2002</v>
      </c>
      <c r="I147" s="58"/>
      <c r="J147" s="58">
        <v>2003</v>
      </c>
      <c r="K147" s="58"/>
      <c r="L147" s="58">
        <v>2004</v>
      </c>
      <c r="M147" s="58"/>
      <c r="N147" s="58">
        <v>2005</v>
      </c>
      <c r="O147" s="58"/>
      <c r="P147" s="58">
        <v>2006</v>
      </c>
      <c r="Q147" s="58"/>
      <c r="R147" s="58">
        <v>2007</v>
      </c>
      <c r="S147" s="58"/>
      <c r="T147" s="58">
        <v>2008</v>
      </c>
      <c r="U147" s="58"/>
      <c r="V147" s="58">
        <v>2009</v>
      </c>
      <c r="W147" s="58"/>
      <c r="X147" s="58">
        <v>2010</v>
      </c>
      <c r="Y147" s="58"/>
      <c r="Z147" s="58">
        <v>2011</v>
      </c>
      <c r="AA147" s="58"/>
      <c r="AB147" s="58">
        <v>2012</v>
      </c>
      <c r="AC147" s="58"/>
      <c r="AD147" s="58">
        <v>2013</v>
      </c>
      <c r="AE147" s="58"/>
      <c r="AF147" s="58">
        <v>2014</v>
      </c>
      <c r="AG147" s="58"/>
      <c r="AH147" s="58">
        <v>2015</v>
      </c>
      <c r="AI147" s="58"/>
      <c r="AJ147" s="58">
        <v>2016</v>
      </c>
      <c r="AK147" s="58"/>
      <c r="AL147" s="58">
        <v>2017</v>
      </c>
      <c r="AM147" s="58"/>
      <c r="AN147" s="58">
        <v>2018</v>
      </c>
      <c r="AO147" s="58"/>
      <c r="AP147" s="58">
        <v>2019</v>
      </c>
      <c r="AQ147" s="58"/>
      <c r="AR147" s="58">
        <v>2020</v>
      </c>
      <c r="AS147" s="58"/>
      <c r="AT147" s="58">
        <v>2021</v>
      </c>
      <c r="AU147" s="58"/>
      <c r="AV147" s="58">
        <v>2022</v>
      </c>
      <c r="AW147" s="58"/>
      <c r="AX147" s="60">
        <v>2023</v>
      </c>
      <c r="AY147" s="61"/>
      <c r="AZ147" s="62"/>
      <c r="BA147" s="60">
        <v>2024</v>
      </c>
      <c r="BB147" s="61"/>
      <c r="BC147" s="62"/>
    </row>
    <row r="148" spans="1:55" x14ac:dyDescent="0.25">
      <c r="A148" s="59"/>
      <c r="B148" s="18" t="s">
        <v>64</v>
      </c>
      <c r="C148" s="18" t="s">
        <v>65</v>
      </c>
      <c r="D148" s="18" t="s">
        <v>64</v>
      </c>
      <c r="E148" s="18" t="s">
        <v>65</v>
      </c>
      <c r="F148" s="18" t="s">
        <v>64</v>
      </c>
      <c r="G148" s="18" t="s">
        <v>65</v>
      </c>
      <c r="H148" s="18" t="s">
        <v>64</v>
      </c>
      <c r="I148" s="18" t="s">
        <v>65</v>
      </c>
      <c r="J148" s="18" t="s">
        <v>64</v>
      </c>
      <c r="K148" s="18" t="s">
        <v>65</v>
      </c>
      <c r="L148" s="18" t="s">
        <v>64</v>
      </c>
      <c r="M148" s="18" t="s">
        <v>65</v>
      </c>
      <c r="N148" s="18" t="s">
        <v>64</v>
      </c>
      <c r="O148" s="18" t="s">
        <v>65</v>
      </c>
      <c r="P148" s="18" t="s">
        <v>64</v>
      </c>
      <c r="Q148" s="18" t="s">
        <v>65</v>
      </c>
      <c r="R148" s="18" t="s">
        <v>64</v>
      </c>
      <c r="S148" s="18" t="s">
        <v>65</v>
      </c>
      <c r="T148" s="18" t="s">
        <v>64</v>
      </c>
      <c r="U148" s="18" t="s">
        <v>65</v>
      </c>
      <c r="V148" s="18" t="s">
        <v>64</v>
      </c>
      <c r="W148" s="18" t="s">
        <v>65</v>
      </c>
      <c r="X148" s="18" t="s">
        <v>64</v>
      </c>
      <c r="Y148" s="18" t="s">
        <v>65</v>
      </c>
      <c r="Z148" s="18" t="s">
        <v>64</v>
      </c>
      <c r="AA148" s="18" t="s">
        <v>65</v>
      </c>
      <c r="AB148" s="18" t="s">
        <v>64</v>
      </c>
      <c r="AC148" s="18" t="s">
        <v>65</v>
      </c>
      <c r="AD148" s="18" t="s">
        <v>64</v>
      </c>
      <c r="AE148" s="18" t="s">
        <v>65</v>
      </c>
      <c r="AF148" s="18" t="s">
        <v>64</v>
      </c>
      <c r="AG148" s="18" t="s">
        <v>65</v>
      </c>
      <c r="AH148" s="18" t="s">
        <v>64</v>
      </c>
      <c r="AI148" s="18" t="s">
        <v>65</v>
      </c>
      <c r="AJ148" s="18" t="s">
        <v>64</v>
      </c>
      <c r="AK148" s="18" t="s">
        <v>65</v>
      </c>
      <c r="AL148" s="18" t="s">
        <v>64</v>
      </c>
      <c r="AM148" s="18" t="s">
        <v>65</v>
      </c>
      <c r="AN148" s="18" t="s">
        <v>64</v>
      </c>
      <c r="AO148" s="18" t="s">
        <v>65</v>
      </c>
      <c r="AP148" s="18" t="s">
        <v>64</v>
      </c>
      <c r="AQ148" s="18" t="s">
        <v>65</v>
      </c>
      <c r="AR148" s="18" t="s">
        <v>64</v>
      </c>
      <c r="AS148" s="18" t="s">
        <v>65</v>
      </c>
      <c r="AT148" s="18" t="s">
        <v>64</v>
      </c>
      <c r="AU148" s="18" t="s">
        <v>65</v>
      </c>
      <c r="AV148" s="18" t="s">
        <v>64</v>
      </c>
      <c r="AW148" s="18" t="s">
        <v>65</v>
      </c>
      <c r="AX148" s="18" t="s">
        <v>64</v>
      </c>
      <c r="AY148" s="18" t="s">
        <v>65</v>
      </c>
      <c r="AZ148" s="18" t="s">
        <v>78</v>
      </c>
      <c r="BA148" s="18" t="s">
        <v>64</v>
      </c>
      <c r="BB148" s="18" t="s">
        <v>65</v>
      </c>
      <c r="BC148" s="18" t="s">
        <v>78</v>
      </c>
    </row>
    <row r="149" spans="1:55" x14ac:dyDescent="0.25">
      <c r="A149" s="27" t="s">
        <v>39</v>
      </c>
      <c r="B149" s="31">
        <v>0</v>
      </c>
      <c r="C149" s="31">
        <v>0</v>
      </c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755</v>
      </c>
      <c r="S149" s="31">
        <v>1022</v>
      </c>
      <c r="T149" s="31">
        <v>815</v>
      </c>
      <c r="U149" s="31">
        <v>1033</v>
      </c>
      <c r="V149" s="31">
        <v>915</v>
      </c>
      <c r="W149" s="31">
        <v>1023</v>
      </c>
      <c r="X149" s="31">
        <v>908</v>
      </c>
      <c r="Y149" s="31">
        <v>958</v>
      </c>
      <c r="Z149" s="31">
        <v>944</v>
      </c>
      <c r="AA149" s="31">
        <v>1133</v>
      </c>
      <c r="AB149" s="31">
        <v>966</v>
      </c>
      <c r="AC149" s="31">
        <v>1104</v>
      </c>
      <c r="AD149" s="31">
        <v>1029</v>
      </c>
      <c r="AE149" s="31">
        <v>1336</v>
      </c>
      <c r="AF149" s="31">
        <v>1224</v>
      </c>
      <c r="AG149" s="31">
        <v>1535</v>
      </c>
      <c r="AH149" s="31">
        <v>1190</v>
      </c>
      <c r="AI149" s="31">
        <v>1384</v>
      </c>
      <c r="AJ149" s="31">
        <v>1037</v>
      </c>
      <c r="AK149" s="31">
        <v>1480</v>
      </c>
      <c r="AL149" s="31">
        <v>1119</v>
      </c>
      <c r="AM149" s="31">
        <v>1703</v>
      </c>
      <c r="AN149" s="31">
        <v>1336</v>
      </c>
      <c r="AO149" s="31">
        <v>1840</v>
      </c>
      <c r="AP149" s="31">
        <v>1240</v>
      </c>
      <c r="AQ149" s="31">
        <v>1806</v>
      </c>
      <c r="AR149" s="31">
        <v>970</v>
      </c>
      <c r="AS149" s="31">
        <v>1537</v>
      </c>
      <c r="AT149" s="31">
        <v>1451</v>
      </c>
      <c r="AU149" s="31">
        <v>2195</v>
      </c>
      <c r="AV149" s="31">
        <v>1252</v>
      </c>
      <c r="AW149" s="31">
        <v>1871</v>
      </c>
      <c r="AX149" s="31">
        <v>1431</v>
      </c>
      <c r="AY149" s="31">
        <v>2059</v>
      </c>
      <c r="AZ149" s="31">
        <v>0</v>
      </c>
      <c r="BA149" s="31">
        <v>1449</v>
      </c>
      <c r="BB149" s="31">
        <v>1789</v>
      </c>
      <c r="BC149" s="31">
        <v>0</v>
      </c>
    </row>
    <row r="150" spans="1:55" x14ac:dyDescent="0.25">
      <c r="A150" s="27" t="s">
        <v>26</v>
      </c>
      <c r="B150" s="31">
        <v>376</v>
      </c>
      <c r="C150" s="31">
        <v>416</v>
      </c>
      <c r="D150" s="31">
        <v>399</v>
      </c>
      <c r="E150" s="31">
        <v>437</v>
      </c>
      <c r="F150" s="31">
        <v>382</v>
      </c>
      <c r="G150" s="31">
        <v>431</v>
      </c>
      <c r="H150" s="31">
        <v>325</v>
      </c>
      <c r="I150" s="31">
        <v>283</v>
      </c>
      <c r="J150" s="31">
        <v>369</v>
      </c>
      <c r="K150" s="31">
        <v>367</v>
      </c>
      <c r="L150" s="31">
        <v>415</v>
      </c>
      <c r="M150" s="31">
        <v>566</v>
      </c>
      <c r="N150" s="31">
        <v>656</v>
      </c>
      <c r="O150" s="31">
        <v>947</v>
      </c>
      <c r="P150" s="31">
        <v>902</v>
      </c>
      <c r="Q150" s="31">
        <v>1231</v>
      </c>
      <c r="R150" s="31">
        <v>485</v>
      </c>
      <c r="S150" s="31">
        <v>650</v>
      </c>
      <c r="T150" s="31">
        <v>604</v>
      </c>
      <c r="U150" s="31">
        <v>888</v>
      </c>
      <c r="V150" s="31">
        <v>610</v>
      </c>
      <c r="W150" s="31">
        <v>801</v>
      </c>
      <c r="X150" s="31">
        <v>627</v>
      </c>
      <c r="Y150" s="31">
        <v>684</v>
      </c>
      <c r="Z150" s="31">
        <v>689</v>
      </c>
      <c r="AA150" s="31">
        <v>847</v>
      </c>
      <c r="AB150" s="31">
        <v>700</v>
      </c>
      <c r="AC150" s="31">
        <v>898</v>
      </c>
      <c r="AD150" s="31">
        <v>898</v>
      </c>
      <c r="AE150" s="31">
        <v>1042</v>
      </c>
      <c r="AF150" s="31">
        <v>958</v>
      </c>
      <c r="AG150" s="31">
        <v>1253</v>
      </c>
      <c r="AH150" s="31">
        <v>1043</v>
      </c>
      <c r="AI150" s="31">
        <v>1510</v>
      </c>
      <c r="AJ150" s="31">
        <v>1121</v>
      </c>
      <c r="AK150" s="31">
        <v>1461</v>
      </c>
      <c r="AL150" s="31">
        <v>1376</v>
      </c>
      <c r="AM150" s="31">
        <v>1668</v>
      </c>
      <c r="AN150" s="31">
        <v>1617</v>
      </c>
      <c r="AO150" s="31">
        <v>1981</v>
      </c>
      <c r="AP150" s="31">
        <v>1407</v>
      </c>
      <c r="AQ150" s="31">
        <v>1686</v>
      </c>
      <c r="AR150" s="31">
        <v>1144</v>
      </c>
      <c r="AS150" s="31">
        <v>1564</v>
      </c>
      <c r="AT150" s="31">
        <v>1675</v>
      </c>
      <c r="AU150" s="31">
        <v>2706</v>
      </c>
      <c r="AV150" s="31">
        <v>1559</v>
      </c>
      <c r="AW150" s="31">
        <v>2262</v>
      </c>
      <c r="AX150" s="31">
        <v>1678</v>
      </c>
      <c r="AY150" s="31">
        <v>2188</v>
      </c>
      <c r="AZ150" s="31">
        <v>0</v>
      </c>
      <c r="BA150" s="31">
        <v>1402</v>
      </c>
      <c r="BB150" s="31">
        <v>2010</v>
      </c>
      <c r="BC150" s="31">
        <v>0</v>
      </c>
    </row>
    <row r="151" spans="1:55" x14ac:dyDescent="0.25">
      <c r="A151" s="27" t="s">
        <v>27</v>
      </c>
      <c r="B151" s="31">
        <v>504</v>
      </c>
      <c r="C151" s="31">
        <v>391</v>
      </c>
      <c r="D151" s="31">
        <v>456</v>
      </c>
      <c r="E151" s="31">
        <v>472</v>
      </c>
      <c r="F151" s="31">
        <v>693</v>
      </c>
      <c r="G151" s="31">
        <v>833</v>
      </c>
      <c r="H151" s="31">
        <v>1026</v>
      </c>
      <c r="I151" s="31">
        <v>1033</v>
      </c>
      <c r="J151" s="31">
        <v>1049</v>
      </c>
      <c r="K151" s="31">
        <v>892</v>
      </c>
      <c r="L151" s="31">
        <v>637</v>
      </c>
      <c r="M151" s="31">
        <v>547</v>
      </c>
      <c r="N151" s="31">
        <v>833</v>
      </c>
      <c r="O151" s="31">
        <v>1026</v>
      </c>
      <c r="P151" s="31">
        <v>1084</v>
      </c>
      <c r="Q151" s="31">
        <v>1077</v>
      </c>
      <c r="R151" s="31">
        <v>1744</v>
      </c>
      <c r="S151" s="31">
        <v>1928</v>
      </c>
      <c r="T151" s="31">
        <v>1718</v>
      </c>
      <c r="U151" s="31">
        <v>2070</v>
      </c>
      <c r="V151" s="31">
        <v>1970</v>
      </c>
      <c r="W151" s="31">
        <v>2403</v>
      </c>
      <c r="X151" s="31">
        <v>1918</v>
      </c>
      <c r="Y151" s="31">
        <v>2284</v>
      </c>
      <c r="Z151" s="31">
        <v>2096</v>
      </c>
      <c r="AA151" s="31">
        <v>2306</v>
      </c>
      <c r="AB151" s="31">
        <v>2417</v>
      </c>
      <c r="AC151" s="31">
        <v>2792</v>
      </c>
      <c r="AD151" s="31">
        <v>2799</v>
      </c>
      <c r="AE151" s="31">
        <v>3350</v>
      </c>
      <c r="AF151" s="31">
        <v>3200</v>
      </c>
      <c r="AG151" s="31">
        <v>3436</v>
      </c>
      <c r="AH151" s="31">
        <v>3561</v>
      </c>
      <c r="AI151" s="31">
        <v>4710</v>
      </c>
      <c r="AJ151" s="31">
        <v>3445</v>
      </c>
      <c r="AK151" s="31">
        <v>4159</v>
      </c>
      <c r="AL151" s="31">
        <v>3285</v>
      </c>
      <c r="AM151" s="31">
        <v>3962</v>
      </c>
      <c r="AN151" s="31">
        <v>3697</v>
      </c>
      <c r="AO151" s="31">
        <v>3944</v>
      </c>
      <c r="AP151" s="31">
        <v>3345</v>
      </c>
      <c r="AQ151" s="31">
        <v>3810</v>
      </c>
      <c r="AR151" s="31">
        <v>2762</v>
      </c>
      <c r="AS151" s="31">
        <v>3175</v>
      </c>
      <c r="AT151" s="31">
        <v>3530</v>
      </c>
      <c r="AU151" s="31">
        <v>3950</v>
      </c>
      <c r="AV151" s="31">
        <v>3653</v>
      </c>
      <c r="AW151" s="31">
        <v>4275</v>
      </c>
      <c r="AX151" s="31">
        <v>3821</v>
      </c>
      <c r="AY151" s="31">
        <v>4388</v>
      </c>
      <c r="AZ151" s="31">
        <v>0</v>
      </c>
      <c r="BA151" s="31">
        <v>3388</v>
      </c>
      <c r="BB151" s="31">
        <v>3871</v>
      </c>
      <c r="BC151" s="31">
        <v>0</v>
      </c>
    </row>
    <row r="152" spans="1:55" x14ac:dyDescent="0.25">
      <c r="A152" s="27" t="s">
        <v>28</v>
      </c>
      <c r="B152" s="31">
        <v>20</v>
      </c>
      <c r="C152" s="31">
        <v>61</v>
      </c>
      <c r="D152" s="31">
        <v>212</v>
      </c>
      <c r="E152" s="31">
        <v>156</v>
      </c>
      <c r="F152" s="31">
        <v>474</v>
      </c>
      <c r="G152" s="31">
        <v>263</v>
      </c>
      <c r="H152" s="31">
        <v>463</v>
      </c>
      <c r="I152" s="31">
        <v>260</v>
      </c>
      <c r="J152" s="31">
        <v>426</v>
      </c>
      <c r="K152" s="31">
        <v>225</v>
      </c>
      <c r="L152" s="31">
        <v>244</v>
      </c>
      <c r="M152" s="31">
        <v>173</v>
      </c>
      <c r="N152" s="31">
        <v>354</v>
      </c>
      <c r="O152" s="31">
        <v>280</v>
      </c>
      <c r="P152" s="31">
        <v>381</v>
      </c>
      <c r="Q152" s="31">
        <v>300</v>
      </c>
      <c r="R152" s="31">
        <v>337</v>
      </c>
      <c r="S152" s="31">
        <v>324</v>
      </c>
      <c r="T152" s="31">
        <v>346</v>
      </c>
      <c r="U152" s="31">
        <v>397</v>
      </c>
      <c r="V152" s="31">
        <v>436</v>
      </c>
      <c r="W152" s="31">
        <v>506</v>
      </c>
      <c r="X152" s="31">
        <v>522</v>
      </c>
      <c r="Y152" s="31">
        <v>552</v>
      </c>
      <c r="Z152" s="31">
        <v>354</v>
      </c>
      <c r="AA152" s="31">
        <v>477</v>
      </c>
      <c r="AB152" s="31">
        <v>484</v>
      </c>
      <c r="AC152" s="31">
        <v>580</v>
      </c>
      <c r="AD152" s="31">
        <v>514</v>
      </c>
      <c r="AE152" s="31">
        <v>664</v>
      </c>
      <c r="AF152" s="31">
        <v>729</v>
      </c>
      <c r="AG152" s="31">
        <v>633</v>
      </c>
      <c r="AH152" s="31">
        <v>811</v>
      </c>
      <c r="AI152" s="31">
        <v>776</v>
      </c>
      <c r="AJ152" s="31">
        <v>951</v>
      </c>
      <c r="AK152" s="31">
        <v>973</v>
      </c>
      <c r="AL152" s="31">
        <v>935</v>
      </c>
      <c r="AM152" s="31">
        <v>1057</v>
      </c>
      <c r="AN152" s="31">
        <v>833</v>
      </c>
      <c r="AO152" s="31">
        <v>1047</v>
      </c>
      <c r="AP152" s="31">
        <v>869</v>
      </c>
      <c r="AQ152" s="31">
        <v>1252</v>
      </c>
      <c r="AR152" s="31">
        <v>875</v>
      </c>
      <c r="AS152" s="31">
        <v>1019</v>
      </c>
      <c r="AT152" s="31">
        <v>1042</v>
      </c>
      <c r="AU152" s="31">
        <v>1599</v>
      </c>
      <c r="AV152" s="31">
        <v>1311</v>
      </c>
      <c r="AW152" s="31">
        <v>1489</v>
      </c>
      <c r="AX152" s="31">
        <v>1098</v>
      </c>
      <c r="AY152" s="31">
        <v>1445</v>
      </c>
      <c r="AZ152" s="31">
        <v>0</v>
      </c>
      <c r="BA152" s="31">
        <v>1302</v>
      </c>
      <c r="BB152" s="31">
        <v>1377</v>
      </c>
      <c r="BC152" s="31">
        <v>0</v>
      </c>
    </row>
    <row r="153" spans="1:55" x14ac:dyDescent="0.25">
      <c r="A153" s="27" t="s">
        <v>29</v>
      </c>
      <c r="B153" s="31">
        <v>256</v>
      </c>
      <c r="C153" s="31">
        <v>357</v>
      </c>
      <c r="D153" s="31">
        <v>277</v>
      </c>
      <c r="E153" s="31">
        <v>375</v>
      </c>
      <c r="F153" s="31">
        <v>332</v>
      </c>
      <c r="G153" s="31">
        <v>521</v>
      </c>
      <c r="H153" s="31">
        <v>515</v>
      </c>
      <c r="I153" s="31">
        <v>650</v>
      </c>
      <c r="J153" s="31">
        <v>739</v>
      </c>
      <c r="K153" s="31">
        <v>805</v>
      </c>
      <c r="L153" s="31">
        <v>757</v>
      </c>
      <c r="M153" s="31">
        <v>967</v>
      </c>
      <c r="N153" s="31">
        <v>718</v>
      </c>
      <c r="O153" s="31">
        <v>798</v>
      </c>
      <c r="P153" s="31">
        <v>940</v>
      </c>
      <c r="Q153" s="31">
        <v>948</v>
      </c>
      <c r="R153" s="31">
        <v>1455</v>
      </c>
      <c r="S153" s="31">
        <v>1711</v>
      </c>
      <c r="T153" s="31">
        <v>1829</v>
      </c>
      <c r="U153" s="31">
        <v>2424</v>
      </c>
      <c r="V153" s="31">
        <v>1646</v>
      </c>
      <c r="W153" s="31">
        <v>2117</v>
      </c>
      <c r="X153" s="31">
        <v>1605</v>
      </c>
      <c r="Y153" s="31">
        <v>1782</v>
      </c>
      <c r="Z153" s="31">
        <v>1598</v>
      </c>
      <c r="AA153" s="31">
        <v>2063</v>
      </c>
      <c r="AB153" s="31">
        <v>1910</v>
      </c>
      <c r="AC153" s="31">
        <v>2581</v>
      </c>
      <c r="AD153" s="31">
        <v>2679</v>
      </c>
      <c r="AE153" s="31">
        <v>3471</v>
      </c>
      <c r="AF153" s="31">
        <v>2543</v>
      </c>
      <c r="AG153" s="31">
        <v>3595</v>
      </c>
      <c r="AH153" s="31">
        <v>2757</v>
      </c>
      <c r="AI153" s="31">
        <v>3736</v>
      </c>
      <c r="AJ153" s="31">
        <v>3060</v>
      </c>
      <c r="AK153" s="31">
        <v>3980</v>
      </c>
      <c r="AL153" s="31">
        <v>3311</v>
      </c>
      <c r="AM153" s="31">
        <v>4253</v>
      </c>
      <c r="AN153" s="31">
        <v>3498</v>
      </c>
      <c r="AO153" s="31">
        <v>4792</v>
      </c>
      <c r="AP153" s="31">
        <v>3591</v>
      </c>
      <c r="AQ153" s="31">
        <v>4892</v>
      </c>
      <c r="AR153" s="31">
        <v>2345</v>
      </c>
      <c r="AS153" s="31">
        <v>3544</v>
      </c>
      <c r="AT153" s="31">
        <v>4029</v>
      </c>
      <c r="AU153" s="31">
        <v>5931</v>
      </c>
      <c r="AV153" s="31">
        <v>3869</v>
      </c>
      <c r="AW153" s="31">
        <v>5489</v>
      </c>
      <c r="AX153" s="31">
        <v>4283</v>
      </c>
      <c r="AY153" s="31">
        <v>5556</v>
      </c>
      <c r="AZ153" s="31">
        <v>0</v>
      </c>
      <c r="BA153" s="31">
        <v>4550</v>
      </c>
      <c r="BB153" s="31">
        <v>5539</v>
      </c>
      <c r="BC153" s="31">
        <v>0</v>
      </c>
    </row>
    <row r="154" spans="1:55" x14ac:dyDescent="0.25">
      <c r="A154" s="27" t="s">
        <v>30</v>
      </c>
      <c r="B154" s="31">
        <v>2720</v>
      </c>
      <c r="C154" s="31">
        <v>2522</v>
      </c>
      <c r="D154" s="31">
        <v>2785</v>
      </c>
      <c r="E154" s="31">
        <v>2399</v>
      </c>
      <c r="F154" s="31">
        <v>3017</v>
      </c>
      <c r="G154" s="31">
        <v>2474</v>
      </c>
      <c r="H154" s="31">
        <v>3079</v>
      </c>
      <c r="I154" s="31">
        <v>3450</v>
      </c>
      <c r="J154" s="31">
        <v>3454</v>
      </c>
      <c r="K154" s="31">
        <v>3889</v>
      </c>
      <c r="L154" s="31">
        <v>2815</v>
      </c>
      <c r="M154" s="31">
        <v>3455</v>
      </c>
      <c r="N154" s="31">
        <v>3923</v>
      </c>
      <c r="O154" s="31">
        <v>5230</v>
      </c>
      <c r="P154" s="31">
        <v>4011</v>
      </c>
      <c r="Q154" s="31">
        <v>4897</v>
      </c>
      <c r="R154" s="31">
        <v>5131</v>
      </c>
      <c r="S154" s="31">
        <v>6055</v>
      </c>
      <c r="T154" s="31">
        <v>5385</v>
      </c>
      <c r="U154" s="31">
        <v>7028</v>
      </c>
      <c r="V154" s="31">
        <v>6409</v>
      </c>
      <c r="W154" s="31">
        <v>7487</v>
      </c>
      <c r="X154" s="31">
        <v>5888</v>
      </c>
      <c r="Y154" s="31">
        <v>6670</v>
      </c>
      <c r="Z154" s="31">
        <v>6557</v>
      </c>
      <c r="AA154" s="31">
        <v>7514</v>
      </c>
      <c r="AB154" s="31">
        <v>7766</v>
      </c>
      <c r="AC154" s="31">
        <v>9811</v>
      </c>
      <c r="AD154" s="31">
        <v>8708</v>
      </c>
      <c r="AE154" s="31">
        <v>10330</v>
      </c>
      <c r="AF154" s="31">
        <v>9412</v>
      </c>
      <c r="AG154" s="31">
        <v>11700</v>
      </c>
      <c r="AH154" s="31">
        <v>10453</v>
      </c>
      <c r="AI154" s="31">
        <v>12303</v>
      </c>
      <c r="AJ154" s="31">
        <v>10366</v>
      </c>
      <c r="AK154" s="31">
        <v>13290</v>
      </c>
      <c r="AL154" s="31">
        <v>10957</v>
      </c>
      <c r="AM154" s="31">
        <v>13992</v>
      </c>
      <c r="AN154" s="31">
        <v>10617</v>
      </c>
      <c r="AO154" s="31">
        <v>13503</v>
      </c>
      <c r="AP154" s="31">
        <v>10370</v>
      </c>
      <c r="AQ154" s="31">
        <v>12807</v>
      </c>
      <c r="AR154" s="31">
        <v>8562</v>
      </c>
      <c r="AS154" s="31">
        <v>10465</v>
      </c>
      <c r="AT154" s="31">
        <v>10921</v>
      </c>
      <c r="AU154" s="31">
        <v>14340</v>
      </c>
      <c r="AV154" s="31">
        <v>11655</v>
      </c>
      <c r="AW154" s="31">
        <v>14649</v>
      </c>
      <c r="AX154" s="31">
        <v>11274</v>
      </c>
      <c r="AY154" s="31">
        <v>14428</v>
      </c>
      <c r="AZ154" s="31">
        <v>0</v>
      </c>
      <c r="BA154" s="31">
        <v>11037</v>
      </c>
      <c r="BB154" s="31">
        <v>13882</v>
      </c>
      <c r="BC154" s="31">
        <v>0</v>
      </c>
    </row>
    <row r="155" spans="1:55" x14ac:dyDescent="0.25">
      <c r="A155" s="27" t="s">
        <v>40</v>
      </c>
      <c r="B155" s="31">
        <v>10107</v>
      </c>
      <c r="C155" s="31">
        <v>10031</v>
      </c>
      <c r="D155" s="31">
        <v>14472</v>
      </c>
      <c r="E155" s="31">
        <v>15145</v>
      </c>
      <c r="F155" s="31">
        <v>16704</v>
      </c>
      <c r="G155" s="31">
        <v>16345</v>
      </c>
      <c r="H155" s="31">
        <v>18023</v>
      </c>
      <c r="I155" s="31">
        <v>17346</v>
      </c>
      <c r="J155" s="31">
        <v>15756</v>
      </c>
      <c r="K155" s="31">
        <v>16981</v>
      </c>
      <c r="L155" s="31">
        <v>14655</v>
      </c>
      <c r="M155" s="31">
        <v>14976</v>
      </c>
      <c r="N155" s="31">
        <v>22313</v>
      </c>
      <c r="O155" s="31">
        <v>21928</v>
      </c>
      <c r="P155" s="31">
        <v>24303</v>
      </c>
      <c r="Q155" s="31">
        <v>24197</v>
      </c>
      <c r="R155" s="31">
        <v>23418</v>
      </c>
      <c r="S155" s="31">
        <v>24858</v>
      </c>
      <c r="T155" s="31">
        <v>24939</v>
      </c>
      <c r="U155" s="31">
        <v>29064</v>
      </c>
      <c r="V155" s="31">
        <v>28053</v>
      </c>
      <c r="W155" s="31">
        <v>32138</v>
      </c>
      <c r="X155" s="31">
        <v>28660</v>
      </c>
      <c r="Y155" s="31">
        <v>32647</v>
      </c>
      <c r="Z155" s="31">
        <v>31757</v>
      </c>
      <c r="AA155" s="31">
        <v>38644</v>
      </c>
      <c r="AB155" s="31">
        <v>35191</v>
      </c>
      <c r="AC155" s="31">
        <v>42930</v>
      </c>
      <c r="AD155" s="31">
        <v>41047</v>
      </c>
      <c r="AE155" s="31">
        <v>50338</v>
      </c>
      <c r="AF155" s="31">
        <v>44416</v>
      </c>
      <c r="AG155" s="31">
        <v>52955</v>
      </c>
      <c r="AH155" s="31">
        <v>48640</v>
      </c>
      <c r="AI155" s="31">
        <v>56757</v>
      </c>
      <c r="AJ155" s="31">
        <v>51354</v>
      </c>
      <c r="AK155" s="31">
        <v>61869</v>
      </c>
      <c r="AL155" s="31">
        <v>54867</v>
      </c>
      <c r="AM155" s="31">
        <v>67392</v>
      </c>
      <c r="AN155" s="31">
        <v>56953</v>
      </c>
      <c r="AO155" s="31">
        <v>68930</v>
      </c>
      <c r="AP155" s="31">
        <v>56211</v>
      </c>
      <c r="AQ155" s="31">
        <v>71219</v>
      </c>
      <c r="AR155" s="31">
        <v>49433</v>
      </c>
      <c r="AS155" s="31">
        <v>61041</v>
      </c>
      <c r="AT155" s="31">
        <v>64382</v>
      </c>
      <c r="AU155" s="31">
        <v>84383</v>
      </c>
      <c r="AV155" s="31">
        <v>70104</v>
      </c>
      <c r="AW155" s="31">
        <v>88428</v>
      </c>
      <c r="AX155" s="31">
        <v>74660</v>
      </c>
      <c r="AY155" s="31">
        <v>91884</v>
      </c>
      <c r="AZ155" s="31">
        <v>3</v>
      </c>
      <c r="BA155" s="31">
        <v>76460</v>
      </c>
      <c r="BB155" s="31">
        <v>94890</v>
      </c>
      <c r="BC155" s="31">
        <v>1</v>
      </c>
    </row>
    <row r="156" spans="1:55" x14ac:dyDescent="0.25">
      <c r="A156" s="27" t="s">
        <v>31</v>
      </c>
      <c r="B156" s="31">
        <v>2</v>
      </c>
      <c r="C156" s="31">
        <v>20</v>
      </c>
      <c r="D156" s="31">
        <v>19</v>
      </c>
      <c r="E156" s="31">
        <v>35</v>
      </c>
      <c r="F156" s="31">
        <v>0</v>
      </c>
      <c r="G156" s="31">
        <v>0</v>
      </c>
      <c r="H156" s="31">
        <v>235</v>
      </c>
      <c r="I156" s="31">
        <v>172</v>
      </c>
      <c r="J156" s="31">
        <v>184</v>
      </c>
      <c r="K156" s="31">
        <v>186</v>
      </c>
      <c r="L156" s="31">
        <v>172</v>
      </c>
      <c r="M156" s="31">
        <v>244</v>
      </c>
      <c r="N156" s="31">
        <v>201</v>
      </c>
      <c r="O156" s="31">
        <v>150</v>
      </c>
      <c r="P156" s="31">
        <v>144</v>
      </c>
      <c r="Q156" s="31">
        <v>208</v>
      </c>
      <c r="R156" s="31">
        <v>867</v>
      </c>
      <c r="S156" s="31">
        <v>915</v>
      </c>
      <c r="T156" s="31">
        <v>1074</v>
      </c>
      <c r="U156" s="31">
        <v>1233</v>
      </c>
      <c r="V156" s="31">
        <v>1135</v>
      </c>
      <c r="W156" s="31">
        <v>1228</v>
      </c>
      <c r="X156" s="31">
        <v>1039</v>
      </c>
      <c r="Y156" s="31">
        <v>1293</v>
      </c>
      <c r="Z156" s="31">
        <v>1529</v>
      </c>
      <c r="AA156" s="31">
        <v>1858</v>
      </c>
      <c r="AB156" s="31">
        <v>1745</v>
      </c>
      <c r="AC156" s="31">
        <v>2103</v>
      </c>
      <c r="AD156" s="31">
        <v>1977</v>
      </c>
      <c r="AE156" s="31">
        <v>2662</v>
      </c>
      <c r="AF156" s="31">
        <v>2247</v>
      </c>
      <c r="AG156" s="31">
        <v>2991</v>
      </c>
      <c r="AH156" s="31">
        <v>2827</v>
      </c>
      <c r="AI156" s="31">
        <v>3617</v>
      </c>
      <c r="AJ156" s="31">
        <v>3160</v>
      </c>
      <c r="AK156" s="31">
        <v>4021</v>
      </c>
      <c r="AL156" s="31">
        <v>2868</v>
      </c>
      <c r="AM156" s="31">
        <v>3913</v>
      </c>
      <c r="AN156" s="31">
        <v>2742</v>
      </c>
      <c r="AO156" s="31">
        <v>3795</v>
      </c>
      <c r="AP156" s="31">
        <v>2769</v>
      </c>
      <c r="AQ156" s="31">
        <v>3548</v>
      </c>
      <c r="AR156" s="31">
        <v>2061</v>
      </c>
      <c r="AS156" s="31">
        <v>2689</v>
      </c>
      <c r="AT156" s="31">
        <v>2431</v>
      </c>
      <c r="AU156" s="31">
        <v>3389</v>
      </c>
      <c r="AV156" s="31">
        <v>2382</v>
      </c>
      <c r="AW156" s="31">
        <v>3319</v>
      </c>
      <c r="AX156" s="31">
        <v>2339</v>
      </c>
      <c r="AY156" s="31">
        <v>3020</v>
      </c>
      <c r="AZ156" s="31">
        <v>0</v>
      </c>
      <c r="BA156" s="31">
        <v>2420</v>
      </c>
      <c r="BB156" s="31">
        <v>3140</v>
      </c>
      <c r="BC156" s="31">
        <v>0</v>
      </c>
    </row>
    <row r="157" spans="1:55" x14ac:dyDescent="0.25">
      <c r="A157" s="27" t="s">
        <v>32</v>
      </c>
      <c r="B157" s="31">
        <v>208</v>
      </c>
      <c r="C157" s="31">
        <v>255</v>
      </c>
      <c r="D157" s="31">
        <v>444</v>
      </c>
      <c r="E157" s="31">
        <v>617</v>
      </c>
      <c r="F157" s="31">
        <v>459</v>
      </c>
      <c r="G157" s="31">
        <v>688</v>
      </c>
      <c r="H157" s="31">
        <v>587</v>
      </c>
      <c r="I157" s="31">
        <v>776</v>
      </c>
      <c r="J157" s="31">
        <v>562</v>
      </c>
      <c r="K157" s="31">
        <v>654</v>
      </c>
      <c r="L157" s="31">
        <v>448</v>
      </c>
      <c r="M157" s="31">
        <v>631</v>
      </c>
      <c r="N157" s="31">
        <v>1122</v>
      </c>
      <c r="O157" s="31">
        <v>1946</v>
      </c>
      <c r="P157" s="31">
        <v>1022</v>
      </c>
      <c r="Q157" s="31">
        <v>2216</v>
      </c>
      <c r="R157" s="31">
        <v>1325</v>
      </c>
      <c r="S157" s="31">
        <v>1854</v>
      </c>
      <c r="T157" s="31">
        <v>1815</v>
      </c>
      <c r="U157" s="31">
        <v>2613</v>
      </c>
      <c r="V157" s="31">
        <v>2352</v>
      </c>
      <c r="W157" s="31">
        <v>3890</v>
      </c>
      <c r="X157" s="31">
        <v>1802</v>
      </c>
      <c r="Y157" s="31">
        <v>2557</v>
      </c>
      <c r="Z157" s="31">
        <v>2051</v>
      </c>
      <c r="AA157" s="31">
        <v>3104</v>
      </c>
      <c r="AB157" s="31">
        <v>2527</v>
      </c>
      <c r="AC157" s="31">
        <v>4141</v>
      </c>
      <c r="AD157" s="31">
        <v>2980</v>
      </c>
      <c r="AE157" s="31">
        <v>4575</v>
      </c>
      <c r="AF157" s="31">
        <v>3154</v>
      </c>
      <c r="AG157" s="31">
        <v>5154</v>
      </c>
      <c r="AH157" s="31">
        <v>3686</v>
      </c>
      <c r="AI157" s="31">
        <v>5530</v>
      </c>
      <c r="AJ157" s="31">
        <v>3884</v>
      </c>
      <c r="AK157" s="31">
        <v>6071</v>
      </c>
      <c r="AL157" s="31">
        <v>4070</v>
      </c>
      <c r="AM157" s="31">
        <v>6180</v>
      </c>
      <c r="AN157" s="31">
        <v>4070</v>
      </c>
      <c r="AO157" s="31">
        <v>6443</v>
      </c>
      <c r="AP157" s="31">
        <v>3976</v>
      </c>
      <c r="AQ157" s="31">
        <v>6167</v>
      </c>
      <c r="AR157" s="31">
        <v>3184</v>
      </c>
      <c r="AS157" s="31">
        <v>5127</v>
      </c>
      <c r="AT157" s="31">
        <v>4511</v>
      </c>
      <c r="AU157" s="31">
        <v>7104</v>
      </c>
      <c r="AV157" s="31">
        <v>4823</v>
      </c>
      <c r="AW157" s="31">
        <v>7465</v>
      </c>
      <c r="AX157" s="31">
        <v>4620</v>
      </c>
      <c r="AY157" s="31">
        <v>7166</v>
      </c>
      <c r="AZ157" s="31">
        <v>0</v>
      </c>
      <c r="BA157" s="31">
        <v>4759</v>
      </c>
      <c r="BB157" s="31">
        <v>6807</v>
      </c>
      <c r="BC157" s="31">
        <v>0</v>
      </c>
    </row>
    <row r="158" spans="1:55" x14ac:dyDescent="0.25">
      <c r="A158" s="27" t="s">
        <v>68</v>
      </c>
      <c r="B158" s="31">
        <v>0</v>
      </c>
      <c r="C158" s="31">
        <v>0</v>
      </c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849</v>
      </c>
      <c r="S158" s="31">
        <v>1116</v>
      </c>
      <c r="T158" s="31">
        <v>777</v>
      </c>
      <c r="U158" s="31">
        <v>1308</v>
      </c>
      <c r="V158" s="31">
        <v>953</v>
      </c>
      <c r="W158" s="31">
        <v>1580</v>
      </c>
      <c r="X158" s="31">
        <v>868</v>
      </c>
      <c r="Y158" s="31">
        <v>1330</v>
      </c>
      <c r="Z158" s="31">
        <v>1172</v>
      </c>
      <c r="AA158" s="31">
        <v>1939</v>
      </c>
      <c r="AB158" s="31">
        <v>1289</v>
      </c>
      <c r="AC158" s="31">
        <v>2096</v>
      </c>
      <c r="AD158" s="31">
        <v>1476</v>
      </c>
      <c r="AE158" s="31">
        <v>2764</v>
      </c>
      <c r="AF158" s="31">
        <v>1719</v>
      </c>
      <c r="AG158" s="31">
        <v>2702</v>
      </c>
      <c r="AH158" s="31">
        <v>1909</v>
      </c>
      <c r="AI158" s="31">
        <v>2953</v>
      </c>
      <c r="AJ158" s="31">
        <v>2014</v>
      </c>
      <c r="AK158" s="31">
        <v>3104</v>
      </c>
      <c r="AL158" s="31">
        <v>2011</v>
      </c>
      <c r="AM158" s="31">
        <v>3287</v>
      </c>
      <c r="AN158" s="31">
        <v>2061</v>
      </c>
      <c r="AO158" s="31">
        <v>3686</v>
      </c>
      <c r="AP158" s="31">
        <v>1932</v>
      </c>
      <c r="AQ158" s="31">
        <v>3035</v>
      </c>
      <c r="AR158" s="31">
        <v>1330</v>
      </c>
      <c r="AS158" s="31">
        <v>2079</v>
      </c>
      <c r="AT158" s="31">
        <v>1920</v>
      </c>
      <c r="AU158" s="31">
        <v>3520</v>
      </c>
      <c r="AV158" s="31">
        <v>2005</v>
      </c>
      <c r="AW158" s="31">
        <v>3223</v>
      </c>
      <c r="AX158" s="31">
        <v>2262</v>
      </c>
      <c r="AY158" s="31">
        <v>3064</v>
      </c>
      <c r="AZ158" s="31">
        <v>0</v>
      </c>
      <c r="BA158" s="31">
        <v>1959</v>
      </c>
      <c r="BB158" s="31">
        <v>2818</v>
      </c>
      <c r="BC158" s="31">
        <v>0</v>
      </c>
    </row>
    <row r="159" spans="1:55" x14ac:dyDescent="0.25">
      <c r="A159" s="27" t="s">
        <v>33</v>
      </c>
      <c r="B159" s="31">
        <v>2244</v>
      </c>
      <c r="C159" s="31">
        <v>2528</v>
      </c>
      <c r="D159" s="31">
        <v>2072</v>
      </c>
      <c r="E159" s="31">
        <v>2213</v>
      </c>
      <c r="F159" s="31">
        <v>2927</v>
      </c>
      <c r="G159" s="31">
        <v>3247</v>
      </c>
      <c r="H159" s="31">
        <v>2679</v>
      </c>
      <c r="I159" s="31">
        <v>3092</v>
      </c>
      <c r="J159" s="31">
        <v>3272</v>
      </c>
      <c r="K159" s="31">
        <v>3824</v>
      </c>
      <c r="L159" s="31">
        <v>3218</v>
      </c>
      <c r="M159" s="31">
        <v>3710</v>
      </c>
      <c r="N159" s="31">
        <v>3821</v>
      </c>
      <c r="O159" s="31">
        <v>4758</v>
      </c>
      <c r="P159" s="31">
        <v>4506</v>
      </c>
      <c r="Q159" s="31">
        <v>5610</v>
      </c>
      <c r="R159" s="31">
        <v>4891</v>
      </c>
      <c r="S159" s="31">
        <v>6057</v>
      </c>
      <c r="T159" s="31">
        <v>5654</v>
      </c>
      <c r="U159" s="31">
        <v>7398</v>
      </c>
      <c r="V159" s="31">
        <v>5827</v>
      </c>
      <c r="W159" s="31">
        <v>7049</v>
      </c>
      <c r="X159" s="31">
        <v>5496</v>
      </c>
      <c r="Y159" s="31">
        <v>6832</v>
      </c>
      <c r="Z159" s="31">
        <v>6438</v>
      </c>
      <c r="AA159" s="31">
        <v>8113</v>
      </c>
      <c r="AB159" s="31">
        <v>7420</v>
      </c>
      <c r="AC159" s="31">
        <v>9389</v>
      </c>
      <c r="AD159" s="31">
        <v>8603</v>
      </c>
      <c r="AE159" s="31">
        <v>11855</v>
      </c>
      <c r="AF159" s="31">
        <v>9646</v>
      </c>
      <c r="AG159" s="31">
        <v>12585</v>
      </c>
      <c r="AH159" s="31">
        <v>10667</v>
      </c>
      <c r="AI159" s="31">
        <v>13756</v>
      </c>
      <c r="AJ159" s="31">
        <v>10518</v>
      </c>
      <c r="AK159" s="31">
        <v>14614</v>
      </c>
      <c r="AL159" s="31">
        <v>11112</v>
      </c>
      <c r="AM159" s="31">
        <v>15033</v>
      </c>
      <c r="AN159" s="31">
        <v>11406</v>
      </c>
      <c r="AO159" s="31">
        <v>15452</v>
      </c>
      <c r="AP159" s="31">
        <v>10873</v>
      </c>
      <c r="AQ159" s="31">
        <v>14916</v>
      </c>
      <c r="AR159" s="31">
        <v>8580</v>
      </c>
      <c r="AS159" s="31">
        <v>11387</v>
      </c>
      <c r="AT159" s="31">
        <v>11623</v>
      </c>
      <c r="AU159" s="31">
        <v>16605</v>
      </c>
      <c r="AV159" s="31">
        <v>11336</v>
      </c>
      <c r="AW159" s="31">
        <v>15622</v>
      </c>
      <c r="AX159" s="31">
        <v>12216</v>
      </c>
      <c r="AY159" s="31">
        <v>15651</v>
      </c>
      <c r="AZ159" s="31">
        <v>0</v>
      </c>
      <c r="BA159" s="31">
        <v>11403</v>
      </c>
      <c r="BB159" s="31">
        <v>14413</v>
      </c>
      <c r="BC159" s="31">
        <v>1</v>
      </c>
    </row>
    <row r="160" spans="1:55" x14ac:dyDescent="0.25">
      <c r="A160" s="27" t="s">
        <v>34</v>
      </c>
      <c r="B160" s="31">
        <v>477</v>
      </c>
      <c r="C160" s="31">
        <v>631</v>
      </c>
      <c r="D160" s="31">
        <v>528</v>
      </c>
      <c r="E160" s="31">
        <v>670</v>
      </c>
      <c r="F160" s="31">
        <v>593</v>
      </c>
      <c r="G160" s="31">
        <v>844</v>
      </c>
      <c r="H160" s="31">
        <v>904</v>
      </c>
      <c r="I160" s="31">
        <v>1349</v>
      </c>
      <c r="J160" s="31">
        <v>1210</v>
      </c>
      <c r="K160" s="31">
        <v>1429</v>
      </c>
      <c r="L160" s="31">
        <v>932</v>
      </c>
      <c r="M160" s="31">
        <v>1368</v>
      </c>
      <c r="N160" s="31">
        <v>1260</v>
      </c>
      <c r="O160" s="31">
        <v>1744</v>
      </c>
      <c r="P160" s="31">
        <v>1245</v>
      </c>
      <c r="Q160" s="31">
        <v>1865</v>
      </c>
      <c r="R160" s="31">
        <v>1945</v>
      </c>
      <c r="S160" s="31">
        <v>2876</v>
      </c>
      <c r="T160" s="31">
        <v>2298</v>
      </c>
      <c r="U160" s="31">
        <v>3512</v>
      </c>
      <c r="V160" s="31">
        <v>2526</v>
      </c>
      <c r="W160" s="31">
        <v>3362</v>
      </c>
      <c r="X160" s="31">
        <v>2427</v>
      </c>
      <c r="Y160" s="31">
        <v>3488</v>
      </c>
      <c r="Z160" s="31">
        <v>2476</v>
      </c>
      <c r="AA160" s="31">
        <v>3883</v>
      </c>
      <c r="AB160" s="31">
        <v>2741</v>
      </c>
      <c r="AC160" s="31">
        <v>4075</v>
      </c>
      <c r="AD160" s="31">
        <v>2982</v>
      </c>
      <c r="AE160" s="31">
        <v>4773</v>
      </c>
      <c r="AF160" s="31">
        <v>3685</v>
      </c>
      <c r="AG160" s="31">
        <v>5683</v>
      </c>
      <c r="AH160" s="31">
        <v>3891</v>
      </c>
      <c r="AI160" s="31">
        <v>6476</v>
      </c>
      <c r="AJ160" s="31">
        <v>4268</v>
      </c>
      <c r="AK160" s="31">
        <v>7271</v>
      </c>
      <c r="AL160" s="31">
        <v>4045</v>
      </c>
      <c r="AM160" s="31">
        <v>6945</v>
      </c>
      <c r="AN160" s="31">
        <v>4212</v>
      </c>
      <c r="AO160" s="31">
        <v>7053</v>
      </c>
      <c r="AP160" s="31">
        <v>4389</v>
      </c>
      <c r="AQ160" s="31">
        <v>6827</v>
      </c>
      <c r="AR160" s="31">
        <v>2913</v>
      </c>
      <c r="AS160" s="31">
        <v>4859</v>
      </c>
      <c r="AT160" s="31">
        <v>4804</v>
      </c>
      <c r="AU160" s="31">
        <v>8043</v>
      </c>
      <c r="AV160" s="31">
        <v>5375</v>
      </c>
      <c r="AW160" s="31">
        <v>9024</v>
      </c>
      <c r="AX160" s="31">
        <v>5313</v>
      </c>
      <c r="AY160" s="31">
        <v>8684</v>
      </c>
      <c r="AZ160" s="31">
        <v>0</v>
      </c>
      <c r="BA160" s="31">
        <v>6244</v>
      </c>
      <c r="BB160" s="31">
        <v>10561</v>
      </c>
      <c r="BC160" s="31">
        <v>0</v>
      </c>
    </row>
    <row r="161" spans="1:55" x14ac:dyDescent="0.25">
      <c r="A161" s="27" t="s">
        <v>38</v>
      </c>
      <c r="B161" s="31">
        <v>0</v>
      </c>
      <c r="C161" s="31">
        <v>0</v>
      </c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876</v>
      </c>
      <c r="S161" s="31">
        <v>881</v>
      </c>
      <c r="T161" s="31">
        <v>773</v>
      </c>
      <c r="U161" s="31">
        <v>1027</v>
      </c>
      <c r="V161" s="31">
        <v>1025</v>
      </c>
      <c r="W161" s="31">
        <v>1285</v>
      </c>
      <c r="X161" s="31">
        <v>892</v>
      </c>
      <c r="Y161" s="31">
        <v>954</v>
      </c>
      <c r="Z161" s="31">
        <v>1020</v>
      </c>
      <c r="AA161" s="31">
        <v>1309</v>
      </c>
      <c r="AB161" s="31">
        <v>906</v>
      </c>
      <c r="AC161" s="31">
        <v>1361</v>
      </c>
      <c r="AD161" s="31">
        <v>1246</v>
      </c>
      <c r="AE161" s="31">
        <v>1524</v>
      </c>
      <c r="AF161" s="31">
        <v>1380</v>
      </c>
      <c r="AG161" s="31">
        <v>1698</v>
      </c>
      <c r="AH161" s="31">
        <v>1401</v>
      </c>
      <c r="AI161" s="31">
        <v>1911</v>
      </c>
      <c r="AJ161" s="31">
        <v>1441</v>
      </c>
      <c r="AK161" s="31">
        <v>2067</v>
      </c>
      <c r="AL161" s="31">
        <v>1656</v>
      </c>
      <c r="AM161" s="31">
        <v>2186</v>
      </c>
      <c r="AN161" s="31">
        <v>1525</v>
      </c>
      <c r="AO161" s="31">
        <v>2247</v>
      </c>
      <c r="AP161" s="31">
        <v>1635</v>
      </c>
      <c r="AQ161" s="31">
        <v>2451</v>
      </c>
      <c r="AR161" s="31">
        <v>1316</v>
      </c>
      <c r="AS161" s="31">
        <v>1684</v>
      </c>
      <c r="AT161" s="31">
        <v>1916</v>
      </c>
      <c r="AU161" s="31">
        <v>2838</v>
      </c>
      <c r="AV161" s="31">
        <v>2007</v>
      </c>
      <c r="AW161" s="31">
        <v>2852</v>
      </c>
      <c r="AX161" s="31">
        <v>2026</v>
      </c>
      <c r="AY161" s="31">
        <v>2756</v>
      </c>
      <c r="AZ161" s="31">
        <v>0</v>
      </c>
      <c r="BA161" s="31">
        <v>2240</v>
      </c>
      <c r="BB161" s="31">
        <v>2858</v>
      </c>
      <c r="BC161" s="31">
        <v>0</v>
      </c>
    </row>
    <row r="162" spans="1:55" x14ac:dyDescent="0.25">
      <c r="A162" s="27" t="s">
        <v>35</v>
      </c>
      <c r="B162" s="31">
        <v>835</v>
      </c>
      <c r="C162" s="31">
        <v>868</v>
      </c>
      <c r="D162" s="31">
        <v>924</v>
      </c>
      <c r="E162" s="31">
        <v>1189</v>
      </c>
      <c r="F162" s="31">
        <v>712</v>
      </c>
      <c r="G162" s="31">
        <v>759</v>
      </c>
      <c r="H162" s="31">
        <v>825</v>
      </c>
      <c r="I162" s="31">
        <v>1047</v>
      </c>
      <c r="J162" s="31">
        <v>945</v>
      </c>
      <c r="K162" s="31">
        <v>1095</v>
      </c>
      <c r="L162" s="31">
        <v>457</v>
      </c>
      <c r="M162" s="31">
        <v>668</v>
      </c>
      <c r="N162" s="31">
        <v>875</v>
      </c>
      <c r="O162" s="31">
        <v>1255</v>
      </c>
      <c r="P162" s="31">
        <v>999</v>
      </c>
      <c r="Q162" s="31">
        <v>1394</v>
      </c>
      <c r="R162" s="31">
        <v>837</v>
      </c>
      <c r="S162" s="31">
        <v>1469</v>
      </c>
      <c r="T162" s="31">
        <v>1017</v>
      </c>
      <c r="U162" s="31">
        <v>1780</v>
      </c>
      <c r="V162" s="31">
        <v>1251</v>
      </c>
      <c r="W162" s="31">
        <v>2226</v>
      </c>
      <c r="X162" s="31">
        <v>1239</v>
      </c>
      <c r="Y162" s="31">
        <v>2096</v>
      </c>
      <c r="Z162" s="31">
        <v>1445</v>
      </c>
      <c r="AA162" s="31">
        <v>2410</v>
      </c>
      <c r="AB162" s="31">
        <v>1672</v>
      </c>
      <c r="AC162" s="31">
        <v>3177</v>
      </c>
      <c r="AD162" s="31">
        <v>1832</v>
      </c>
      <c r="AE162" s="31">
        <v>3282</v>
      </c>
      <c r="AF162" s="31">
        <v>2195</v>
      </c>
      <c r="AG162" s="31">
        <v>3462</v>
      </c>
      <c r="AH162" s="31">
        <v>2484</v>
      </c>
      <c r="AI162" s="31">
        <v>4021</v>
      </c>
      <c r="AJ162" s="31">
        <v>2981</v>
      </c>
      <c r="AK162" s="31">
        <v>4862</v>
      </c>
      <c r="AL162" s="31">
        <v>3319</v>
      </c>
      <c r="AM162" s="31">
        <v>5389</v>
      </c>
      <c r="AN162" s="31">
        <v>3356</v>
      </c>
      <c r="AO162" s="31">
        <v>5536</v>
      </c>
      <c r="AP162" s="31">
        <v>3124</v>
      </c>
      <c r="AQ162" s="31">
        <v>4767</v>
      </c>
      <c r="AR162" s="31">
        <v>2537</v>
      </c>
      <c r="AS162" s="31">
        <v>4012</v>
      </c>
      <c r="AT162" s="31">
        <v>3159</v>
      </c>
      <c r="AU162" s="31">
        <v>5527</v>
      </c>
      <c r="AV162" s="31">
        <v>3096</v>
      </c>
      <c r="AW162" s="31">
        <v>4937</v>
      </c>
      <c r="AX162" s="31">
        <v>3462</v>
      </c>
      <c r="AY162" s="31">
        <v>5280</v>
      </c>
      <c r="AZ162" s="31">
        <v>0</v>
      </c>
      <c r="BA162" s="31">
        <v>3358</v>
      </c>
      <c r="BB162" s="31">
        <v>5044</v>
      </c>
      <c r="BC162" s="31">
        <v>0</v>
      </c>
    </row>
    <row r="163" spans="1:55" x14ac:dyDescent="0.25">
      <c r="A163" s="27" t="s">
        <v>36</v>
      </c>
      <c r="B163" s="31">
        <v>0</v>
      </c>
      <c r="C163" s="31">
        <v>0</v>
      </c>
      <c r="D163" s="31">
        <v>0</v>
      </c>
      <c r="E163" s="31">
        <v>0</v>
      </c>
      <c r="F163" s="31">
        <v>0</v>
      </c>
      <c r="G163" s="31">
        <v>0</v>
      </c>
      <c r="H163" s="31">
        <v>2</v>
      </c>
      <c r="I163" s="31">
        <v>3</v>
      </c>
      <c r="J163" s="31">
        <v>40</v>
      </c>
      <c r="K163" s="31">
        <v>64</v>
      </c>
      <c r="L163" s="31">
        <v>9</v>
      </c>
      <c r="M163" s="31">
        <v>34</v>
      </c>
      <c r="N163" s="31">
        <v>23</v>
      </c>
      <c r="O163" s="31">
        <v>58</v>
      </c>
      <c r="P163" s="31">
        <v>31</v>
      </c>
      <c r="Q163" s="31">
        <v>71</v>
      </c>
      <c r="R163" s="31">
        <v>84</v>
      </c>
      <c r="S163" s="31">
        <v>124</v>
      </c>
      <c r="T163" s="31">
        <v>62</v>
      </c>
      <c r="U163" s="31">
        <v>84</v>
      </c>
      <c r="V163" s="31">
        <v>71</v>
      </c>
      <c r="W163" s="31">
        <v>131</v>
      </c>
      <c r="X163" s="31">
        <v>103</v>
      </c>
      <c r="Y163" s="31">
        <v>164</v>
      </c>
      <c r="Z163" s="31">
        <v>81</v>
      </c>
      <c r="AA163" s="31">
        <v>147</v>
      </c>
      <c r="AB163" s="31">
        <v>45</v>
      </c>
      <c r="AC163" s="31">
        <v>132</v>
      </c>
      <c r="AD163" s="31">
        <v>84</v>
      </c>
      <c r="AE163" s="31">
        <v>131</v>
      </c>
      <c r="AF163" s="31">
        <v>166</v>
      </c>
      <c r="AG163" s="31">
        <v>244</v>
      </c>
      <c r="AH163" s="31">
        <v>164</v>
      </c>
      <c r="AI163" s="31">
        <v>240</v>
      </c>
      <c r="AJ163" s="31">
        <v>156</v>
      </c>
      <c r="AK163" s="31">
        <v>302</v>
      </c>
      <c r="AL163" s="31">
        <v>195</v>
      </c>
      <c r="AM163" s="31">
        <v>373</v>
      </c>
      <c r="AN163" s="31">
        <v>194</v>
      </c>
      <c r="AO163" s="31">
        <v>393</v>
      </c>
      <c r="AP163" s="31">
        <v>187</v>
      </c>
      <c r="AQ163" s="31">
        <v>336</v>
      </c>
      <c r="AR163" s="31">
        <v>158</v>
      </c>
      <c r="AS163" s="31">
        <v>343</v>
      </c>
      <c r="AT163" s="31">
        <v>207</v>
      </c>
      <c r="AU163" s="31">
        <v>378</v>
      </c>
      <c r="AV163" s="31">
        <v>171</v>
      </c>
      <c r="AW163" s="31">
        <v>358</v>
      </c>
      <c r="AX163" s="31">
        <v>174</v>
      </c>
      <c r="AY163" s="31">
        <v>249</v>
      </c>
      <c r="AZ163" s="31">
        <v>0</v>
      </c>
      <c r="BA163" s="31">
        <v>178</v>
      </c>
      <c r="BB163" s="31">
        <v>254</v>
      </c>
      <c r="BC163" s="31">
        <v>0</v>
      </c>
    </row>
    <row r="164" spans="1:55" x14ac:dyDescent="0.25">
      <c r="A164" s="27" t="s">
        <v>37</v>
      </c>
      <c r="B164" s="31">
        <v>138</v>
      </c>
      <c r="C164" s="31">
        <v>106</v>
      </c>
      <c r="D164" s="31">
        <v>189</v>
      </c>
      <c r="E164" s="31">
        <v>221</v>
      </c>
      <c r="F164" s="31">
        <v>161</v>
      </c>
      <c r="G164" s="31">
        <v>193</v>
      </c>
      <c r="H164" s="31">
        <v>227</v>
      </c>
      <c r="I164" s="31">
        <v>209</v>
      </c>
      <c r="J164" s="31">
        <v>218</v>
      </c>
      <c r="K164" s="31">
        <v>264</v>
      </c>
      <c r="L164" s="31">
        <v>180</v>
      </c>
      <c r="M164" s="31">
        <v>295</v>
      </c>
      <c r="N164" s="31">
        <v>302</v>
      </c>
      <c r="O164" s="31">
        <v>831</v>
      </c>
      <c r="P164" s="31">
        <v>312</v>
      </c>
      <c r="Q164" s="31">
        <v>516</v>
      </c>
      <c r="R164" s="31">
        <v>375</v>
      </c>
      <c r="S164" s="31">
        <v>410</v>
      </c>
      <c r="T164" s="31">
        <v>429</v>
      </c>
      <c r="U164" s="31">
        <v>519</v>
      </c>
      <c r="V164" s="31">
        <v>538</v>
      </c>
      <c r="W164" s="31">
        <v>576</v>
      </c>
      <c r="X164" s="31">
        <v>389</v>
      </c>
      <c r="Y164" s="31">
        <v>431</v>
      </c>
      <c r="Z164" s="31">
        <v>491</v>
      </c>
      <c r="AA164" s="31">
        <v>628</v>
      </c>
      <c r="AB164" s="31">
        <v>474</v>
      </c>
      <c r="AC164" s="31">
        <v>577</v>
      </c>
      <c r="AD164" s="31">
        <v>525</v>
      </c>
      <c r="AE164" s="31">
        <v>703</v>
      </c>
      <c r="AF164" s="31">
        <v>553</v>
      </c>
      <c r="AG164" s="31">
        <v>705</v>
      </c>
      <c r="AH164" s="31">
        <v>632</v>
      </c>
      <c r="AI164" s="31">
        <v>791</v>
      </c>
      <c r="AJ164" s="31">
        <v>543</v>
      </c>
      <c r="AK164" s="31">
        <v>683</v>
      </c>
      <c r="AL164" s="31">
        <v>674</v>
      </c>
      <c r="AM164" s="31">
        <v>873</v>
      </c>
      <c r="AN164" s="31">
        <v>669</v>
      </c>
      <c r="AO164" s="31">
        <v>921</v>
      </c>
      <c r="AP164" s="31">
        <v>541</v>
      </c>
      <c r="AQ164" s="31">
        <v>641</v>
      </c>
      <c r="AR164" s="31">
        <v>382</v>
      </c>
      <c r="AS164" s="31">
        <v>520</v>
      </c>
      <c r="AT164" s="31">
        <v>602</v>
      </c>
      <c r="AU164" s="31">
        <v>778</v>
      </c>
      <c r="AV164" s="31">
        <v>659</v>
      </c>
      <c r="AW164" s="31">
        <v>933</v>
      </c>
      <c r="AX164" s="31">
        <v>582</v>
      </c>
      <c r="AY164" s="31">
        <v>739</v>
      </c>
      <c r="AZ164" s="31">
        <v>0</v>
      </c>
      <c r="BA164" s="31">
        <v>648</v>
      </c>
      <c r="BB164" s="31">
        <v>680</v>
      </c>
      <c r="BC164" s="31"/>
    </row>
    <row r="165" spans="1:55" x14ac:dyDescent="0.25">
      <c r="A165" s="27" t="s">
        <v>71</v>
      </c>
      <c r="B165" s="31">
        <v>616</v>
      </c>
      <c r="C165" s="31">
        <v>925</v>
      </c>
      <c r="D165" s="31">
        <v>0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0</v>
      </c>
      <c r="AI165" s="31">
        <v>0</v>
      </c>
      <c r="AJ165" s="31">
        <v>0</v>
      </c>
      <c r="AK165" s="31">
        <v>0</v>
      </c>
      <c r="AL165" s="31">
        <v>0</v>
      </c>
      <c r="AM165" s="31">
        <v>0</v>
      </c>
      <c r="AN165" s="31">
        <v>0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0</v>
      </c>
      <c r="AY165" s="31">
        <v>0</v>
      </c>
      <c r="AZ165" s="31">
        <v>0</v>
      </c>
      <c r="BA165" s="31">
        <v>0</v>
      </c>
      <c r="BB165" s="31">
        <v>0</v>
      </c>
      <c r="BC165" s="31">
        <v>0</v>
      </c>
    </row>
    <row r="166" spans="1:55" x14ac:dyDescent="0.25">
      <c r="A166" s="26" t="s">
        <v>15</v>
      </c>
      <c r="B166" s="33">
        <v>18503</v>
      </c>
      <c r="C166" s="33">
        <v>19111</v>
      </c>
      <c r="D166" s="33">
        <f>SUM(D149:D165)</f>
        <v>22777</v>
      </c>
      <c r="E166" s="33">
        <f>SUM(E149:E165)</f>
        <v>23929</v>
      </c>
      <c r="F166" s="33">
        <v>26454</v>
      </c>
      <c r="G166" s="33">
        <v>26598</v>
      </c>
      <c r="H166" s="33">
        <v>28890</v>
      </c>
      <c r="I166" s="33">
        <v>29670</v>
      </c>
      <c r="J166" s="33">
        <v>28224</v>
      </c>
      <c r="K166" s="33">
        <v>30675</v>
      </c>
      <c r="L166" s="33">
        <v>24939</v>
      </c>
      <c r="M166" s="33">
        <v>27634</v>
      </c>
      <c r="N166" s="33">
        <v>36401</v>
      </c>
      <c r="O166" s="33">
        <v>40951</v>
      </c>
      <c r="P166" s="33">
        <v>39880</v>
      </c>
      <c r="Q166" s="33">
        <v>44530</v>
      </c>
      <c r="R166" s="33">
        <v>45374</v>
      </c>
      <c r="S166" s="33">
        <v>52250</v>
      </c>
      <c r="T166" s="33">
        <v>49535</v>
      </c>
      <c r="U166" s="33">
        <v>62378</v>
      </c>
      <c r="V166" s="33">
        <v>55717</v>
      </c>
      <c r="W166" s="33">
        <v>67802</v>
      </c>
      <c r="X166" s="33">
        <v>54383</v>
      </c>
      <c r="Y166" s="33">
        <v>64722</v>
      </c>
      <c r="Z166" s="33">
        <v>60698</v>
      </c>
      <c r="AA166" s="33">
        <v>76375</v>
      </c>
      <c r="AB166" s="33">
        <v>68253</v>
      </c>
      <c r="AC166" s="33">
        <v>87747</v>
      </c>
      <c r="AD166" s="33">
        <v>79379</v>
      </c>
      <c r="AE166" s="33">
        <v>102800</v>
      </c>
      <c r="AF166" s="33">
        <v>87227</v>
      </c>
      <c r="AG166" s="33">
        <v>110331</v>
      </c>
      <c r="AH166" s="33">
        <v>96116</v>
      </c>
      <c r="AI166" s="33">
        <v>120471</v>
      </c>
      <c r="AJ166" s="33">
        <v>100299</v>
      </c>
      <c r="AK166" s="33">
        <v>130207</v>
      </c>
      <c r="AL166" s="33">
        <v>105800</v>
      </c>
      <c r="AM166" s="33">
        <v>138206</v>
      </c>
      <c r="AN166" s="33">
        <v>108786</v>
      </c>
      <c r="AO166" s="33">
        <v>141563</v>
      </c>
      <c r="AP166" s="33">
        <v>106459</v>
      </c>
      <c r="AQ166" s="33">
        <v>140160</v>
      </c>
      <c r="AR166" s="33">
        <v>88552</v>
      </c>
      <c r="AS166" s="33">
        <v>115045</v>
      </c>
      <c r="AT166" s="33">
        <v>118203</v>
      </c>
      <c r="AU166" s="33">
        <v>163286</v>
      </c>
      <c r="AV166" s="33">
        <v>125257</v>
      </c>
      <c r="AW166" s="33">
        <v>166196</v>
      </c>
      <c r="AX166" s="33">
        <v>131239</v>
      </c>
      <c r="AY166" s="33">
        <v>168557</v>
      </c>
      <c r="AZ166" s="33">
        <v>3</v>
      </c>
      <c r="BA166" s="33">
        <v>132797</v>
      </c>
      <c r="BB166" s="33">
        <v>169933</v>
      </c>
      <c r="BC166" s="33">
        <v>2</v>
      </c>
    </row>
    <row r="167" spans="1:55" x14ac:dyDescent="0.25">
      <c r="B167" s="48">
        <f>B166/(B166+C166)</f>
        <v>0.49191790290849152</v>
      </c>
      <c r="C167" s="38"/>
      <c r="E167" s="38"/>
      <c r="G167" s="38"/>
      <c r="I167" s="38"/>
      <c r="J167" s="38"/>
      <c r="K167" s="38"/>
      <c r="M167" s="38"/>
      <c r="O167" s="38"/>
      <c r="Q167" s="38"/>
      <c r="S167" s="38"/>
      <c r="U167" s="38"/>
      <c r="W167" s="38"/>
      <c r="Y167" s="38"/>
      <c r="AA167" s="38"/>
      <c r="AC167" s="38"/>
      <c r="AE167" s="38"/>
      <c r="AG167" s="38"/>
      <c r="AI167" s="38"/>
      <c r="AK167" s="38"/>
      <c r="AM167" s="44"/>
    </row>
    <row r="168" spans="1:55" x14ac:dyDescent="0.25">
      <c r="R168" s="48"/>
      <c r="S168" s="48"/>
    </row>
    <row r="169" spans="1:55" ht="15.75" x14ac:dyDescent="0.25">
      <c r="A169" s="24" t="s">
        <v>94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55" x14ac:dyDescent="0.25">
      <c r="A170" s="59" t="s">
        <v>25</v>
      </c>
      <c r="B170" s="58">
        <v>1999</v>
      </c>
      <c r="C170" s="58"/>
      <c r="D170" s="58">
        <v>2000</v>
      </c>
      <c r="E170" s="58"/>
      <c r="F170" s="58">
        <v>2001</v>
      </c>
      <c r="G170" s="58"/>
      <c r="H170" s="58">
        <v>2002</v>
      </c>
      <c r="I170" s="58"/>
      <c r="J170" s="58">
        <v>2003</v>
      </c>
      <c r="K170" s="58"/>
      <c r="L170" s="58">
        <v>2004</v>
      </c>
      <c r="M170" s="58"/>
      <c r="N170" s="58">
        <v>2005</v>
      </c>
      <c r="O170" s="58"/>
      <c r="P170" s="58">
        <v>2006</v>
      </c>
      <c r="Q170" s="58"/>
      <c r="R170" s="58">
        <v>2007</v>
      </c>
      <c r="S170" s="58"/>
      <c r="T170" s="58">
        <v>2008</v>
      </c>
      <c r="U170" s="58"/>
      <c r="V170" s="58">
        <v>2009</v>
      </c>
      <c r="W170" s="58"/>
      <c r="X170" s="58">
        <v>2010</v>
      </c>
      <c r="Y170" s="58"/>
      <c r="Z170" s="58">
        <v>2011</v>
      </c>
      <c r="AA170" s="58"/>
      <c r="AB170" s="58">
        <v>2012</v>
      </c>
      <c r="AC170" s="58"/>
      <c r="AD170" s="58">
        <v>2013</v>
      </c>
      <c r="AE170" s="58"/>
      <c r="AF170" s="58">
        <v>2014</v>
      </c>
      <c r="AG170" s="58"/>
      <c r="AH170" s="58">
        <v>2015</v>
      </c>
      <c r="AI170" s="58"/>
      <c r="AJ170" s="58">
        <v>2016</v>
      </c>
      <c r="AK170" s="58"/>
      <c r="AL170" s="58">
        <v>2017</v>
      </c>
      <c r="AM170" s="58"/>
      <c r="AN170" s="58">
        <v>2018</v>
      </c>
      <c r="AO170" s="58"/>
      <c r="AP170" s="58">
        <v>2019</v>
      </c>
      <c r="AQ170" s="58"/>
      <c r="AR170" s="58">
        <v>2020</v>
      </c>
      <c r="AS170" s="58"/>
      <c r="AT170" s="58">
        <v>2021</v>
      </c>
      <c r="AU170" s="58"/>
      <c r="AV170" s="58">
        <v>2022</v>
      </c>
      <c r="AW170" s="58"/>
      <c r="AX170" s="60">
        <v>2023</v>
      </c>
      <c r="AY170" s="61"/>
      <c r="AZ170" s="62"/>
      <c r="BA170" s="60">
        <v>2024</v>
      </c>
      <c r="BB170" s="61"/>
      <c r="BC170" s="62"/>
    </row>
    <row r="171" spans="1:55" x14ac:dyDescent="0.25">
      <c r="A171" s="59"/>
      <c r="B171" s="18" t="s">
        <v>64</v>
      </c>
      <c r="C171" s="18" t="s">
        <v>65</v>
      </c>
      <c r="D171" s="18" t="s">
        <v>64</v>
      </c>
      <c r="E171" s="18" t="s">
        <v>65</v>
      </c>
      <c r="F171" s="18" t="s">
        <v>64</v>
      </c>
      <c r="G171" s="18" t="s">
        <v>65</v>
      </c>
      <c r="H171" s="18" t="s">
        <v>64</v>
      </c>
      <c r="I171" s="18" t="s">
        <v>65</v>
      </c>
      <c r="J171" s="18" t="s">
        <v>64</v>
      </c>
      <c r="K171" s="18" t="s">
        <v>65</v>
      </c>
      <c r="L171" s="18" t="s">
        <v>64</v>
      </c>
      <c r="M171" s="18" t="s">
        <v>65</v>
      </c>
      <c r="N171" s="18" t="s">
        <v>64</v>
      </c>
      <c r="O171" s="18" t="s">
        <v>65</v>
      </c>
      <c r="P171" s="18" t="s">
        <v>64</v>
      </c>
      <c r="Q171" s="18" t="s">
        <v>65</v>
      </c>
      <c r="R171" s="18" t="s">
        <v>64</v>
      </c>
      <c r="S171" s="18" t="s">
        <v>65</v>
      </c>
      <c r="T171" s="18" t="s">
        <v>64</v>
      </c>
      <c r="U171" s="18" t="s">
        <v>65</v>
      </c>
      <c r="V171" s="18" t="s">
        <v>64</v>
      </c>
      <c r="W171" s="18" t="s">
        <v>65</v>
      </c>
      <c r="X171" s="18" t="s">
        <v>64</v>
      </c>
      <c r="Y171" s="18" t="s">
        <v>65</v>
      </c>
      <c r="Z171" s="18" t="s">
        <v>64</v>
      </c>
      <c r="AA171" s="18" t="s">
        <v>65</v>
      </c>
      <c r="AB171" s="18" t="s">
        <v>64</v>
      </c>
      <c r="AC171" s="18" t="s">
        <v>65</v>
      </c>
      <c r="AD171" s="18" t="s">
        <v>64</v>
      </c>
      <c r="AE171" s="18" t="s">
        <v>65</v>
      </c>
      <c r="AF171" s="18" t="s">
        <v>64</v>
      </c>
      <c r="AG171" s="18" t="s">
        <v>65</v>
      </c>
      <c r="AH171" s="18" t="s">
        <v>64</v>
      </c>
      <c r="AI171" s="18" t="s">
        <v>65</v>
      </c>
      <c r="AJ171" s="18" t="s">
        <v>64</v>
      </c>
      <c r="AK171" s="18" t="s">
        <v>65</v>
      </c>
      <c r="AL171" s="18" t="s">
        <v>64</v>
      </c>
      <c r="AM171" s="18" t="s">
        <v>65</v>
      </c>
      <c r="AN171" s="18" t="s">
        <v>64</v>
      </c>
      <c r="AO171" s="18" t="s">
        <v>65</v>
      </c>
      <c r="AP171" s="18" t="s">
        <v>64</v>
      </c>
      <c r="AQ171" s="18" t="s">
        <v>65</v>
      </c>
      <c r="AR171" s="18" t="s">
        <v>64</v>
      </c>
      <c r="AS171" s="18" t="s">
        <v>65</v>
      </c>
      <c r="AT171" s="18" t="s">
        <v>64</v>
      </c>
      <c r="AU171" s="18" t="s">
        <v>65</v>
      </c>
      <c r="AV171" s="18" t="s">
        <v>64</v>
      </c>
      <c r="AW171" s="18" t="s">
        <v>65</v>
      </c>
      <c r="AX171" s="18" t="s">
        <v>64</v>
      </c>
      <c r="AY171" s="18" t="s">
        <v>65</v>
      </c>
      <c r="AZ171" s="18" t="s">
        <v>78</v>
      </c>
      <c r="BA171" s="18" t="s">
        <v>64</v>
      </c>
      <c r="BB171" s="18" t="s">
        <v>65</v>
      </c>
      <c r="BC171" s="18" t="s">
        <v>78</v>
      </c>
    </row>
    <row r="172" spans="1:55" x14ac:dyDescent="0.25">
      <c r="A172" s="27" t="s">
        <v>39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f>R149/SUM($R$166:$S$166)</f>
        <v>7.7337539949192818E-3</v>
      </c>
      <c r="S172" s="14">
        <f>S149/SUM($R$166:$S$166)</f>
        <v>1.0468737195771531E-2</v>
      </c>
      <c r="T172" s="14">
        <f>T149/SUM($T$166:$U$166)</f>
        <v>7.2824426116715659E-3</v>
      </c>
      <c r="U172" s="14">
        <f>U149/SUM($T$166:$U$166)</f>
        <v>9.2303843163886231E-3</v>
      </c>
      <c r="V172" s="14">
        <f>V149/SUM($V$166:$W$166)</f>
        <v>7.4077672260947705E-3</v>
      </c>
      <c r="W172" s="14">
        <f>W149/SUM($V$166:$W$166)</f>
        <v>8.282126636387924E-3</v>
      </c>
      <c r="X172" s="14">
        <f>X149/SUM($X$166:$Y$166)</f>
        <v>7.6235254607279288E-3</v>
      </c>
      <c r="Y172" s="14">
        <f>Y149/SUM($X$166:$Y$166)</f>
        <v>8.0433231182569995E-3</v>
      </c>
      <c r="Z172" s="14">
        <f>Z149/SUM($Z$166:$AA$166)</f>
        <v>6.8868413181297555E-3</v>
      </c>
      <c r="AA172" s="14">
        <f>AA149/SUM($Z$166:$AA$166)</f>
        <v>8.2656686583061582E-3</v>
      </c>
      <c r="AB172" s="14">
        <f>AB149/SUM($AB$166:$AC$166)</f>
        <v>6.1923076923076923E-3</v>
      </c>
      <c r="AC172" s="14">
        <f>AC149/SUM($AB$166:$AC$166)</f>
        <v>7.076923076923077E-3</v>
      </c>
      <c r="AD172" s="14">
        <f>AD149/SUM($AD$166:$AE$166)</f>
        <v>5.6482909665768284E-3</v>
      </c>
      <c r="AE172" s="14">
        <f>AE149/SUM($AD$166:$AE$166)</f>
        <v>7.3334467748752599E-3</v>
      </c>
      <c r="AF172" s="14">
        <f>AF149/SUM($AF$166:$AG$166)</f>
        <v>6.195648872736108E-3</v>
      </c>
      <c r="AG172" s="14">
        <f>AG149/SUM($AF$166:$AG$166)</f>
        <v>7.769870114093076E-3</v>
      </c>
      <c r="AH172" s="14">
        <f>AH149/SUM($AH$166:$AI$166)</f>
        <v>5.4943279144177631E-3</v>
      </c>
      <c r="AI172" s="14">
        <f>AI149/SUM($AH$166:$AI$166)</f>
        <v>6.3900418769362892E-3</v>
      </c>
      <c r="AJ172" s="14">
        <f>AJ149/SUM($AJ$166:$AK$166)</f>
        <v>4.4987982959228826E-3</v>
      </c>
      <c r="AK172" s="14">
        <f>AK149/SUM($AJ$166:$AK$166)</f>
        <v>6.4206571629371904E-3</v>
      </c>
      <c r="AL172" s="14">
        <f>AL149/SUM($AL$166:$AM$166)</f>
        <v>4.5859528044392348E-3</v>
      </c>
      <c r="AM172" s="14">
        <f>AM149/SUM($AL$166:$AM$166)</f>
        <v>6.979336573690811E-3</v>
      </c>
      <c r="AN172" s="14">
        <f>AN149/SUM($AN$166:$AO$166)</f>
        <v>5.3365501759543681E-3</v>
      </c>
      <c r="AO172" s="14">
        <f>AO149/SUM($AN$166:$AO$166)</f>
        <v>7.3497397632904466E-3</v>
      </c>
      <c r="AP172" s="14">
        <f>AP149/SUM($AP$166:$AQ$166)</f>
        <v>5.0279986537939084E-3</v>
      </c>
      <c r="AQ172" s="14">
        <f>AQ149/SUM($AP$166:$AQ$166)</f>
        <v>7.3230367489933862E-3</v>
      </c>
      <c r="AR172" s="14">
        <f>AR149/SUM($AR$166:$AS$166)</f>
        <v>4.7643138160189001E-3</v>
      </c>
      <c r="AS172" s="14">
        <f>AS149/SUM($AR$166:$AS$166)</f>
        <v>7.5492271497124225E-3</v>
      </c>
      <c r="AT172" s="14">
        <f>AT149/SUM($AT$166:$AU$166)</f>
        <v>5.154730735481671E-3</v>
      </c>
      <c r="AU172" s="14">
        <f>AU149/SUM($AT$166:$AU$166)</f>
        <v>7.797818031965725E-3</v>
      </c>
      <c r="AV172" s="14">
        <f>AV149/SUM($AV$166:$AW$166)</f>
        <v>4.2957183490991684E-3</v>
      </c>
      <c r="AW172" s="14">
        <f>AW149/SUM($AV$166:$AW$166)</f>
        <v>6.4195599290451637E-3</v>
      </c>
      <c r="AX172" s="14">
        <f>AX149/SUM($AX$166:$AZ$166)</f>
        <v>4.7731980426886011E-3</v>
      </c>
      <c r="AY172" s="14">
        <f>AY149/SUM($AX$166:$AZ$166)</f>
        <v>6.8679348496826203E-3</v>
      </c>
      <c r="AZ172" s="14">
        <f>AZ149/SUM($AX$166:$AZ$166)</f>
        <v>0</v>
      </c>
      <c r="BA172" s="14">
        <f>BA149/SUM($BA$166:$BC$166)</f>
        <v>4.7864117437205183E-3</v>
      </c>
      <c r="BB172" s="14">
        <f>BB149/SUM($BA$166:$BC$166)</f>
        <v>5.9095173288585285E-3</v>
      </c>
      <c r="BC172" s="14">
        <f>BC149/SUM($BA$166:$BC$166)</f>
        <v>0</v>
      </c>
    </row>
    <row r="173" spans="1:55" x14ac:dyDescent="0.25">
      <c r="A173" s="27" t="s">
        <v>26</v>
      </c>
      <c r="B173" s="14">
        <v>9.9962779816025939E-3</v>
      </c>
      <c r="C173" s="14">
        <v>1.1059711809432658E-2</v>
      </c>
      <c r="D173" s="14">
        <v>8.5427996403031736E-3</v>
      </c>
      <c r="E173" s="14">
        <v>9.3563996060463325E-3</v>
      </c>
      <c r="F173" s="14">
        <v>7.2004825454271282E-3</v>
      </c>
      <c r="G173" s="14">
        <v>8.1241046520395092E-3</v>
      </c>
      <c r="H173" s="14">
        <v>5.5498633879781422E-3</v>
      </c>
      <c r="I173" s="14">
        <v>4.8326502732240441E-3</v>
      </c>
      <c r="J173" s="14">
        <v>6.2649620536851221E-3</v>
      </c>
      <c r="K173" s="14">
        <v>6.2310056197898093E-3</v>
      </c>
      <c r="L173" s="14">
        <v>7.893785783577122E-3</v>
      </c>
      <c r="M173" s="14">
        <v>1.0765982538565423E-2</v>
      </c>
      <c r="N173" s="14">
        <v>8.4807115523839079E-3</v>
      </c>
      <c r="O173" s="14">
        <v>1.2242734512359086E-2</v>
      </c>
      <c r="P173" s="14">
        <v>1.06859376851084E-2</v>
      </c>
      <c r="Q173" s="14">
        <v>1.4583580144532638E-2</v>
      </c>
      <c r="R173" s="14">
        <f t="shared" ref="R173:S189" si="8">R150/SUM($R$166:$S$166)</f>
        <v>4.9680406457428498E-3</v>
      </c>
      <c r="S173" s="14">
        <f t="shared" si="8"/>
        <v>6.658198803572892E-3</v>
      </c>
      <c r="T173" s="14">
        <f t="shared" ref="T173:U189" si="9">T150/SUM($T$166:$U$166)</f>
        <v>5.3970494938032224E-3</v>
      </c>
      <c r="U173" s="14">
        <f t="shared" si="9"/>
        <v>7.9347350173795718E-3</v>
      </c>
      <c r="V173" s="14">
        <f t="shared" ref="V173:W189" si="10">V150/SUM($V$166:$W$166)</f>
        <v>4.9385114840631806E-3</v>
      </c>
      <c r="W173" s="14">
        <f t="shared" si="10"/>
        <v>6.4848322930075534E-3</v>
      </c>
      <c r="X173" s="14">
        <f t="shared" ref="X173:Y189" si="11">X150/SUM($X$166:$Y$166)</f>
        <v>5.2642626254145505E-3</v>
      </c>
      <c r="Y173" s="14">
        <f t="shared" si="11"/>
        <v>5.7428319549976915E-3</v>
      </c>
      <c r="Z173" s="14">
        <f t="shared" ref="Z173:AA189" si="12">Z150/SUM($Z$166:$AA$166)</f>
        <v>5.0265187163044513E-3</v>
      </c>
      <c r="AA173" s="14">
        <f t="shared" si="12"/>
        <v>6.1791891911609142E-3</v>
      </c>
      <c r="AB173" s="14">
        <f t="shared" ref="AB173:AC189" si="13">AB150/SUM($AB$166:$AC$166)</f>
        <v>4.4871794871794869E-3</v>
      </c>
      <c r="AC173" s="14">
        <f t="shared" si="13"/>
        <v>5.7564102564102567E-3</v>
      </c>
      <c r="AD173" s="14">
        <f t="shared" ref="AD173:AE189" si="14">AD150/SUM($AD$166:$AE$166)</f>
        <v>4.9292179669445987E-3</v>
      </c>
      <c r="AE173" s="14">
        <f t="shared" si="14"/>
        <v>5.7196493558533089E-3</v>
      </c>
      <c r="AF173" s="14">
        <f t="shared" ref="AF173:AG189" si="15">AF150/SUM($AF$166:$AG$166)</f>
        <v>4.8492088399356139E-3</v>
      </c>
      <c r="AG173" s="14">
        <f t="shared" si="15"/>
        <v>6.3424412071391694E-3</v>
      </c>
      <c r="AH173" s="14">
        <f t="shared" ref="AH173:AI189" si="16">AH150/SUM($AH$166:$AI$166)</f>
        <v>4.8156168191073332E-3</v>
      </c>
      <c r="AI173" s="14">
        <f t="shared" si="16"/>
        <v>6.9717942443452289E-3</v>
      </c>
      <c r="AJ173" s="14">
        <f t="shared" ref="AJ173:AK173" si="17">AJ150/SUM($AJ$166:$AK$166)</f>
        <v>4.8632139727382371E-3</v>
      </c>
      <c r="AK173" s="14">
        <f t="shared" si="17"/>
        <v>6.3382298074670506E-3</v>
      </c>
      <c r="AL173" s="14">
        <f t="shared" ref="AL173:AM173" si="18">AL150/SUM($AL$166:$AM$166)</f>
        <v>5.6392055933050826E-3</v>
      </c>
      <c r="AM173" s="14">
        <f t="shared" si="18"/>
        <v>6.8358974779308707E-3</v>
      </c>
      <c r="AN173" s="14">
        <f t="shared" ref="AN173:AO173" si="19">AN150/SUM($AN$166:$AO$166)</f>
        <v>6.4589832593699194E-3</v>
      </c>
      <c r="AO173" s="14">
        <f t="shared" si="19"/>
        <v>7.9129535168904214E-3</v>
      </c>
      <c r="AP173" s="14">
        <f t="shared" ref="AP173:AQ173" si="20">AP150/SUM($AP$166:$AQ$166)</f>
        <v>5.7051565370064752E-3</v>
      </c>
      <c r="AQ173" s="14">
        <f t="shared" si="20"/>
        <v>6.8364562341101049E-3</v>
      </c>
      <c r="AR173" s="14">
        <f t="shared" ref="AR173:AS189" si="21">AR150/SUM($AR$166:$AS$166)</f>
        <v>5.6189433046655891E-3</v>
      </c>
      <c r="AS173" s="14">
        <f t="shared" si="21"/>
        <v>7.681842070364495E-3</v>
      </c>
      <c r="AT173" s="14">
        <f t="shared" ref="AT173:AU189" si="22">AT150/SUM($AT$166:$AU$166)</f>
        <v>5.9504989537779449E-3</v>
      </c>
      <c r="AU173" s="14">
        <f t="shared" si="22"/>
        <v>9.613164279954102E-3</v>
      </c>
      <c r="AV173" s="14">
        <f t="shared" ref="AV173:AW189" si="23">AV150/SUM($AV$166:$AW$166)</f>
        <v>5.3490614267137412E-3</v>
      </c>
      <c r="AW173" s="14">
        <f t="shared" si="23"/>
        <v>7.7611141419028111E-3</v>
      </c>
      <c r="AX173" s="14">
        <f t="shared" ref="AX173:AZ189" si="24">AX150/SUM($AX$166:$AZ$166)</f>
        <v>5.5970833791973958E-3</v>
      </c>
      <c r="AY173" s="14">
        <f t="shared" si="24"/>
        <v>7.2982231428390353E-3</v>
      </c>
      <c r="AZ173" s="14">
        <f t="shared" si="24"/>
        <v>0</v>
      </c>
      <c r="BA173" s="14">
        <f t="shared" ref="BA173:BB188" si="25">BA150/SUM($BA$166:$BC$166)</f>
        <v>4.6311589128337936E-3</v>
      </c>
      <c r="BB173" s="14">
        <f t="shared" si="25"/>
        <v>6.639535959198235E-3</v>
      </c>
      <c r="BC173" s="14">
        <f t="shared" ref="BC173" si="26">BC150/SUM($AX$166:$AZ$166)</f>
        <v>0</v>
      </c>
    </row>
    <row r="174" spans="1:55" x14ac:dyDescent="0.25">
      <c r="A174" s="27" t="s">
        <v>27</v>
      </c>
      <c r="B174" s="14">
        <v>1.3399266230658798E-2</v>
      </c>
      <c r="C174" s="14">
        <v>1.0395065667038869E-2</v>
      </c>
      <c r="D174" s="14">
        <v>9.7631995889179129E-3</v>
      </c>
      <c r="E174" s="14">
        <v>1.010576799554661E-2</v>
      </c>
      <c r="F174" s="14">
        <v>1.3062655507803665E-2</v>
      </c>
      <c r="G174" s="14">
        <v>1.5701575812410464E-2</v>
      </c>
      <c r="H174" s="14">
        <v>1.7520491803278689E-2</v>
      </c>
      <c r="I174" s="14">
        <v>1.7640027322404373E-2</v>
      </c>
      <c r="J174" s="14">
        <v>1.7810149578091308E-2</v>
      </c>
      <c r="K174" s="14">
        <v>1.5144569517309293E-2</v>
      </c>
      <c r="L174" s="14">
        <v>1.211648564852681E-2</v>
      </c>
      <c r="M174" s="14">
        <v>1.0404580297871531E-2</v>
      </c>
      <c r="N174" s="14">
        <v>1.0768952321853346E-2</v>
      </c>
      <c r="O174" s="14">
        <v>1.3264039714551659E-2</v>
      </c>
      <c r="P174" s="14">
        <v>1.2842080322236701E-2</v>
      </c>
      <c r="Q174" s="14">
        <v>1.2759151759270228E-2</v>
      </c>
      <c r="R174" s="14">
        <f t="shared" si="8"/>
        <v>1.7864459559124805E-2</v>
      </c>
      <c r="S174" s="14">
        <f t="shared" si="8"/>
        <v>1.9749241989674669E-2</v>
      </c>
      <c r="T174" s="14">
        <f t="shared" si="9"/>
        <v>1.5351210315155522E-2</v>
      </c>
      <c r="U174" s="14">
        <f t="shared" si="9"/>
        <v>1.8496510682405081E-2</v>
      </c>
      <c r="V174" s="14">
        <f t="shared" si="10"/>
        <v>1.5948963317384369E-2</v>
      </c>
      <c r="W174" s="14">
        <f t="shared" si="10"/>
        <v>1.9454496879022662E-2</v>
      </c>
      <c r="X174" s="14">
        <f t="shared" si="11"/>
        <v>1.6103438142815164E-2</v>
      </c>
      <c r="Y174" s="14">
        <f t="shared" si="11"/>
        <v>1.9176356995927964E-2</v>
      </c>
      <c r="Z174" s="14">
        <f t="shared" si="12"/>
        <v>1.529112224872878E-2</v>
      </c>
      <c r="AA174" s="14">
        <f t="shared" si="12"/>
        <v>1.6823152626702559E-2</v>
      </c>
      <c r="AB174" s="14">
        <f t="shared" si="13"/>
        <v>1.5493589743589744E-2</v>
      </c>
      <c r="AC174" s="14">
        <f t="shared" si="13"/>
        <v>1.7897435897435896E-2</v>
      </c>
      <c r="AD174" s="14">
        <f t="shared" si="14"/>
        <v>1.5364010121913064E-2</v>
      </c>
      <c r="AE174" s="14">
        <f t="shared" si="14"/>
        <v>1.8388508005862367E-2</v>
      </c>
      <c r="AF174" s="14">
        <f t="shared" si="15"/>
        <v>1.6197774830682635E-2</v>
      </c>
      <c r="AG174" s="14">
        <f t="shared" si="15"/>
        <v>1.7392360724445478E-2</v>
      </c>
      <c r="AH174" s="14">
        <f t="shared" si="16"/>
        <v>1.6441430002724078E-2</v>
      </c>
      <c r="AI174" s="14">
        <f t="shared" si="16"/>
        <v>2.1746457543619886E-2</v>
      </c>
      <c r="AJ174" s="14">
        <f t="shared" ref="AJ174:AK174" si="27">AJ151/SUM($AJ$166:$AK$166)</f>
        <v>1.4945381031296365E-2</v>
      </c>
      <c r="AK174" s="14">
        <f t="shared" si="27"/>
        <v>1.8042914284226875E-2</v>
      </c>
      <c r="AL174" s="14">
        <f t="shared" ref="AL174:AM174" si="28">AL151/SUM($AL$166:$AM$166)</f>
        <v>1.3462783702040114E-2</v>
      </c>
      <c r="AM174" s="14">
        <f t="shared" si="28"/>
        <v>1.6237305640025245E-2</v>
      </c>
      <c r="AN174" s="14">
        <f t="shared" ref="AN174:AO174" si="29">AN151/SUM($AN$166:$AO$166)</f>
        <v>1.4767384730915642E-2</v>
      </c>
      <c r="AO174" s="14">
        <f t="shared" si="29"/>
        <v>1.5754007405661696E-2</v>
      </c>
      <c r="AP174" s="14">
        <f t="shared" ref="AP174:AQ174" si="30">AP151/SUM($AP$166:$AQ$166)</f>
        <v>1.3563431852371471E-2</v>
      </c>
      <c r="AQ174" s="14">
        <f t="shared" si="30"/>
        <v>1.5448931347544187E-2</v>
      </c>
      <c r="AR174" s="14">
        <f t="shared" si="21"/>
        <v>1.3566015216334229E-2</v>
      </c>
      <c r="AS174" s="14">
        <f t="shared" si="21"/>
        <v>1.5594532335938152E-2</v>
      </c>
      <c r="AT174" s="14">
        <f t="shared" si="22"/>
        <v>1.2540454511543968E-2</v>
      </c>
      <c r="AU174" s="14">
        <f t="shared" si="22"/>
        <v>1.4032519920849482E-2</v>
      </c>
      <c r="AV174" s="14">
        <f t="shared" si="23"/>
        <v>1.2533753298130402E-2</v>
      </c>
      <c r="AW174" s="14">
        <f t="shared" si="23"/>
        <v>1.4667888132906506E-2</v>
      </c>
      <c r="AX174" s="14">
        <f t="shared" si="24"/>
        <v>1.2745205954656287E-2</v>
      </c>
      <c r="AY174" s="14">
        <f t="shared" si="24"/>
        <v>1.463647310364611E-2</v>
      </c>
      <c r="AZ174" s="14">
        <f t="shared" si="24"/>
        <v>0</v>
      </c>
      <c r="BA174" s="14">
        <f t="shared" si="25"/>
        <v>1.1191416830728169E-2</v>
      </c>
      <c r="BB174" s="14">
        <f t="shared" si="25"/>
        <v>1.2786887411968342E-2</v>
      </c>
      <c r="BC174" s="14">
        <f t="shared" ref="BC174" si="31">BC151/SUM($AX$166:$AZ$166)</f>
        <v>0</v>
      </c>
    </row>
    <row r="175" spans="1:55" x14ac:dyDescent="0.25">
      <c r="A175" s="27" t="s">
        <v>28</v>
      </c>
      <c r="B175" s="14">
        <v>5.3171691391503165E-4</v>
      </c>
      <c r="C175" s="14">
        <v>1.6217365874408465E-3</v>
      </c>
      <c r="D175" s="14">
        <v>4.5390313878302573E-3</v>
      </c>
      <c r="E175" s="14">
        <v>3.340041964629812E-3</v>
      </c>
      <c r="F175" s="14">
        <v>8.9346301741687409E-3</v>
      </c>
      <c r="G175" s="14">
        <v>4.9574002865113475E-3</v>
      </c>
      <c r="H175" s="14">
        <v>7.9064207650273218E-3</v>
      </c>
      <c r="I175" s="14">
        <v>4.4398907103825134E-3</v>
      </c>
      <c r="J175" s="14">
        <v>7.2327204197015233E-3</v>
      </c>
      <c r="K175" s="14">
        <v>3.8200988132226356E-3</v>
      </c>
      <c r="L175" s="14">
        <v>4.6411656173320909E-3</v>
      </c>
      <c r="M175" s="14">
        <v>3.2906625073707038E-3</v>
      </c>
      <c r="N175" s="14">
        <v>4.5764815389388765E-3</v>
      </c>
      <c r="O175" s="14">
        <v>3.6198159065053263E-3</v>
      </c>
      <c r="P175" s="14">
        <v>4.5136832128894683E-3</v>
      </c>
      <c r="Q175" s="14">
        <v>3.5540812699917071E-3</v>
      </c>
      <c r="R175" s="14">
        <f t="shared" si="8"/>
        <v>3.4520199950831762E-3</v>
      </c>
      <c r="S175" s="14">
        <f t="shared" si="8"/>
        <v>3.3188560190117182E-3</v>
      </c>
      <c r="T175" s="14">
        <f t="shared" si="9"/>
        <v>3.0916872928078059E-3</v>
      </c>
      <c r="U175" s="14">
        <f t="shared" si="9"/>
        <v>3.5473984255627138E-3</v>
      </c>
      <c r="V175" s="14">
        <f t="shared" si="10"/>
        <v>3.5298213230353227E-3</v>
      </c>
      <c r="W175" s="14">
        <f t="shared" si="10"/>
        <v>4.096535755632737E-3</v>
      </c>
      <c r="X175" s="14">
        <f t="shared" si="11"/>
        <v>4.3826875446035009E-3</v>
      </c>
      <c r="Y175" s="14">
        <f t="shared" si="11"/>
        <v>4.6345661391209436E-3</v>
      </c>
      <c r="Z175" s="14">
        <f t="shared" si="12"/>
        <v>2.5825654942986582E-3</v>
      </c>
      <c r="AA175" s="14">
        <f t="shared" si="12"/>
        <v>3.4798975728261585E-3</v>
      </c>
      <c r="AB175" s="14">
        <f t="shared" si="13"/>
        <v>3.1025641025641025E-3</v>
      </c>
      <c r="AC175" s="14">
        <f t="shared" si="13"/>
        <v>3.7179487179487178E-3</v>
      </c>
      <c r="AD175" s="14">
        <f t="shared" si="14"/>
        <v>2.8214009298547032E-3</v>
      </c>
      <c r="AE175" s="14">
        <f t="shared" si="14"/>
        <v>3.6447669599679435E-3</v>
      </c>
      <c r="AF175" s="14">
        <f t="shared" si="15"/>
        <v>3.6900555786148876E-3</v>
      </c>
      <c r="AG175" s="14">
        <f t="shared" si="15"/>
        <v>3.2041223336944087E-3</v>
      </c>
      <c r="AH175" s="14">
        <f t="shared" si="16"/>
        <v>3.7444537299099207E-3</v>
      </c>
      <c r="AI175" s="14">
        <f t="shared" si="16"/>
        <v>3.5828558500741042E-3</v>
      </c>
      <c r="AJ175" s="14">
        <f t="shared" ref="AJ175:AK175" si="32">AJ152/SUM($AJ$166:$AK$166)</f>
        <v>4.1257060553738295E-3</v>
      </c>
      <c r="AK175" s="14">
        <f t="shared" si="32"/>
        <v>4.2211482564445176E-3</v>
      </c>
      <c r="AL175" s="14">
        <f t="shared" ref="AL175:AM175" si="33">AL152/SUM($AL$166:$AM$166)</f>
        <v>3.8318729867298346E-3</v>
      </c>
      <c r="AM175" s="14">
        <f t="shared" si="33"/>
        <v>4.3318606919501975E-3</v>
      </c>
      <c r="AN175" s="14">
        <f t="shared" ref="AN175:AO175" si="34">AN152/SUM($AN$166:$AO$166)</f>
        <v>3.3273550124026858E-3</v>
      </c>
      <c r="AO175" s="14">
        <f t="shared" si="34"/>
        <v>4.1821617022636398E-3</v>
      </c>
      <c r="AP175" s="14">
        <f t="shared" ref="AP175:AQ175" si="35">AP152/SUM($AP$166:$AQ$166)</f>
        <v>3.5236538952797634E-3</v>
      </c>
      <c r="AQ175" s="14">
        <f t="shared" si="35"/>
        <v>5.0766567052822368E-3</v>
      </c>
      <c r="AR175" s="14">
        <f t="shared" si="21"/>
        <v>4.2977057618727192E-3</v>
      </c>
      <c r="AS175" s="14">
        <f t="shared" si="21"/>
        <v>5.004985338683772E-3</v>
      </c>
      <c r="AT175" s="14">
        <f t="shared" si="22"/>
        <v>3.7017432297532051E-3</v>
      </c>
      <c r="AU175" s="14">
        <f t="shared" si="22"/>
        <v>5.6805061654274236E-3</v>
      </c>
      <c r="AV175" s="14">
        <f t="shared" si="23"/>
        <v>4.4981523607579956E-3</v>
      </c>
      <c r="AW175" s="14">
        <f t="shared" si="23"/>
        <v>5.1088854806778453E-3</v>
      </c>
      <c r="AX175" s="14">
        <f t="shared" si="24"/>
        <v>3.6624538440755308E-3</v>
      </c>
      <c r="AY175" s="14">
        <f t="shared" si="24"/>
        <v>4.8198959969846461E-3</v>
      </c>
      <c r="AZ175" s="14">
        <f t="shared" si="24"/>
        <v>0</v>
      </c>
      <c r="BA175" s="14">
        <f t="shared" si="25"/>
        <v>4.3008337407343788E-3</v>
      </c>
      <c r="BB175" s="14">
        <f t="shared" si="25"/>
        <v>4.5485776198089401E-3</v>
      </c>
      <c r="BC175" s="14">
        <f t="shared" ref="BC175" si="36">BC152/SUM($AX$166:$AZ$166)</f>
        <v>0</v>
      </c>
    </row>
    <row r="176" spans="1:55" x14ac:dyDescent="0.25">
      <c r="A176" s="27" t="s">
        <v>29</v>
      </c>
      <c r="B176" s="14">
        <v>6.8059764981124047E-3</v>
      </c>
      <c r="C176" s="14">
        <v>9.4911469133833141E-3</v>
      </c>
      <c r="D176" s="14">
        <v>5.9307155397593453E-3</v>
      </c>
      <c r="E176" s="14">
        <v>8.0289470303601257E-3</v>
      </c>
      <c r="F176" s="14">
        <v>6.2580110080675561E-3</v>
      </c>
      <c r="G176" s="14">
        <v>9.8205534192867382E-3</v>
      </c>
      <c r="H176" s="14">
        <v>8.7943989071038245E-3</v>
      </c>
      <c r="I176" s="14">
        <v>1.1099726775956284E-2</v>
      </c>
      <c r="J176" s="14">
        <v>1.2546902324317899E-2</v>
      </c>
      <c r="K176" s="14">
        <v>1.3667464642863206E-2</v>
      </c>
      <c r="L176" s="14">
        <v>1.4399026116067182E-2</v>
      </c>
      <c r="M176" s="14">
        <v>1.8393471934262835E-2</v>
      </c>
      <c r="N176" s="14">
        <v>9.2822422173958006E-3</v>
      </c>
      <c r="O176" s="14">
        <v>1.031647533354018E-2</v>
      </c>
      <c r="P176" s="14">
        <v>1.1136121312640683E-2</v>
      </c>
      <c r="Q176" s="14">
        <v>1.1230896813173795E-2</v>
      </c>
      <c r="R176" s="14">
        <f t="shared" si="8"/>
        <v>1.4904121937228551E-2</v>
      </c>
      <c r="S176" s="14">
        <f t="shared" si="8"/>
        <v>1.7526427927558798E-2</v>
      </c>
      <c r="T176" s="14">
        <f t="shared" si="9"/>
        <v>1.634305219232797E-2</v>
      </c>
      <c r="U176" s="14">
        <f t="shared" si="9"/>
        <v>2.1659682074468559E-2</v>
      </c>
      <c r="V176" s="14">
        <f t="shared" si="10"/>
        <v>1.332588508650491E-2</v>
      </c>
      <c r="W176" s="14">
        <f t="shared" si="10"/>
        <v>1.7139063625838939E-2</v>
      </c>
      <c r="X176" s="14">
        <f t="shared" si="11"/>
        <v>1.3475504806683178E-2</v>
      </c>
      <c r="Y176" s="14">
        <f t="shared" si="11"/>
        <v>1.4961588514336091E-2</v>
      </c>
      <c r="Z176" s="14">
        <f t="shared" si="12"/>
        <v>1.1658021638105243E-2</v>
      </c>
      <c r="AA176" s="14">
        <f t="shared" si="12"/>
        <v>1.5050374617904328E-2</v>
      </c>
      <c r="AB176" s="14">
        <f t="shared" si="13"/>
        <v>1.2243589743589743E-2</v>
      </c>
      <c r="AC176" s="14">
        <f t="shared" si="13"/>
        <v>1.6544871794871796E-2</v>
      </c>
      <c r="AD176" s="14">
        <f t="shared" si="14"/>
        <v>1.4705317297822471E-2</v>
      </c>
      <c r="AE176" s="14">
        <f t="shared" si="14"/>
        <v>1.9052689936820379E-2</v>
      </c>
      <c r="AF176" s="14">
        <f t="shared" si="15"/>
        <v>1.2872169185758106E-2</v>
      </c>
      <c r="AG176" s="14">
        <f t="shared" si="15"/>
        <v>1.8197187661345024E-2</v>
      </c>
      <c r="AH176" s="14">
        <f t="shared" si="16"/>
        <v>1.2729295848781321E-2</v>
      </c>
      <c r="AI176" s="14">
        <f t="shared" si="16"/>
        <v>1.7249419401903162E-2</v>
      </c>
      <c r="AJ176" s="14">
        <f t="shared" ref="AJ176:AK176" si="37">AJ153/SUM($AJ$166:$AK$166)</f>
        <v>1.3275142512559327E-2</v>
      </c>
      <c r="AK176" s="14">
        <f t="shared" si="37"/>
        <v>1.7266361830060823E-2</v>
      </c>
      <c r="AL176" s="14">
        <f t="shared" ref="AL176:AM176" si="38">AL153/SUM($AL$166:$AM$166)</f>
        <v>1.3569338458890355E-2</v>
      </c>
      <c r="AM176" s="14">
        <f t="shared" si="38"/>
        <v>1.7429899264772179E-2</v>
      </c>
      <c r="AN176" s="14">
        <f t="shared" ref="AN176:AO176" si="39">AN153/SUM($AN$166:$AO$166)</f>
        <v>1.3972494397820643E-2</v>
      </c>
      <c r="AO176" s="14">
        <f t="shared" si="39"/>
        <v>1.9141278774830336E-2</v>
      </c>
      <c r="AP176" s="14">
        <f t="shared" ref="AP176:AQ176" si="40">AP153/SUM($AP$166:$AQ$166)</f>
        <v>1.4560921907882199E-2</v>
      </c>
      <c r="AQ176" s="14">
        <f t="shared" si="40"/>
        <v>1.9836265656741774E-2</v>
      </c>
      <c r="AR176" s="14">
        <f t="shared" si="21"/>
        <v>1.1517851441818888E-2</v>
      </c>
      <c r="AS176" s="14">
        <f t="shared" si="21"/>
        <v>1.7406936251516476E-2</v>
      </c>
      <c r="AT176" s="14">
        <f t="shared" si="22"/>
        <v>1.4313170319266473E-2</v>
      </c>
      <c r="AU176" s="14">
        <f t="shared" si="22"/>
        <v>2.1070095101407161E-2</v>
      </c>
      <c r="AV176" s="14">
        <f t="shared" si="23"/>
        <v>1.327486764589831E-2</v>
      </c>
      <c r="AW176" s="14">
        <f t="shared" si="23"/>
        <v>1.8833225254157617E-2</v>
      </c>
      <c r="AX176" s="14">
        <f t="shared" si="24"/>
        <v>1.4286238446425773E-2</v>
      </c>
      <c r="AY176" s="14">
        <f t="shared" si="24"/>
        <v>1.8532416719201864E-2</v>
      </c>
      <c r="AZ176" s="14">
        <f t="shared" si="24"/>
        <v>0</v>
      </c>
      <c r="BA176" s="14">
        <f t="shared" si="25"/>
        <v>1.5029795330523368E-2</v>
      </c>
      <c r="BB176" s="14">
        <f t="shared" si="25"/>
        <v>1.8296711282586579E-2</v>
      </c>
      <c r="BC176" s="14">
        <f t="shared" ref="BC176" si="41">BC153/SUM($AX$166:$AZ$166)</f>
        <v>0</v>
      </c>
    </row>
    <row r="177" spans="1:55" x14ac:dyDescent="0.25">
      <c r="A177" s="27" t="s">
        <v>30</v>
      </c>
      <c r="B177" s="14">
        <v>7.2313500292444308E-2</v>
      </c>
      <c r="C177" s="14">
        <v>6.7049502844685485E-2</v>
      </c>
      <c r="D177" s="14">
        <v>5.9628313278807861E-2</v>
      </c>
      <c r="E177" s="14">
        <v>5.1363850468890505E-2</v>
      </c>
      <c r="F177" s="14">
        <v>5.6868732564276561E-2</v>
      </c>
      <c r="G177" s="14">
        <v>4.6633491668551609E-2</v>
      </c>
      <c r="H177" s="14">
        <v>5.2578551912568307E-2</v>
      </c>
      <c r="I177" s="14">
        <v>5.8913934426229511E-2</v>
      </c>
      <c r="J177" s="14">
        <v>5.864276133720437E-2</v>
      </c>
      <c r="K177" s="14">
        <v>6.6028285709434795E-2</v>
      </c>
      <c r="L177" s="14">
        <v>5.3544595134384573E-2</v>
      </c>
      <c r="M177" s="14">
        <v>6.5718144294599892E-2</v>
      </c>
      <c r="N177" s="14">
        <v>5.0716206432929983E-2</v>
      </c>
      <c r="O177" s="14">
        <v>6.7612989967938769E-2</v>
      </c>
      <c r="P177" s="14">
        <v>4.7518066579789124E-2</v>
      </c>
      <c r="Q177" s="14">
        <v>5.8014453263831298E-2</v>
      </c>
      <c r="R177" s="14">
        <f t="shared" si="8"/>
        <v>5.2558797017126936E-2</v>
      </c>
      <c r="S177" s="14">
        <f t="shared" si="8"/>
        <v>6.202368270097517E-2</v>
      </c>
      <c r="T177" s="14">
        <f t="shared" si="9"/>
        <v>4.8117734311474092E-2</v>
      </c>
      <c r="U177" s="14">
        <f t="shared" si="9"/>
        <v>6.2798781196107697E-2</v>
      </c>
      <c r="V177" s="14">
        <f t="shared" si="10"/>
        <v>5.1886754264526103E-2</v>
      </c>
      <c r="W177" s="14">
        <f t="shared" si="10"/>
        <v>6.0614156526526283E-2</v>
      </c>
      <c r="X177" s="14">
        <f t="shared" si="11"/>
        <v>4.9435372150623401E-2</v>
      </c>
      <c r="Y177" s="14">
        <f t="shared" si="11"/>
        <v>5.6001007514378066E-2</v>
      </c>
      <c r="Z177" s="14">
        <f t="shared" si="12"/>
        <v>4.7835824706543226E-2</v>
      </c>
      <c r="AA177" s="14">
        <f t="shared" si="12"/>
        <v>5.4817506000452314E-2</v>
      </c>
      <c r="AB177" s="14">
        <f t="shared" si="13"/>
        <v>4.9782051282051279E-2</v>
      </c>
      <c r="AC177" s="14">
        <f t="shared" si="13"/>
        <v>6.2891025641025639E-2</v>
      </c>
      <c r="AD177" s="14">
        <f t="shared" si="14"/>
        <v>4.7799142601507312E-2</v>
      </c>
      <c r="AE177" s="14">
        <f t="shared" si="14"/>
        <v>5.6702473940465146E-2</v>
      </c>
      <c r="AF177" s="14">
        <f t="shared" si="15"/>
        <v>4.7641705220745303E-2</v>
      </c>
      <c r="AG177" s="14">
        <f t="shared" si="15"/>
        <v>5.9223114224683383E-2</v>
      </c>
      <c r="AH177" s="14">
        <f t="shared" si="16"/>
        <v>4.8262361083536869E-2</v>
      </c>
      <c r="AI177" s="14">
        <f t="shared" si="16"/>
        <v>5.680396330343003E-2</v>
      </c>
      <c r="AJ177" s="14">
        <f t="shared" ref="AJ177:AK177" si="42">AJ154/SUM($AJ$166:$AK$166)</f>
        <v>4.4970629831761429E-2</v>
      </c>
      <c r="AK177" s="14">
        <f t="shared" si="42"/>
        <v>5.7655766010429231E-2</v>
      </c>
      <c r="AL177" s="14">
        <f t="shared" ref="AL177:AM177" si="43">AL154/SUM($AL$166:$AM$166)</f>
        <v>4.4904633492619035E-2</v>
      </c>
      <c r="AM177" s="14">
        <f t="shared" si="43"/>
        <v>5.7342852224945291E-2</v>
      </c>
      <c r="AN177" s="14">
        <f t="shared" ref="AN177:AO177" si="44">AN154/SUM($AN$166:$AO$166)</f>
        <v>4.2408797318942759E-2</v>
      </c>
      <c r="AO177" s="14">
        <f t="shared" si="44"/>
        <v>5.3936704360712448E-2</v>
      </c>
      <c r="AP177" s="14">
        <f t="shared" ref="AP177:AQ177" si="45">AP154/SUM($AP$166:$AQ$166)</f>
        <v>4.2048666161163574E-2</v>
      </c>
      <c r="AQ177" s="14">
        <f t="shared" si="45"/>
        <v>5.1930305450918215E-2</v>
      </c>
      <c r="AR177" s="14">
        <f t="shared" si="21"/>
        <v>4.2053664837890539E-2</v>
      </c>
      <c r="AS177" s="14">
        <f t="shared" si="21"/>
        <v>5.1400560911997718E-2</v>
      </c>
      <c r="AT177" s="14">
        <f t="shared" si="22"/>
        <v>3.8797253178632203E-2</v>
      </c>
      <c r="AU177" s="14">
        <f t="shared" si="22"/>
        <v>5.0943376117716856E-2</v>
      </c>
      <c r="AV177" s="14">
        <f t="shared" si="23"/>
        <v>3.9989295014976688E-2</v>
      </c>
      <c r="AW177" s="14">
        <f t="shared" si="23"/>
        <v>5.0261963335426298E-2</v>
      </c>
      <c r="AX177" s="14">
        <f t="shared" si="24"/>
        <v>3.7605195480972249E-2</v>
      </c>
      <c r="AY177" s="14">
        <f t="shared" si="24"/>
        <v>4.8125577470238393E-2</v>
      </c>
      <c r="AZ177" s="14">
        <f t="shared" si="24"/>
        <v>0</v>
      </c>
      <c r="BA177" s="14">
        <f t="shared" si="25"/>
        <v>3.6457989244612396E-2</v>
      </c>
      <c r="BB177" s="14">
        <f t="shared" si="25"/>
        <v>4.5855740390840741E-2</v>
      </c>
      <c r="BC177" s="14">
        <f t="shared" ref="BC177" si="46">BC154/SUM($AX$166:$AZ$166)</f>
        <v>0</v>
      </c>
    </row>
    <row r="178" spans="1:55" x14ac:dyDescent="0.25">
      <c r="A178" s="27" t="s">
        <v>40</v>
      </c>
      <c r="B178" s="14">
        <v>0.26870314244696125</v>
      </c>
      <c r="C178" s="14">
        <v>0.26668261817408412</v>
      </c>
      <c r="D178" s="14">
        <v>0.30985312379565794</v>
      </c>
      <c r="E178" s="14">
        <v>0.32426240739947759</v>
      </c>
      <c r="F178" s="14">
        <v>0.31486089120108574</v>
      </c>
      <c r="G178" s="14">
        <v>0.30809394556284403</v>
      </c>
      <c r="H178" s="14">
        <v>0.30776980874316939</v>
      </c>
      <c r="I178" s="14">
        <v>0.2962090163934426</v>
      </c>
      <c r="J178" s="14">
        <v>0.26750878622727042</v>
      </c>
      <c r="K178" s="14">
        <v>0.28830710198814918</v>
      </c>
      <c r="L178" s="14">
        <v>0.27875525459836797</v>
      </c>
      <c r="M178" s="14">
        <v>0.28486105034903847</v>
      </c>
      <c r="N178" s="14">
        <v>0.28846054400661908</v>
      </c>
      <c r="O178" s="14">
        <v>0.28348329713517428</v>
      </c>
      <c r="P178" s="14">
        <v>0.28791612368202818</v>
      </c>
      <c r="Q178" s="14">
        <v>0.28666034829996445</v>
      </c>
      <c r="R178" s="14">
        <f t="shared" si="8"/>
        <v>0.23987953781856922</v>
      </c>
      <c r="S178" s="14">
        <f t="shared" si="8"/>
        <v>0.25463000901417682</v>
      </c>
      <c r="T178" s="14">
        <f t="shared" si="9"/>
        <v>0.22284274391714992</v>
      </c>
      <c r="U178" s="14">
        <f t="shared" si="9"/>
        <v>0.25970173259585572</v>
      </c>
      <c r="V178" s="14">
        <f t="shared" si="10"/>
        <v>0.22711485682364657</v>
      </c>
      <c r="W178" s="14">
        <f t="shared" si="10"/>
        <v>0.26018669192593852</v>
      </c>
      <c r="X178" s="14">
        <f t="shared" si="11"/>
        <v>0.24062801729566349</v>
      </c>
      <c r="Y178" s="14">
        <f t="shared" si="11"/>
        <v>0.27410268250703163</v>
      </c>
      <c r="Z178" s="14">
        <f t="shared" si="12"/>
        <v>0.23167947006339687</v>
      </c>
      <c r="AA178" s="14">
        <f t="shared" si="12"/>
        <v>0.28192277107818464</v>
      </c>
      <c r="AB178" s="14">
        <f t="shared" si="13"/>
        <v>0.22558333333333333</v>
      </c>
      <c r="AC178" s="14">
        <f t="shared" si="13"/>
        <v>0.27519230769230768</v>
      </c>
      <c r="AD178" s="14">
        <f t="shared" si="14"/>
        <v>0.2253113695870545</v>
      </c>
      <c r="AE178" s="14">
        <f t="shared" si="14"/>
        <v>0.27631066149226857</v>
      </c>
      <c r="AF178" s="14">
        <f t="shared" si="15"/>
        <v>0.22482511464987498</v>
      </c>
      <c r="AG178" s="14">
        <f t="shared" si="15"/>
        <v>0.26804786442462469</v>
      </c>
      <c r="AH178" s="14">
        <f t="shared" si="16"/>
        <v>0.22457488214897478</v>
      </c>
      <c r="AI178" s="14">
        <f t="shared" si="16"/>
        <v>0.26205173902404116</v>
      </c>
      <c r="AJ178" s="14">
        <f t="shared" ref="AJ178:AK178" si="47">AJ155/SUM($AJ$166:$AK$166)</f>
        <v>0.2227881269901868</v>
      </c>
      <c r="AK178" s="14">
        <f t="shared" si="47"/>
        <v>0.26840516082010879</v>
      </c>
      <c r="AL178" s="14">
        <f t="shared" ref="AL178:AM178" si="48">AL155/SUM($AL$166:$AM$166)</f>
        <v>0.22485922477316131</v>
      </c>
      <c r="AM178" s="14">
        <f t="shared" si="48"/>
        <v>0.27618992975582568</v>
      </c>
      <c r="AN178" s="14">
        <f t="shared" ref="AN178:AO178" si="49">AN155/SUM($AN$166:$AO$166)</f>
        <v>0.22749441779276131</v>
      </c>
      <c r="AO178" s="14">
        <f t="shared" si="49"/>
        <v>0.27533563145848394</v>
      </c>
      <c r="AP178" s="14">
        <f t="shared" ref="AP178:AQ178" si="50">AP155/SUM($AP$166:$AQ$166)</f>
        <v>0.22792647768420113</v>
      </c>
      <c r="AQ178" s="14">
        <f t="shared" si="50"/>
        <v>0.28878148074560356</v>
      </c>
      <c r="AR178" s="14">
        <f t="shared" si="21"/>
        <v>0.24279827305903329</v>
      </c>
      <c r="AS178" s="14">
        <f t="shared" si="21"/>
        <v>0.29981286561196874</v>
      </c>
      <c r="AT178" s="14">
        <f t="shared" si="22"/>
        <v>0.22871941709978011</v>
      </c>
      <c r="AU178" s="14">
        <f t="shared" si="22"/>
        <v>0.29977370341292198</v>
      </c>
      <c r="AV178" s="14">
        <f t="shared" si="23"/>
        <v>0.24053277887000649</v>
      </c>
      <c r="AW178" s="14">
        <f t="shared" si="23"/>
        <v>0.30340397937231733</v>
      </c>
      <c r="AX178" s="14">
        <f t="shared" si="24"/>
        <v>0.24903351912448007</v>
      </c>
      <c r="AY178" s="14">
        <f t="shared" si="24"/>
        <v>0.30648534518127146</v>
      </c>
      <c r="AZ178" s="14">
        <f>AZ155/SUM($AX$166:$AZ$166)</f>
        <v>1.0006704492009646E-5</v>
      </c>
      <c r="BA178" s="14">
        <f t="shared" si="25"/>
        <v>0.25256662658721246</v>
      </c>
      <c r="BB178" s="14">
        <f t="shared" si="25"/>
        <v>0.31344555580513456</v>
      </c>
      <c r="BC178" s="14">
        <f>BC155/SUM($AX$166:$AZ$166)</f>
        <v>3.3355681640032154E-6</v>
      </c>
    </row>
    <row r="179" spans="1:55" x14ac:dyDescent="0.25">
      <c r="A179" s="27" t="s">
        <v>31</v>
      </c>
      <c r="B179" s="14">
        <v>5.3171691391503161E-5</v>
      </c>
      <c r="C179" s="14">
        <v>5.3171691391503165E-4</v>
      </c>
      <c r="D179" s="14">
        <v>4.0679998287157965E-4</v>
      </c>
      <c r="E179" s="14">
        <v>7.4936838950027832E-4</v>
      </c>
      <c r="F179" s="14">
        <v>0</v>
      </c>
      <c r="G179" s="14">
        <v>0</v>
      </c>
      <c r="H179" s="14">
        <v>4.0129781420765029E-3</v>
      </c>
      <c r="I179" s="14">
        <v>2.9371584699453552E-3</v>
      </c>
      <c r="J179" s="14">
        <v>3.1239919183687331E-3</v>
      </c>
      <c r="K179" s="14">
        <v>3.157948352264045E-3</v>
      </c>
      <c r="L179" s="14">
        <v>3.2716413368078672E-3</v>
      </c>
      <c r="M179" s="14">
        <v>4.6411656173320909E-3</v>
      </c>
      <c r="N179" s="14">
        <v>2.5985107043127523E-3</v>
      </c>
      <c r="O179" s="14">
        <v>1.9391870927707106E-3</v>
      </c>
      <c r="P179" s="14">
        <v>1.7059590095960195E-3</v>
      </c>
      <c r="Q179" s="14">
        <v>2.4641630138609169E-3</v>
      </c>
      <c r="R179" s="14">
        <f t="shared" si="8"/>
        <v>8.8810128656887644E-3</v>
      </c>
      <c r="S179" s="14">
        <f t="shared" si="8"/>
        <v>9.3726952388756869E-3</v>
      </c>
      <c r="T179" s="14">
        <f t="shared" si="9"/>
        <v>9.5967403250739412E-3</v>
      </c>
      <c r="U179" s="14">
        <f t="shared" si="9"/>
        <v>1.1017486797780418E-2</v>
      </c>
      <c r="V179" s="14">
        <f t="shared" si="10"/>
        <v>9.1888697285437866E-3</v>
      </c>
      <c r="W179" s="14">
        <f t="shared" si="10"/>
        <v>9.9417903318517794E-3</v>
      </c>
      <c r="X179" s="14">
        <f t="shared" si="11"/>
        <v>8.7233953234540952E-3</v>
      </c>
      <c r="Y179" s="14">
        <f t="shared" si="11"/>
        <v>1.0855967423701776E-2</v>
      </c>
      <c r="Z179" s="14">
        <f t="shared" si="12"/>
        <v>1.1154640228199572E-2</v>
      </c>
      <c r="AA179" s="14">
        <f t="shared" si="12"/>
        <v>1.3554821153691828E-2</v>
      </c>
      <c r="AB179" s="14">
        <f t="shared" si="13"/>
        <v>1.1185897435897436E-2</v>
      </c>
      <c r="AC179" s="14">
        <f t="shared" si="13"/>
        <v>1.348076923076923E-2</v>
      </c>
      <c r="AD179" s="14">
        <f t="shared" si="14"/>
        <v>1.0851964276892508E-2</v>
      </c>
      <c r="AE179" s="14">
        <f t="shared" si="14"/>
        <v>1.4612002481076304E-2</v>
      </c>
      <c r="AF179" s="14">
        <f t="shared" si="15"/>
        <v>1.1373875013919963E-2</v>
      </c>
      <c r="AG179" s="14">
        <f t="shared" si="15"/>
        <v>1.5139857662053675E-2</v>
      </c>
      <c r="AH179" s="14">
        <f t="shared" si="16"/>
        <v>1.3052491608452954E-2</v>
      </c>
      <c r="AI179" s="14">
        <f t="shared" si="16"/>
        <v>1.6699986610461386E-2</v>
      </c>
      <c r="AJ179" s="14">
        <f t="shared" ref="AJ179:AK179" si="51">AJ156/SUM($AJ$166:$AK$166)</f>
        <v>1.3708970699244271E-2</v>
      </c>
      <c r="AK179" s="14">
        <f t="shared" si="51"/>
        <v>1.7444231386601651E-2</v>
      </c>
      <c r="AL179" s="14">
        <f t="shared" ref="AL179:AM179" si="52">AL156/SUM($AL$166:$AM$166)</f>
        <v>1.1753809332557395E-2</v>
      </c>
      <c r="AM179" s="14">
        <f t="shared" si="52"/>
        <v>1.6036490905961327E-2</v>
      </c>
      <c r="AN179" s="14">
        <f t="shared" ref="AN179:AO179" si="53">AN156/SUM($AN$166:$AO$166)</f>
        <v>1.0952710016816525E-2</v>
      </c>
      <c r="AO179" s="14">
        <f t="shared" si="53"/>
        <v>1.5158838261786546E-2</v>
      </c>
      <c r="AP179" s="14">
        <f t="shared" ref="AP179:AQ179" si="54">AP156/SUM($AP$166:$AQ$166)</f>
        <v>1.122784538093172E-2</v>
      </c>
      <c r="AQ179" s="14">
        <f t="shared" si="54"/>
        <v>1.4386563890049024E-2</v>
      </c>
      <c r="AR179" s="14">
        <f t="shared" si="21"/>
        <v>1.0122938943108199E-2</v>
      </c>
      <c r="AS179" s="14">
        <f t="shared" si="21"/>
        <v>1.3207463764200848E-2</v>
      </c>
      <c r="AT179" s="14">
        <f t="shared" si="22"/>
        <v>8.6362166905278714E-3</v>
      </c>
      <c r="AU179" s="14">
        <f t="shared" si="22"/>
        <v>1.2039546838419974E-2</v>
      </c>
      <c r="AV179" s="14">
        <f t="shared" si="23"/>
        <v>8.1728443351072044E-3</v>
      </c>
      <c r="AW179" s="14">
        <f t="shared" si="23"/>
        <v>1.138777092704484E-2</v>
      </c>
      <c r="AX179" s="14">
        <f t="shared" si="24"/>
        <v>7.8018939356035207E-3</v>
      </c>
      <c r="AY179" s="14">
        <f t="shared" si="24"/>
        <v>1.0073415855289711E-2</v>
      </c>
      <c r="AZ179" s="14">
        <f t="shared" si="24"/>
        <v>0</v>
      </c>
      <c r="BA179" s="14">
        <f t="shared" si="25"/>
        <v>7.9938691648058346E-3</v>
      </c>
      <c r="BB179" s="14">
        <f t="shared" si="25"/>
        <v>1.037221040392162E-2</v>
      </c>
      <c r="BC179" s="14">
        <f t="shared" ref="BC179" si="55">BC156/SUM($AX$166:$AZ$166)</f>
        <v>0</v>
      </c>
    </row>
    <row r="180" spans="1:55" x14ac:dyDescent="0.25">
      <c r="A180" s="27" t="s">
        <v>32</v>
      </c>
      <c r="B180" s="14">
        <v>5.529855904716329E-3</v>
      </c>
      <c r="C180" s="14">
        <v>6.7793906524166534E-3</v>
      </c>
      <c r="D180" s="14">
        <v>9.5062732839463881E-3</v>
      </c>
      <c r="E180" s="14">
        <v>1.3210294180619192E-2</v>
      </c>
      <c r="F180" s="14">
        <v>8.6518887129608691E-3</v>
      </c>
      <c r="G180" s="14">
        <v>1.2968408354067706E-2</v>
      </c>
      <c r="H180" s="14">
        <v>1.0023907103825136E-2</v>
      </c>
      <c r="I180" s="14">
        <v>1.3251366120218579E-2</v>
      </c>
      <c r="J180" s="14">
        <v>9.5417579245827607E-3</v>
      </c>
      <c r="K180" s="14">
        <v>1.1103753883767126E-2</v>
      </c>
      <c r="L180" s="14">
        <v>8.5214844121507243E-3</v>
      </c>
      <c r="M180" s="14">
        <v>1.2002358625149792E-2</v>
      </c>
      <c r="N180" s="14">
        <v>1.4505119453924915E-2</v>
      </c>
      <c r="O180" s="14">
        <v>2.5157720550212016E-2</v>
      </c>
      <c r="P180" s="14">
        <v>1.2107570193105082E-2</v>
      </c>
      <c r="Q180" s="14">
        <v>2.6252813647672076E-2</v>
      </c>
      <c r="R180" s="14">
        <f t="shared" si="8"/>
        <v>1.3572482176513972E-2</v>
      </c>
      <c r="S180" s="14">
        <f t="shared" si="8"/>
        <v>1.8991231664344833E-2</v>
      </c>
      <c r="T180" s="14">
        <f t="shared" si="9"/>
        <v>1.6217955018630544E-2</v>
      </c>
      <c r="U180" s="14">
        <f t="shared" si="9"/>
        <v>2.3348493919383807E-2</v>
      </c>
      <c r="V180" s="14">
        <f t="shared" si="10"/>
        <v>1.9041604935273116E-2</v>
      </c>
      <c r="W180" s="14">
        <f t="shared" si="10"/>
        <v>3.1493130611484871E-2</v>
      </c>
      <c r="X180" s="14">
        <f t="shared" si="11"/>
        <v>1.5129507577347719E-2</v>
      </c>
      <c r="Y180" s="14">
        <f t="shared" si="11"/>
        <v>2.146845220603669E-2</v>
      </c>
      <c r="Z180" s="14">
        <f t="shared" si="12"/>
        <v>1.4962830024877255E-2</v>
      </c>
      <c r="AA180" s="14">
        <f t="shared" si="12"/>
        <v>2.2644868063002924E-2</v>
      </c>
      <c r="AB180" s="14">
        <f t="shared" si="13"/>
        <v>1.6198717948717949E-2</v>
      </c>
      <c r="AC180" s="14">
        <f t="shared" si="13"/>
        <v>2.6544871794871795E-2</v>
      </c>
      <c r="AD180" s="14">
        <f t="shared" si="14"/>
        <v>1.6357538464916374E-2</v>
      </c>
      <c r="AE180" s="14">
        <f t="shared" si="14"/>
        <v>2.5112663918453827E-2</v>
      </c>
      <c r="AF180" s="14">
        <f t="shared" si="15"/>
        <v>1.5964931817491573E-2</v>
      </c>
      <c r="AG180" s="14">
        <f t="shared" si="15"/>
        <v>2.6088541086668218E-2</v>
      </c>
      <c r="AH180" s="14">
        <f t="shared" si="16"/>
        <v>1.7018565287851995E-2</v>
      </c>
      <c r="AI180" s="14">
        <f t="shared" si="16"/>
        <v>2.5532465014059015E-2</v>
      </c>
      <c r="AJ180" s="14">
        <f t="shared" ref="AJ180:AK180" si="56">AJ157/SUM($AJ$166:$AK$166)</f>
        <v>1.6849886770843276E-2</v>
      </c>
      <c r="AK180" s="14">
        <f t="shared" si="56"/>
        <v>2.6337709213643028E-2</v>
      </c>
      <c r="AL180" s="14">
        <f t="shared" ref="AL180:AM180" si="57">AL157/SUM($AL$166:$AM$166)</f>
        <v>1.6679917706941633E-2</v>
      </c>
      <c r="AM180" s="14">
        <f t="shared" si="57"/>
        <v>2.5327246051326607E-2</v>
      </c>
      <c r="AN180" s="14">
        <f t="shared" ref="AN180:AO180" si="58">AN157/SUM($AN$166:$AO$166)</f>
        <v>1.6257304802495716E-2</v>
      </c>
      <c r="AO180" s="14">
        <f t="shared" si="58"/>
        <v>2.5736072442869753E-2</v>
      </c>
      <c r="AP180" s="14">
        <f t="shared" ref="AP180:AQ180" si="59">AP157/SUM($AP$166:$AQ$166)</f>
        <v>1.6122034393132728E-2</v>
      </c>
      <c r="AQ180" s="14">
        <f t="shared" si="59"/>
        <v>2.5006183627376641E-2</v>
      </c>
      <c r="AR180" s="14">
        <f t="shared" si="21"/>
        <v>1.5638737309488844E-2</v>
      </c>
      <c r="AS180" s="14">
        <f t="shared" si="21"/>
        <v>2.5182099932710207E-2</v>
      </c>
      <c r="AT180" s="14">
        <f t="shared" si="22"/>
        <v>1.602549300327899E-2</v>
      </c>
      <c r="AU180" s="14">
        <f t="shared" si="22"/>
        <v>2.5237220637396134E-2</v>
      </c>
      <c r="AV180" s="14">
        <f t="shared" si="23"/>
        <v>1.6548122681873233E-2</v>
      </c>
      <c r="AW180" s="14">
        <f t="shared" si="23"/>
        <v>2.5613049102256626E-2</v>
      </c>
      <c r="AX180" s="14">
        <f t="shared" si="24"/>
        <v>1.5410324917694855E-2</v>
      </c>
      <c r="AY180" s="14">
        <f t="shared" si="24"/>
        <v>2.3902681463247043E-2</v>
      </c>
      <c r="AZ180" s="14">
        <f t="shared" si="24"/>
        <v>0</v>
      </c>
      <c r="BA180" s="14">
        <f t="shared" si="25"/>
        <v>1.5720174940211145E-2</v>
      </c>
      <c r="BB180" s="14">
        <f t="shared" si="25"/>
        <v>2.2485234464807158E-2</v>
      </c>
      <c r="BC180" s="14">
        <f t="shared" ref="BC180" si="60">BC157/SUM($AX$166:$AZ$166)</f>
        <v>0</v>
      </c>
    </row>
    <row r="181" spans="1:55" x14ac:dyDescent="0.25">
      <c r="A181" s="27" t="s">
        <v>68</v>
      </c>
      <c r="B181" s="14">
        <v>0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f t="shared" si="8"/>
        <v>8.6966319757436697E-3</v>
      </c>
      <c r="S181" s="14">
        <f t="shared" si="8"/>
        <v>1.1431615176595919E-2</v>
      </c>
      <c r="T181" s="14">
        <f t="shared" si="9"/>
        <v>6.9428931402071249E-3</v>
      </c>
      <c r="U181" s="14">
        <f t="shared" si="9"/>
        <v>1.1687650228302341E-2</v>
      </c>
      <c r="V181" s="14">
        <f t="shared" si="10"/>
        <v>7.7154122037905101E-3</v>
      </c>
      <c r="W181" s="14">
        <f t="shared" si="10"/>
        <v>1.2791554335770205E-2</v>
      </c>
      <c r="X181" s="14">
        <f t="shared" si="11"/>
        <v>7.2876873347046721E-3</v>
      </c>
      <c r="Y181" s="14">
        <f t="shared" si="11"/>
        <v>1.1166617690273288E-2</v>
      </c>
      <c r="Z181" s="14">
        <f t="shared" si="12"/>
        <v>8.5501885856441463E-3</v>
      </c>
      <c r="AA181" s="14">
        <f t="shared" si="12"/>
        <v>1.4145747156624573E-2</v>
      </c>
      <c r="AB181" s="14">
        <f t="shared" si="13"/>
        <v>8.2628205128205123E-3</v>
      </c>
      <c r="AC181" s="14">
        <f t="shared" si="13"/>
        <v>1.3435897435897437E-2</v>
      </c>
      <c r="AD181" s="14">
        <f t="shared" si="14"/>
        <v>8.1019217363142836E-3</v>
      </c>
      <c r="AE181" s="14">
        <f t="shared" si="14"/>
        <v>1.5171891381553308E-2</v>
      </c>
      <c r="AF181" s="14">
        <f t="shared" si="15"/>
        <v>8.701242166857328E-3</v>
      </c>
      <c r="AG181" s="14">
        <f t="shared" si="15"/>
        <v>1.367699612265765E-2</v>
      </c>
      <c r="AH181" s="14">
        <f t="shared" si="16"/>
        <v>8.8140100744735373E-3</v>
      </c>
      <c r="AI181" s="14">
        <f t="shared" si="16"/>
        <v>1.3634243975861894E-2</v>
      </c>
      <c r="AJ181" s="14">
        <f t="shared" ref="AJ181:AK181" si="61">AJ158/SUM($AJ$166:$AK$166)</f>
        <v>8.7372996798347983E-3</v>
      </c>
      <c r="AK181" s="14">
        <f t="shared" si="61"/>
        <v>1.3466026914700701E-2</v>
      </c>
      <c r="AL181" s="14">
        <f t="shared" ref="AL181:AM181" si="62">AL158/SUM($AL$166:$AM$166)</f>
        <v>8.2416006163782852E-3</v>
      </c>
      <c r="AM181" s="14">
        <f t="shared" si="62"/>
        <v>1.3470980221797825E-2</v>
      </c>
      <c r="AN181" s="14">
        <f t="shared" ref="AN181:AO181" si="63">AN158/SUM($AN$166:$AO$166)</f>
        <v>8.2325074196421787E-3</v>
      </c>
      <c r="AO181" s="14">
        <f t="shared" si="63"/>
        <v>1.4723446069287275E-2</v>
      </c>
      <c r="AP181" s="14">
        <f t="shared" ref="AP181:AQ181" si="64">AP158/SUM($AP$166:$AQ$166)</f>
        <v>7.8339462896208321E-3</v>
      </c>
      <c r="AQ181" s="14">
        <f t="shared" si="64"/>
        <v>1.2306432188922994E-2</v>
      </c>
      <c r="AR181" s="14">
        <f t="shared" si="21"/>
        <v>6.5325127580465334E-3</v>
      </c>
      <c r="AS181" s="14">
        <f t="shared" si="21"/>
        <v>1.021134889020958E-2</v>
      </c>
      <c r="AT181" s="14">
        <f t="shared" si="22"/>
        <v>6.8208704425394952E-3</v>
      </c>
      <c r="AU181" s="14">
        <f t="shared" si="22"/>
        <v>1.2504929144655742E-2</v>
      </c>
      <c r="AV181" s="14">
        <f t="shared" si="23"/>
        <v>6.8793253114567358E-3</v>
      </c>
      <c r="AW181" s="14">
        <f t="shared" si="23"/>
        <v>1.1058386772481327E-2</v>
      </c>
      <c r="AX181" s="14">
        <f t="shared" si="24"/>
        <v>7.5450551869752731E-3</v>
      </c>
      <c r="AY181" s="14">
        <f t="shared" si="24"/>
        <v>1.0220180854505852E-2</v>
      </c>
      <c r="AZ181" s="14">
        <f t="shared" si="24"/>
        <v>0</v>
      </c>
      <c r="BA181" s="14">
        <f t="shared" si="25"/>
        <v>6.4710701214275336E-3</v>
      </c>
      <c r="BB181" s="14">
        <f t="shared" si="25"/>
        <v>9.3085633497615051E-3</v>
      </c>
      <c r="BC181" s="14">
        <f t="shared" ref="BC181" si="65">BC158/SUM($AX$166:$AZ$166)</f>
        <v>0</v>
      </c>
    </row>
    <row r="182" spans="1:55" x14ac:dyDescent="0.25">
      <c r="A182" s="27" t="s">
        <v>33</v>
      </c>
      <c r="B182" s="14">
        <v>5.9658637741266549E-2</v>
      </c>
      <c r="C182" s="14">
        <v>6.7209017918859998E-2</v>
      </c>
      <c r="D182" s="14">
        <v>4.4362608658416479E-2</v>
      </c>
      <c r="E182" s="14">
        <v>4.7381492741831885E-2</v>
      </c>
      <c r="F182" s="14">
        <v>5.5172283797029327E-2</v>
      </c>
      <c r="G182" s="14">
        <v>6.120410163613059E-2</v>
      </c>
      <c r="H182" s="14">
        <v>4.5747950819672131E-2</v>
      </c>
      <c r="I182" s="14">
        <v>5.2800546448087432E-2</v>
      </c>
      <c r="J182" s="14">
        <v>5.5552725852730946E-2</v>
      </c>
      <c r="K182" s="14">
        <v>6.4924701607837143E-2</v>
      </c>
      <c r="L182" s="14">
        <v>6.1210126871207651E-2</v>
      </c>
      <c r="M182" s="14">
        <v>7.0568542788123176E-2</v>
      </c>
      <c r="N182" s="14">
        <v>4.9397559209845898E-2</v>
      </c>
      <c r="O182" s="14">
        <v>6.1511014582686936E-2</v>
      </c>
      <c r="P182" s="14">
        <v>5.338230067527544E-2</v>
      </c>
      <c r="Q182" s="14">
        <v>6.6461319748844921E-2</v>
      </c>
      <c r="R182" s="14">
        <f t="shared" si="8"/>
        <v>5.0100385151192327E-2</v>
      </c>
      <c r="S182" s="14">
        <f t="shared" si="8"/>
        <v>6.2044169466524628E-2</v>
      </c>
      <c r="T182" s="14">
        <f t="shared" si="9"/>
        <v>5.0521387148946058E-2</v>
      </c>
      <c r="U182" s="14">
        <f t="shared" si="9"/>
        <v>6.6104920786682508E-2</v>
      </c>
      <c r="V182" s="14">
        <f t="shared" si="10"/>
        <v>4.7174928553501888E-2</v>
      </c>
      <c r="W182" s="14">
        <f t="shared" si="10"/>
        <v>5.7068143362559609E-2</v>
      </c>
      <c r="X182" s="14">
        <f t="shared" si="11"/>
        <v>4.6144158515595481E-2</v>
      </c>
      <c r="Y182" s="14">
        <f t="shared" si="11"/>
        <v>5.7361151924772258E-2</v>
      </c>
      <c r="Z182" s="14">
        <f t="shared" si="12"/>
        <v>4.6967674159024753E-2</v>
      </c>
      <c r="AA182" s="14">
        <f t="shared" si="12"/>
        <v>5.9187440269053718E-2</v>
      </c>
      <c r="AB182" s="14">
        <f t="shared" si="13"/>
        <v>4.7564102564102567E-2</v>
      </c>
      <c r="AC182" s="14">
        <f t="shared" si="13"/>
        <v>6.0185897435897438E-2</v>
      </c>
      <c r="AD182" s="14">
        <f t="shared" si="14"/>
        <v>4.7222786380428039E-2</v>
      </c>
      <c r="AE182" s="14">
        <f t="shared" si="14"/>
        <v>6.5073361913283084E-2</v>
      </c>
      <c r="AF182" s="14">
        <f t="shared" si="15"/>
        <v>4.8826167505238965E-2</v>
      </c>
      <c r="AG182" s="14">
        <f t="shared" si="15"/>
        <v>6.3702811326294045E-2</v>
      </c>
      <c r="AH182" s="14">
        <f t="shared" si="16"/>
        <v>4.9250416691675861E-2</v>
      </c>
      <c r="AI182" s="14">
        <f t="shared" si="16"/>
        <v>6.3512583857756932E-2</v>
      </c>
      <c r="AJ182" s="14">
        <f t="shared" ref="AJ182:AK182" si="66">AJ159/SUM($AJ$166:$AK$166)</f>
        <v>4.5630048675522547E-2</v>
      </c>
      <c r="AK182" s="14">
        <f t="shared" si="66"/>
        <v>6.3399651202137905E-2</v>
      </c>
      <c r="AL182" s="14">
        <f t="shared" ref="AL182:AM182" si="67">AL159/SUM($AL$166:$AM$166)</f>
        <v>4.553986377384163E-2</v>
      </c>
      <c r="AM182" s="14">
        <f t="shared" si="67"/>
        <v>6.1609140758833801E-2</v>
      </c>
      <c r="AN182" s="14">
        <f t="shared" ref="AN182:AO182" si="68">AN159/SUM($AN$166:$AO$166)</f>
        <v>4.5560397684831971E-2</v>
      </c>
      <c r="AO182" s="14">
        <f t="shared" si="68"/>
        <v>6.172183631650216E-2</v>
      </c>
      <c r="AP182" s="14">
        <f t="shared" ref="AP182:AQ182" si="69">AP159/SUM($AP$166:$AQ$166)</f>
        <v>4.4088249486049329E-2</v>
      </c>
      <c r="AQ182" s="14">
        <f t="shared" si="69"/>
        <v>6.0481957999991891E-2</v>
      </c>
      <c r="AR182" s="14">
        <f t="shared" si="21"/>
        <v>4.214207478499192E-2</v>
      </c>
      <c r="AS182" s="14">
        <f t="shared" si="21"/>
        <v>5.5929114869079602E-2</v>
      </c>
      <c r="AT182" s="14">
        <f t="shared" si="22"/>
        <v>4.1291133934185709E-2</v>
      </c>
      <c r="AU182" s="14">
        <f t="shared" si="22"/>
        <v>5.8989871717900169E-2</v>
      </c>
      <c r="AV182" s="14">
        <f t="shared" si="23"/>
        <v>3.8894778918041675E-2</v>
      </c>
      <c r="AW182" s="14">
        <f t="shared" si="23"/>
        <v>5.3600408985325247E-2</v>
      </c>
      <c r="AX182" s="14">
        <f t="shared" si="24"/>
        <v>4.0747300691463283E-2</v>
      </c>
      <c r="AY182" s="14">
        <f t="shared" si="24"/>
        <v>5.2204977334814329E-2</v>
      </c>
      <c r="AZ182" s="14">
        <f t="shared" si="24"/>
        <v>0</v>
      </c>
      <c r="BA182" s="14">
        <f t="shared" si="25"/>
        <v>3.7666979374496257E-2</v>
      </c>
      <c r="BB182" s="14">
        <f t="shared" si="25"/>
        <v>4.7609767054688633E-2</v>
      </c>
      <c r="BC182" s="14">
        <f t="shared" ref="BC182" si="70">BC159/SUM($AX$166:$AZ$166)</f>
        <v>3.3355681640032154E-6</v>
      </c>
    </row>
    <row r="183" spans="1:55" x14ac:dyDescent="0.25">
      <c r="A183" s="27" t="s">
        <v>34</v>
      </c>
      <c r="B183" s="14">
        <v>1.2681448396873504E-2</v>
      </c>
      <c r="C183" s="14">
        <v>1.6775668634019247E-2</v>
      </c>
      <c r="D183" s="14">
        <v>1.1304757418747056E-2</v>
      </c>
      <c r="E183" s="14">
        <v>1.4345052027576757E-2</v>
      </c>
      <c r="F183" s="14">
        <v>1.1177712433084521E-2</v>
      </c>
      <c r="G183" s="14">
        <v>1.590891955062957E-2</v>
      </c>
      <c r="H183" s="14">
        <v>1.5437158469945355E-2</v>
      </c>
      <c r="I183" s="14">
        <v>2.3036202185792349E-2</v>
      </c>
      <c r="J183" s="14">
        <v>2.0543642506663951E-2</v>
      </c>
      <c r="K183" s="14">
        <v>2.426187201820065E-2</v>
      </c>
      <c r="L183" s="14">
        <v>1.7727730964563558E-2</v>
      </c>
      <c r="M183" s="14">
        <v>2.6020961329960245E-2</v>
      </c>
      <c r="N183" s="14">
        <v>1.6289171579273967E-2</v>
      </c>
      <c r="O183" s="14">
        <v>2.2546281931947462E-2</v>
      </c>
      <c r="P183" s="14">
        <v>1.4749437270465585E-2</v>
      </c>
      <c r="Q183" s="14">
        <v>2.2094538561781778E-2</v>
      </c>
      <c r="R183" s="14">
        <f t="shared" si="8"/>
        <v>1.9923379496845039E-2</v>
      </c>
      <c r="S183" s="14">
        <f t="shared" si="8"/>
        <v>2.9459968860116363E-2</v>
      </c>
      <c r="T183" s="14">
        <f t="shared" si="9"/>
        <v>2.0533807511191729E-2</v>
      </c>
      <c r="U183" s="14">
        <f t="shared" si="9"/>
        <v>3.1381519573239924E-2</v>
      </c>
      <c r="V183" s="14">
        <f t="shared" si="10"/>
        <v>2.0450295096300974E-2</v>
      </c>
      <c r="W183" s="14">
        <f t="shared" si="10"/>
        <v>2.7218484605607236E-2</v>
      </c>
      <c r="X183" s="14">
        <f t="shared" si="11"/>
        <v>2.0376978296461106E-2</v>
      </c>
      <c r="Y183" s="14">
        <f t="shared" si="11"/>
        <v>2.9285084589227992E-2</v>
      </c>
      <c r="Z183" s="14">
        <f t="shared" si="12"/>
        <v>1.8063367694586097E-2</v>
      </c>
      <c r="AA183" s="14">
        <f t="shared" si="12"/>
        <v>2.8327971227010425E-2</v>
      </c>
      <c r="AB183" s="14">
        <f t="shared" si="13"/>
        <v>1.7570512820512821E-2</v>
      </c>
      <c r="AC183" s="14">
        <f t="shared" si="13"/>
        <v>2.6121794871794873E-2</v>
      </c>
      <c r="AD183" s="14">
        <f t="shared" si="14"/>
        <v>1.6368516678651218E-2</v>
      </c>
      <c r="AE183" s="14">
        <f t="shared" si="14"/>
        <v>2.6199507078203305E-2</v>
      </c>
      <c r="AF183" s="14">
        <f t="shared" si="15"/>
        <v>1.8652750078457972E-2</v>
      </c>
      <c r="AG183" s="14">
        <f t="shared" si="15"/>
        <v>2.8766235738365443E-2</v>
      </c>
      <c r="AH183" s="14">
        <f t="shared" si="16"/>
        <v>1.7965067155461777E-2</v>
      </c>
      <c r="AI183" s="14">
        <f t="shared" si="16"/>
        <v>2.9900224851907086E-2</v>
      </c>
      <c r="AJ183" s="14">
        <f t="shared" ref="AJ183:AK183" si="71">AJ160/SUM($AJ$166:$AK$166)</f>
        <v>1.8515787007713464E-2</v>
      </c>
      <c r="AK183" s="14">
        <f t="shared" si="71"/>
        <v>3.1543647453862372E-2</v>
      </c>
      <c r="AL183" s="14">
        <f t="shared" ref="AL183:AM183" si="72">AL160/SUM($AL$166:$AM$166)</f>
        <v>1.6577461209970248E-2</v>
      </c>
      <c r="AM183" s="14">
        <f t="shared" si="72"/>
        <v>2.8462414858651017E-2</v>
      </c>
      <c r="AN183" s="14">
        <f t="shared" ref="AN183:AO183" si="73">AN160/SUM($AN$166:$AO$166)</f>
        <v>1.6824512979880087E-2</v>
      </c>
      <c r="AO183" s="14">
        <f t="shared" si="73"/>
        <v>2.8172670951351914E-2</v>
      </c>
      <c r="AP183" s="14">
        <f t="shared" ref="AP183:AQ183" si="74">AP160/SUM($AP$166:$AQ$166)</f>
        <v>1.779668233185602E-2</v>
      </c>
      <c r="AQ183" s="14">
        <f t="shared" si="74"/>
        <v>2.768237645923469E-2</v>
      </c>
      <c r="AR183" s="14">
        <f t="shared" si="21"/>
        <v>1.4307676439240264E-2</v>
      </c>
      <c r="AS183" s="14">
        <f t="shared" si="21"/>
        <v>2.3865774053645192E-2</v>
      </c>
      <c r="AT183" s="14">
        <f t="shared" si="22"/>
        <v>1.706638625310403E-2</v>
      </c>
      <c r="AU183" s="14">
        <f t="shared" si="22"/>
        <v>2.8573052588200604E-2</v>
      </c>
      <c r="AV183" s="14">
        <f t="shared" si="23"/>
        <v>1.8442081570613444E-2</v>
      </c>
      <c r="AW183" s="14">
        <f t="shared" si="23"/>
        <v>3.0962110528970365E-2</v>
      </c>
      <c r="AX183" s="14">
        <f t="shared" si="24"/>
        <v>1.7721873655349083E-2</v>
      </c>
      <c r="AY183" s="14">
        <f t="shared" si="24"/>
        <v>2.8966073936203922E-2</v>
      </c>
      <c r="AZ183" s="14">
        <f t="shared" si="24"/>
        <v>0</v>
      </c>
      <c r="BA183" s="14">
        <f t="shared" si="25"/>
        <v>2.0625503745887452E-2</v>
      </c>
      <c r="BB183" s="14">
        <f t="shared" si="25"/>
        <v>3.4885641425419181E-2</v>
      </c>
      <c r="BC183" s="14">
        <f t="shared" ref="BC183" si="75">BC160/SUM($AX$166:$AZ$166)</f>
        <v>0</v>
      </c>
    </row>
    <row r="184" spans="1:55" x14ac:dyDescent="0.25">
      <c r="A184" s="27" t="s">
        <v>38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f t="shared" si="8"/>
        <v>8.9732033106613134E-3</v>
      </c>
      <c r="S184" s="14">
        <f t="shared" si="8"/>
        <v>9.0244202245349497E-3</v>
      </c>
      <c r="T184" s="14">
        <f t="shared" si="9"/>
        <v>6.9071510905792891E-3</v>
      </c>
      <c r="U184" s="14">
        <f t="shared" si="9"/>
        <v>9.176771241946869E-3</v>
      </c>
      <c r="V184" s="14">
        <f t="shared" si="10"/>
        <v>8.2983184773192786E-3</v>
      </c>
      <c r="W184" s="14">
        <f t="shared" si="10"/>
        <v>1.0403257798395389E-2</v>
      </c>
      <c r="X184" s="14">
        <f t="shared" si="11"/>
        <v>7.4891902103186268E-3</v>
      </c>
      <c r="Y184" s="14">
        <f t="shared" si="11"/>
        <v>8.0097393056546753E-3</v>
      </c>
      <c r="Z184" s="14">
        <f t="shared" si="12"/>
        <v>7.4412904073012194E-3</v>
      </c>
      <c r="AA184" s="14">
        <f t="shared" si="12"/>
        <v>9.5496560227032318E-3</v>
      </c>
      <c r="AB184" s="14">
        <f t="shared" si="13"/>
        <v>5.807692307692308E-3</v>
      </c>
      <c r="AC184" s="14">
        <f t="shared" si="13"/>
        <v>8.7243589743589752E-3</v>
      </c>
      <c r="AD184" s="14">
        <f t="shared" si="14"/>
        <v>6.8394271568073157E-3</v>
      </c>
      <c r="AE184" s="14">
        <f t="shared" si="14"/>
        <v>8.3653988659505209E-3</v>
      </c>
      <c r="AF184" s="14">
        <f t="shared" si="15"/>
        <v>6.9852903957318864E-3</v>
      </c>
      <c r="AG184" s="14">
        <f t="shared" si="15"/>
        <v>8.5949442695309724E-3</v>
      </c>
      <c r="AH184" s="14">
        <f t="shared" si="16"/>
        <v>6.4685322757136853E-3</v>
      </c>
      <c r="AI184" s="14">
        <f t="shared" si="16"/>
        <v>8.8232442390355839E-3</v>
      </c>
      <c r="AJ184" s="14">
        <f t="shared" ref="AJ184:AK184" si="76">AJ161/SUM($AJ$166:$AK$166)</f>
        <v>6.2514641701300619E-3</v>
      </c>
      <c r="AK184" s="14">
        <f t="shared" si="76"/>
        <v>8.9672286187778196E-3</v>
      </c>
      <c r="AL184" s="14">
        <f t="shared" ref="AL184:AM184" si="77">AL161/SUM($AL$166:$AM$166)</f>
        <v>6.7867183593846052E-3</v>
      </c>
      <c r="AM184" s="14">
        <f t="shared" si="77"/>
        <v>8.9587960951779868E-3</v>
      </c>
      <c r="AN184" s="14">
        <f t="shared" ref="AN184:AO184" si="78">AN161/SUM($AN$166:$AO$166)</f>
        <v>6.0914962712053976E-3</v>
      </c>
      <c r="AO184" s="14">
        <f t="shared" si="78"/>
        <v>8.9754702435400173E-3</v>
      </c>
      <c r="AP184" s="14">
        <f t="shared" ref="AP184:AQ184" si="79">AP161/SUM($AP$166:$AQ$166)</f>
        <v>6.6296595152847103E-3</v>
      </c>
      <c r="AQ184" s="14">
        <f t="shared" si="79"/>
        <v>9.9384070164910254E-3</v>
      </c>
      <c r="AR184" s="14">
        <f t="shared" si="21"/>
        <v>6.4637494658565699E-3</v>
      </c>
      <c r="AS184" s="14">
        <f t="shared" si="21"/>
        <v>8.2712417177070383E-3</v>
      </c>
      <c r="AT184" s="14">
        <f t="shared" si="22"/>
        <v>6.8066602957842044E-3</v>
      </c>
      <c r="AU184" s="14">
        <f t="shared" si="22"/>
        <v>1.0082099122878692E-2</v>
      </c>
      <c r="AV184" s="14">
        <f t="shared" si="23"/>
        <v>6.8861874813434757E-3</v>
      </c>
      <c r="AW184" s="14">
        <f t="shared" si="23"/>
        <v>9.7854542584910782E-3</v>
      </c>
      <c r="AX184" s="14">
        <f t="shared" si="24"/>
        <v>6.7578611002705145E-3</v>
      </c>
      <c r="AY184" s="14">
        <f t="shared" si="24"/>
        <v>9.1928258599928616E-3</v>
      </c>
      <c r="AZ184" s="14">
        <f t="shared" si="24"/>
        <v>0</v>
      </c>
      <c r="BA184" s="14">
        <f t="shared" si="25"/>
        <v>7.3992838550268883E-3</v>
      </c>
      <c r="BB184" s="14">
        <f t="shared" si="25"/>
        <v>9.4406934186012717E-3</v>
      </c>
      <c r="BC184" s="14">
        <f t="shared" ref="BC184" si="80">BC161/SUM($AX$166:$AZ$166)</f>
        <v>0</v>
      </c>
    </row>
    <row r="185" spans="1:55" x14ac:dyDescent="0.25">
      <c r="A185" s="27" t="s">
        <v>35</v>
      </c>
      <c r="B185" s="14">
        <v>2.2199181155952572E-2</v>
      </c>
      <c r="C185" s="14">
        <v>2.3076514063912375E-2</v>
      </c>
      <c r="D185" s="14">
        <v>1.9783325482807347E-2</v>
      </c>
      <c r="E185" s="14">
        <v>2.545711471759517E-2</v>
      </c>
      <c r="F185" s="14">
        <v>1.3420794692000302E-2</v>
      </c>
      <c r="G185" s="14">
        <v>1.43067179371183E-2</v>
      </c>
      <c r="H185" s="14">
        <v>1.4088114754098361E-2</v>
      </c>
      <c r="I185" s="14">
        <v>1.7879098360655737E-2</v>
      </c>
      <c r="J185" s="14">
        <v>1.6044415015535069E-2</v>
      </c>
      <c r="K185" s="14">
        <v>1.8591147557683492E-2</v>
      </c>
      <c r="L185" s="14">
        <v>8.6926749472162525E-3</v>
      </c>
      <c r="M185" s="14">
        <v>1.2706141935974739E-2</v>
      </c>
      <c r="N185" s="14">
        <v>1.1311924707829145E-2</v>
      </c>
      <c r="O185" s="14">
        <v>1.6224532009514944E-2</v>
      </c>
      <c r="P185" s="14">
        <v>1.1835090629072384E-2</v>
      </c>
      <c r="Q185" s="14">
        <v>1.6514630967894798E-2</v>
      </c>
      <c r="R185" s="14">
        <f t="shared" si="8"/>
        <v>8.5737113824469399E-3</v>
      </c>
      <c r="S185" s="14">
        <f t="shared" si="8"/>
        <v>1.5047529296074736E-2</v>
      </c>
      <c r="T185" s="14">
        <f t="shared" si="9"/>
        <v>9.0874161178772801E-3</v>
      </c>
      <c r="U185" s="14">
        <f t="shared" si="9"/>
        <v>1.5905212084386978E-2</v>
      </c>
      <c r="V185" s="14">
        <f t="shared" si="10"/>
        <v>1.0127996502562358E-2</v>
      </c>
      <c r="W185" s="14">
        <f t="shared" si="10"/>
        <v>1.802151895659777E-2</v>
      </c>
      <c r="X185" s="14">
        <f t="shared" si="11"/>
        <v>1.040258595357038E-2</v>
      </c>
      <c r="Y185" s="14">
        <f t="shared" si="11"/>
        <v>1.7597917803618655E-2</v>
      </c>
      <c r="Z185" s="14">
        <f t="shared" si="12"/>
        <v>1.0541828077010061E-2</v>
      </c>
      <c r="AA185" s="14">
        <f t="shared" si="12"/>
        <v>1.7581872432937195E-2</v>
      </c>
      <c r="AB185" s="14">
        <f t="shared" si="13"/>
        <v>1.0717948717948718E-2</v>
      </c>
      <c r="AC185" s="14">
        <f t="shared" si="13"/>
        <v>2.0365384615384615E-2</v>
      </c>
      <c r="AD185" s="14">
        <f t="shared" si="14"/>
        <v>1.0056043781116375E-2</v>
      </c>
      <c r="AE185" s="14">
        <f t="shared" si="14"/>
        <v>1.8015248738877696E-2</v>
      </c>
      <c r="AF185" s="14">
        <f t="shared" si="15"/>
        <v>1.1110661172921371E-2</v>
      </c>
      <c r="AG185" s="14">
        <f t="shared" si="15"/>
        <v>1.7523967644944776E-2</v>
      </c>
      <c r="AH185" s="14">
        <f t="shared" si="16"/>
        <v>1.1468832386061951E-2</v>
      </c>
      <c r="AI185" s="14">
        <f t="shared" si="16"/>
        <v>1.8565287851994811E-2</v>
      </c>
      <c r="AJ185" s="14">
        <f t="shared" ref="AJ185:AK185" si="81">AJ162/SUM($AJ$166:$AK$166)</f>
        <v>1.2932418245078219E-2</v>
      </c>
      <c r="AK185" s="14">
        <f t="shared" si="81"/>
        <v>2.109272643662204E-2</v>
      </c>
      <c r="AL185" s="14">
        <f t="shared" ref="AL185:AM185" si="82">AL162/SUM($AL$166:$AM$166)</f>
        <v>1.3602124537921199E-2</v>
      </c>
      <c r="AM185" s="14">
        <f t="shared" si="82"/>
        <v>2.2085522487151954E-2</v>
      </c>
      <c r="AN185" s="14">
        <f t="shared" ref="AN185:AO185" si="83">AN162/SUM($AN$166:$AO$166)</f>
        <v>1.3405286220436271E-2</v>
      </c>
      <c r="AO185" s="14">
        <f t="shared" si="83"/>
        <v>2.2113130070421691E-2</v>
      </c>
      <c r="AP185" s="14">
        <f t="shared" ref="AP185:AQ185" si="84">AP162/SUM($AP$166:$AQ$166)</f>
        <v>1.2667312737461429E-2</v>
      </c>
      <c r="AQ185" s="14">
        <f t="shared" si="84"/>
        <v>1.9329410953738357E-2</v>
      </c>
      <c r="AR185" s="14">
        <f t="shared" si="21"/>
        <v>1.2460890877566959E-2</v>
      </c>
      <c r="AS185" s="14">
        <f t="shared" si="21"/>
        <v>1.9705594876152401E-2</v>
      </c>
      <c r="AT185" s="14">
        <f t="shared" si="22"/>
        <v>1.1222463399990763E-2</v>
      </c>
      <c r="AU185" s="14">
        <f t="shared" si="22"/>
        <v>1.9634870279122807E-2</v>
      </c>
      <c r="AV185" s="14">
        <f t="shared" si="23"/>
        <v>1.0622638984673343E-2</v>
      </c>
      <c r="AW185" s="14">
        <f t="shared" si="23"/>
        <v>1.693926636541741E-2</v>
      </c>
      <c r="AX185" s="14">
        <f t="shared" si="24"/>
        <v>1.1547736983779132E-2</v>
      </c>
      <c r="AY185" s="14">
        <f t="shared" si="24"/>
        <v>1.7611799905936979E-2</v>
      </c>
      <c r="AZ185" s="14">
        <f t="shared" si="24"/>
        <v>0</v>
      </c>
      <c r="BA185" s="14">
        <f t="shared" si="25"/>
        <v>1.1092319279098345E-2</v>
      </c>
      <c r="BB185" s="14">
        <f t="shared" si="25"/>
        <v>1.6661601680694475E-2</v>
      </c>
      <c r="BC185" s="14">
        <f t="shared" ref="BC185" si="85">BC162/SUM($AX$166:$AZ$166)</f>
        <v>0</v>
      </c>
    </row>
    <row r="186" spans="1:55" x14ac:dyDescent="0.25">
      <c r="A186" s="27" t="s">
        <v>36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3.4153005464480874E-5</v>
      </c>
      <c r="I186" s="14">
        <v>5.1229508196721311E-5</v>
      </c>
      <c r="J186" s="14">
        <v>6.7912867790624631E-4</v>
      </c>
      <c r="K186" s="14">
        <v>1.0866058846499941E-3</v>
      </c>
      <c r="L186" s="14">
        <v>1.7119053506552793E-4</v>
      </c>
      <c r="M186" s="14">
        <v>6.4671979913643891E-4</v>
      </c>
      <c r="N186" s="14">
        <v>2.9734202089150893E-4</v>
      </c>
      <c r="O186" s="14">
        <v>7.4981900920467477E-4</v>
      </c>
      <c r="P186" s="14">
        <v>3.6725506456580976E-4</v>
      </c>
      <c r="Q186" s="14">
        <v>8.4113256723137068E-4</v>
      </c>
      <c r="R186" s="14">
        <f t="shared" si="8"/>
        <v>8.6044415307711221E-4</v>
      </c>
      <c r="S186" s="14">
        <f t="shared" si="8"/>
        <v>1.2701794640662132E-3</v>
      </c>
      <c r="T186" s="14">
        <f t="shared" si="9"/>
        <v>5.5400176923145656E-4</v>
      </c>
      <c r="U186" s="14">
        <f t="shared" si="9"/>
        <v>7.5058304218455411E-4</v>
      </c>
      <c r="V186" s="14">
        <f t="shared" si="10"/>
        <v>5.7481035306309149E-4</v>
      </c>
      <c r="W186" s="14">
        <f t="shared" si="10"/>
        <v>1.0605655810037322E-3</v>
      </c>
      <c r="X186" s="14">
        <f t="shared" si="11"/>
        <v>8.6478317450988619E-4</v>
      </c>
      <c r="Y186" s="14">
        <f t="shared" si="11"/>
        <v>1.3769363166953529E-3</v>
      </c>
      <c r="Z186" s="14">
        <f t="shared" si="12"/>
        <v>5.9092600293274386E-4</v>
      </c>
      <c r="AA186" s="14">
        <f t="shared" si="12"/>
        <v>1.0724212645816464E-3</v>
      </c>
      <c r="AB186" s="14">
        <f t="shared" si="13"/>
        <v>2.8846153846153849E-4</v>
      </c>
      <c r="AC186" s="14">
        <f t="shared" si="13"/>
        <v>8.461538461538462E-4</v>
      </c>
      <c r="AD186" s="14">
        <f t="shared" si="14"/>
        <v>4.6108497686341455E-4</v>
      </c>
      <c r="AE186" s="14">
        <f t="shared" si="14"/>
        <v>7.1907299963222982E-4</v>
      </c>
      <c r="AF186" s="14">
        <f t="shared" si="15"/>
        <v>8.402595693416617E-4</v>
      </c>
      <c r="AG186" s="14">
        <f t="shared" si="15"/>
        <v>1.235080330839551E-3</v>
      </c>
      <c r="AH186" s="14">
        <f t="shared" si="16"/>
        <v>7.5720149408782609E-4</v>
      </c>
      <c r="AI186" s="14">
        <f t="shared" si="16"/>
        <v>1.1080997474455993E-3</v>
      </c>
      <c r="AJ186" s="14">
        <f t="shared" ref="AJ186:AK186" si="86">AJ163/SUM($AJ$166:$AK$166)</f>
        <v>6.7677197122851466E-4</v>
      </c>
      <c r="AK186" s="14">
        <f t="shared" si="86"/>
        <v>1.3101611237885348E-3</v>
      </c>
      <c r="AL186" s="14">
        <f t="shared" ref="AL186:AM186" si="87">AL163/SUM($AL$166:$AM$166)</f>
        <v>7.9916067637681039E-4</v>
      </c>
      <c r="AM186" s="14">
        <f t="shared" si="87"/>
        <v>1.5286509348130784E-3</v>
      </c>
      <c r="AN186" s="14">
        <f t="shared" ref="AN186:AO186" si="88">AN163/SUM($AN$166:$AO$166)</f>
        <v>7.7491821417301448E-4</v>
      </c>
      <c r="AO186" s="14">
        <f t="shared" si="88"/>
        <v>1.5698085472680139E-3</v>
      </c>
      <c r="AP186" s="14">
        <f t="shared" ref="AP186:AQ186" si="89">AP163/SUM($AP$166:$AQ$166)</f>
        <v>7.5825463569311369E-4</v>
      </c>
      <c r="AQ186" s="14">
        <f t="shared" si="89"/>
        <v>1.3624254416731883E-3</v>
      </c>
      <c r="AR186" s="14">
        <f t="shared" si="21"/>
        <v>7.7604286900101666E-4</v>
      </c>
      <c r="AS186" s="14">
        <f t="shared" si="21"/>
        <v>1.684700658654106E-3</v>
      </c>
      <c r="AT186" s="14">
        <f t="shared" si="22"/>
        <v>7.3537509458628935E-4</v>
      </c>
      <c r="AU186" s="14">
        <f t="shared" si="22"/>
        <v>1.3428588683749632E-3</v>
      </c>
      <c r="AV186" s="14">
        <f t="shared" si="23"/>
        <v>5.8671552531626024E-4</v>
      </c>
      <c r="AW186" s="14">
        <f t="shared" si="23"/>
        <v>1.2283284097264395E-3</v>
      </c>
      <c r="AX186" s="14">
        <f t="shared" si="24"/>
        <v>5.8038886053655948E-4</v>
      </c>
      <c r="AY186" s="14">
        <f t="shared" si="24"/>
        <v>8.3055647283680062E-4</v>
      </c>
      <c r="AZ186" s="14">
        <f t="shared" si="24"/>
        <v>0</v>
      </c>
      <c r="BA186" s="14">
        <f t="shared" si="25"/>
        <v>5.879788063369581E-4</v>
      </c>
      <c r="BB186" s="14">
        <f t="shared" si="25"/>
        <v>8.3902593713251327E-4</v>
      </c>
      <c r="BC186" s="14">
        <f t="shared" ref="BC186" si="90">BC163/SUM($AX$166:$AZ$166)</f>
        <v>0</v>
      </c>
    </row>
    <row r="187" spans="1:55" x14ac:dyDescent="0.25">
      <c r="A187" s="27" t="s">
        <v>37</v>
      </c>
      <c r="B187" s="14">
        <v>3.6688467060137183E-3</v>
      </c>
      <c r="C187" s="14">
        <v>2.8180996437496678E-3</v>
      </c>
      <c r="D187" s="14">
        <v>4.0465893033015034E-3</v>
      </c>
      <c r="E187" s="14">
        <v>4.7317261165589E-3</v>
      </c>
      <c r="F187" s="14">
        <v>3.0347583502978209E-3</v>
      </c>
      <c r="G187" s="14">
        <v>3.6379401342079469E-3</v>
      </c>
      <c r="H187" s="14">
        <v>3.876366120218579E-3</v>
      </c>
      <c r="I187" s="14">
        <v>3.5689890710382515E-3</v>
      </c>
      <c r="J187" s="14">
        <v>3.7012512945890424E-3</v>
      </c>
      <c r="K187" s="14">
        <v>4.4822492741812252E-3</v>
      </c>
      <c r="L187" s="14">
        <v>3.4238107013105585E-3</v>
      </c>
      <c r="M187" s="14">
        <v>5.6112453160367488E-3</v>
      </c>
      <c r="N187" s="14">
        <v>3.9042300134450305E-3</v>
      </c>
      <c r="O187" s="14">
        <v>1.0743096493949736E-2</v>
      </c>
      <c r="P187" s="14">
        <v>3.6962445207913753E-3</v>
      </c>
      <c r="Q187" s="14">
        <v>6.113019784385736E-3</v>
      </c>
      <c r="R187" s="14">
        <f t="shared" si="8"/>
        <v>3.8412685405228224E-3</v>
      </c>
      <c r="S187" s="14">
        <f t="shared" si="8"/>
        <v>4.1997869376382861E-3</v>
      </c>
      <c r="T187" s="14">
        <f t="shared" si="9"/>
        <v>3.8333348225854011E-3</v>
      </c>
      <c r="U187" s="14">
        <f t="shared" si="9"/>
        <v>4.6375309392117092E-3</v>
      </c>
      <c r="V187" s="14">
        <f t="shared" si="10"/>
        <v>4.3556052105344113E-3</v>
      </c>
      <c r="W187" s="14">
        <f t="shared" si="10"/>
        <v>4.6632501882301509E-3</v>
      </c>
      <c r="X187" s="14">
        <f t="shared" si="11"/>
        <v>3.2660257755761724E-3</v>
      </c>
      <c r="Y187" s="14">
        <f t="shared" si="11"/>
        <v>3.618655807900592E-3</v>
      </c>
      <c r="Z187" s="14">
        <f t="shared" si="12"/>
        <v>3.5820329313577437E-3</v>
      </c>
      <c r="AA187" s="14">
        <f t="shared" si="12"/>
        <v>4.5815003684168288E-3</v>
      </c>
      <c r="AB187" s="14">
        <f t="shared" si="13"/>
        <v>3.0384615384615385E-3</v>
      </c>
      <c r="AC187" s="14">
        <f t="shared" si="13"/>
        <v>3.6987179487179486E-3</v>
      </c>
      <c r="AD187" s="14">
        <f t="shared" si="14"/>
        <v>2.8817811053963409E-3</v>
      </c>
      <c r="AE187" s="14">
        <f t="shared" si="14"/>
        <v>3.8588421277973863E-3</v>
      </c>
      <c r="AF187" s="14">
        <f t="shared" si="15"/>
        <v>2.7991779629273428E-3</v>
      </c>
      <c r="AG187" s="14">
        <f t="shared" si="15"/>
        <v>3.5685722673847679E-3</v>
      </c>
      <c r="AH187" s="14">
        <f t="shared" si="16"/>
        <v>2.9179960016067446E-3</v>
      </c>
      <c r="AI187" s="14">
        <f t="shared" si="16"/>
        <v>3.6521120842894542E-3</v>
      </c>
      <c r="AJ187" s="14">
        <f t="shared" ref="AJ187:AK187" si="91">AJ164/SUM($AJ$166:$AK$166)</f>
        <v>2.3556870536992529E-3</v>
      </c>
      <c r="AK187" s="14">
        <f t="shared" si="91"/>
        <v>2.9630465150581762E-3</v>
      </c>
      <c r="AL187" s="14">
        <f t="shared" ref="AL187:AM187" si="92">AL164/SUM($AL$166:$AM$166)</f>
        <v>2.7622271583485651E-3</v>
      </c>
      <c r="AM187" s="14">
        <f t="shared" si="92"/>
        <v>3.5777808742407974E-3</v>
      </c>
      <c r="AN187" s="14">
        <f t="shared" ref="AN187:AO187" si="93">AN164/SUM($AN$166:$AO$166)</f>
        <v>2.6722695117615807E-3</v>
      </c>
      <c r="AO187" s="14">
        <f t="shared" si="93"/>
        <v>3.6788643054296204E-3</v>
      </c>
      <c r="AP187" s="14">
        <f t="shared" ref="AP187:AQ187" si="94">AP164/SUM($AP$166:$AQ$166)</f>
        <v>2.1936671545987941E-3</v>
      </c>
      <c r="AQ187" s="14">
        <f t="shared" si="94"/>
        <v>2.5991509170015287E-3</v>
      </c>
      <c r="AR187" s="14">
        <f t="shared" si="21"/>
        <v>1.8762555440404328E-3</v>
      </c>
      <c r="AS187" s="14">
        <f t="shared" si="21"/>
        <v>2.5540651384843589E-3</v>
      </c>
      <c r="AT187" s="14">
        <f t="shared" si="22"/>
        <v>2.1386270866712376E-3</v>
      </c>
      <c r="AU187" s="14">
        <f t="shared" si="22"/>
        <v>2.7638735439040247E-3</v>
      </c>
      <c r="AV187" s="14">
        <f t="shared" si="23"/>
        <v>2.2610849776807922E-3</v>
      </c>
      <c r="AW187" s="14">
        <f t="shared" si="23"/>
        <v>3.201202252164157E-3</v>
      </c>
      <c r="AX187" s="14">
        <f t="shared" si="24"/>
        <v>1.9413006714498714E-3</v>
      </c>
      <c r="AY187" s="14">
        <f t="shared" si="24"/>
        <v>2.4649848731983764E-3</v>
      </c>
      <c r="AZ187" s="14">
        <f t="shared" si="24"/>
        <v>0</v>
      </c>
      <c r="BA187" s="14">
        <f t="shared" si="25"/>
        <v>2.1405071152042071E-3</v>
      </c>
      <c r="BB187" s="14">
        <f t="shared" si="25"/>
        <v>2.2462111702760195E-3</v>
      </c>
      <c r="BC187" s="14">
        <f t="shared" ref="BC187" si="95">BC164/SUM($AX$166:$AZ$166)</f>
        <v>0</v>
      </c>
    </row>
    <row r="188" spans="1:55" x14ac:dyDescent="0.25">
      <c r="A188" s="27" t="s">
        <v>71</v>
      </c>
      <c r="B188" s="14">
        <v>1.6376880948582976E-2</v>
      </c>
      <c r="C188" s="14">
        <v>2.4591907268570214E-2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f t="shared" si="8"/>
        <v>0</v>
      </c>
      <c r="S188" s="14">
        <f t="shared" si="8"/>
        <v>0</v>
      </c>
      <c r="T188" s="14">
        <f t="shared" si="9"/>
        <v>0</v>
      </c>
      <c r="U188" s="14">
        <f t="shared" si="9"/>
        <v>0</v>
      </c>
      <c r="V188" s="14">
        <f t="shared" si="10"/>
        <v>0</v>
      </c>
      <c r="W188" s="14">
        <f t="shared" si="10"/>
        <v>0</v>
      </c>
      <c r="X188" s="14">
        <f t="shared" si="11"/>
        <v>0</v>
      </c>
      <c r="Y188" s="14">
        <f t="shared" si="11"/>
        <v>0</v>
      </c>
      <c r="Z188" s="14">
        <f t="shared" si="12"/>
        <v>0</v>
      </c>
      <c r="AA188" s="14">
        <f t="shared" si="12"/>
        <v>0</v>
      </c>
      <c r="AB188" s="14">
        <f t="shared" si="13"/>
        <v>0</v>
      </c>
      <c r="AC188" s="14">
        <f t="shared" si="13"/>
        <v>0</v>
      </c>
      <c r="AD188" s="14">
        <f t="shared" si="14"/>
        <v>0</v>
      </c>
      <c r="AE188" s="14">
        <f t="shared" si="14"/>
        <v>0</v>
      </c>
      <c r="AF188" s="14">
        <f t="shared" si="15"/>
        <v>0</v>
      </c>
      <c r="AG188" s="14">
        <f t="shared" si="15"/>
        <v>0</v>
      </c>
      <c r="AH188" s="14">
        <f t="shared" si="16"/>
        <v>0</v>
      </c>
      <c r="AI188" s="14">
        <f t="shared" si="16"/>
        <v>0</v>
      </c>
      <c r="AJ188" s="14">
        <f t="shared" ref="AJ188:AK188" si="96">AJ165/SUM($AJ$166:$AK$166)</f>
        <v>0</v>
      </c>
      <c r="AK188" s="14">
        <f t="shared" si="96"/>
        <v>0</v>
      </c>
      <c r="AL188" s="14">
        <f t="shared" ref="AL188:AM188" si="97">AL165/SUM($AL$166:$AM$166)</f>
        <v>0</v>
      </c>
      <c r="AM188" s="14">
        <f t="shared" si="97"/>
        <v>0</v>
      </c>
      <c r="AN188" s="14">
        <f t="shared" ref="AN188:AO188" si="98">AN165/SUM($AN$166:$AO$166)</f>
        <v>0</v>
      </c>
      <c r="AO188" s="14">
        <f t="shared" si="98"/>
        <v>0</v>
      </c>
      <c r="AP188" s="14">
        <f t="shared" ref="AP188:AQ188" si="99">AP165/SUM($AP$166:$AQ$166)</f>
        <v>0</v>
      </c>
      <c r="AQ188" s="14">
        <f t="shared" si="99"/>
        <v>0</v>
      </c>
      <c r="AR188" s="14">
        <f t="shared" si="21"/>
        <v>0</v>
      </c>
      <c r="AS188" s="14">
        <f t="shared" si="21"/>
        <v>0</v>
      </c>
      <c r="AT188" s="14">
        <f t="shared" si="22"/>
        <v>0</v>
      </c>
      <c r="AU188" s="14">
        <f t="shared" si="22"/>
        <v>0</v>
      </c>
      <c r="AV188" s="14">
        <f t="shared" si="23"/>
        <v>0</v>
      </c>
      <c r="AW188" s="14">
        <f t="shared" si="23"/>
        <v>0</v>
      </c>
      <c r="AX188" s="14">
        <f t="shared" si="24"/>
        <v>0</v>
      </c>
      <c r="AY188" s="14">
        <f t="shared" si="24"/>
        <v>0</v>
      </c>
      <c r="AZ188" s="14">
        <f t="shared" si="24"/>
        <v>0</v>
      </c>
      <c r="BA188" s="14">
        <f t="shared" si="25"/>
        <v>0</v>
      </c>
      <c r="BB188" s="14">
        <f t="shared" si="25"/>
        <v>0</v>
      </c>
      <c r="BC188" s="14">
        <f t="shared" ref="BC188" si="100">BC165/SUM($AX$166:$AZ$166)</f>
        <v>0</v>
      </c>
    </row>
    <row r="189" spans="1:55" s="36" customFormat="1" x14ac:dyDescent="0.25">
      <c r="A189" s="26" t="s">
        <v>15</v>
      </c>
      <c r="B189" s="45">
        <v>0.49191790290849158</v>
      </c>
      <c r="C189" s="45">
        <v>0.50808209709150853</v>
      </c>
      <c r="D189" s="45">
        <v>0.48767610157153246</v>
      </c>
      <c r="E189" s="45">
        <v>0.51232389842846748</v>
      </c>
      <c r="F189" s="45">
        <v>0.49864284098620221</v>
      </c>
      <c r="G189" s="45">
        <v>0.50135715901379785</v>
      </c>
      <c r="H189" s="45">
        <v>0.49334016393442631</v>
      </c>
      <c r="I189" s="45">
        <v>0.50665983606557374</v>
      </c>
      <c r="J189" s="45">
        <v>0.4791931951306474</v>
      </c>
      <c r="K189" s="45">
        <v>0.52080680486935249</v>
      </c>
      <c r="L189" s="45">
        <v>0.47436897266657785</v>
      </c>
      <c r="M189" s="45">
        <v>0.52563102733342215</v>
      </c>
      <c r="N189" s="45">
        <v>0.47058899575964419</v>
      </c>
      <c r="O189" s="45">
        <v>0.52941100424035581</v>
      </c>
      <c r="P189" s="45">
        <v>0.47245587015756429</v>
      </c>
      <c r="Q189" s="45">
        <v>0.52754412984243582</v>
      </c>
      <c r="R189" s="45">
        <f t="shared" si="8"/>
        <v>0.46478325002048676</v>
      </c>
      <c r="S189" s="45">
        <f t="shared" si="8"/>
        <v>0.53521674997951318</v>
      </c>
      <c r="T189" s="45">
        <f t="shared" si="9"/>
        <v>0.44262060707871292</v>
      </c>
      <c r="U189" s="45">
        <f t="shared" si="9"/>
        <v>0.55737939292128702</v>
      </c>
      <c r="V189" s="45">
        <f t="shared" si="10"/>
        <v>0.45108040058614463</v>
      </c>
      <c r="W189" s="45">
        <f t="shared" si="10"/>
        <v>0.54891959941385537</v>
      </c>
      <c r="X189" s="45">
        <f t="shared" si="11"/>
        <v>0.45659712018806936</v>
      </c>
      <c r="Y189" s="45">
        <f t="shared" si="11"/>
        <v>0.54340287981193069</v>
      </c>
      <c r="Z189" s="45">
        <f t="shared" si="12"/>
        <v>0.44281514229644059</v>
      </c>
      <c r="AA189" s="45">
        <f t="shared" si="12"/>
        <v>0.55718485770355941</v>
      </c>
      <c r="AB189" s="45">
        <f t="shared" si="13"/>
        <v>0.43751923076923077</v>
      </c>
      <c r="AC189" s="45">
        <f t="shared" si="13"/>
        <v>0.56248076923076928</v>
      </c>
      <c r="AD189" s="45">
        <f t="shared" si="14"/>
        <v>0.43571981402905935</v>
      </c>
      <c r="AE189" s="45">
        <f t="shared" si="14"/>
        <v>0.56428018597094065</v>
      </c>
      <c r="AF189" s="45">
        <f t="shared" si="15"/>
        <v>0.44152603286123571</v>
      </c>
      <c r="AG189" s="45">
        <f t="shared" si="15"/>
        <v>0.55847396713876429</v>
      </c>
      <c r="AH189" s="45">
        <f t="shared" si="16"/>
        <v>0.44377548052283838</v>
      </c>
      <c r="AI189" s="45">
        <f t="shared" si="16"/>
        <v>0.55622451947716156</v>
      </c>
      <c r="AJ189" s="45">
        <f t="shared" ref="AJ189:AK189" si="101">AJ166/SUM($AJ$166:$AK$166)</f>
        <v>0.43512533296313327</v>
      </c>
      <c r="AK189" s="45">
        <f t="shared" si="101"/>
        <v>0.56487466703686673</v>
      </c>
      <c r="AL189" s="45">
        <f t="shared" ref="AL189:AM189" si="102">AL166/SUM($AL$166:$AM$166)</f>
        <v>0.43359589518290531</v>
      </c>
      <c r="AM189" s="45">
        <f t="shared" si="102"/>
        <v>0.56640410481709469</v>
      </c>
      <c r="AN189" s="45">
        <f t="shared" ref="AN189:AO189" si="103">AN166/SUM($AN$166:$AO$166)</f>
        <v>0.43453738580941004</v>
      </c>
      <c r="AO189" s="45">
        <f t="shared" si="103"/>
        <v>0.56546261419058996</v>
      </c>
      <c r="AP189" s="45">
        <f t="shared" ref="AP189:AQ189" si="104">AP166/SUM($AP$166:$AQ$166)</f>
        <v>0.43167395861632724</v>
      </c>
      <c r="AQ189" s="45">
        <f t="shared" si="104"/>
        <v>0.56832604138367282</v>
      </c>
      <c r="AR189" s="45">
        <f t="shared" si="21"/>
        <v>0.43493764642897487</v>
      </c>
      <c r="AS189" s="45">
        <f t="shared" si="21"/>
        <v>0.56506235357102508</v>
      </c>
      <c r="AT189" s="45">
        <f t="shared" si="22"/>
        <v>0.41992049422890415</v>
      </c>
      <c r="AU189" s="45">
        <f t="shared" si="22"/>
        <v>0.5800795057710959</v>
      </c>
      <c r="AV189" s="45">
        <f>AV166/SUM($AV$166:$AW$166)</f>
        <v>0.42976740675168895</v>
      </c>
      <c r="AW189" s="45">
        <f t="shared" si="23"/>
        <v>0.5702325932483111</v>
      </c>
      <c r="AX189" s="45">
        <f t="shared" si="24"/>
        <v>0.43775663027561801</v>
      </c>
      <c r="AY189" s="45">
        <f t="shared" si="24"/>
        <v>0.56223336301989002</v>
      </c>
      <c r="AZ189" s="45">
        <f t="shared" si="24"/>
        <v>1.0006704492009646E-5</v>
      </c>
      <c r="BA189" s="45">
        <f>BA166/SUM($BA$166:$BC$166)</f>
        <v>0.43866191879285971</v>
      </c>
      <c r="BB189" s="45">
        <f t="shared" ref="BB189:BC189" si="105">BB166/SUM($BA$166:$BC$166)</f>
        <v>0.56133147470369837</v>
      </c>
      <c r="BC189" s="45">
        <f t="shared" si="105"/>
        <v>6.6065034419882929E-6</v>
      </c>
    </row>
    <row r="192" spans="1:55" ht="15.75" x14ac:dyDescent="0.25">
      <c r="A192" s="24" t="s">
        <v>95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55" x14ac:dyDescent="0.25">
      <c r="A193" s="59" t="s">
        <v>25</v>
      </c>
      <c r="B193" s="58">
        <v>1999</v>
      </c>
      <c r="C193" s="58"/>
      <c r="D193" s="58">
        <v>2000</v>
      </c>
      <c r="E193" s="58"/>
      <c r="F193" s="58">
        <v>2001</v>
      </c>
      <c r="G193" s="58"/>
      <c r="H193" s="58">
        <v>2002</v>
      </c>
      <c r="I193" s="58"/>
      <c r="J193" s="58">
        <v>2003</v>
      </c>
      <c r="K193" s="58"/>
      <c r="L193" s="58">
        <v>2004</v>
      </c>
      <c r="M193" s="58"/>
      <c r="N193" s="58">
        <v>2005</v>
      </c>
      <c r="O193" s="58"/>
      <c r="P193" s="58">
        <v>2006</v>
      </c>
      <c r="Q193" s="58"/>
      <c r="R193" s="58">
        <v>2007</v>
      </c>
      <c r="S193" s="58"/>
      <c r="T193" s="58">
        <v>2008</v>
      </c>
      <c r="U193" s="58"/>
      <c r="V193" s="58">
        <v>2009</v>
      </c>
      <c r="W193" s="58"/>
      <c r="X193" s="58">
        <v>2010</v>
      </c>
      <c r="Y193" s="58"/>
      <c r="Z193" s="58">
        <v>2011</v>
      </c>
      <c r="AA193" s="58"/>
      <c r="AB193" s="58">
        <v>2012</v>
      </c>
      <c r="AC193" s="58"/>
      <c r="AD193" s="58">
        <v>2013</v>
      </c>
      <c r="AE193" s="58"/>
      <c r="AF193" s="58">
        <v>2014</v>
      </c>
      <c r="AG193" s="58"/>
      <c r="AH193" s="58">
        <v>2015</v>
      </c>
      <c r="AI193" s="58"/>
      <c r="AJ193" s="58">
        <v>2016</v>
      </c>
      <c r="AK193" s="58"/>
      <c r="AL193" s="58">
        <v>2017</v>
      </c>
      <c r="AM193" s="58"/>
      <c r="AN193" s="58">
        <v>2018</v>
      </c>
      <c r="AO193" s="58"/>
      <c r="AP193" s="58">
        <v>2019</v>
      </c>
      <c r="AQ193" s="58"/>
      <c r="AR193" s="58">
        <v>2020</v>
      </c>
      <c r="AS193" s="58"/>
      <c r="AT193" s="58">
        <v>2021</v>
      </c>
      <c r="AU193" s="58"/>
      <c r="AV193" s="58">
        <v>2022</v>
      </c>
      <c r="AW193" s="58"/>
      <c r="AX193" s="60">
        <v>2023</v>
      </c>
      <c r="AY193" s="61"/>
      <c r="AZ193" s="62"/>
      <c r="BA193" s="60">
        <v>2024</v>
      </c>
      <c r="BB193" s="61"/>
      <c r="BC193" s="62"/>
    </row>
    <row r="194" spans="1:55" x14ac:dyDescent="0.25">
      <c r="A194" s="59"/>
      <c r="B194" s="18" t="s">
        <v>64</v>
      </c>
      <c r="C194" s="18" t="s">
        <v>65</v>
      </c>
      <c r="D194" s="18" t="s">
        <v>64</v>
      </c>
      <c r="E194" s="18" t="s">
        <v>65</v>
      </c>
      <c r="F194" s="18" t="s">
        <v>64</v>
      </c>
      <c r="G194" s="18" t="s">
        <v>65</v>
      </c>
      <c r="H194" s="18" t="s">
        <v>64</v>
      </c>
      <c r="I194" s="18" t="s">
        <v>65</v>
      </c>
      <c r="J194" s="18" t="s">
        <v>64</v>
      </c>
      <c r="K194" s="18" t="s">
        <v>65</v>
      </c>
      <c r="L194" s="18" t="s">
        <v>64</v>
      </c>
      <c r="M194" s="18" t="s">
        <v>65</v>
      </c>
      <c r="N194" s="18" t="s">
        <v>64</v>
      </c>
      <c r="O194" s="18" t="s">
        <v>65</v>
      </c>
      <c r="P194" s="18" t="s">
        <v>64</v>
      </c>
      <c r="Q194" s="18" t="s">
        <v>65</v>
      </c>
      <c r="R194" s="18" t="s">
        <v>64</v>
      </c>
      <c r="S194" s="18" t="s">
        <v>65</v>
      </c>
      <c r="T194" s="18" t="s">
        <v>64</v>
      </c>
      <c r="U194" s="18" t="s">
        <v>65</v>
      </c>
      <c r="V194" s="18" t="s">
        <v>64</v>
      </c>
      <c r="W194" s="18" t="s">
        <v>65</v>
      </c>
      <c r="X194" s="18" t="s">
        <v>64</v>
      </c>
      <c r="Y194" s="18" t="s">
        <v>65</v>
      </c>
      <c r="Z194" s="18" t="s">
        <v>64</v>
      </c>
      <c r="AA194" s="18" t="s">
        <v>65</v>
      </c>
      <c r="AB194" s="18" t="s">
        <v>64</v>
      </c>
      <c r="AC194" s="18" t="s">
        <v>65</v>
      </c>
      <c r="AD194" s="18" t="s">
        <v>64</v>
      </c>
      <c r="AE194" s="18" t="s">
        <v>65</v>
      </c>
      <c r="AF194" s="18" t="s">
        <v>64</v>
      </c>
      <c r="AG194" s="18" t="s">
        <v>65</v>
      </c>
      <c r="AH194" s="18" t="s">
        <v>64</v>
      </c>
      <c r="AI194" s="18" t="s">
        <v>65</v>
      </c>
      <c r="AJ194" s="18" t="s">
        <v>64</v>
      </c>
      <c r="AK194" s="18" t="s">
        <v>65</v>
      </c>
      <c r="AL194" s="18" t="s">
        <v>64</v>
      </c>
      <c r="AM194" s="18" t="s">
        <v>65</v>
      </c>
      <c r="AN194" s="18" t="s">
        <v>64</v>
      </c>
      <c r="AO194" s="18" t="s">
        <v>65</v>
      </c>
      <c r="AP194" s="18" t="s">
        <v>64</v>
      </c>
      <c r="AQ194" s="18" t="s">
        <v>65</v>
      </c>
      <c r="AR194" s="18" t="s">
        <v>64</v>
      </c>
      <c r="AS194" s="18" t="s">
        <v>65</v>
      </c>
      <c r="AT194" s="18" t="s">
        <v>64</v>
      </c>
      <c r="AU194" s="18" t="s">
        <v>65</v>
      </c>
      <c r="AV194" s="18" t="s">
        <v>64</v>
      </c>
      <c r="AW194" s="18" t="s">
        <v>65</v>
      </c>
      <c r="AX194" s="18" t="s">
        <v>64</v>
      </c>
      <c r="AY194" s="18" t="s">
        <v>65</v>
      </c>
      <c r="AZ194" s="18" t="s">
        <v>78</v>
      </c>
      <c r="BA194" s="18" t="s">
        <v>64</v>
      </c>
      <c r="BB194" s="18" t="s">
        <v>65</v>
      </c>
      <c r="BC194" s="18" t="s">
        <v>78</v>
      </c>
    </row>
    <row r="195" spans="1:55" x14ac:dyDescent="0.25">
      <c r="A195" s="27" t="s">
        <v>41</v>
      </c>
      <c r="B195" s="31">
        <v>7780</v>
      </c>
      <c r="C195" s="31">
        <v>8155</v>
      </c>
      <c r="D195" s="31">
        <v>8305</v>
      </c>
      <c r="E195" s="31">
        <v>8784</v>
      </c>
      <c r="F195" s="31">
        <v>9750</v>
      </c>
      <c r="G195" s="31">
        <v>10253</v>
      </c>
      <c r="H195" s="31">
        <v>10867</v>
      </c>
      <c r="I195" s="31">
        <v>12324</v>
      </c>
      <c r="J195" s="31">
        <v>12468</v>
      </c>
      <c r="K195" s="31">
        <v>13694</v>
      </c>
      <c r="L195" s="31">
        <v>10284</v>
      </c>
      <c r="M195" s="31">
        <v>12658</v>
      </c>
      <c r="N195" s="31">
        <v>14088</v>
      </c>
      <c r="O195" s="31">
        <v>19023</v>
      </c>
      <c r="P195" s="31">
        <v>15577</v>
      </c>
      <c r="Q195" s="31">
        <v>20333</v>
      </c>
      <c r="R195" s="31">
        <v>21956</v>
      </c>
      <c r="S195" s="31">
        <v>27392</v>
      </c>
      <c r="T195" s="31">
        <v>24596</v>
      </c>
      <c r="U195" s="31">
        <v>33314</v>
      </c>
      <c r="V195" s="31">
        <v>27664</v>
      </c>
      <c r="W195" s="31">
        <v>35664</v>
      </c>
      <c r="X195" s="31">
        <v>25723</v>
      </c>
      <c r="Y195" s="31">
        <v>32075</v>
      </c>
      <c r="Z195" s="31">
        <v>28941</v>
      </c>
      <c r="AA195" s="31">
        <v>37731</v>
      </c>
      <c r="AB195" s="31">
        <v>33062</v>
      </c>
      <c r="AC195" s="31">
        <v>44817</v>
      </c>
      <c r="AD195" s="31">
        <v>38332</v>
      </c>
      <c r="AE195" s="31">
        <v>52462</v>
      </c>
      <c r="AF195" s="31">
        <v>42811</v>
      </c>
      <c r="AG195" s="31">
        <v>57376</v>
      </c>
      <c r="AH195" s="31">
        <v>47476</v>
      </c>
      <c r="AI195" s="31">
        <v>63714</v>
      </c>
      <c r="AJ195" s="31">
        <v>48945</v>
      </c>
      <c r="AK195" s="31">
        <v>68338</v>
      </c>
      <c r="AL195" s="31">
        <v>50933</v>
      </c>
      <c r="AM195" s="31">
        <v>70814</v>
      </c>
      <c r="AN195" s="31">
        <v>51833</v>
      </c>
      <c r="AO195" s="31">
        <v>72633</v>
      </c>
      <c r="AP195" s="31">
        <v>50248</v>
      </c>
      <c r="AQ195" s="31">
        <v>68941</v>
      </c>
      <c r="AR195" s="31">
        <v>39119</v>
      </c>
      <c r="AS195" s="31">
        <v>54004</v>
      </c>
      <c r="AT195" s="31">
        <v>53821</v>
      </c>
      <c r="AU195" s="31">
        <v>78903</v>
      </c>
      <c r="AV195" s="31">
        <v>55153</v>
      </c>
      <c r="AW195" s="31">
        <v>77768</v>
      </c>
      <c r="AX195" s="31">
        <v>56579</v>
      </c>
      <c r="AY195" s="31">
        <v>76673</v>
      </c>
      <c r="AZ195" s="31">
        <v>0</v>
      </c>
      <c r="BA195" s="31">
        <v>56337</v>
      </c>
      <c r="BB195" s="31">
        <v>75043</v>
      </c>
      <c r="BC195" s="31">
        <v>1</v>
      </c>
    </row>
    <row r="196" spans="1:55" x14ac:dyDescent="0.25">
      <c r="A196" s="27" t="s">
        <v>40</v>
      </c>
      <c r="B196" s="31">
        <v>10107</v>
      </c>
      <c r="C196" s="31">
        <v>10031</v>
      </c>
      <c r="D196" s="31">
        <v>14472</v>
      </c>
      <c r="E196" s="31">
        <v>15145</v>
      </c>
      <c r="F196" s="31">
        <v>16704</v>
      </c>
      <c r="G196" s="31">
        <v>16345</v>
      </c>
      <c r="H196" s="31">
        <v>18023</v>
      </c>
      <c r="I196" s="31">
        <v>17346</v>
      </c>
      <c r="J196" s="31">
        <v>15756</v>
      </c>
      <c r="K196" s="31">
        <v>16981</v>
      </c>
      <c r="L196" s="31">
        <v>14655</v>
      </c>
      <c r="M196" s="31">
        <v>14976</v>
      </c>
      <c r="N196" s="31">
        <v>22313</v>
      </c>
      <c r="O196" s="31">
        <v>21928</v>
      </c>
      <c r="P196" s="31">
        <v>24303</v>
      </c>
      <c r="Q196" s="31">
        <v>24197</v>
      </c>
      <c r="R196" s="31">
        <v>23418</v>
      </c>
      <c r="S196" s="31">
        <v>24858</v>
      </c>
      <c r="T196" s="31">
        <v>24939</v>
      </c>
      <c r="U196" s="31">
        <v>29064</v>
      </c>
      <c r="V196" s="31">
        <v>28053</v>
      </c>
      <c r="W196" s="31">
        <v>32138</v>
      </c>
      <c r="X196" s="31">
        <v>28660</v>
      </c>
      <c r="Y196" s="31">
        <v>32647</v>
      </c>
      <c r="Z196" s="31">
        <v>31757</v>
      </c>
      <c r="AA196" s="31">
        <v>38644</v>
      </c>
      <c r="AB196" s="31">
        <v>35191</v>
      </c>
      <c r="AC196" s="31">
        <v>42930</v>
      </c>
      <c r="AD196" s="31">
        <v>41047</v>
      </c>
      <c r="AE196" s="31">
        <v>50338</v>
      </c>
      <c r="AF196" s="31">
        <v>44416</v>
      </c>
      <c r="AG196" s="31">
        <v>52955</v>
      </c>
      <c r="AH196" s="31">
        <v>48640</v>
      </c>
      <c r="AI196" s="31">
        <v>56757</v>
      </c>
      <c r="AJ196" s="31">
        <v>51354</v>
      </c>
      <c r="AK196" s="31">
        <v>61869</v>
      </c>
      <c r="AL196" s="31">
        <v>54867</v>
      </c>
      <c r="AM196" s="31">
        <v>67392</v>
      </c>
      <c r="AN196" s="31">
        <v>56953</v>
      </c>
      <c r="AO196" s="31">
        <v>68930</v>
      </c>
      <c r="AP196" s="31">
        <v>56211</v>
      </c>
      <c r="AQ196" s="31">
        <v>71219</v>
      </c>
      <c r="AR196" s="31">
        <v>49433</v>
      </c>
      <c r="AS196" s="31">
        <v>61041</v>
      </c>
      <c r="AT196" s="31">
        <v>64382</v>
      </c>
      <c r="AU196" s="31">
        <v>84383</v>
      </c>
      <c r="AV196" s="31">
        <v>70104</v>
      </c>
      <c r="AW196" s="31">
        <v>88428</v>
      </c>
      <c r="AX196" s="31">
        <v>74660</v>
      </c>
      <c r="AY196" s="31">
        <v>91884</v>
      </c>
      <c r="AZ196" s="31">
        <v>3</v>
      </c>
      <c r="BA196" s="31">
        <v>76460</v>
      </c>
      <c r="BB196" s="31">
        <v>94890</v>
      </c>
      <c r="BC196" s="31">
        <v>1</v>
      </c>
    </row>
    <row r="197" spans="1:55" x14ac:dyDescent="0.25">
      <c r="A197" s="26" t="s">
        <v>15</v>
      </c>
      <c r="B197" s="33" t="s">
        <v>75</v>
      </c>
      <c r="C197" s="33" t="s">
        <v>76</v>
      </c>
      <c r="D197" s="33">
        <v>22777</v>
      </c>
      <c r="E197" s="33">
        <v>23929</v>
      </c>
      <c r="F197" s="33">
        <v>26454</v>
      </c>
      <c r="G197" s="33">
        <v>26598</v>
      </c>
      <c r="H197" s="33">
        <v>28890</v>
      </c>
      <c r="I197" s="33">
        <v>29670</v>
      </c>
      <c r="J197" s="33">
        <v>28224</v>
      </c>
      <c r="K197" s="33">
        <v>30675</v>
      </c>
      <c r="L197" s="33">
        <v>24939</v>
      </c>
      <c r="M197" s="33">
        <v>27634</v>
      </c>
      <c r="N197" s="33">
        <v>36401</v>
      </c>
      <c r="O197" s="33">
        <v>40951</v>
      </c>
      <c r="P197" s="33">
        <v>39880</v>
      </c>
      <c r="Q197" s="33">
        <v>44530</v>
      </c>
      <c r="R197" s="33">
        <v>45374</v>
      </c>
      <c r="S197" s="33">
        <v>52250</v>
      </c>
      <c r="T197" s="33">
        <v>49535</v>
      </c>
      <c r="U197" s="33">
        <v>62378</v>
      </c>
      <c r="V197" s="33">
        <v>55717</v>
      </c>
      <c r="W197" s="33">
        <v>67802</v>
      </c>
      <c r="X197" s="33">
        <v>54383</v>
      </c>
      <c r="Y197" s="33">
        <v>64722</v>
      </c>
      <c r="Z197" s="33">
        <v>60698</v>
      </c>
      <c r="AA197" s="33">
        <v>76375</v>
      </c>
      <c r="AB197" s="33">
        <v>68253</v>
      </c>
      <c r="AC197" s="33">
        <v>87747</v>
      </c>
      <c r="AD197" s="33">
        <v>79379</v>
      </c>
      <c r="AE197" s="33">
        <v>102800</v>
      </c>
      <c r="AF197" s="33">
        <v>87227</v>
      </c>
      <c r="AG197" s="33">
        <v>110331</v>
      </c>
      <c r="AH197" s="33">
        <v>96116</v>
      </c>
      <c r="AI197" s="33">
        <v>120471</v>
      </c>
      <c r="AJ197" s="33">
        <v>100299</v>
      </c>
      <c r="AK197" s="33">
        <v>130207</v>
      </c>
      <c r="AL197" s="33">
        <v>105800</v>
      </c>
      <c r="AM197" s="33">
        <v>138206</v>
      </c>
      <c r="AN197" s="33">
        <v>108786</v>
      </c>
      <c r="AO197" s="33">
        <v>141563</v>
      </c>
      <c r="AP197" s="33">
        <v>106459</v>
      </c>
      <c r="AQ197" s="33">
        <v>140160</v>
      </c>
      <c r="AR197" s="33">
        <v>88552</v>
      </c>
      <c r="AS197" s="33">
        <v>115045</v>
      </c>
      <c r="AT197" s="33">
        <v>118203</v>
      </c>
      <c r="AU197" s="33">
        <v>163286</v>
      </c>
      <c r="AV197" s="33">
        <v>125257</v>
      </c>
      <c r="AW197" s="33">
        <v>166196</v>
      </c>
      <c r="AX197" s="33">
        <v>131239</v>
      </c>
      <c r="AY197" s="33">
        <v>168557</v>
      </c>
      <c r="AZ197" s="33">
        <v>3</v>
      </c>
      <c r="BA197" s="33">
        <v>132797</v>
      </c>
      <c r="BB197" s="33">
        <v>169933</v>
      </c>
      <c r="BC197" s="33">
        <v>2</v>
      </c>
    </row>
    <row r="198" spans="1:55" x14ac:dyDescent="0.25">
      <c r="A198" s="50" t="s">
        <v>74</v>
      </c>
      <c r="C198" s="38"/>
    </row>
    <row r="200" spans="1:55" x14ac:dyDescent="0.25">
      <c r="A200" s="29" t="s">
        <v>66</v>
      </c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55" x14ac:dyDescent="0.25">
      <c r="A201" s="29"/>
    </row>
    <row r="202" spans="1:55" x14ac:dyDescent="0.25">
      <c r="A202" s="30" t="s">
        <v>62</v>
      </c>
    </row>
    <row r="207" spans="1:55" x14ac:dyDescent="0.25">
      <c r="A207" s="30"/>
    </row>
  </sheetData>
  <mergeCells count="189">
    <mergeCell ref="BA31:BC31"/>
    <mergeCell ref="BA40:BC40"/>
    <mergeCell ref="BA58:BC58"/>
    <mergeCell ref="BA82:BC82"/>
    <mergeCell ref="BA147:BC147"/>
    <mergeCell ref="BA170:BC170"/>
    <mergeCell ref="BA193:BC193"/>
    <mergeCell ref="AX193:AZ193"/>
    <mergeCell ref="AX31:AZ31"/>
    <mergeCell ref="AX40:AZ40"/>
    <mergeCell ref="AX58:AZ58"/>
    <mergeCell ref="AX82:AZ82"/>
    <mergeCell ref="AX147:AZ147"/>
    <mergeCell ref="AX170:AZ170"/>
    <mergeCell ref="AV31:AW31"/>
    <mergeCell ref="AV40:AW40"/>
    <mergeCell ref="AV58:AW58"/>
    <mergeCell ref="AV82:AW82"/>
    <mergeCell ref="AV147:AW147"/>
    <mergeCell ref="AV170:AW170"/>
    <mergeCell ref="AV193:AW193"/>
    <mergeCell ref="AP31:AQ31"/>
    <mergeCell ref="AP40:AQ40"/>
    <mergeCell ref="AP58:AQ58"/>
    <mergeCell ref="AP82:AQ82"/>
    <mergeCell ref="AP147:AQ147"/>
    <mergeCell ref="AP170:AQ170"/>
    <mergeCell ref="AP193:AQ193"/>
    <mergeCell ref="AT31:AU31"/>
    <mergeCell ref="AT40:AU40"/>
    <mergeCell ref="AT58:AU58"/>
    <mergeCell ref="AT82:AU82"/>
    <mergeCell ref="AT147:AU147"/>
    <mergeCell ref="AT170:AU170"/>
    <mergeCell ref="AT193:AU193"/>
    <mergeCell ref="AR31:AS31"/>
    <mergeCell ref="AR40:AS40"/>
    <mergeCell ref="AR58:AS58"/>
    <mergeCell ref="AR193:AS193"/>
    <mergeCell ref="X31:Y31"/>
    <mergeCell ref="Z31:AA31"/>
    <mergeCell ref="AB31:AC31"/>
    <mergeCell ref="AD31:AE31"/>
    <mergeCell ref="AH31:AI31"/>
    <mergeCell ref="AB40:AC40"/>
    <mergeCell ref="Z40:AA40"/>
    <mergeCell ref="AJ58:AK58"/>
    <mergeCell ref="AJ82:AK82"/>
    <mergeCell ref="AJ147:AK147"/>
    <mergeCell ref="AD170:AE170"/>
    <mergeCell ref="AF170:AG170"/>
    <mergeCell ref="AJ193:AK193"/>
    <mergeCell ref="AH147:AI147"/>
    <mergeCell ref="AH170:AI170"/>
    <mergeCell ref="AF193:AG193"/>
    <mergeCell ref="AF147:AG147"/>
    <mergeCell ref="AH193:AI193"/>
    <mergeCell ref="AN193:AO193"/>
    <mergeCell ref="AL193:AM193"/>
    <mergeCell ref="R40:S40"/>
    <mergeCell ref="L40:M40"/>
    <mergeCell ref="N40:O40"/>
    <mergeCell ref="P40:Q40"/>
    <mergeCell ref="A40:A41"/>
    <mergeCell ref="B40:C40"/>
    <mergeCell ref="AR82:AS82"/>
    <mergeCell ref="AR147:AS147"/>
    <mergeCell ref="AR170:AS17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D40:E40"/>
    <mergeCell ref="F40:G40"/>
    <mergeCell ref="H40:I40"/>
    <mergeCell ref="J40:K40"/>
    <mergeCell ref="R31:S31"/>
    <mergeCell ref="AF58:AG58"/>
    <mergeCell ref="L82:M82"/>
    <mergeCell ref="N82:O82"/>
    <mergeCell ref="P82:Q82"/>
    <mergeCell ref="R82:S82"/>
    <mergeCell ref="T82:U82"/>
    <mergeCell ref="V82:W82"/>
    <mergeCell ref="AF82:AG82"/>
    <mergeCell ref="T31:U31"/>
    <mergeCell ref="V31:W31"/>
    <mergeCell ref="AD58:AE58"/>
    <mergeCell ref="AF40:AG40"/>
    <mergeCell ref="AF31:AG31"/>
    <mergeCell ref="X40:Y40"/>
    <mergeCell ref="AD40:AE40"/>
    <mergeCell ref="T40:U40"/>
    <mergeCell ref="V40:W40"/>
    <mergeCell ref="L58:M58"/>
    <mergeCell ref="N58:O58"/>
    <mergeCell ref="P58:Q58"/>
    <mergeCell ref="X58:Y58"/>
    <mergeCell ref="Z58:AA58"/>
    <mergeCell ref="AB58:AC58"/>
    <mergeCell ref="A82:A83"/>
    <mergeCell ref="B82:C82"/>
    <mergeCell ref="D82:E82"/>
    <mergeCell ref="F82:G82"/>
    <mergeCell ref="H82:I82"/>
    <mergeCell ref="J82:K82"/>
    <mergeCell ref="X82:Y82"/>
    <mergeCell ref="Z82:AA82"/>
    <mergeCell ref="AB82:AC82"/>
    <mergeCell ref="A58:A59"/>
    <mergeCell ref="B58:C58"/>
    <mergeCell ref="D58:E58"/>
    <mergeCell ref="F58:G58"/>
    <mergeCell ref="H58:I58"/>
    <mergeCell ref="J58:K58"/>
    <mergeCell ref="V58:W58"/>
    <mergeCell ref="R58:S58"/>
    <mergeCell ref="T58:U58"/>
    <mergeCell ref="A193:A194"/>
    <mergeCell ref="B193:C193"/>
    <mergeCell ref="D193:E193"/>
    <mergeCell ref="F193:G193"/>
    <mergeCell ref="H193:I193"/>
    <mergeCell ref="J193:K193"/>
    <mergeCell ref="X193:Y193"/>
    <mergeCell ref="X147:Y147"/>
    <mergeCell ref="L147:M147"/>
    <mergeCell ref="N147:O147"/>
    <mergeCell ref="P147:Q147"/>
    <mergeCell ref="A147:A148"/>
    <mergeCell ref="B147:C147"/>
    <mergeCell ref="D147:E147"/>
    <mergeCell ref="F147:G147"/>
    <mergeCell ref="H147:I147"/>
    <mergeCell ref="J147:K147"/>
    <mergeCell ref="R147:S147"/>
    <mergeCell ref="T147:U147"/>
    <mergeCell ref="V147:W147"/>
    <mergeCell ref="A170:A171"/>
    <mergeCell ref="B170:C170"/>
    <mergeCell ref="D170:E170"/>
    <mergeCell ref="F170:G170"/>
    <mergeCell ref="H170:I170"/>
    <mergeCell ref="J170:K170"/>
    <mergeCell ref="X170:Y170"/>
    <mergeCell ref="T170:U170"/>
    <mergeCell ref="V170:W170"/>
    <mergeCell ref="AN31:AO31"/>
    <mergeCell ref="AN40:AO40"/>
    <mergeCell ref="AN58:AO58"/>
    <mergeCell ref="AN82:AO82"/>
    <mergeCell ref="AN147:AO147"/>
    <mergeCell ref="AN170:AO170"/>
    <mergeCell ref="AJ170:AK170"/>
    <mergeCell ref="AD82:AE82"/>
    <mergeCell ref="AL82:AM82"/>
    <mergeCell ref="AL147:AM147"/>
    <mergeCell ref="AL170:AM170"/>
    <mergeCell ref="AH82:AI82"/>
    <mergeCell ref="AL31:AM31"/>
    <mergeCell ref="AL40:AM40"/>
    <mergeCell ref="AL58:AM58"/>
    <mergeCell ref="AH40:AI40"/>
    <mergeCell ref="AH58:AI58"/>
    <mergeCell ref="AJ31:AK31"/>
    <mergeCell ref="AJ40:AK40"/>
    <mergeCell ref="L193:M193"/>
    <mergeCell ref="N193:O193"/>
    <mergeCell ref="P193:Q193"/>
    <mergeCell ref="R193:S193"/>
    <mergeCell ref="L170:M170"/>
    <mergeCell ref="N170:O170"/>
    <mergeCell ref="P170:Q170"/>
    <mergeCell ref="R170:S170"/>
    <mergeCell ref="T193:U193"/>
    <mergeCell ref="AB147:AC147"/>
    <mergeCell ref="AD147:AE147"/>
    <mergeCell ref="Z170:AA170"/>
    <mergeCell ref="AB170:AC170"/>
    <mergeCell ref="Z193:AA193"/>
    <mergeCell ref="AB193:AC193"/>
    <mergeCell ref="AD193:AE193"/>
    <mergeCell ref="Z147:AA147"/>
    <mergeCell ref="V193:W193"/>
  </mergeCells>
  <hyperlinks>
    <hyperlink ref="A202" location="INDICE!A1" display="Volver al Índice" xr:uid="{00000000-0004-0000-0100-000000000000}"/>
  </hyperlinks>
  <pageMargins left="0.7" right="0.7" top="0.75" bottom="0.75" header="0.3" footer="0.3"/>
  <pageSetup paperSize="9" orientation="portrait" verticalDpi="3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95"/>
  <sheetViews>
    <sheetView showGridLines="0" zoomScale="80" zoomScaleNormal="80" zoomScalePageLayoutView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5" x14ac:dyDescent="0.25"/>
  <cols>
    <col min="1" max="1" width="26.7109375" style="28" customWidth="1"/>
    <col min="2" max="16" width="10.7109375" style="19" customWidth="1"/>
    <col min="17" max="23" width="10.7109375" style="19" bestFit="1" customWidth="1"/>
    <col min="24" max="25" width="9.7109375" style="19" customWidth="1"/>
    <col min="26" max="26" width="10.85546875" style="19" bestFit="1" customWidth="1"/>
    <col min="27" max="37" width="9.7109375" style="19" customWidth="1"/>
  </cols>
  <sheetData>
    <row r="1" spans="1:37" ht="18.75" x14ac:dyDescent="0.25">
      <c r="A1" s="23" t="s">
        <v>54</v>
      </c>
    </row>
    <row r="2" spans="1:37" ht="18.75" x14ac:dyDescent="0.25">
      <c r="A2" s="23"/>
    </row>
    <row r="3" spans="1:37" ht="24.75" customHeight="1" x14ac:dyDescent="0.25"/>
    <row r="5" spans="1:37" ht="15.75" x14ac:dyDescent="0.25">
      <c r="A5" s="24" t="s">
        <v>96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37" x14ac:dyDescent="0.25">
      <c r="A6" s="1" t="s">
        <v>63</v>
      </c>
      <c r="B6" s="18">
        <v>1999</v>
      </c>
      <c r="C6" s="18">
        <v>2000</v>
      </c>
      <c r="D6" s="18">
        <v>2001</v>
      </c>
      <c r="E6" s="18">
        <v>2002</v>
      </c>
      <c r="F6" s="18">
        <v>2003</v>
      </c>
      <c r="G6" s="18">
        <v>2004</v>
      </c>
      <c r="H6" s="18">
        <v>2005</v>
      </c>
      <c r="I6" s="18">
        <v>2006</v>
      </c>
      <c r="J6" s="18">
        <v>2007</v>
      </c>
      <c r="K6" s="18">
        <v>2008</v>
      </c>
      <c r="L6" s="18">
        <v>2009</v>
      </c>
      <c r="M6" s="18">
        <v>2010</v>
      </c>
      <c r="N6" s="18">
        <v>2011</v>
      </c>
      <c r="O6" s="18">
        <v>2012</v>
      </c>
      <c r="P6" s="18">
        <v>2013</v>
      </c>
      <c r="Q6" s="18">
        <v>2014</v>
      </c>
      <c r="R6" s="18">
        <v>2015</v>
      </c>
      <c r="S6" s="18">
        <v>2016</v>
      </c>
      <c r="T6" s="18">
        <v>2017</v>
      </c>
      <c r="U6" s="18">
        <v>2018</v>
      </c>
      <c r="V6" s="18">
        <v>2019</v>
      </c>
      <c r="W6" s="18">
        <v>2020</v>
      </c>
      <c r="X6" s="18">
        <v>2021</v>
      </c>
      <c r="Y6" s="18">
        <v>2022</v>
      </c>
      <c r="Z6" s="18">
        <v>2023</v>
      </c>
      <c r="AA6" s="18">
        <v>2024</v>
      </c>
    </row>
    <row r="7" spans="1:37" x14ac:dyDescent="0.25">
      <c r="A7" s="25" t="s">
        <v>64</v>
      </c>
      <c r="B7" s="51">
        <v>17238</v>
      </c>
      <c r="C7" s="51">
        <v>20303.400000000001</v>
      </c>
      <c r="D7" s="51">
        <v>23235</v>
      </c>
      <c r="E7" s="51">
        <v>25236</v>
      </c>
      <c r="F7" s="51">
        <v>25097</v>
      </c>
      <c r="G7" s="51">
        <v>22155</v>
      </c>
      <c r="H7" s="51">
        <v>33177</v>
      </c>
      <c r="I7" s="51">
        <v>36270</v>
      </c>
      <c r="J7" s="51">
        <v>40269</v>
      </c>
      <c r="K7" s="51">
        <v>43282</v>
      </c>
      <c r="L7" s="51">
        <v>47619</v>
      </c>
      <c r="M7" s="51">
        <v>46404</v>
      </c>
      <c r="N7" s="51">
        <v>52346</v>
      </c>
      <c r="O7" s="51">
        <v>58939</v>
      </c>
      <c r="P7" s="51">
        <v>68105</v>
      </c>
      <c r="Q7" s="51">
        <v>75661</v>
      </c>
      <c r="R7" s="51">
        <v>83686</v>
      </c>
      <c r="S7" s="51">
        <v>85859</v>
      </c>
      <c r="T7" s="51">
        <v>90044</v>
      </c>
      <c r="U7" s="51">
        <v>90766</v>
      </c>
      <c r="V7" s="51">
        <v>86661</v>
      </c>
      <c r="W7" s="51">
        <v>69748</v>
      </c>
      <c r="X7" s="51">
        <v>95873</v>
      </c>
      <c r="Y7" s="51">
        <v>97170</v>
      </c>
      <c r="Z7" s="51">
        <v>101439</v>
      </c>
      <c r="AA7" s="51">
        <v>99468</v>
      </c>
    </row>
    <row r="8" spans="1:37" x14ac:dyDescent="0.25">
      <c r="A8" s="25" t="s">
        <v>65</v>
      </c>
      <c r="B8" s="51">
        <v>18533</v>
      </c>
      <c r="C8" s="51">
        <v>21702.6</v>
      </c>
      <c r="D8" s="51">
        <v>24351</v>
      </c>
      <c r="E8" s="51">
        <v>27011</v>
      </c>
      <c r="F8" s="51">
        <v>28146</v>
      </c>
      <c r="G8" s="51">
        <v>25779</v>
      </c>
      <c r="H8" s="51">
        <v>37992</v>
      </c>
      <c r="I8" s="51">
        <v>41186</v>
      </c>
      <c r="J8" s="51">
        <v>46857</v>
      </c>
      <c r="K8" s="51">
        <v>54740</v>
      </c>
      <c r="L8" s="51">
        <v>58511</v>
      </c>
      <c r="M8" s="51">
        <v>55760</v>
      </c>
      <c r="N8" s="51">
        <v>65986</v>
      </c>
      <c r="O8" s="51">
        <v>76782</v>
      </c>
      <c r="P8" s="51">
        <v>88886</v>
      </c>
      <c r="Q8" s="51">
        <v>95987</v>
      </c>
      <c r="R8" s="51">
        <v>105400</v>
      </c>
      <c r="S8" s="51">
        <v>111709</v>
      </c>
      <c r="T8" s="51">
        <v>116510</v>
      </c>
      <c r="U8" s="51">
        <v>118256</v>
      </c>
      <c r="V8" s="51">
        <v>114481</v>
      </c>
      <c r="W8" s="51">
        <v>91142</v>
      </c>
      <c r="X8" s="51">
        <v>132818</v>
      </c>
      <c r="Y8" s="51">
        <v>128765</v>
      </c>
      <c r="Z8" s="51">
        <v>129729</v>
      </c>
      <c r="AA8" s="51">
        <v>125348</v>
      </c>
    </row>
    <row r="9" spans="1:37" x14ac:dyDescent="0.25">
      <c r="A9" s="25" t="s">
        <v>78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1</v>
      </c>
      <c r="AA9" s="51">
        <v>1</v>
      </c>
    </row>
    <row r="10" spans="1:37" s="36" customFormat="1" x14ac:dyDescent="0.25">
      <c r="A10" s="26" t="s">
        <v>15</v>
      </c>
      <c r="B10" s="52">
        <v>35771</v>
      </c>
      <c r="C10" s="52">
        <v>42006</v>
      </c>
      <c r="D10" s="52">
        <v>47586</v>
      </c>
      <c r="E10" s="52">
        <v>52247</v>
      </c>
      <c r="F10" s="52">
        <v>53243</v>
      </c>
      <c r="G10" s="52">
        <v>47934</v>
      </c>
      <c r="H10" s="52">
        <v>71169</v>
      </c>
      <c r="I10" s="52">
        <v>77456</v>
      </c>
      <c r="J10" s="52">
        <v>87126</v>
      </c>
      <c r="K10" s="52">
        <v>98022</v>
      </c>
      <c r="L10" s="52">
        <v>106130</v>
      </c>
      <c r="M10" s="52">
        <v>102164</v>
      </c>
      <c r="N10" s="52">
        <v>118332</v>
      </c>
      <c r="O10" s="52">
        <v>135721</v>
      </c>
      <c r="P10" s="52">
        <v>156991</v>
      </c>
      <c r="Q10" s="52">
        <v>171648</v>
      </c>
      <c r="R10" s="52">
        <v>189086</v>
      </c>
      <c r="S10" s="52">
        <v>197568</v>
      </c>
      <c r="T10" s="52">
        <v>206554</v>
      </c>
      <c r="U10" s="52">
        <v>209022</v>
      </c>
      <c r="V10" s="52">
        <v>201142</v>
      </c>
      <c r="W10" s="52">
        <v>160890</v>
      </c>
      <c r="X10" s="52">
        <v>228691</v>
      </c>
      <c r="Y10" s="52">
        <v>225935</v>
      </c>
      <c r="Z10" s="52">
        <v>231169</v>
      </c>
      <c r="AA10" s="52">
        <v>224817</v>
      </c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x14ac:dyDescent="0.25">
      <c r="A11" s="5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37" x14ac:dyDescent="0.25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spans="1:37" ht="15.75" x14ac:dyDescent="0.25">
      <c r="A13" s="24" t="s">
        <v>97</v>
      </c>
      <c r="B13" s="20"/>
      <c r="C13" s="20"/>
      <c r="D13" s="20"/>
      <c r="E13" s="20"/>
      <c r="F13" s="20"/>
      <c r="G13" s="20"/>
      <c r="H13" s="20"/>
      <c r="I13" s="20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7" x14ac:dyDescent="0.25">
      <c r="A14" s="1" t="s">
        <v>16</v>
      </c>
      <c r="B14" s="18">
        <v>1999</v>
      </c>
      <c r="C14" s="18">
        <v>2000</v>
      </c>
      <c r="D14" s="18">
        <v>2001</v>
      </c>
      <c r="E14" s="18">
        <v>2002</v>
      </c>
      <c r="F14" s="18">
        <v>2003</v>
      </c>
      <c r="G14" s="18">
        <v>2004</v>
      </c>
      <c r="H14" s="18">
        <v>2005</v>
      </c>
      <c r="I14" s="18">
        <v>2006</v>
      </c>
      <c r="J14" s="18">
        <v>2007</v>
      </c>
      <c r="K14" s="18">
        <v>2008</v>
      </c>
      <c r="L14" s="18">
        <v>2009</v>
      </c>
      <c r="M14" s="18">
        <v>2010</v>
      </c>
      <c r="N14" s="18">
        <v>2011</v>
      </c>
      <c r="O14" s="18">
        <v>2012</v>
      </c>
      <c r="P14" s="18">
        <v>2013</v>
      </c>
      <c r="Q14" s="18">
        <v>2014</v>
      </c>
      <c r="R14" s="18">
        <v>2015</v>
      </c>
      <c r="S14" s="18">
        <v>2016</v>
      </c>
      <c r="T14" s="18">
        <v>2017</v>
      </c>
      <c r="U14" s="18">
        <v>2018</v>
      </c>
      <c r="V14" s="18">
        <v>2019</v>
      </c>
      <c r="W14" s="18">
        <v>2020</v>
      </c>
      <c r="X14" s="18">
        <v>2021</v>
      </c>
      <c r="Y14" s="18">
        <v>2022</v>
      </c>
      <c r="Z14" s="18">
        <v>2023</v>
      </c>
      <c r="AA14" s="18">
        <v>2024</v>
      </c>
    </row>
    <row r="15" spans="1:37" x14ac:dyDescent="0.25">
      <c r="A15" s="27" t="s">
        <v>17</v>
      </c>
      <c r="B15" s="51">
        <v>9721</v>
      </c>
      <c r="C15" s="51">
        <v>7901</v>
      </c>
      <c r="D15" s="51">
        <f>F33+G33</f>
        <v>11998</v>
      </c>
      <c r="E15" s="51">
        <v>10011</v>
      </c>
      <c r="F15" s="51">
        <f>J33+K33</f>
        <v>10202</v>
      </c>
      <c r="G15" s="51">
        <v>8371</v>
      </c>
      <c r="H15" s="51">
        <v>12258</v>
      </c>
      <c r="I15" s="51">
        <v>15190</v>
      </c>
      <c r="J15" s="51">
        <v>13913</v>
      </c>
      <c r="K15" s="51">
        <v>20014</v>
      </c>
      <c r="L15" s="51">
        <v>16893</v>
      </c>
      <c r="M15" s="51">
        <v>14342</v>
      </c>
      <c r="N15" s="51">
        <v>22478</v>
      </c>
      <c r="O15" s="51">
        <v>25615</v>
      </c>
      <c r="P15" s="51">
        <v>28283</v>
      </c>
      <c r="Q15" s="51">
        <v>27779</v>
      </c>
      <c r="R15" s="51">
        <v>30655</v>
      </c>
      <c r="S15" s="51">
        <v>33930</v>
      </c>
      <c r="T15" s="51">
        <v>33014</v>
      </c>
      <c r="U15" s="51">
        <v>35354</v>
      </c>
      <c r="V15" s="51">
        <v>34047</v>
      </c>
      <c r="W15" s="51">
        <v>24213</v>
      </c>
      <c r="X15" s="51">
        <v>36474</v>
      </c>
      <c r="Y15" s="51">
        <v>38169</v>
      </c>
      <c r="Z15" s="51">
        <v>40655</v>
      </c>
      <c r="AA15" s="51">
        <v>37152</v>
      </c>
    </row>
    <row r="16" spans="1:37" x14ac:dyDescent="0.25">
      <c r="A16" s="27" t="s">
        <v>18</v>
      </c>
      <c r="B16" s="51">
        <v>4089</v>
      </c>
      <c r="C16" s="51">
        <v>5602</v>
      </c>
      <c r="D16" s="51">
        <f t="shared" ref="D16:D17" si="0">F34+G34</f>
        <v>6601</v>
      </c>
      <c r="E16" s="51">
        <v>9437</v>
      </c>
      <c r="F16" s="51">
        <f t="shared" ref="F16:F17" si="1">J34+K34</f>
        <v>10314</v>
      </c>
      <c r="G16" s="51">
        <v>7872</v>
      </c>
      <c r="H16" s="51">
        <v>14776</v>
      </c>
      <c r="I16" s="51">
        <v>16661</v>
      </c>
      <c r="J16" s="51">
        <v>17980</v>
      </c>
      <c r="K16" s="51">
        <v>19230</v>
      </c>
      <c r="L16" s="51">
        <v>23837</v>
      </c>
      <c r="M16" s="51">
        <v>23804</v>
      </c>
      <c r="N16" s="51">
        <v>30856</v>
      </c>
      <c r="O16" s="51">
        <v>38267</v>
      </c>
      <c r="P16" s="51">
        <v>47536</v>
      </c>
      <c r="Q16" s="51">
        <v>56510</v>
      </c>
      <c r="R16" s="51">
        <v>68298</v>
      </c>
      <c r="S16" s="51">
        <v>73935</v>
      </c>
      <c r="T16" s="51">
        <v>79135</v>
      </c>
      <c r="U16" s="51">
        <v>79335</v>
      </c>
      <c r="V16" s="51">
        <v>74372</v>
      </c>
      <c r="W16" s="51">
        <v>63437</v>
      </c>
      <c r="X16" s="51">
        <v>81653</v>
      </c>
      <c r="Y16" s="51">
        <v>77362</v>
      </c>
      <c r="Z16" s="51">
        <v>78364</v>
      </c>
      <c r="AA16" s="51">
        <v>81285</v>
      </c>
    </row>
    <row r="17" spans="1:55" x14ac:dyDescent="0.25">
      <c r="A17" s="27" t="s">
        <v>19</v>
      </c>
      <c r="B17" s="51">
        <v>21961</v>
      </c>
      <c r="C17" s="51">
        <v>28503</v>
      </c>
      <c r="D17" s="51">
        <f t="shared" si="0"/>
        <v>28987</v>
      </c>
      <c r="E17" s="51">
        <v>32799</v>
      </c>
      <c r="F17" s="51">
        <f t="shared" si="1"/>
        <v>32727</v>
      </c>
      <c r="G17" s="51">
        <v>31691</v>
      </c>
      <c r="H17" s="51">
        <v>44135</v>
      </c>
      <c r="I17" s="51">
        <v>45605</v>
      </c>
      <c r="J17" s="51">
        <v>55233</v>
      </c>
      <c r="K17" s="51">
        <v>58778</v>
      </c>
      <c r="L17" s="51">
        <v>65400</v>
      </c>
      <c r="M17" s="51">
        <v>64018</v>
      </c>
      <c r="N17" s="51">
        <v>64998</v>
      </c>
      <c r="O17" s="51">
        <v>71839</v>
      </c>
      <c r="P17" s="51">
        <v>81172</v>
      </c>
      <c r="Q17" s="51">
        <v>87359</v>
      </c>
      <c r="R17" s="51">
        <v>90133</v>
      </c>
      <c r="S17" s="51">
        <v>89703</v>
      </c>
      <c r="T17" s="51">
        <v>94405</v>
      </c>
      <c r="U17" s="51">
        <v>94333</v>
      </c>
      <c r="V17" s="51">
        <v>92723</v>
      </c>
      <c r="W17" s="51">
        <v>73240</v>
      </c>
      <c r="X17" s="51">
        <v>110564</v>
      </c>
      <c r="Y17" s="51">
        <v>110404</v>
      </c>
      <c r="Z17" s="51">
        <v>112150</v>
      </c>
      <c r="AA17" s="51">
        <v>106380</v>
      </c>
    </row>
    <row r="18" spans="1:55" s="36" customFormat="1" x14ac:dyDescent="0.25">
      <c r="A18" s="26" t="s">
        <v>15</v>
      </c>
      <c r="B18" s="52">
        <v>35771</v>
      </c>
      <c r="C18" s="52">
        <v>42006</v>
      </c>
      <c r="D18" s="52">
        <v>47586</v>
      </c>
      <c r="E18" s="52">
        <v>52247</v>
      </c>
      <c r="F18" s="52">
        <v>53243</v>
      </c>
      <c r="G18" s="52">
        <v>47934</v>
      </c>
      <c r="H18" s="52">
        <v>71169</v>
      </c>
      <c r="I18" s="52">
        <v>77456</v>
      </c>
      <c r="J18" s="53">
        <v>87126</v>
      </c>
      <c r="K18" s="53">
        <v>98022</v>
      </c>
      <c r="L18" s="53">
        <v>106130</v>
      </c>
      <c r="M18" s="53">
        <v>102164</v>
      </c>
      <c r="N18" s="53">
        <v>118332</v>
      </c>
      <c r="O18" s="53">
        <v>135721</v>
      </c>
      <c r="P18" s="53">
        <v>156991</v>
      </c>
      <c r="Q18" s="53">
        <v>171648</v>
      </c>
      <c r="R18" s="53">
        <v>189086</v>
      </c>
      <c r="S18" s="53">
        <v>197568</v>
      </c>
      <c r="T18" s="53">
        <v>206554</v>
      </c>
      <c r="U18" s="53">
        <v>209022</v>
      </c>
      <c r="V18" s="53">
        <v>201142</v>
      </c>
      <c r="W18" s="53">
        <v>160890</v>
      </c>
      <c r="X18" s="53">
        <v>228691</v>
      </c>
      <c r="Y18" s="53">
        <v>225935</v>
      </c>
      <c r="Z18" s="53">
        <v>231169</v>
      </c>
      <c r="AA18" s="53">
        <v>224817</v>
      </c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55" x14ac:dyDescent="0.25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1" spans="1:55" ht="15.75" x14ac:dyDescent="0.25">
      <c r="A21" s="24" t="s">
        <v>124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55" x14ac:dyDescent="0.25">
      <c r="A22" s="1" t="s">
        <v>16</v>
      </c>
      <c r="B22" s="18">
        <v>1999</v>
      </c>
      <c r="C22" s="18">
        <v>2000</v>
      </c>
      <c r="D22" s="18">
        <v>2001</v>
      </c>
      <c r="E22" s="18">
        <v>2002</v>
      </c>
      <c r="F22" s="18">
        <v>2003</v>
      </c>
      <c r="G22" s="18">
        <v>2004</v>
      </c>
      <c r="H22" s="18">
        <v>2005</v>
      </c>
      <c r="I22" s="18">
        <v>2006</v>
      </c>
      <c r="J22" s="18">
        <v>2007</v>
      </c>
      <c r="K22" s="18">
        <v>2008</v>
      </c>
      <c r="L22" s="18">
        <v>2009</v>
      </c>
      <c r="M22" s="18">
        <v>2010</v>
      </c>
      <c r="N22" s="18">
        <v>2011</v>
      </c>
      <c r="O22" s="18">
        <v>2012</v>
      </c>
      <c r="P22" s="18">
        <v>2013</v>
      </c>
      <c r="Q22" s="18">
        <v>2014</v>
      </c>
      <c r="R22" s="18">
        <v>2015</v>
      </c>
      <c r="S22" s="18">
        <v>2016</v>
      </c>
      <c r="T22" s="18">
        <v>2017</v>
      </c>
      <c r="U22" s="18">
        <v>2018</v>
      </c>
      <c r="V22" s="18">
        <v>2019</v>
      </c>
      <c r="W22" s="18">
        <v>2020</v>
      </c>
      <c r="X22" s="18">
        <v>2021</v>
      </c>
      <c r="Y22" s="18">
        <v>2022</v>
      </c>
      <c r="Z22" s="18">
        <v>2023</v>
      </c>
      <c r="AA22" s="18">
        <v>2024</v>
      </c>
    </row>
    <row r="23" spans="1:55" x14ac:dyDescent="0.25">
      <c r="A23" s="27" t="s">
        <v>17</v>
      </c>
      <c r="B23" s="51">
        <v>9721</v>
      </c>
      <c r="C23" s="51">
        <v>7901</v>
      </c>
      <c r="D23" s="51">
        <f>F42+G42</f>
        <v>11998</v>
      </c>
      <c r="E23" s="51">
        <f>H42+I42</f>
        <v>10011</v>
      </c>
      <c r="F23" s="51">
        <f>J42+K42</f>
        <v>10202</v>
      </c>
      <c r="G23" s="51">
        <v>8371</v>
      </c>
      <c r="H23" s="51">
        <v>12258</v>
      </c>
      <c r="I23" s="51">
        <v>15190</v>
      </c>
      <c r="J23" s="51">
        <v>13913</v>
      </c>
      <c r="K23" s="51">
        <v>20014</v>
      </c>
      <c r="L23" s="51">
        <v>16893</v>
      </c>
      <c r="M23" s="51">
        <v>14342</v>
      </c>
      <c r="N23" s="51">
        <v>22478</v>
      </c>
      <c r="O23" s="51">
        <v>25615</v>
      </c>
      <c r="P23" s="51">
        <v>28283</v>
      </c>
      <c r="Q23" s="51">
        <v>27779</v>
      </c>
      <c r="R23" s="51">
        <v>30655</v>
      </c>
      <c r="S23" s="51">
        <v>33930</v>
      </c>
      <c r="T23" s="51">
        <v>33014</v>
      </c>
      <c r="U23" s="51">
        <v>35354</v>
      </c>
      <c r="V23" s="51">
        <v>34047</v>
      </c>
      <c r="W23" s="51">
        <v>24213</v>
      </c>
      <c r="X23" s="51">
        <v>36474</v>
      </c>
      <c r="Y23" s="51">
        <v>38169</v>
      </c>
      <c r="Z23" s="51">
        <v>40655</v>
      </c>
      <c r="AA23" s="51">
        <v>37152</v>
      </c>
    </row>
    <row r="24" spans="1:55" x14ac:dyDescent="0.25">
      <c r="A24" s="27" t="s">
        <v>18</v>
      </c>
      <c r="B24" s="51">
        <v>4089</v>
      </c>
      <c r="C24" s="51">
        <v>5602</v>
      </c>
      <c r="D24" s="51">
        <f t="shared" ref="D24:D26" si="2">F43+G43</f>
        <v>6601</v>
      </c>
      <c r="E24" s="51">
        <f t="shared" ref="E24:E26" si="3">H43+I43</f>
        <v>9437</v>
      </c>
      <c r="F24" s="51">
        <f t="shared" ref="F24:F26" si="4">J43+K43</f>
        <v>10314</v>
      </c>
      <c r="G24" s="51">
        <v>7872</v>
      </c>
      <c r="H24" s="51">
        <v>14776</v>
      </c>
      <c r="I24" s="51">
        <v>16661</v>
      </c>
      <c r="J24" s="51">
        <v>17980</v>
      </c>
      <c r="K24" s="51">
        <v>19230</v>
      </c>
      <c r="L24" s="51">
        <v>23837</v>
      </c>
      <c r="M24" s="51">
        <v>23804</v>
      </c>
      <c r="N24" s="51">
        <v>30856</v>
      </c>
      <c r="O24" s="51">
        <v>38267</v>
      </c>
      <c r="P24" s="51">
        <v>47536</v>
      </c>
      <c r="Q24" s="51">
        <v>56510</v>
      </c>
      <c r="R24" s="51">
        <v>68298</v>
      </c>
      <c r="S24" s="51">
        <v>73935</v>
      </c>
      <c r="T24" s="51">
        <v>79135</v>
      </c>
      <c r="U24" s="51">
        <v>79335</v>
      </c>
      <c r="V24" s="51">
        <v>74372</v>
      </c>
      <c r="W24" s="51">
        <v>63437</v>
      </c>
      <c r="X24" s="51">
        <v>81653</v>
      </c>
      <c r="Y24" s="51">
        <v>77362</v>
      </c>
      <c r="Z24" s="51">
        <v>78364</v>
      </c>
      <c r="AA24" s="51">
        <v>81285</v>
      </c>
    </row>
    <row r="25" spans="1:55" x14ac:dyDescent="0.25">
      <c r="A25" s="27" t="s">
        <v>67</v>
      </c>
      <c r="B25" s="51">
        <v>17129</v>
      </c>
      <c r="C25" s="51">
        <v>19491</v>
      </c>
      <c r="D25" s="51">
        <f t="shared" si="2"/>
        <v>21069</v>
      </c>
      <c r="E25" s="51">
        <f t="shared" si="3"/>
        <v>23386</v>
      </c>
      <c r="F25" s="51">
        <f t="shared" si="4"/>
        <v>22239</v>
      </c>
      <c r="G25" s="51">
        <v>21085</v>
      </c>
      <c r="H25" s="51">
        <v>28949</v>
      </c>
      <c r="I25" s="51">
        <v>29597</v>
      </c>
      <c r="J25" s="51">
        <v>32213</v>
      </c>
      <c r="K25" s="51">
        <v>32726</v>
      </c>
      <c r="L25" s="51">
        <v>37034</v>
      </c>
      <c r="M25" s="51">
        <v>36192</v>
      </c>
      <c r="N25" s="51">
        <v>34605</v>
      </c>
      <c r="O25" s="51">
        <v>36217</v>
      </c>
      <c r="P25" s="51">
        <v>37646</v>
      </c>
      <c r="Q25" s="51">
        <v>38672</v>
      </c>
      <c r="R25" s="51">
        <v>40273</v>
      </c>
      <c r="S25" s="51">
        <v>38861</v>
      </c>
      <c r="T25" s="51">
        <v>42884</v>
      </c>
      <c r="U25" s="51">
        <v>40808</v>
      </c>
      <c r="V25" s="51">
        <v>43064</v>
      </c>
      <c r="W25" s="51">
        <v>37151</v>
      </c>
      <c r="X25" s="51">
        <v>53037</v>
      </c>
      <c r="Y25" s="51">
        <v>56352</v>
      </c>
      <c r="Z25" s="51">
        <v>58068</v>
      </c>
      <c r="AA25" s="51">
        <v>57372</v>
      </c>
    </row>
    <row r="26" spans="1:55" x14ac:dyDescent="0.25">
      <c r="A26" s="27" t="s">
        <v>20</v>
      </c>
      <c r="B26" s="51">
        <v>4832</v>
      </c>
      <c r="C26" s="51">
        <v>9012</v>
      </c>
      <c r="D26" s="51">
        <f t="shared" si="2"/>
        <v>7918</v>
      </c>
      <c r="E26" s="51">
        <f t="shared" si="3"/>
        <v>9413</v>
      </c>
      <c r="F26" s="51">
        <f t="shared" si="4"/>
        <v>10488</v>
      </c>
      <c r="G26" s="51">
        <v>10606</v>
      </c>
      <c r="H26" s="51">
        <v>15186</v>
      </c>
      <c r="I26" s="51">
        <v>16008</v>
      </c>
      <c r="J26" s="51">
        <v>23020</v>
      </c>
      <c r="K26" s="51">
        <v>26052</v>
      </c>
      <c r="L26" s="51">
        <v>28366</v>
      </c>
      <c r="M26" s="51">
        <v>27826</v>
      </c>
      <c r="N26" s="51">
        <v>30393</v>
      </c>
      <c r="O26" s="51">
        <v>35622</v>
      </c>
      <c r="P26" s="51">
        <v>43526</v>
      </c>
      <c r="Q26" s="51">
        <v>48687</v>
      </c>
      <c r="R26" s="51">
        <v>49860</v>
      </c>
      <c r="S26" s="51">
        <v>50842</v>
      </c>
      <c r="T26" s="51">
        <v>51521</v>
      </c>
      <c r="U26" s="51">
        <v>53525</v>
      </c>
      <c r="V26" s="51">
        <v>49659</v>
      </c>
      <c r="W26" s="51">
        <v>36089</v>
      </c>
      <c r="X26" s="51">
        <v>57527</v>
      </c>
      <c r="Y26" s="51">
        <v>54052</v>
      </c>
      <c r="Z26" s="51">
        <v>54082</v>
      </c>
      <c r="AA26" s="51">
        <v>49008</v>
      </c>
    </row>
    <row r="27" spans="1:55" s="36" customFormat="1" x14ac:dyDescent="0.25">
      <c r="A27" s="26" t="s">
        <v>15</v>
      </c>
      <c r="B27" s="52">
        <v>35771</v>
      </c>
      <c r="C27" s="52">
        <v>42006</v>
      </c>
      <c r="D27" s="52">
        <v>47586</v>
      </c>
      <c r="E27" s="52">
        <v>52247</v>
      </c>
      <c r="F27" s="52">
        <v>53243</v>
      </c>
      <c r="G27" s="52">
        <v>47934</v>
      </c>
      <c r="H27" s="52">
        <v>71169</v>
      </c>
      <c r="I27" s="52">
        <v>77456</v>
      </c>
      <c r="J27" s="52">
        <v>87126</v>
      </c>
      <c r="K27" s="52">
        <v>98022</v>
      </c>
      <c r="L27" s="52">
        <v>106130</v>
      </c>
      <c r="M27" s="52">
        <v>102164</v>
      </c>
      <c r="N27" s="52">
        <v>118332</v>
      </c>
      <c r="O27" s="52">
        <v>135721</v>
      </c>
      <c r="P27" s="52">
        <v>156991</v>
      </c>
      <c r="Q27" s="52">
        <v>171648</v>
      </c>
      <c r="R27" s="52">
        <v>189086</v>
      </c>
      <c r="S27" s="52">
        <v>197568</v>
      </c>
      <c r="T27" s="52">
        <v>206554</v>
      </c>
      <c r="U27" s="52">
        <v>209022</v>
      </c>
      <c r="V27" s="52">
        <v>201142</v>
      </c>
      <c r="W27" s="52">
        <v>160890</v>
      </c>
      <c r="X27" s="52">
        <v>228691</v>
      </c>
      <c r="Y27" s="52">
        <v>225935</v>
      </c>
      <c r="Z27" s="52">
        <v>231169</v>
      </c>
      <c r="AA27" s="52">
        <v>224817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30" spans="1:55" ht="15.75" x14ac:dyDescent="0.25">
      <c r="A30" s="24" t="s">
        <v>99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55" x14ac:dyDescent="0.25">
      <c r="A31" s="59" t="s">
        <v>16</v>
      </c>
      <c r="B31" s="58">
        <v>1999</v>
      </c>
      <c r="C31" s="58"/>
      <c r="D31" s="58">
        <v>2000</v>
      </c>
      <c r="E31" s="58"/>
      <c r="F31" s="58">
        <v>2001</v>
      </c>
      <c r="G31" s="58"/>
      <c r="H31" s="58">
        <v>2002</v>
      </c>
      <c r="I31" s="58"/>
      <c r="J31" s="58">
        <v>2003</v>
      </c>
      <c r="K31" s="58"/>
      <c r="L31" s="58">
        <v>2004</v>
      </c>
      <c r="M31" s="58"/>
      <c r="N31" s="58">
        <v>2005</v>
      </c>
      <c r="O31" s="58"/>
      <c r="P31" s="58">
        <v>2006</v>
      </c>
      <c r="Q31" s="58"/>
      <c r="R31" s="58">
        <v>2007</v>
      </c>
      <c r="S31" s="58"/>
      <c r="T31" s="58">
        <v>2008</v>
      </c>
      <c r="U31" s="58"/>
      <c r="V31" s="58">
        <v>2009</v>
      </c>
      <c r="W31" s="58"/>
      <c r="X31" s="58">
        <v>2010</v>
      </c>
      <c r="Y31" s="58"/>
      <c r="Z31" s="58">
        <v>2011</v>
      </c>
      <c r="AA31" s="58"/>
      <c r="AB31" s="58">
        <v>2012</v>
      </c>
      <c r="AC31" s="58"/>
      <c r="AD31" s="58">
        <v>2013</v>
      </c>
      <c r="AE31" s="58"/>
      <c r="AF31" s="58">
        <v>2014</v>
      </c>
      <c r="AG31" s="58"/>
      <c r="AH31" s="58">
        <v>2015</v>
      </c>
      <c r="AI31" s="58"/>
      <c r="AJ31" s="58">
        <v>2016</v>
      </c>
      <c r="AK31" s="58"/>
      <c r="AL31" s="58">
        <v>2017</v>
      </c>
      <c r="AM31" s="58"/>
      <c r="AN31" s="58">
        <v>2018</v>
      </c>
      <c r="AO31" s="58"/>
      <c r="AP31" s="58">
        <v>2019</v>
      </c>
      <c r="AQ31" s="58"/>
      <c r="AR31" s="58">
        <v>2020</v>
      </c>
      <c r="AS31" s="58"/>
      <c r="AT31" s="58">
        <v>2021</v>
      </c>
      <c r="AU31" s="58"/>
      <c r="AV31" s="58">
        <v>2022</v>
      </c>
      <c r="AW31" s="58"/>
      <c r="AX31" s="60">
        <v>2023</v>
      </c>
      <c r="AY31" s="61"/>
      <c r="AZ31" s="62"/>
      <c r="BA31" s="60">
        <v>2024</v>
      </c>
      <c r="BB31" s="61"/>
      <c r="BC31" s="62"/>
    </row>
    <row r="32" spans="1:55" x14ac:dyDescent="0.25">
      <c r="A32" s="59"/>
      <c r="B32" s="18" t="s">
        <v>64</v>
      </c>
      <c r="C32" s="18" t="s">
        <v>65</v>
      </c>
      <c r="D32" s="18" t="s">
        <v>64</v>
      </c>
      <c r="E32" s="18" t="s">
        <v>65</v>
      </c>
      <c r="F32" s="18" t="s">
        <v>64</v>
      </c>
      <c r="G32" s="18" t="s">
        <v>65</v>
      </c>
      <c r="H32" s="18" t="s">
        <v>64</v>
      </c>
      <c r="I32" s="18" t="s">
        <v>65</v>
      </c>
      <c r="J32" s="18" t="s">
        <v>64</v>
      </c>
      <c r="K32" s="18" t="s">
        <v>65</v>
      </c>
      <c r="L32" s="18" t="s">
        <v>64</v>
      </c>
      <c r="M32" s="18" t="s">
        <v>65</v>
      </c>
      <c r="N32" s="18" t="s">
        <v>64</v>
      </c>
      <c r="O32" s="18" t="s">
        <v>65</v>
      </c>
      <c r="P32" s="18" t="s">
        <v>64</v>
      </c>
      <c r="Q32" s="18" t="s">
        <v>65</v>
      </c>
      <c r="R32" s="18" t="s">
        <v>64</v>
      </c>
      <c r="S32" s="18" t="s">
        <v>65</v>
      </c>
      <c r="T32" s="18" t="s">
        <v>64</v>
      </c>
      <c r="U32" s="18" t="s">
        <v>65</v>
      </c>
      <c r="V32" s="18" t="s">
        <v>64</v>
      </c>
      <c r="W32" s="18" t="s">
        <v>65</v>
      </c>
      <c r="X32" s="18" t="s">
        <v>64</v>
      </c>
      <c r="Y32" s="18" t="s">
        <v>65</v>
      </c>
      <c r="Z32" s="18" t="s">
        <v>64</v>
      </c>
      <c r="AA32" s="18" t="s">
        <v>65</v>
      </c>
      <c r="AB32" s="18" t="s">
        <v>64</v>
      </c>
      <c r="AC32" s="18" t="s">
        <v>65</v>
      </c>
      <c r="AD32" s="18" t="s">
        <v>64</v>
      </c>
      <c r="AE32" s="18" t="s">
        <v>65</v>
      </c>
      <c r="AF32" s="18" t="s">
        <v>64</v>
      </c>
      <c r="AG32" s="18" t="s">
        <v>65</v>
      </c>
      <c r="AH32" s="18" t="s">
        <v>64</v>
      </c>
      <c r="AI32" s="18" t="s">
        <v>65</v>
      </c>
      <c r="AJ32" s="18" t="s">
        <v>64</v>
      </c>
      <c r="AK32" s="18" t="s">
        <v>65</v>
      </c>
      <c r="AL32" s="18" t="s">
        <v>64</v>
      </c>
      <c r="AM32" s="18" t="s">
        <v>65</v>
      </c>
      <c r="AN32" s="18" t="s">
        <v>64</v>
      </c>
      <c r="AO32" s="18" t="s">
        <v>65</v>
      </c>
      <c r="AP32" s="18" t="s">
        <v>64</v>
      </c>
      <c r="AQ32" s="18" t="s">
        <v>65</v>
      </c>
      <c r="AR32" s="18" t="s">
        <v>64</v>
      </c>
      <c r="AS32" s="18" t="s">
        <v>65</v>
      </c>
      <c r="AT32" s="18" t="s">
        <v>64</v>
      </c>
      <c r="AU32" s="18" t="s">
        <v>65</v>
      </c>
      <c r="AV32" s="18" t="s">
        <v>64</v>
      </c>
      <c r="AW32" s="18" t="s">
        <v>65</v>
      </c>
      <c r="AX32" s="18" t="s">
        <v>64</v>
      </c>
      <c r="AY32" s="18" t="s">
        <v>65</v>
      </c>
      <c r="AZ32" s="18" t="s">
        <v>78</v>
      </c>
      <c r="BA32" s="18" t="s">
        <v>64</v>
      </c>
      <c r="BB32" s="18" t="s">
        <v>65</v>
      </c>
      <c r="BC32" s="18" t="s">
        <v>78</v>
      </c>
    </row>
    <row r="33" spans="1:55" x14ac:dyDescent="0.25">
      <c r="A33" s="27" t="s">
        <v>17</v>
      </c>
      <c r="B33" s="51">
        <v>4457</v>
      </c>
      <c r="C33" s="51">
        <v>5264</v>
      </c>
      <c r="D33" s="51">
        <v>3418</v>
      </c>
      <c r="E33" s="51">
        <v>4483</v>
      </c>
      <c r="F33" s="51">
        <v>5707</v>
      </c>
      <c r="G33" s="51">
        <v>6291</v>
      </c>
      <c r="H33" s="51">
        <v>4155</v>
      </c>
      <c r="I33" s="51">
        <v>5856</v>
      </c>
      <c r="J33" s="51">
        <v>3990</v>
      </c>
      <c r="K33" s="51">
        <v>6212</v>
      </c>
      <c r="L33" s="51">
        <v>3299</v>
      </c>
      <c r="M33" s="51">
        <v>5072</v>
      </c>
      <c r="N33" s="51">
        <v>4854</v>
      </c>
      <c r="O33" s="51">
        <v>7404</v>
      </c>
      <c r="P33" s="51">
        <v>6404</v>
      </c>
      <c r="Q33" s="51">
        <v>8786</v>
      </c>
      <c r="R33" s="51">
        <v>6158</v>
      </c>
      <c r="S33" s="51">
        <v>7755</v>
      </c>
      <c r="T33" s="51">
        <v>7870</v>
      </c>
      <c r="U33" s="51">
        <v>12144</v>
      </c>
      <c r="V33" s="51">
        <v>6976</v>
      </c>
      <c r="W33" s="51">
        <v>9917</v>
      </c>
      <c r="X33" s="51">
        <v>6284</v>
      </c>
      <c r="Y33" s="51">
        <v>8058</v>
      </c>
      <c r="Z33" s="51">
        <v>8749</v>
      </c>
      <c r="AA33" s="51">
        <v>13729</v>
      </c>
      <c r="AB33" s="51">
        <v>9779</v>
      </c>
      <c r="AC33" s="51">
        <v>15836</v>
      </c>
      <c r="AD33" s="51">
        <v>10992</v>
      </c>
      <c r="AE33" s="51">
        <v>17291</v>
      </c>
      <c r="AF33" s="51">
        <v>11152</v>
      </c>
      <c r="AG33" s="51">
        <v>16627</v>
      </c>
      <c r="AH33" s="51">
        <v>12955</v>
      </c>
      <c r="AI33" s="51">
        <v>17700</v>
      </c>
      <c r="AJ33" s="51">
        <v>14290</v>
      </c>
      <c r="AK33" s="51">
        <v>19640</v>
      </c>
      <c r="AL33" s="51">
        <v>14705</v>
      </c>
      <c r="AM33" s="51">
        <v>18309</v>
      </c>
      <c r="AN33" s="51">
        <v>15500</v>
      </c>
      <c r="AO33" s="51">
        <v>19854</v>
      </c>
      <c r="AP33" s="51">
        <v>15260</v>
      </c>
      <c r="AQ33" s="51">
        <v>18787</v>
      </c>
      <c r="AR33" s="51">
        <v>10106</v>
      </c>
      <c r="AS33" s="51">
        <v>14107</v>
      </c>
      <c r="AT33" s="51">
        <v>14870</v>
      </c>
      <c r="AU33" s="51">
        <v>21604</v>
      </c>
      <c r="AV33" s="51">
        <v>15988</v>
      </c>
      <c r="AW33" s="51">
        <v>22181</v>
      </c>
      <c r="AX33" s="51">
        <v>17593</v>
      </c>
      <c r="AY33" s="51">
        <v>23062</v>
      </c>
      <c r="AZ33" s="51">
        <v>0</v>
      </c>
      <c r="BA33" s="51">
        <v>15985</v>
      </c>
      <c r="BB33" s="51">
        <v>21167</v>
      </c>
      <c r="BC33" s="51">
        <v>0</v>
      </c>
    </row>
    <row r="34" spans="1:55" x14ac:dyDescent="0.25">
      <c r="A34" s="27" t="s">
        <v>18</v>
      </c>
      <c r="B34" s="51">
        <v>2003</v>
      </c>
      <c r="C34" s="51">
        <v>2086</v>
      </c>
      <c r="D34" s="51">
        <v>2839</v>
      </c>
      <c r="E34" s="51">
        <v>2763</v>
      </c>
      <c r="F34" s="51">
        <v>3481</v>
      </c>
      <c r="G34" s="51">
        <v>3120</v>
      </c>
      <c r="H34" s="51">
        <v>5175</v>
      </c>
      <c r="I34" s="51">
        <v>4262</v>
      </c>
      <c r="J34" s="51">
        <v>6010</v>
      </c>
      <c r="K34" s="51">
        <v>4304</v>
      </c>
      <c r="L34" s="51">
        <v>4438</v>
      </c>
      <c r="M34" s="51">
        <v>3434</v>
      </c>
      <c r="N34" s="51">
        <v>8404</v>
      </c>
      <c r="O34" s="51">
        <v>6372</v>
      </c>
      <c r="P34" s="51">
        <v>9574</v>
      </c>
      <c r="Q34" s="51">
        <v>7087</v>
      </c>
      <c r="R34" s="51">
        <v>9694</v>
      </c>
      <c r="S34" s="51">
        <v>8286</v>
      </c>
      <c r="T34" s="51">
        <v>9740</v>
      </c>
      <c r="U34" s="51">
        <v>9490</v>
      </c>
      <c r="V34" s="51">
        <v>11574</v>
      </c>
      <c r="W34" s="51">
        <v>12263</v>
      </c>
      <c r="X34" s="51">
        <v>11164</v>
      </c>
      <c r="Y34" s="51">
        <v>12640</v>
      </c>
      <c r="Z34" s="51">
        <v>14232</v>
      </c>
      <c r="AA34" s="51">
        <v>16624</v>
      </c>
      <c r="AB34" s="51">
        <v>16873</v>
      </c>
      <c r="AC34" s="51">
        <v>21394</v>
      </c>
      <c r="AD34" s="51">
        <v>20482</v>
      </c>
      <c r="AE34" s="51">
        <v>27054</v>
      </c>
      <c r="AF34" s="51">
        <v>24784</v>
      </c>
      <c r="AG34" s="51">
        <v>31726</v>
      </c>
      <c r="AH34" s="51">
        <v>29830</v>
      </c>
      <c r="AI34" s="51">
        <v>38468</v>
      </c>
      <c r="AJ34" s="51">
        <v>32149</v>
      </c>
      <c r="AK34" s="51">
        <v>41786</v>
      </c>
      <c r="AL34" s="51">
        <v>34174</v>
      </c>
      <c r="AM34" s="51">
        <v>44961</v>
      </c>
      <c r="AN34" s="51">
        <v>35064</v>
      </c>
      <c r="AO34" s="51">
        <v>44271</v>
      </c>
      <c r="AP34" s="51">
        <v>32767</v>
      </c>
      <c r="AQ34" s="51">
        <v>41605</v>
      </c>
      <c r="AR34" s="51">
        <v>27130</v>
      </c>
      <c r="AS34" s="51">
        <v>36307</v>
      </c>
      <c r="AT34" s="51">
        <v>36050</v>
      </c>
      <c r="AU34" s="51">
        <v>45603</v>
      </c>
      <c r="AV34" s="51">
        <v>34869</v>
      </c>
      <c r="AW34" s="51">
        <v>42493</v>
      </c>
      <c r="AX34" s="51">
        <v>35669</v>
      </c>
      <c r="AY34" s="51">
        <v>42695</v>
      </c>
      <c r="AZ34" s="51">
        <v>0</v>
      </c>
      <c r="BA34" s="51">
        <v>37145</v>
      </c>
      <c r="BB34" s="51">
        <v>44140</v>
      </c>
      <c r="BC34" s="51">
        <v>0</v>
      </c>
    </row>
    <row r="35" spans="1:55" x14ac:dyDescent="0.25">
      <c r="A35" s="27" t="s">
        <v>19</v>
      </c>
      <c r="B35" s="51">
        <v>10778</v>
      </c>
      <c r="C35" s="51">
        <v>11183</v>
      </c>
      <c r="D35" s="51">
        <v>14046.4</v>
      </c>
      <c r="E35" s="51">
        <v>14456.6</v>
      </c>
      <c r="F35" s="51">
        <v>14047</v>
      </c>
      <c r="G35" s="51">
        <v>14940</v>
      </c>
      <c r="H35" s="51">
        <v>15906</v>
      </c>
      <c r="I35" s="51">
        <v>16893</v>
      </c>
      <c r="J35" s="51">
        <v>15097</v>
      </c>
      <c r="K35" s="51">
        <v>17630</v>
      </c>
      <c r="L35" s="51">
        <v>14418</v>
      </c>
      <c r="M35" s="51">
        <v>17273</v>
      </c>
      <c r="N35" s="51">
        <v>19919</v>
      </c>
      <c r="O35" s="51">
        <v>24216</v>
      </c>
      <c r="P35" s="51">
        <v>20292</v>
      </c>
      <c r="Q35" s="51">
        <v>25313</v>
      </c>
      <c r="R35" s="51">
        <v>24417</v>
      </c>
      <c r="S35" s="51">
        <v>30816</v>
      </c>
      <c r="T35" s="51">
        <v>25672</v>
      </c>
      <c r="U35" s="51">
        <v>33106</v>
      </c>
      <c r="V35" s="51">
        <v>29069</v>
      </c>
      <c r="W35" s="51">
        <v>36331</v>
      </c>
      <c r="X35" s="51">
        <v>28956</v>
      </c>
      <c r="Y35" s="51">
        <v>35062</v>
      </c>
      <c r="Z35" s="51">
        <v>29365</v>
      </c>
      <c r="AA35" s="51">
        <v>35633</v>
      </c>
      <c r="AB35" s="51">
        <v>32287</v>
      </c>
      <c r="AC35" s="51">
        <v>39552</v>
      </c>
      <c r="AD35" s="51">
        <v>36631</v>
      </c>
      <c r="AE35" s="51">
        <v>44541</v>
      </c>
      <c r="AF35" s="51">
        <v>39725</v>
      </c>
      <c r="AG35" s="51">
        <v>47634</v>
      </c>
      <c r="AH35" s="51">
        <v>40901</v>
      </c>
      <c r="AI35" s="51">
        <v>49232</v>
      </c>
      <c r="AJ35" s="51">
        <v>39420</v>
      </c>
      <c r="AK35" s="51">
        <v>50283</v>
      </c>
      <c r="AL35" s="51">
        <v>41165</v>
      </c>
      <c r="AM35" s="51">
        <v>53240</v>
      </c>
      <c r="AN35" s="51">
        <v>40202</v>
      </c>
      <c r="AO35" s="51">
        <v>54131</v>
      </c>
      <c r="AP35" s="51">
        <v>38634</v>
      </c>
      <c r="AQ35" s="51">
        <v>54089</v>
      </c>
      <c r="AR35" s="51">
        <v>32512</v>
      </c>
      <c r="AS35" s="51">
        <v>40728</v>
      </c>
      <c r="AT35" s="51">
        <v>44953</v>
      </c>
      <c r="AU35" s="51">
        <v>65611</v>
      </c>
      <c r="AV35" s="51">
        <v>46313</v>
      </c>
      <c r="AW35" s="51">
        <v>64091</v>
      </c>
      <c r="AX35" s="51">
        <v>48177</v>
      </c>
      <c r="AY35" s="51">
        <v>63972</v>
      </c>
      <c r="AZ35" s="51">
        <v>1</v>
      </c>
      <c r="BA35" s="51">
        <v>46338</v>
      </c>
      <c r="BB35" s="51">
        <v>60041</v>
      </c>
      <c r="BC35" s="51">
        <v>1</v>
      </c>
    </row>
    <row r="36" spans="1:55" s="36" customFormat="1" x14ac:dyDescent="0.25">
      <c r="A36" s="26" t="s">
        <v>15</v>
      </c>
      <c r="B36" s="52">
        <v>17238</v>
      </c>
      <c r="C36" s="52">
        <v>18533</v>
      </c>
      <c r="D36" s="52">
        <v>20303.400000000001</v>
      </c>
      <c r="E36" s="52">
        <v>21702.6</v>
      </c>
      <c r="F36" s="52">
        <v>23235</v>
      </c>
      <c r="G36" s="52">
        <v>24351</v>
      </c>
      <c r="H36" s="52">
        <v>25236</v>
      </c>
      <c r="I36" s="52">
        <v>27011</v>
      </c>
      <c r="J36" s="52">
        <v>25097</v>
      </c>
      <c r="K36" s="52">
        <v>28146</v>
      </c>
      <c r="L36" s="52">
        <v>22155</v>
      </c>
      <c r="M36" s="52">
        <v>25779</v>
      </c>
      <c r="N36" s="52">
        <v>33177</v>
      </c>
      <c r="O36" s="52">
        <v>37992</v>
      </c>
      <c r="P36" s="52">
        <v>36270</v>
      </c>
      <c r="Q36" s="52">
        <v>41186</v>
      </c>
      <c r="R36" s="52">
        <v>40269</v>
      </c>
      <c r="S36" s="52">
        <v>46857</v>
      </c>
      <c r="T36" s="52">
        <v>43282</v>
      </c>
      <c r="U36" s="52">
        <v>54740</v>
      </c>
      <c r="V36" s="52">
        <v>47619</v>
      </c>
      <c r="W36" s="52">
        <v>58511</v>
      </c>
      <c r="X36" s="52">
        <v>46404</v>
      </c>
      <c r="Y36" s="52">
        <v>55760</v>
      </c>
      <c r="Z36" s="52">
        <v>52346</v>
      </c>
      <c r="AA36" s="52">
        <v>65986</v>
      </c>
      <c r="AB36" s="52">
        <v>58939</v>
      </c>
      <c r="AC36" s="52">
        <v>76782</v>
      </c>
      <c r="AD36" s="52">
        <v>68105</v>
      </c>
      <c r="AE36" s="52">
        <v>88886</v>
      </c>
      <c r="AF36" s="52">
        <v>75661</v>
      </c>
      <c r="AG36" s="52">
        <v>95987</v>
      </c>
      <c r="AH36" s="52">
        <v>83686</v>
      </c>
      <c r="AI36" s="52">
        <v>105400</v>
      </c>
      <c r="AJ36" s="52">
        <v>85859</v>
      </c>
      <c r="AK36" s="52">
        <v>111709</v>
      </c>
      <c r="AL36" s="52">
        <v>90044</v>
      </c>
      <c r="AM36" s="52">
        <v>116510</v>
      </c>
      <c r="AN36" s="52">
        <v>90766</v>
      </c>
      <c r="AO36" s="52">
        <v>118256</v>
      </c>
      <c r="AP36" s="52">
        <v>86661</v>
      </c>
      <c r="AQ36" s="52">
        <v>114481</v>
      </c>
      <c r="AR36" s="52">
        <v>69748</v>
      </c>
      <c r="AS36" s="52">
        <v>91142</v>
      </c>
      <c r="AT36" s="52">
        <v>95873</v>
      </c>
      <c r="AU36" s="52">
        <v>132818</v>
      </c>
      <c r="AV36" s="52">
        <v>97170</v>
      </c>
      <c r="AW36" s="52">
        <v>128765</v>
      </c>
      <c r="AX36" s="52">
        <v>101439</v>
      </c>
      <c r="AY36" s="52">
        <v>129729</v>
      </c>
      <c r="AZ36" s="52">
        <v>1</v>
      </c>
      <c r="BA36" s="52">
        <v>99468</v>
      </c>
      <c r="BB36" s="52">
        <v>125348</v>
      </c>
      <c r="BC36" s="52">
        <v>1</v>
      </c>
    </row>
    <row r="39" spans="1:55" ht="15.75" x14ac:dyDescent="0.25">
      <c r="A39" s="24" t="s">
        <v>100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55" x14ac:dyDescent="0.25">
      <c r="A40" s="59" t="s">
        <v>16</v>
      </c>
      <c r="B40" s="58">
        <v>1999</v>
      </c>
      <c r="C40" s="58"/>
      <c r="D40" s="58">
        <v>2000</v>
      </c>
      <c r="E40" s="58"/>
      <c r="F40" s="58">
        <v>2001</v>
      </c>
      <c r="G40" s="58"/>
      <c r="H40" s="58">
        <v>2002</v>
      </c>
      <c r="I40" s="58"/>
      <c r="J40" s="58">
        <v>2003</v>
      </c>
      <c r="K40" s="58"/>
      <c r="L40" s="58">
        <v>2004</v>
      </c>
      <c r="M40" s="58"/>
      <c r="N40" s="58">
        <v>2005</v>
      </c>
      <c r="O40" s="58"/>
      <c r="P40" s="58">
        <v>2006</v>
      </c>
      <c r="Q40" s="58"/>
      <c r="R40" s="58">
        <v>2007</v>
      </c>
      <c r="S40" s="58"/>
      <c r="T40" s="58">
        <v>2008</v>
      </c>
      <c r="U40" s="58"/>
      <c r="V40" s="58">
        <v>2009</v>
      </c>
      <c r="W40" s="58"/>
      <c r="X40" s="58">
        <v>2010</v>
      </c>
      <c r="Y40" s="58"/>
      <c r="Z40" s="58">
        <v>2011</v>
      </c>
      <c r="AA40" s="58"/>
      <c r="AB40" s="58">
        <v>2012</v>
      </c>
      <c r="AC40" s="58"/>
      <c r="AD40" s="58">
        <v>2013</v>
      </c>
      <c r="AE40" s="58"/>
      <c r="AF40" s="58">
        <v>2014</v>
      </c>
      <c r="AG40" s="58"/>
      <c r="AH40" s="58">
        <v>2015</v>
      </c>
      <c r="AI40" s="58"/>
      <c r="AJ40" s="58">
        <v>2016</v>
      </c>
      <c r="AK40" s="58"/>
      <c r="AL40" s="58">
        <v>2017</v>
      </c>
      <c r="AM40" s="58"/>
      <c r="AN40" s="58">
        <v>2018</v>
      </c>
      <c r="AO40" s="58"/>
      <c r="AP40" s="58">
        <v>2019</v>
      </c>
      <c r="AQ40" s="58"/>
      <c r="AR40" s="58">
        <v>2020</v>
      </c>
      <c r="AS40" s="58"/>
      <c r="AT40" s="58">
        <v>2021</v>
      </c>
      <c r="AU40" s="58"/>
      <c r="AV40" s="58">
        <v>2022</v>
      </c>
      <c r="AW40" s="58"/>
      <c r="AX40" s="60">
        <v>2023</v>
      </c>
      <c r="AY40" s="61"/>
      <c r="AZ40" s="62"/>
      <c r="BA40" s="60">
        <v>2024</v>
      </c>
      <c r="BB40" s="61"/>
      <c r="BC40" s="62"/>
    </row>
    <row r="41" spans="1:55" x14ac:dyDescent="0.25">
      <c r="A41" s="59"/>
      <c r="B41" s="18" t="s">
        <v>64</v>
      </c>
      <c r="C41" s="18" t="s">
        <v>65</v>
      </c>
      <c r="D41" s="18" t="s">
        <v>64</v>
      </c>
      <c r="E41" s="18" t="s">
        <v>65</v>
      </c>
      <c r="F41" s="18" t="s">
        <v>64</v>
      </c>
      <c r="G41" s="18" t="s">
        <v>65</v>
      </c>
      <c r="H41" s="18" t="s">
        <v>64</v>
      </c>
      <c r="I41" s="18" t="s">
        <v>65</v>
      </c>
      <c r="J41" s="18" t="s">
        <v>64</v>
      </c>
      <c r="K41" s="18" t="s">
        <v>65</v>
      </c>
      <c r="L41" s="18" t="s">
        <v>64</v>
      </c>
      <c r="M41" s="18" t="s">
        <v>65</v>
      </c>
      <c r="N41" s="18" t="s">
        <v>64</v>
      </c>
      <c r="O41" s="18" t="s">
        <v>65</v>
      </c>
      <c r="P41" s="18" t="s">
        <v>64</v>
      </c>
      <c r="Q41" s="18" t="s">
        <v>65</v>
      </c>
      <c r="R41" s="18" t="s">
        <v>64</v>
      </c>
      <c r="S41" s="18" t="s">
        <v>65</v>
      </c>
      <c r="T41" s="18" t="s">
        <v>64</v>
      </c>
      <c r="U41" s="18" t="s">
        <v>65</v>
      </c>
      <c r="V41" s="18" t="s">
        <v>64</v>
      </c>
      <c r="W41" s="18" t="s">
        <v>65</v>
      </c>
      <c r="X41" s="18" t="s">
        <v>64</v>
      </c>
      <c r="Y41" s="18" t="s">
        <v>65</v>
      </c>
      <c r="Z41" s="18" t="s">
        <v>64</v>
      </c>
      <c r="AA41" s="18" t="s">
        <v>65</v>
      </c>
      <c r="AB41" s="18" t="s">
        <v>64</v>
      </c>
      <c r="AC41" s="18" t="s">
        <v>65</v>
      </c>
      <c r="AD41" s="18" t="s">
        <v>64</v>
      </c>
      <c r="AE41" s="18" t="s">
        <v>65</v>
      </c>
      <c r="AF41" s="18" t="s">
        <v>64</v>
      </c>
      <c r="AG41" s="18" t="s">
        <v>65</v>
      </c>
      <c r="AH41" s="18" t="s">
        <v>64</v>
      </c>
      <c r="AI41" s="18" t="s">
        <v>65</v>
      </c>
      <c r="AJ41" s="18" t="s">
        <v>64</v>
      </c>
      <c r="AK41" s="18" t="s">
        <v>65</v>
      </c>
      <c r="AL41" s="18" t="s">
        <v>64</v>
      </c>
      <c r="AM41" s="18" t="s">
        <v>65</v>
      </c>
      <c r="AN41" s="18" t="s">
        <v>64</v>
      </c>
      <c r="AO41" s="18" t="s">
        <v>65</v>
      </c>
      <c r="AP41" s="18" t="s">
        <v>64</v>
      </c>
      <c r="AQ41" s="18" t="s">
        <v>65</v>
      </c>
      <c r="AR41" s="18" t="s">
        <v>64</v>
      </c>
      <c r="AS41" s="18" t="s">
        <v>65</v>
      </c>
      <c r="AT41" s="18" t="s">
        <v>64</v>
      </c>
      <c r="AU41" s="18" t="s">
        <v>65</v>
      </c>
      <c r="AV41" s="18" t="s">
        <v>64</v>
      </c>
      <c r="AW41" s="18" t="s">
        <v>65</v>
      </c>
      <c r="AX41" s="18" t="s">
        <v>64</v>
      </c>
      <c r="AY41" s="18" t="s">
        <v>65</v>
      </c>
      <c r="AZ41" s="18" t="s">
        <v>78</v>
      </c>
      <c r="BA41" s="18" t="s">
        <v>64</v>
      </c>
      <c r="BB41" s="18" t="s">
        <v>65</v>
      </c>
      <c r="BC41" s="18" t="s">
        <v>78</v>
      </c>
    </row>
    <row r="42" spans="1:55" x14ac:dyDescent="0.25">
      <c r="A42" s="27" t="s">
        <v>17</v>
      </c>
      <c r="B42" s="51">
        <v>4457</v>
      </c>
      <c r="C42" s="51">
        <v>5264</v>
      </c>
      <c r="D42" s="51">
        <v>3418</v>
      </c>
      <c r="E42" s="51">
        <v>4483</v>
      </c>
      <c r="F42" s="51">
        <v>5707</v>
      </c>
      <c r="G42" s="51">
        <v>6291</v>
      </c>
      <c r="H42" s="51">
        <v>4155</v>
      </c>
      <c r="I42" s="51">
        <v>5856</v>
      </c>
      <c r="J42" s="51">
        <v>3990</v>
      </c>
      <c r="K42" s="51">
        <v>6212</v>
      </c>
      <c r="L42" s="51">
        <v>3299</v>
      </c>
      <c r="M42" s="51">
        <v>5072</v>
      </c>
      <c r="N42" s="51">
        <v>4854</v>
      </c>
      <c r="O42" s="51">
        <v>7404</v>
      </c>
      <c r="P42" s="51">
        <v>6404</v>
      </c>
      <c r="Q42" s="51">
        <v>8786</v>
      </c>
      <c r="R42" s="51">
        <v>6158</v>
      </c>
      <c r="S42" s="51">
        <v>7755</v>
      </c>
      <c r="T42" s="51">
        <v>7870</v>
      </c>
      <c r="U42" s="51">
        <v>12144</v>
      </c>
      <c r="V42" s="51">
        <v>6976</v>
      </c>
      <c r="W42" s="51">
        <v>9917</v>
      </c>
      <c r="X42" s="51">
        <v>6284</v>
      </c>
      <c r="Y42" s="51">
        <v>8058</v>
      </c>
      <c r="Z42" s="51">
        <v>8749</v>
      </c>
      <c r="AA42" s="51">
        <v>13729</v>
      </c>
      <c r="AB42" s="51">
        <v>9779</v>
      </c>
      <c r="AC42" s="51">
        <v>15836</v>
      </c>
      <c r="AD42" s="51">
        <v>10992</v>
      </c>
      <c r="AE42" s="51">
        <v>17291</v>
      </c>
      <c r="AF42" s="51">
        <v>11152</v>
      </c>
      <c r="AG42" s="51">
        <v>16627</v>
      </c>
      <c r="AH42" s="51">
        <v>12955</v>
      </c>
      <c r="AI42" s="51">
        <v>17700</v>
      </c>
      <c r="AJ42" s="51">
        <v>14290</v>
      </c>
      <c r="AK42" s="51">
        <v>19640</v>
      </c>
      <c r="AL42" s="51">
        <v>14705</v>
      </c>
      <c r="AM42" s="51">
        <v>18309</v>
      </c>
      <c r="AN42" s="51">
        <v>15500</v>
      </c>
      <c r="AO42" s="51">
        <v>19854</v>
      </c>
      <c r="AP42" s="51">
        <v>15260</v>
      </c>
      <c r="AQ42" s="51">
        <v>18787</v>
      </c>
      <c r="AR42" s="51">
        <v>10106</v>
      </c>
      <c r="AS42" s="51">
        <v>14107</v>
      </c>
      <c r="AT42" s="51">
        <v>14870</v>
      </c>
      <c r="AU42" s="51">
        <v>21604</v>
      </c>
      <c r="AV42" s="51">
        <v>15988</v>
      </c>
      <c r="AW42" s="51">
        <v>22181</v>
      </c>
      <c r="AX42" s="51">
        <v>17593</v>
      </c>
      <c r="AY42" s="51">
        <v>23062</v>
      </c>
      <c r="AZ42" s="51">
        <v>0</v>
      </c>
      <c r="BA42" s="51">
        <v>15985</v>
      </c>
      <c r="BB42" s="51">
        <v>21167</v>
      </c>
      <c r="BC42" s="51">
        <v>0</v>
      </c>
    </row>
    <row r="43" spans="1:55" x14ac:dyDescent="0.25">
      <c r="A43" s="27" t="s">
        <v>18</v>
      </c>
      <c r="B43" s="51">
        <v>2003</v>
      </c>
      <c r="C43" s="51">
        <v>2086</v>
      </c>
      <c r="D43" s="51">
        <v>2839</v>
      </c>
      <c r="E43" s="51">
        <v>2763</v>
      </c>
      <c r="F43" s="51">
        <v>3481</v>
      </c>
      <c r="G43" s="51">
        <v>3120</v>
      </c>
      <c r="H43" s="51">
        <v>5175</v>
      </c>
      <c r="I43" s="51">
        <v>4262</v>
      </c>
      <c r="J43" s="51">
        <v>6010</v>
      </c>
      <c r="K43" s="51">
        <v>4304</v>
      </c>
      <c r="L43" s="51">
        <v>4438</v>
      </c>
      <c r="M43" s="51">
        <v>3434</v>
      </c>
      <c r="N43" s="51">
        <v>8404</v>
      </c>
      <c r="O43" s="51">
        <v>6372</v>
      </c>
      <c r="P43" s="51">
        <v>9574</v>
      </c>
      <c r="Q43" s="51">
        <v>7087</v>
      </c>
      <c r="R43" s="51">
        <v>9694</v>
      </c>
      <c r="S43" s="51">
        <v>8286</v>
      </c>
      <c r="T43" s="51">
        <v>9740</v>
      </c>
      <c r="U43" s="51">
        <v>9490</v>
      </c>
      <c r="V43" s="51">
        <v>11574</v>
      </c>
      <c r="W43" s="51">
        <v>12263</v>
      </c>
      <c r="X43" s="51">
        <v>11164</v>
      </c>
      <c r="Y43" s="51">
        <v>12640</v>
      </c>
      <c r="Z43" s="51">
        <v>14232</v>
      </c>
      <c r="AA43" s="51">
        <v>16624</v>
      </c>
      <c r="AB43" s="51">
        <v>16873</v>
      </c>
      <c r="AC43" s="51">
        <v>21394</v>
      </c>
      <c r="AD43" s="51">
        <v>20482</v>
      </c>
      <c r="AE43" s="51">
        <v>27054</v>
      </c>
      <c r="AF43" s="51">
        <v>24784</v>
      </c>
      <c r="AG43" s="51">
        <v>31726</v>
      </c>
      <c r="AH43" s="51">
        <v>29830</v>
      </c>
      <c r="AI43" s="51">
        <v>38468</v>
      </c>
      <c r="AJ43" s="51">
        <v>32149</v>
      </c>
      <c r="AK43" s="51">
        <v>41786</v>
      </c>
      <c r="AL43" s="51">
        <v>34174</v>
      </c>
      <c r="AM43" s="51">
        <v>44961</v>
      </c>
      <c r="AN43" s="51">
        <v>35064</v>
      </c>
      <c r="AO43" s="51">
        <v>44271</v>
      </c>
      <c r="AP43" s="51">
        <v>32767</v>
      </c>
      <c r="AQ43" s="51">
        <v>41605</v>
      </c>
      <c r="AR43" s="51">
        <v>27130</v>
      </c>
      <c r="AS43" s="51">
        <v>36307</v>
      </c>
      <c r="AT43" s="51">
        <v>36050</v>
      </c>
      <c r="AU43" s="51">
        <v>45603</v>
      </c>
      <c r="AV43" s="51">
        <v>34869</v>
      </c>
      <c r="AW43" s="51">
        <v>42493</v>
      </c>
      <c r="AX43" s="51">
        <v>35669</v>
      </c>
      <c r="AY43" s="51">
        <v>42695</v>
      </c>
      <c r="AZ43" s="51">
        <v>0</v>
      </c>
      <c r="BA43" s="51">
        <v>37145</v>
      </c>
      <c r="BB43" s="51">
        <v>44140</v>
      </c>
      <c r="BC43" s="51">
        <v>0</v>
      </c>
    </row>
    <row r="44" spans="1:55" x14ac:dyDescent="0.25">
      <c r="A44" s="27" t="s">
        <v>67</v>
      </c>
      <c r="B44" s="51">
        <v>8598</v>
      </c>
      <c r="C44" s="51">
        <v>8531</v>
      </c>
      <c r="D44" s="51">
        <v>9875</v>
      </c>
      <c r="E44" s="51">
        <v>9616</v>
      </c>
      <c r="F44" s="51">
        <v>10437</v>
      </c>
      <c r="G44" s="51">
        <v>10632</v>
      </c>
      <c r="H44" s="51">
        <v>11666</v>
      </c>
      <c r="I44" s="51">
        <v>11720</v>
      </c>
      <c r="J44" s="51">
        <v>10506</v>
      </c>
      <c r="K44" s="51">
        <v>11733</v>
      </c>
      <c r="L44" s="51">
        <v>9830</v>
      </c>
      <c r="M44" s="51">
        <v>11255</v>
      </c>
      <c r="N44" s="51">
        <v>13347</v>
      </c>
      <c r="O44" s="51">
        <v>15602</v>
      </c>
      <c r="P44" s="51">
        <v>13558</v>
      </c>
      <c r="Q44" s="51">
        <v>16039</v>
      </c>
      <c r="R44" s="51">
        <v>14740</v>
      </c>
      <c r="S44" s="51">
        <v>17473</v>
      </c>
      <c r="T44" s="51">
        <v>15011</v>
      </c>
      <c r="U44" s="51">
        <v>17715</v>
      </c>
      <c r="V44" s="51">
        <v>16807</v>
      </c>
      <c r="W44" s="51">
        <v>20227</v>
      </c>
      <c r="X44" s="51">
        <v>16576</v>
      </c>
      <c r="Y44" s="51">
        <v>19616</v>
      </c>
      <c r="Z44" s="51">
        <v>16249</v>
      </c>
      <c r="AA44" s="51">
        <v>18356</v>
      </c>
      <c r="AB44" s="51">
        <v>16938</v>
      </c>
      <c r="AC44" s="51">
        <v>19279</v>
      </c>
      <c r="AD44" s="51">
        <v>17828</v>
      </c>
      <c r="AE44" s="51">
        <v>19818</v>
      </c>
      <c r="AF44" s="51">
        <v>18749</v>
      </c>
      <c r="AG44" s="51">
        <v>19923</v>
      </c>
      <c r="AH44" s="51">
        <v>19646</v>
      </c>
      <c r="AI44" s="51">
        <v>20627</v>
      </c>
      <c r="AJ44" s="51">
        <v>18330</v>
      </c>
      <c r="AK44" s="51">
        <v>20531</v>
      </c>
      <c r="AL44" s="51">
        <v>20555</v>
      </c>
      <c r="AM44" s="51">
        <v>22329</v>
      </c>
      <c r="AN44" s="51">
        <v>19883</v>
      </c>
      <c r="AO44" s="51">
        <v>20925</v>
      </c>
      <c r="AP44" s="51">
        <v>20425</v>
      </c>
      <c r="AQ44" s="51">
        <v>22639</v>
      </c>
      <c r="AR44" s="51">
        <v>17943</v>
      </c>
      <c r="AS44" s="51">
        <v>19208</v>
      </c>
      <c r="AT44" s="51">
        <v>23705</v>
      </c>
      <c r="AU44" s="51">
        <v>29332</v>
      </c>
      <c r="AV44" s="51">
        <v>25405</v>
      </c>
      <c r="AW44" s="51">
        <v>30947</v>
      </c>
      <c r="AX44" s="51">
        <v>26566</v>
      </c>
      <c r="AY44" s="51">
        <v>31501</v>
      </c>
      <c r="AZ44" s="51">
        <v>1</v>
      </c>
      <c r="BA44" s="51">
        <v>26390</v>
      </c>
      <c r="BB44" s="51">
        <v>30981</v>
      </c>
      <c r="BC44" s="51">
        <v>1</v>
      </c>
    </row>
    <row r="45" spans="1:55" x14ac:dyDescent="0.25">
      <c r="A45" s="27" t="s">
        <v>20</v>
      </c>
      <c r="B45" s="51">
        <v>2180</v>
      </c>
      <c r="C45" s="51">
        <v>2652</v>
      </c>
      <c r="D45" s="51">
        <v>4171.3999999999996</v>
      </c>
      <c r="E45" s="51">
        <v>4840.6000000000004</v>
      </c>
      <c r="F45" s="51">
        <v>3610</v>
      </c>
      <c r="G45" s="51">
        <v>4308</v>
      </c>
      <c r="H45" s="51">
        <v>4240</v>
      </c>
      <c r="I45" s="51">
        <v>5173</v>
      </c>
      <c r="J45" s="51">
        <v>4591</v>
      </c>
      <c r="K45" s="51">
        <v>5897</v>
      </c>
      <c r="L45" s="51">
        <v>4588</v>
      </c>
      <c r="M45" s="51">
        <v>6018</v>
      </c>
      <c r="N45" s="51">
        <v>6572</v>
      </c>
      <c r="O45" s="51">
        <v>8614</v>
      </c>
      <c r="P45" s="51">
        <v>6734</v>
      </c>
      <c r="Q45" s="51">
        <v>9274</v>
      </c>
      <c r="R45" s="51">
        <v>9677</v>
      </c>
      <c r="S45" s="51">
        <v>13343</v>
      </c>
      <c r="T45" s="51">
        <v>10661</v>
      </c>
      <c r="U45" s="51">
        <v>15391</v>
      </c>
      <c r="V45" s="51">
        <v>12262</v>
      </c>
      <c r="W45" s="51">
        <v>16104</v>
      </c>
      <c r="X45" s="51">
        <v>12380</v>
      </c>
      <c r="Y45" s="51">
        <v>15446</v>
      </c>
      <c r="Z45" s="51">
        <v>13116</v>
      </c>
      <c r="AA45" s="51">
        <v>17277</v>
      </c>
      <c r="AB45" s="51">
        <v>15349</v>
      </c>
      <c r="AC45" s="51">
        <v>20273</v>
      </c>
      <c r="AD45" s="51">
        <v>18803</v>
      </c>
      <c r="AE45" s="51">
        <v>24723</v>
      </c>
      <c r="AF45" s="51">
        <v>20976</v>
      </c>
      <c r="AG45" s="51">
        <v>27711</v>
      </c>
      <c r="AH45" s="51">
        <v>21255</v>
      </c>
      <c r="AI45" s="51">
        <v>28605</v>
      </c>
      <c r="AJ45" s="51">
        <v>21090</v>
      </c>
      <c r="AK45" s="51">
        <v>29752</v>
      </c>
      <c r="AL45" s="51">
        <v>20610</v>
      </c>
      <c r="AM45" s="51">
        <v>30911</v>
      </c>
      <c r="AN45" s="51">
        <v>20319</v>
      </c>
      <c r="AO45" s="51">
        <v>33206</v>
      </c>
      <c r="AP45" s="51">
        <v>18209</v>
      </c>
      <c r="AQ45" s="51">
        <v>31450</v>
      </c>
      <c r="AR45" s="51">
        <v>14569</v>
      </c>
      <c r="AS45" s="51">
        <v>21520</v>
      </c>
      <c r="AT45" s="51">
        <v>21248</v>
      </c>
      <c r="AU45" s="51">
        <v>36279</v>
      </c>
      <c r="AV45" s="51">
        <v>20908</v>
      </c>
      <c r="AW45" s="51">
        <v>33144</v>
      </c>
      <c r="AX45" s="51">
        <v>21611</v>
      </c>
      <c r="AY45" s="51">
        <v>32471</v>
      </c>
      <c r="AZ45" s="51">
        <v>0</v>
      </c>
      <c r="BA45" s="51">
        <v>19948</v>
      </c>
      <c r="BB45" s="51">
        <v>29060</v>
      </c>
      <c r="BC45" s="51">
        <v>0</v>
      </c>
    </row>
    <row r="46" spans="1:55" s="36" customFormat="1" x14ac:dyDescent="0.25">
      <c r="A46" s="26" t="s">
        <v>15</v>
      </c>
      <c r="B46" s="52">
        <v>17238</v>
      </c>
      <c r="C46" s="52">
        <v>18533</v>
      </c>
      <c r="D46" s="52">
        <v>20303.400000000001</v>
      </c>
      <c r="E46" s="52">
        <v>21702.6</v>
      </c>
      <c r="F46" s="52">
        <v>23235</v>
      </c>
      <c r="G46" s="52">
        <v>24351</v>
      </c>
      <c r="H46" s="52">
        <v>25236</v>
      </c>
      <c r="I46" s="52">
        <v>27011</v>
      </c>
      <c r="J46" s="52">
        <v>25097</v>
      </c>
      <c r="K46" s="52">
        <v>28146</v>
      </c>
      <c r="L46" s="52">
        <v>22155</v>
      </c>
      <c r="M46" s="52">
        <v>25779</v>
      </c>
      <c r="N46" s="52">
        <v>33177</v>
      </c>
      <c r="O46" s="52">
        <v>37992</v>
      </c>
      <c r="P46" s="52">
        <v>36270</v>
      </c>
      <c r="Q46" s="52">
        <v>41186</v>
      </c>
      <c r="R46" s="52">
        <v>40269</v>
      </c>
      <c r="S46" s="52">
        <v>46857</v>
      </c>
      <c r="T46" s="52">
        <v>43282</v>
      </c>
      <c r="U46" s="52">
        <v>54740</v>
      </c>
      <c r="V46" s="52">
        <v>47619</v>
      </c>
      <c r="W46" s="52">
        <v>58511</v>
      </c>
      <c r="X46" s="52">
        <v>46404</v>
      </c>
      <c r="Y46" s="52">
        <v>55760</v>
      </c>
      <c r="Z46" s="52">
        <v>52346</v>
      </c>
      <c r="AA46" s="52">
        <v>65986</v>
      </c>
      <c r="AB46" s="52">
        <v>58939</v>
      </c>
      <c r="AC46" s="52">
        <v>76782</v>
      </c>
      <c r="AD46" s="52">
        <v>68105</v>
      </c>
      <c r="AE46" s="52">
        <v>88886</v>
      </c>
      <c r="AF46" s="52">
        <v>75661</v>
      </c>
      <c r="AG46" s="52">
        <v>95987</v>
      </c>
      <c r="AH46" s="52">
        <v>83686</v>
      </c>
      <c r="AI46" s="52">
        <v>105400</v>
      </c>
      <c r="AJ46" s="52">
        <v>85859</v>
      </c>
      <c r="AK46" s="52">
        <v>111709</v>
      </c>
      <c r="AL46" s="52">
        <v>90044</v>
      </c>
      <c r="AM46" s="52">
        <v>116510</v>
      </c>
      <c r="AN46" s="52">
        <v>90766</v>
      </c>
      <c r="AO46" s="52">
        <v>118256</v>
      </c>
      <c r="AP46" s="52">
        <v>86661</v>
      </c>
      <c r="AQ46" s="52">
        <v>114481</v>
      </c>
      <c r="AR46" s="52">
        <v>69748</v>
      </c>
      <c r="AS46" s="52">
        <v>91142</v>
      </c>
      <c r="AT46" s="52">
        <v>95873</v>
      </c>
      <c r="AU46" s="52">
        <v>132818</v>
      </c>
      <c r="AV46" s="52">
        <v>97170</v>
      </c>
      <c r="AW46" s="52">
        <v>128765</v>
      </c>
      <c r="AX46" s="52">
        <v>101439</v>
      </c>
      <c r="AY46" s="52">
        <v>129729</v>
      </c>
      <c r="AZ46" s="52">
        <v>1</v>
      </c>
      <c r="BA46" s="52">
        <v>99468</v>
      </c>
      <c r="BB46" s="52">
        <v>125348</v>
      </c>
      <c r="BC46" s="52">
        <v>1</v>
      </c>
    </row>
    <row r="49" spans="1:37" ht="15.75" x14ac:dyDescent="0.25">
      <c r="A49" s="24" t="s">
        <v>101</v>
      </c>
      <c r="B49" s="20"/>
      <c r="C49" s="20"/>
      <c r="D49" s="20"/>
      <c r="E49" s="20"/>
      <c r="F49" s="20"/>
      <c r="G49" s="20"/>
      <c r="H49" s="20"/>
      <c r="I49" s="20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20"/>
      <c r="AB49" s="20"/>
      <c r="AC49" s="20"/>
      <c r="AD49" s="20"/>
      <c r="AE49" s="20"/>
      <c r="AF49" s="20"/>
      <c r="AG49" s="20"/>
    </row>
    <row r="50" spans="1:37" x14ac:dyDescent="0.25">
      <c r="A50" s="1" t="s">
        <v>42</v>
      </c>
      <c r="B50" s="18">
        <v>1999</v>
      </c>
      <c r="C50" s="18">
        <v>2000</v>
      </c>
      <c r="D50" s="18">
        <v>2001</v>
      </c>
      <c r="E50" s="18">
        <v>2002</v>
      </c>
      <c r="F50" s="18">
        <v>2003</v>
      </c>
      <c r="G50" s="18">
        <v>2004</v>
      </c>
      <c r="H50" s="18">
        <v>2005</v>
      </c>
      <c r="I50" s="18">
        <v>2006</v>
      </c>
      <c r="J50" s="18">
        <v>2007</v>
      </c>
      <c r="K50" s="18">
        <v>2008</v>
      </c>
      <c r="L50" s="18">
        <v>2009</v>
      </c>
      <c r="M50" s="18">
        <v>2010</v>
      </c>
      <c r="N50" s="18">
        <v>2011</v>
      </c>
      <c r="O50" s="18">
        <v>2012</v>
      </c>
      <c r="P50" s="18">
        <v>2013</v>
      </c>
      <c r="Q50" s="18">
        <v>2014</v>
      </c>
      <c r="R50" s="18">
        <v>2015</v>
      </c>
      <c r="S50" s="18">
        <v>2016</v>
      </c>
      <c r="T50" s="18">
        <v>2017</v>
      </c>
      <c r="U50" s="18">
        <v>2018</v>
      </c>
      <c r="V50" s="18">
        <v>2019</v>
      </c>
      <c r="W50" s="18">
        <v>2020</v>
      </c>
      <c r="X50" s="18">
        <v>2021</v>
      </c>
      <c r="Y50" s="18">
        <v>2022</v>
      </c>
      <c r="Z50" s="18">
        <v>2023</v>
      </c>
      <c r="AA50" s="18">
        <v>2024</v>
      </c>
      <c r="AB50" s="20"/>
      <c r="AC50" s="20"/>
      <c r="AD50" s="20"/>
      <c r="AE50" s="20"/>
      <c r="AF50" s="20"/>
      <c r="AG50" s="20"/>
    </row>
    <row r="51" spans="1:37" x14ac:dyDescent="0.25">
      <c r="A51" s="27" t="s">
        <v>2</v>
      </c>
      <c r="B51" s="51">
        <v>22866</v>
      </c>
      <c r="C51" s="51">
        <v>29205</v>
      </c>
      <c r="D51" s="51">
        <v>32434</v>
      </c>
      <c r="E51" s="51">
        <v>38237</v>
      </c>
      <c r="F51" s="51">
        <v>39486</v>
      </c>
      <c r="G51" s="51">
        <v>36787</v>
      </c>
      <c r="H51" s="51">
        <v>51864</v>
      </c>
      <c r="I51" s="51">
        <v>53567</v>
      </c>
      <c r="J51" s="51">
        <v>63489</v>
      </c>
      <c r="K51" s="51">
        <v>65446</v>
      </c>
      <c r="L51" s="51">
        <v>72820</v>
      </c>
      <c r="M51" s="51">
        <v>71335</v>
      </c>
      <c r="N51" s="51">
        <v>75411</v>
      </c>
      <c r="O51" s="51">
        <v>84557</v>
      </c>
      <c r="P51" s="51">
        <v>98431</v>
      </c>
      <c r="Q51" s="51">
        <v>107666</v>
      </c>
      <c r="R51" s="51">
        <v>114091</v>
      </c>
      <c r="S51" s="51">
        <v>115247</v>
      </c>
      <c r="T51" s="51">
        <v>122979</v>
      </c>
      <c r="U51" s="51">
        <v>123353</v>
      </c>
      <c r="V51" s="51">
        <v>119423</v>
      </c>
      <c r="W51" s="51">
        <v>96407</v>
      </c>
      <c r="X51" s="51">
        <v>142076</v>
      </c>
      <c r="Y51" s="51">
        <v>144405</v>
      </c>
      <c r="Z51" s="51">
        <v>147040</v>
      </c>
      <c r="AA51" s="51">
        <v>142255</v>
      </c>
      <c r="AB51" s="20"/>
      <c r="AC51" s="20"/>
      <c r="AD51" s="20"/>
      <c r="AE51" s="20"/>
      <c r="AF51" s="20"/>
      <c r="AG51" s="20"/>
    </row>
    <row r="52" spans="1:37" x14ac:dyDescent="0.25">
      <c r="A52" s="27" t="s">
        <v>11</v>
      </c>
      <c r="B52" s="51">
        <v>12324</v>
      </c>
      <c r="C52" s="51">
        <v>12801</v>
      </c>
      <c r="D52" s="51">
        <v>15327</v>
      </c>
      <c r="E52" s="51">
        <v>13229</v>
      </c>
      <c r="F52" s="51">
        <v>12898</v>
      </c>
      <c r="G52" s="51">
        <v>11127</v>
      </c>
      <c r="H52" s="51">
        <v>19305</v>
      </c>
      <c r="I52" s="51">
        <v>23889</v>
      </c>
      <c r="J52" s="51">
        <v>23637</v>
      </c>
      <c r="K52" s="51">
        <v>32576</v>
      </c>
      <c r="L52" s="51">
        <v>33310</v>
      </c>
      <c r="M52" s="51">
        <v>30829</v>
      </c>
      <c r="N52" s="51">
        <v>42921</v>
      </c>
      <c r="O52" s="51">
        <v>51164</v>
      </c>
      <c r="P52" s="51">
        <v>58560</v>
      </c>
      <c r="Q52" s="51">
        <v>63982</v>
      </c>
      <c r="R52" s="51">
        <v>74995</v>
      </c>
      <c r="S52" s="51">
        <v>82321</v>
      </c>
      <c r="T52" s="51">
        <v>83575</v>
      </c>
      <c r="U52" s="51">
        <v>85669</v>
      </c>
      <c r="V52" s="51">
        <v>81719</v>
      </c>
      <c r="W52" s="51">
        <v>64483</v>
      </c>
      <c r="X52" s="51">
        <v>86615</v>
      </c>
      <c r="Y52" s="51">
        <v>81530</v>
      </c>
      <c r="Z52" s="51">
        <v>84129</v>
      </c>
      <c r="AA52" s="51">
        <v>82562</v>
      </c>
      <c r="AB52" s="20"/>
      <c r="AC52" s="20"/>
      <c r="AD52" s="20"/>
      <c r="AE52" s="20"/>
      <c r="AF52" s="20"/>
      <c r="AG52" s="20"/>
    </row>
    <row r="53" spans="1:37" s="36" customFormat="1" x14ac:dyDescent="0.25">
      <c r="A53" s="26" t="s">
        <v>15</v>
      </c>
      <c r="B53" s="52">
        <v>35771</v>
      </c>
      <c r="C53" s="52">
        <v>42006</v>
      </c>
      <c r="D53" s="52">
        <v>48524</v>
      </c>
      <c r="E53" s="52">
        <v>52247</v>
      </c>
      <c r="F53" s="52">
        <v>53244</v>
      </c>
      <c r="G53" s="52">
        <v>47934</v>
      </c>
      <c r="H53" s="52">
        <v>71169</v>
      </c>
      <c r="I53" s="52">
        <v>77456</v>
      </c>
      <c r="J53" s="52">
        <v>87126</v>
      </c>
      <c r="K53" s="52">
        <v>98022</v>
      </c>
      <c r="L53" s="52">
        <v>106130</v>
      </c>
      <c r="M53" s="52">
        <v>102164</v>
      </c>
      <c r="N53" s="52">
        <v>118332</v>
      </c>
      <c r="O53" s="52">
        <v>135721</v>
      </c>
      <c r="P53" s="52">
        <v>156991</v>
      </c>
      <c r="Q53" s="52">
        <v>171648</v>
      </c>
      <c r="R53" s="52">
        <v>189086</v>
      </c>
      <c r="S53" s="52">
        <v>197568</v>
      </c>
      <c r="T53" s="52">
        <v>206554</v>
      </c>
      <c r="U53" s="52">
        <v>209022</v>
      </c>
      <c r="V53" s="52">
        <v>201142</v>
      </c>
      <c r="W53" s="52">
        <v>160890</v>
      </c>
      <c r="X53" s="52">
        <v>228691</v>
      </c>
      <c r="Y53" s="52">
        <v>225935</v>
      </c>
      <c r="Z53" s="52">
        <v>231169</v>
      </c>
      <c r="AA53" s="52">
        <v>224817</v>
      </c>
      <c r="AB53" s="37"/>
      <c r="AC53" s="37"/>
      <c r="AD53" s="37"/>
      <c r="AE53" s="37"/>
      <c r="AF53" s="37"/>
      <c r="AG53" s="37"/>
      <c r="AH53" s="34"/>
      <c r="AI53" s="34"/>
      <c r="AJ53" s="34"/>
      <c r="AK53" s="34"/>
    </row>
    <row r="56" spans="1:37" ht="15.75" x14ac:dyDescent="0.25">
      <c r="A56" s="24" t="s">
        <v>102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7" x14ac:dyDescent="0.25">
      <c r="A57" s="1" t="s">
        <v>43</v>
      </c>
      <c r="B57" s="18">
        <v>1999</v>
      </c>
      <c r="C57" s="18">
        <v>2000</v>
      </c>
      <c r="D57" s="18">
        <v>2001</v>
      </c>
      <c r="E57" s="18">
        <v>2002</v>
      </c>
      <c r="F57" s="18">
        <v>2003</v>
      </c>
      <c r="G57" s="18">
        <v>2004</v>
      </c>
      <c r="H57" s="18">
        <v>2005</v>
      </c>
      <c r="I57" s="18">
        <v>2006</v>
      </c>
      <c r="J57" s="18">
        <v>2007</v>
      </c>
      <c r="K57" s="18">
        <v>2008</v>
      </c>
      <c r="L57" s="18">
        <v>2009</v>
      </c>
      <c r="M57" s="18">
        <v>2010</v>
      </c>
      <c r="N57" s="18">
        <v>2011</v>
      </c>
      <c r="O57" s="18">
        <v>2012</v>
      </c>
      <c r="P57" s="18">
        <v>2013</v>
      </c>
      <c r="Q57" s="18">
        <v>2014</v>
      </c>
      <c r="R57" s="18">
        <v>2015</v>
      </c>
      <c r="S57" s="18">
        <v>2016</v>
      </c>
      <c r="T57" s="18">
        <v>2017</v>
      </c>
      <c r="U57" s="18">
        <v>2018</v>
      </c>
      <c r="V57" s="18">
        <v>2019</v>
      </c>
      <c r="W57" s="18">
        <v>2020</v>
      </c>
      <c r="X57" s="18">
        <v>2021</v>
      </c>
      <c r="Y57" s="18">
        <v>2022</v>
      </c>
      <c r="Z57" s="18">
        <v>2023</v>
      </c>
      <c r="AA57" s="18">
        <v>2024</v>
      </c>
      <c r="AB57" s="20"/>
      <c r="AC57" s="20"/>
      <c r="AD57" s="20"/>
      <c r="AE57" s="20"/>
      <c r="AF57" s="20"/>
      <c r="AG57" s="20"/>
    </row>
    <row r="58" spans="1:37" x14ac:dyDescent="0.25">
      <c r="A58" s="27" t="s">
        <v>7</v>
      </c>
      <c r="B58" s="51">
        <v>9575</v>
      </c>
      <c r="C58" s="51">
        <v>8951</v>
      </c>
      <c r="D58" s="51">
        <v>9700</v>
      </c>
      <c r="E58" s="51">
        <v>10094</v>
      </c>
      <c r="F58" s="51">
        <v>9099</v>
      </c>
      <c r="G58" s="51">
        <v>6862</v>
      </c>
      <c r="H58" s="51">
        <v>12070</v>
      </c>
      <c r="I58" s="51">
        <v>12187</v>
      </c>
      <c r="J58" s="51">
        <v>15870</v>
      </c>
      <c r="K58" s="51">
        <v>16148</v>
      </c>
      <c r="L58" s="51">
        <v>17906</v>
      </c>
      <c r="M58" s="51">
        <v>18259</v>
      </c>
      <c r="N58" s="51">
        <v>22159</v>
      </c>
      <c r="O58" s="51">
        <v>25874</v>
      </c>
      <c r="P58" s="51">
        <v>30352</v>
      </c>
      <c r="Q58" s="51">
        <v>34108</v>
      </c>
      <c r="R58" s="51">
        <v>37639</v>
      </c>
      <c r="S58" s="51">
        <v>41974</v>
      </c>
      <c r="T58" s="51">
        <v>44330</v>
      </c>
      <c r="U58" s="51">
        <v>47045</v>
      </c>
      <c r="V58" s="51">
        <v>46436</v>
      </c>
      <c r="W58" s="51">
        <v>41538</v>
      </c>
      <c r="X58" s="51">
        <v>52603</v>
      </c>
      <c r="Y58" s="51">
        <v>52051</v>
      </c>
      <c r="Z58" s="51">
        <v>51671</v>
      </c>
      <c r="AA58" s="51">
        <v>50376</v>
      </c>
      <c r="AB58" s="20"/>
      <c r="AC58" s="20"/>
      <c r="AD58" s="20"/>
      <c r="AE58" s="20"/>
      <c r="AF58" s="20"/>
      <c r="AG58" s="20"/>
    </row>
    <row r="59" spans="1:37" x14ac:dyDescent="0.25">
      <c r="A59" s="27" t="s">
        <v>12</v>
      </c>
      <c r="B59" s="51">
        <v>2144</v>
      </c>
      <c r="C59" s="51">
        <v>2829</v>
      </c>
      <c r="D59" s="51">
        <v>2310</v>
      </c>
      <c r="E59" s="51">
        <v>2524</v>
      </c>
      <c r="F59" s="51">
        <v>2769</v>
      </c>
      <c r="G59" s="51">
        <v>2331</v>
      </c>
      <c r="H59" s="51">
        <v>2434</v>
      </c>
      <c r="I59" s="51">
        <v>2616</v>
      </c>
      <c r="J59" s="51">
        <v>2799</v>
      </c>
      <c r="K59" s="51">
        <v>3389</v>
      </c>
      <c r="L59" s="51">
        <v>3258</v>
      </c>
      <c r="M59" s="51">
        <v>3039</v>
      </c>
      <c r="N59" s="51">
        <v>3206</v>
      </c>
      <c r="O59" s="51">
        <v>3538</v>
      </c>
      <c r="P59" s="51">
        <v>3718</v>
      </c>
      <c r="Q59" s="51">
        <v>3990</v>
      </c>
      <c r="R59" s="51">
        <v>4050</v>
      </c>
      <c r="S59" s="51">
        <v>4037</v>
      </c>
      <c r="T59" s="51">
        <v>3941</v>
      </c>
      <c r="U59" s="51">
        <v>3869</v>
      </c>
      <c r="V59" s="51">
        <v>3944</v>
      </c>
      <c r="W59" s="51">
        <v>3122</v>
      </c>
      <c r="X59" s="51">
        <v>4856</v>
      </c>
      <c r="Y59" s="51">
        <v>5232</v>
      </c>
      <c r="Z59" s="51">
        <v>6349</v>
      </c>
      <c r="AA59" s="51">
        <v>6032</v>
      </c>
      <c r="AB59" s="20"/>
      <c r="AC59" s="20"/>
      <c r="AD59" s="20"/>
      <c r="AE59" s="20"/>
      <c r="AF59" s="20"/>
      <c r="AG59" s="20"/>
    </row>
    <row r="60" spans="1:37" x14ac:dyDescent="0.25">
      <c r="A60" s="27" t="s">
        <v>3</v>
      </c>
      <c r="B60" s="51">
        <v>1974</v>
      </c>
      <c r="C60" s="51">
        <v>2937</v>
      </c>
      <c r="D60" s="51">
        <v>3225</v>
      </c>
      <c r="E60" s="51">
        <v>3307</v>
      </c>
      <c r="F60" s="51">
        <v>2700</v>
      </c>
      <c r="G60" s="51">
        <v>3445</v>
      </c>
      <c r="H60" s="51">
        <v>3992</v>
      </c>
      <c r="I60" s="51">
        <v>4371</v>
      </c>
      <c r="J60" s="51">
        <v>4987</v>
      </c>
      <c r="K60" s="51">
        <v>5042</v>
      </c>
      <c r="L60" s="51">
        <v>5677</v>
      </c>
      <c r="M60" s="51">
        <v>5246</v>
      </c>
      <c r="N60" s="51">
        <v>5931</v>
      </c>
      <c r="O60" s="51">
        <v>6409</v>
      </c>
      <c r="P60" s="51">
        <v>7425</v>
      </c>
      <c r="Q60" s="51">
        <v>7233</v>
      </c>
      <c r="R60" s="51">
        <v>7354</v>
      </c>
      <c r="S60" s="51">
        <v>6822</v>
      </c>
      <c r="T60" s="51">
        <v>7472</v>
      </c>
      <c r="U60" s="51">
        <v>7234</v>
      </c>
      <c r="V60" s="51">
        <v>6647</v>
      </c>
      <c r="W60" s="51">
        <v>5823</v>
      </c>
      <c r="X60" s="51">
        <v>8401</v>
      </c>
      <c r="Y60" s="51">
        <v>9104</v>
      </c>
      <c r="Z60" s="51">
        <v>9741</v>
      </c>
      <c r="AA60" s="51">
        <v>10558</v>
      </c>
      <c r="AB60" s="20"/>
      <c r="AC60" s="20"/>
      <c r="AD60" s="20"/>
      <c r="AE60" s="20"/>
      <c r="AF60" s="20"/>
      <c r="AG60" s="20"/>
    </row>
    <row r="61" spans="1:37" x14ac:dyDescent="0.25">
      <c r="A61" s="27" t="s">
        <v>13</v>
      </c>
      <c r="B61" s="51">
        <v>830</v>
      </c>
      <c r="C61" s="51">
        <v>889</v>
      </c>
      <c r="D61" s="51">
        <v>540</v>
      </c>
      <c r="E61" s="51">
        <v>884</v>
      </c>
      <c r="F61" s="51">
        <v>839</v>
      </c>
      <c r="G61" s="51">
        <v>794</v>
      </c>
      <c r="H61" s="51">
        <v>920</v>
      </c>
      <c r="I61" s="51">
        <v>1004</v>
      </c>
      <c r="J61" s="51">
        <v>1399</v>
      </c>
      <c r="K61" s="51">
        <v>1393</v>
      </c>
      <c r="L61" s="51">
        <v>1382</v>
      </c>
      <c r="M61" s="51">
        <v>1284</v>
      </c>
      <c r="N61" s="51">
        <v>1398</v>
      </c>
      <c r="O61" s="51">
        <v>1597</v>
      </c>
      <c r="P61" s="51">
        <v>1505</v>
      </c>
      <c r="Q61" s="51">
        <v>1687</v>
      </c>
      <c r="R61" s="51">
        <v>1908</v>
      </c>
      <c r="S61" s="51">
        <v>1898</v>
      </c>
      <c r="T61" s="51">
        <v>1897</v>
      </c>
      <c r="U61" s="51">
        <v>1828</v>
      </c>
      <c r="V61" s="51">
        <v>1902</v>
      </c>
      <c r="W61" s="51">
        <v>1551</v>
      </c>
      <c r="X61" s="51">
        <v>1938</v>
      </c>
      <c r="Y61" s="51">
        <v>2447</v>
      </c>
      <c r="Z61" s="51">
        <v>2691</v>
      </c>
      <c r="AA61" s="51">
        <v>2630</v>
      </c>
      <c r="AB61" s="20"/>
      <c r="AC61" s="20"/>
      <c r="AD61" s="20"/>
      <c r="AE61" s="20"/>
      <c r="AF61" s="20"/>
      <c r="AG61" s="20"/>
    </row>
    <row r="62" spans="1:37" x14ac:dyDescent="0.25">
      <c r="A62" s="27" t="s">
        <v>6</v>
      </c>
      <c r="B62" s="51">
        <v>5423</v>
      </c>
      <c r="C62" s="51">
        <v>7442</v>
      </c>
      <c r="D62" s="51">
        <v>7890</v>
      </c>
      <c r="E62" s="51">
        <v>8702</v>
      </c>
      <c r="F62" s="51">
        <v>9504</v>
      </c>
      <c r="G62" s="51">
        <v>8399</v>
      </c>
      <c r="H62" s="51">
        <v>11264</v>
      </c>
      <c r="I62" s="51">
        <v>11558</v>
      </c>
      <c r="J62" s="51">
        <v>9402</v>
      </c>
      <c r="K62" s="51">
        <v>10234</v>
      </c>
      <c r="L62" s="51">
        <v>10999</v>
      </c>
      <c r="M62" s="51">
        <v>9958</v>
      </c>
      <c r="N62" s="51">
        <v>11570</v>
      </c>
      <c r="O62" s="51">
        <v>13065</v>
      </c>
      <c r="P62" s="51">
        <v>14493</v>
      </c>
      <c r="Q62" s="51">
        <v>15781</v>
      </c>
      <c r="R62" s="51">
        <v>16795</v>
      </c>
      <c r="S62" s="51">
        <v>16854</v>
      </c>
      <c r="T62" s="51">
        <v>18004</v>
      </c>
      <c r="U62" s="51">
        <v>18351</v>
      </c>
      <c r="V62" s="51">
        <v>17163</v>
      </c>
      <c r="W62" s="51">
        <v>16662</v>
      </c>
      <c r="X62" s="51">
        <v>23711</v>
      </c>
      <c r="Y62" s="51">
        <v>24157</v>
      </c>
      <c r="Z62" s="51">
        <v>24976</v>
      </c>
      <c r="AA62" s="51">
        <v>24845</v>
      </c>
      <c r="AB62" s="20"/>
      <c r="AC62" s="20"/>
      <c r="AD62" s="20"/>
      <c r="AE62" s="20"/>
      <c r="AF62" s="20"/>
      <c r="AG62" s="20"/>
    </row>
    <row r="63" spans="1:37" x14ac:dyDescent="0.25">
      <c r="A63" s="27" t="s">
        <v>8</v>
      </c>
      <c r="B63" s="51">
        <v>705</v>
      </c>
      <c r="C63" s="51">
        <v>1315</v>
      </c>
      <c r="D63" s="51">
        <v>1253</v>
      </c>
      <c r="E63" s="51">
        <v>1751</v>
      </c>
      <c r="F63" s="51">
        <v>1937</v>
      </c>
      <c r="G63" s="51">
        <v>1705</v>
      </c>
      <c r="H63" s="51">
        <v>2373</v>
      </c>
      <c r="I63" s="51">
        <v>3502</v>
      </c>
      <c r="J63" s="51">
        <v>4530</v>
      </c>
      <c r="K63" s="51">
        <v>5594</v>
      </c>
      <c r="L63" s="51">
        <v>5842</v>
      </c>
      <c r="M63" s="51">
        <v>4553</v>
      </c>
      <c r="N63" s="51">
        <v>4559</v>
      </c>
      <c r="O63" s="51">
        <v>4296</v>
      </c>
      <c r="P63" s="51">
        <v>4152</v>
      </c>
      <c r="Q63" s="51">
        <v>4398</v>
      </c>
      <c r="R63" s="51">
        <v>4296</v>
      </c>
      <c r="S63" s="51">
        <v>4395</v>
      </c>
      <c r="T63" s="51">
        <v>4961</v>
      </c>
      <c r="U63" s="51">
        <v>4455</v>
      </c>
      <c r="V63" s="51">
        <v>4547</v>
      </c>
      <c r="W63" s="51">
        <v>3337</v>
      </c>
      <c r="X63" s="51">
        <v>4298</v>
      </c>
      <c r="Y63" s="51">
        <v>4687</v>
      </c>
      <c r="Z63" s="51">
        <v>5672</v>
      </c>
      <c r="AA63" s="51">
        <v>5765</v>
      </c>
      <c r="AB63" s="20"/>
      <c r="AC63" s="20"/>
      <c r="AD63" s="20"/>
      <c r="AE63" s="20"/>
      <c r="AF63" s="20"/>
      <c r="AG63" s="20"/>
    </row>
    <row r="64" spans="1:37" x14ac:dyDescent="0.25">
      <c r="A64" s="27" t="s">
        <v>0</v>
      </c>
      <c r="B64" s="51">
        <v>4538</v>
      </c>
      <c r="C64" s="51">
        <v>4807</v>
      </c>
      <c r="D64" s="51">
        <v>4784</v>
      </c>
      <c r="E64" s="51">
        <v>6350</v>
      </c>
      <c r="F64" s="51">
        <v>7164</v>
      </c>
      <c r="G64" s="51">
        <v>7635</v>
      </c>
      <c r="H64" s="51">
        <v>11671</v>
      </c>
      <c r="I64" s="51">
        <v>12529</v>
      </c>
      <c r="J64" s="51">
        <v>16864</v>
      </c>
      <c r="K64" s="51">
        <v>17894</v>
      </c>
      <c r="L64" s="51">
        <v>19973</v>
      </c>
      <c r="M64" s="51">
        <v>19577</v>
      </c>
      <c r="N64" s="51">
        <v>20281</v>
      </c>
      <c r="O64" s="51">
        <v>22551</v>
      </c>
      <c r="P64" s="51">
        <v>25970</v>
      </c>
      <c r="Q64" s="51">
        <v>26598</v>
      </c>
      <c r="R64" s="51">
        <v>28139</v>
      </c>
      <c r="S64" s="51">
        <v>28306</v>
      </c>
      <c r="T64" s="51">
        <v>30227</v>
      </c>
      <c r="U64" s="51">
        <v>29159</v>
      </c>
      <c r="V64" s="51">
        <v>31228</v>
      </c>
      <c r="W64" s="51">
        <v>25720</v>
      </c>
      <c r="X64" s="51">
        <v>31915</v>
      </c>
      <c r="Y64" s="51">
        <v>27109</v>
      </c>
      <c r="Z64" s="51">
        <v>25711</v>
      </c>
      <c r="AA64" s="51">
        <v>22984</v>
      </c>
      <c r="AB64" s="20"/>
      <c r="AC64" s="20"/>
      <c r="AD64" s="20"/>
      <c r="AE64" s="20"/>
      <c r="AF64" s="20"/>
      <c r="AG64" s="20"/>
    </row>
    <row r="65" spans="1:55" x14ac:dyDescent="0.25">
      <c r="A65" s="27" t="s">
        <v>4</v>
      </c>
      <c r="B65" s="51">
        <v>674</v>
      </c>
      <c r="C65" s="51">
        <v>655</v>
      </c>
      <c r="D65" s="51">
        <v>954</v>
      </c>
      <c r="E65" s="51">
        <v>652</v>
      </c>
      <c r="F65" s="51">
        <v>705</v>
      </c>
      <c r="G65" s="51">
        <v>660</v>
      </c>
      <c r="H65" s="51">
        <v>832</v>
      </c>
      <c r="I65" s="51">
        <v>996</v>
      </c>
      <c r="J65" s="51">
        <v>663</v>
      </c>
      <c r="K65" s="51">
        <v>994</v>
      </c>
      <c r="L65" s="51">
        <v>1057</v>
      </c>
      <c r="M65" s="51">
        <v>1036</v>
      </c>
      <c r="N65" s="51">
        <v>1114</v>
      </c>
      <c r="O65" s="51">
        <v>1191</v>
      </c>
      <c r="P65" s="51">
        <v>1107</v>
      </c>
      <c r="Q65" s="51">
        <v>1213</v>
      </c>
      <c r="R65" s="51">
        <v>1367</v>
      </c>
      <c r="S65" s="51">
        <v>1211</v>
      </c>
      <c r="T65" s="51">
        <v>1384</v>
      </c>
      <c r="U65" s="51">
        <v>1253</v>
      </c>
      <c r="V65" s="51">
        <v>1342</v>
      </c>
      <c r="W65" s="51">
        <v>1211</v>
      </c>
      <c r="X65" s="51">
        <v>1474</v>
      </c>
      <c r="Y65" s="51">
        <v>1397</v>
      </c>
      <c r="Z65" s="51">
        <v>1528</v>
      </c>
      <c r="AA65" s="51">
        <v>1085</v>
      </c>
      <c r="AB65" s="20"/>
      <c r="AC65" s="20"/>
      <c r="AD65" s="20"/>
      <c r="AE65" s="20"/>
      <c r="AF65" s="20"/>
      <c r="AG65" s="20"/>
    </row>
    <row r="66" spans="1:55" x14ac:dyDescent="0.25">
      <c r="A66" s="27" t="s">
        <v>10</v>
      </c>
      <c r="B66" s="51">
        <v>2489</v>
      </c>
      <c r="C66" s="51">
        <v>3159</v>
      </c>
      <c r="D66" s="51">
        <v>3855</v>
      </c>
      <c r="E66" s="51">
        <v>4570</v>
      </c>
      <c r="F66" s="51">
        <v>5124</v>
      </c>
      <c r="G66" s="51">
        <v>5213</v>
      </c>
      <c r="H66" s="51">
        <v>7210</v>
      </c>
      <c r="I66" s="51">
        <v>8773</v>
      </c>
      <c r="J66" s="51">
        <v>9694</v>
      </c>
      <c r="K66" s="51">
        <v>16127</v>
      </c>
      <c r="L66" s="51">
        <v>16253</v>
      </c>
      <c r="M66" s="51">
        <v>15697</v>
      </c>
      <c r="N66" s="51">
        <v>21433</v>
      </c>
      <c r="O66" s="51">
        <v>25789</v>
      </c>
      <c r="P66" s="51">
        <v>29838</v>
      </c>
      <c r="Q66" s="51">
        <v>32202</v>
      </c>
      <c r="R66" s="51">
        <v>34754</v>
      </c>
      <c r="S66" s="51">
        <v>36120</v>
      </c>
      <c r="T66" s="51">
        <v>36281</v>
      </c>
      <c r="U66" s="51">
        <v>37319</v>
      </c>
      <c r="V66" s="51">
        <v>35544</v>
      </c>
      <c r="W66" s="51">
        <v>19236</v>
      </c>
      <c r="X66" s="51">
        <v>44756</v>
      </c>
      <c r="Y66" s="51">
        <v>44382</v>
      </c>
      <c r="Z66" s="51">
        <v>44059</v>
      </c>
      <c r="AA66" s="51">
        <v>41669</v>
      </c>
      <c r="AB66" s="20"/>
      <c r="AC66" s="20"/>
      <c r="AD66" s="20"/>
      <c r="AE66" s="20"/>
      <c r="AF66" s="20"/>
      <c r="AG66" s="20"/>
    </row>
    <row r="67" spans="1:55" x14ac:dyDescent="0.25">
      <c r="A67" s="27" t="s">
        <v>9</v>
      </c>
      <c r="B67" s="51">
        <v>7419</v>
      </c>
      <c r="C67" s="51">
        <v>9022</v>
      </c>
      <c r="D67" s="51">
        <v>13075</v>
      </c>
      <c r="E67" s="51">
        <v>13413</v>
      </c>
      <c r="F67" s="51">
        <v>13402</v>
      </c>
      <c r="G67" s="51">
        <v>10890</v>
      </c>
      <c r="H67" s="51">
        <v>18403</v>
      </c>
      <c r="I67" s="51">
        <v>19920</v>
      </c>
      <c r="J67" s="51">
        <v>20918</v>
      </c>
      <c r="K67" s="51">
        <v>21207</v>
      </c>
      <c r="L67" s="51">
        <v>23783</v>
      </c>
      <c r="M67" s="51">
        <v>23515</v>
      </c>
      <c r="N67" s="51">
        <v>26681</v>
      </c>
      <c r="O67" s="51">
        <v>31411</v>
      </c>
      <c r="P67" s="51">
        <v>38431</v>
      </c>
      <c r="Q67" s="51">
        <v>44438</v>
      </c>
      <c r="R67" s="51">
        <v>52784</v>
      </c>
      <c r="S67" s="51">
        <v>55951</v>
      </c>
      <c r="T67" s="51">
        <v>58057</v>
      </c>
      <c r="U67" s="51">
        <v>58509</v>
      </c>
      <c r="V67" s="51">
        <v>52389</v>
      </c>
      <c r="W67" s="51">
        <v>42690</v>
      </c>
      <c r="X67" s="51">
        <v>54739</v>
      </c>
      <c r="Y67" s="51">
        <v>55369</v>
      </c>
      <c r="Z67" s="51">
        <v>58771</v>
      </c>
      <c r="AA67" s="51">
        <v>58873</v>
      </c>
      <c r="AB67" s="20"/>
      <c r="AC67" s="20"/>
      <c r="AD67" s="20"/>
      <c r="AE67" s="20"/>
      <c r="AF67" s="20"/>
      <c r="AG67" s="20"/>
    </row>
    <row r="68" spans="1:55" s="36" customFormat="1" x14ac:dyDescent="0.25">
      <c r="A68" s="26" t="s">
        <v>15</v>
      </c>
      <c r="B68" s="52">
        <v>35771</v>
      </c>
      <c r="C68" s="52">
        <v>42006</v>
      </c>
      <c r="D68" s="52">
        <v>47586</v>
      </c>
      <c r="E68" s="52">
        <v>52247</v>
      </c>
      <c r="F68" s="52">
        <v>53243</v>
      </c>
      <c r="G68" s="52">
        <v>47934</v>
      </c>
      <c r="H68" s="52">
        <v>71169</v>
      </c>
      <c r="I68" s="52">
        <v>77456</v>
      </c>
      <c r="J68" s="52">
        <v>87126</v>
      </c>
      <c r="K68" s="52">
        <v>98022</v>
      </c>
      <c r="L68" s="52">
        <v>106130</v>
      </c>
      <c r="M68" s="52">
        <v>102164</v>
      </c>
      <c r="N68" s="52">
        <v>118332</v>
      </c>
      <c r="O68" s="52">
        <v>135721</v>
      </c>
      <c r="P68" s="52">
        <v>156991</v>
      </c>
      <c r="Q68" s="52">
        <v>171648</v>
      </c>
      <c r="R68" s="52">
        <v>189086</v>
      </c>
      <c r="S68" s="52">
        <v>197568</v>
      </c>
      <c r="T68" s="52">
        <v>206554</v>
      </c>
      <c r="U68" s="52">
        <v>209022</v>
      </c>
      <c r="V68" s="52">
        <v>201142</v>
      </c>
      <c r="W68" s="52">
        <v>160890</v>
      </c>
      <c r="X68" s="52">
        <v>228691</v>
      </c>
      <c r="Y68" s="52">
        <v>225935</v>
      </c>
      <c r="Z68" s="52">
        <v>231169</v>
      </c>
      <c r="AA68" s="52">
        <v>224817</v>
      </c>
      <c r="AB68" s="37"/>
      <c r="AC68" s="37"/>
      <c r="AD68" s="37"/>
      <c r="AE68" s="37"/>
      <c r="AF68" s="37"/>
      <c r="AG68" s="37"/>
      <c r="AH68" s="34"/>
      <c r="AI68" s="34"/>
      <c r="AJ68" s="34"/>
      <c r="AK68" s="34"/>
    </row>
    <row r="71" spans="1:55" ht="15.75" x14ac:dyDescent="0.25">
      <c r="A71" s="24" t="s">
        <v>103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55" x14ac:dyDescent="0.25">
      <c r="A72" s="59" t="s">
        <v>24</v>
      </c>
      <c r="B72" s="58">
        <v>1999</v>
      </c>
      <c r="C72" s="58"/>
      <c r="D72" s="58">
        <v>2000</v>
      </c>
      <c r="E72" s="58"/>
      <c r="F72" s="58">
        <v>2001</v>
      </c>
      <c r="G72" s="58"/>
      <c r="H72" s="58">
        <v>2002</v>
      </c>
      <c r="I72" s="58"/>
      <c r="J72" s="58">
        <v>2003</v>
      </c>
      <c r="K72" s="58"/>
      <c r="L72" s="58">
        <v>2004</v>
      </c>
      <c r="M72" s="58"/>
      <c r="N72" s="58">
        <v>2005</v>
      </c>
      <c r="O72" s="58"/>
      <c r="P72" s="58">
        <v>2006</v>
      </c>
      <c r="Q72" s="58"/>
      <c r="R72" s="58">
        <v>2007</v>
      </c>
      <c r="S72" s="58"/>
      <c r="T72" s="58">
        <v>2008</v>
      </c>
      <c r="U72" s="58"/>
      <c r="V72" s="58">
        <v>2009</v>
      </c>
      <c r="W72" s="58"/>
      <c r="X72" s="58">
        <v>2010</v>
      </c>
      <c r="Y72" s="58"/>
      <c r="Z72" s="58">
        <v>2011</v>
      </c>
      <c r="AA72" s="58"/>
      <c r="AB72" s="58">
        <v>2012</v>
      </c>
      <c r="AC72" s="58"/>
      <c r="AD72" s="58">
        <v>2013</v>
      </c>
      <c r="AE72" s="58"/>
      <c r="AF72" s="58">
        <v>2014</v>
      </c>
      <c r="AG72" s="58"/>
      <c r="AH72" s="58">
        <v>2015</v>
      </c>
      <c r="AI72" s="58"/>
      <c r="AJ72" s="58">
        <v>2016</v>
      </c>
      <c r="AK72" s="58"/>
      <c r="AL72" s="58">
        <v>2017</v>
      </c>
      <c r="AM72" s="58"/>
      <c r="AN72" s="58">
        <v>2018</v>
      </c>
      <c r="AO72" s="58"/>
      <c r="AP72" s="58">
        <v>2019</v>
      </c>
      <c r="AQ72" s="58"/>
      <c r="AR72" s="58">
        <v>2020</v>
      </c>
      <c r="AS72" s="58"/>
      <c r="AT72" s="58">
        <v>2021</v>
      </c>
      <c r="AU72" s="58"/>
      <c r="AV72" s="58">
        <v>2022</v>
      </c>
      <c r="AW72" s="58"/>
      <c r="AX72" s="58">
        <v>2023</v>
      </c>
      <c r="AY72" s="58"/>
      <c r="AZ72" s="58"/>
      <c r="BA72" s="58">
        <v>2024</v>
      </c>
      <c r="BB72" s="58"/>
      <c r="BC72" s="58"/>
    </row>
    <row r="73" spans="1:55" x14ac:dyDescent="0.25">
      <c r="A73" s="59"/>
      <c r="B73" s="18" t="s">
        <v>64</v>
      </c>
      <c r="C73" s="18" t="s">
        <v>65</v>
      </c>
      <c r="D73" s="18" t="s">
        <v>64</v>
      </c>
      <c r="E73" s="18" t="s">
        <v>65</v>
      </c>
      <c r="F73" s="18" t="s">
        <v>64</v>
      </c>
      <c r="G73" s="18" t="s">
        <v>65</v>
      </c>
      <c r="H73" s="18" t="s">
        <v>64</v>
      </c>
      <c r="I73" s="18" t="s">
        <v>65</v>
      </c>
      <c r="J73" s="18" t="s">
        <v>64</v>
      </c>
      <c r="K73" s="18" t="s">
        <v>65</v>
      </c>
      <c r="L73" s="18" t="s">
        <v>64</v>
      </c>
      <c r="M73" s="18" t="s">
        <v>65</v>
      </c>
      <c r="N73" s="18" t="s">
        <v>64</v>
      </c>
      <c r="O73" s="18" t="s">
        <v>65</v>
      </c>
      <c r="P73" s="18" t="s">
        <v>64</v>
      </c>
      <c r="Q73" s="18" t="s">
        <v>65</v>
      </c>
      <c r="R73" s="18" t="s">
        <v>64</v>
      </c>
      <c r="S73" s="18" t="s">
        <v>65</v>
      </c>
      <c r="T73" s="18" t="s">
        <v>64</v>
      </c>
      <c r="U73" s="18" t="s">
        <v>65</v>
      </c>
      <c r="V73" s="18" t="s">
        <v>64</v>
      </c>
      <c r="W73" s="18" t="s">
        <v>65</v>
      </c>
      <c r="X73" s="18" t="s">
        <v>64</v>
      </c>
      <c r="Y73" s="18" t="s">
        <v>65</v>
      </c>
      <c r="Z73" s="18" t="s">
        <v>64</v>
      </c>
      <c r="AA73" s="18" t="s">
        <v>65</v>
      </c>
      <c r="AB73" s="18" t="s">
        <v>64</v>
      </c>
      <c r="AC73" s="18" t="s">
        <v>65</v>
      </c>
      <c r="AD73" s="18" t="s">
        <v>64</v>
      </c>
      <c r="AE73" s="18" t="s">
        <v>65</v>
      </c>
      <c r="AF73" s="18" t="s">
        <v>64</v>
      </c>
      <c r="AG73" s="18" t="s">
        <v>65</v>
      </c>
      <c r="AH73" s="18" t="s">
        <v>64</v>
      </c>
      <c r="AI73" s="18" t="s">
        <v>65</v>
      </c>
      <c r="AJ73" s="18" t="s">
        <v>64</v>
      </c>
      <c r="AK73" s="18" t="s">
        <v>65</v>
      </c>
      <c r="AL73" s="18" t="s">
        <v>64</v>
      </c>
      <c r="AM73" s="18" t="s">
        <v>65</v>
      </c>
      <c r="AN73" s="18" t="s">
        <v>64</v>
      </c>
      <c r="AO73" s="18" t="s">
        <v>65</v>
      </c>
      <c r="AP73" s="18" t="s">
        <v>64</v>
      </c>
      <c r="AQ73" s="18" t="s">
        <v>65</v>
      </c>
      <c r="AR73" s="18" t="s">
        <v>64</v>
      </c>
      <c r="AS73" s="18" t="s">
        <v>65</v>
      </c>
      <c r="AT73" s="18" t="s">
        <v>64</v>
      </c>
      <c r="AU73" s="18" t="s">
        <v>65</v>
      </c>
      <c r="AV73" s="18" t="s">
        <v>64</v>
      </c>
      <c r="AW73" s="18" t="s">
        <v>65</v>
      </c>
      <c r="AX73" s="18" t="s">
        <v>64</v>
      </c>
      <c r="AY73" s="18" t="s">
        <v>65</v>
      </c>
      <c r="AZ73" s="18" t="s">
        <v>78</v>
      </c>
      <c r="BA73" s="18" t="s">
        <v>64</v>
      </c>
      <c r="BB73" s="18" t="s">
        <v>65</v>
      </c>
      <c r="BC73" s="18" t="s">
        <v>78</v>
      </c>
    </row>
    <row r="74" spans="1:55" x14ac:dyDescent="0.25">
      <c r="A74" s="27" t="s">
        <v>7</v>
      </c>
      <c r="B74" s="51">
        <v>3871</v>
      </c>
      <c r="C74" s="51">
        <v>5704</v>
      </c>
      <c r="D74" s="51">
        <v>3844</v>
      </c>
      <c r="E74" s="51">
        <v>5107</v>
      </c>
      <c r="F74" s="51">
        <v>3862</v>
      </c>
      <c r="G74" s="51">
        <v>5838</v>
      </c>
      <c r="H74" s="51">
        <v>4110</v>
      </c>
      <c r="I74" s="51">
        <v>5984</v>
      </c>
      <c r="J74" s="51">
        <v>3851</v>
      </c>
      <c r="K74" s="51">
        <v>5248</v>
      </c>
      <c r="L74" s="51">
        <v>2882</v>
      </c>
      <c r="M74" s="51">
        <v>3980</v>
      </c>
      <c r="N74" s="51">
        <v>5272</v>
      </c>
      <c r="O74" s="51">
        <v>6798</v>
      </c>
      <c r="P74" s="51">
        <v>5268</v>
      </c>
      <c r="Q74" s="51">
        <v>6919</v>
      </c>
      <c r="R74" s="51">
        <v>7492</v>
      </c>
      <c r="S74" s="51">
        <v>8378</v>
      </c>
      <c r="T74" s="51">
        <v>7541</v>
      </c>
      <c r="U74" s="51">
        <v>8607</v>
      </c>
      <c r="V74" s="51">
        <v>8026</v>
      </c>
      <c r="W74" s="51">
        <v>9880</v>
      </c>
      <c r="X74" s="51">
        <v>8167</v>
      </c>
      <c r="Y74" s="51">
        <v>10092</v>
      </c>
      <c r="Z74" s="51">
        <v>9618</v>
      </c>
      <c r="AA74" s="51">
        <v>12541</v>
      </c>
      <c r="AB74" s="51">
        <v>10886</v>
      </c>
      <c r="AC74" s="51">
        <v>14988</v>
      </c>
      <c r="AD74" s="51">
        <v>12514</v>
      </c>
      <c r="AE74" s="51">
        <v>17838</v>
      </c>
      <c r="AF74" s="51">
        <v>14036</v>
      </c>
      <c r="AG74" s="51">
        <v>20072</v>
      </c>
      <c r="AH74" s="51">
        <v>15529</v>
      </c>
      <c r="AI74" s="51">
        <v>22110</v>
      </c>
      <c r="AJ74" s="51">
        <v>16383</v>
      </c>
      <c r="AK74" s="51">
        <v>25591</v>
      </c>
      <c r="AL74" s="51">
        <v>17778</v>
      </c>
      <c r="AM74" s="51">
        <v>26552</v>
      </c>
      <c r="AN74" s="51">
        <v>18851</v>
      </c>
      <c r="AO74" s="51">
        <v>28194</v>
      </c>
      <c r="AP74" s="51">
        <v>18473</v>
      </c>
      <c r="AQ74" s="51">
        <v>27963</v>
      </c>
      <c r="AR74" s="51">
        <v>16546</v>
      </c>
      <c r="AS74" s="51">
        <v>24992</v>
      </c>
      <c r="AT74" s="51">
        <v>21126</v>
      </c>
      <c r="AU74" s="51">
        <v>31477</v>
      </c>
      <c r="AV74" s="51">
        <v>21062</v>
      </c>
      <c r="AW74" s="51">
        <v>30989</v>
      </c>
      <c r="AX74" s="51">
        <v>21119</v>
      </c>
      <c r="AY74" s="51">
        <v>30552</v>
      </c>
      <c r="AZ74" s="51">
        <v>0</v>
      </c>
      <c r="BA74" s="51">
        <v>20902</v>
      </c>
      <c r="BB74" s="51">
        <v>29474</v>
      </c>
      <c r="BC74" s="51">
        <v>0</v>
      </c>
    </row>
    <row r="75" spans="1:55" x14ac:dyDescent="0.25">
      <c r="A75" s="27" t="s">
        <v>12</v>
      </c>
      <c r="B75" s="51">
        <v>1415</v>
      </c>
      <c r="C75" s="51">
        <v>729</v>
      </c>
      <c r="D75" s="51">
        <v>1753</v>
      </c>
      <c r="E75" s="51">
        <v>1076</v>
      </c>
      <c r="F75" s="51">
        <v>1426</v>
      </c>
      <c r="G75" s="51">
        <v>884</v>
      </c>
      <c r="H75" s="51">
        <v>1537</v>
      </c>
      <c r="I75" s="51">
        <v>987</v>
      </c>
      <c r="J75" s="51">
        <v>1546</v>
      </c>
      <c r="K75" s="51">
        <v>1223</v>
      </c>
      <c r="L75" s="51">
        <v>1346</v>
      </c>
      <c r="M75" s="51">
        <v>985</v>
      </c>
      <c r="N75" s="51">
        <v>1470</v>
      </c>
      <c r="O75" s="51">
        <v>964</v>
      </c>
      <c r="P75" s="51">
        <v>1534</v>
      </c>
      <c r="Q75" s="51">
        <v>1082</v>
      </c>
      <c r="R75" s="51">
        <v>1635</v>
      </c>
      <c r="S75" s="51">
        <v>1164</v>
      </c>
      <c r="T75" s="51">
        <v>1942</v>
      </c>
      <c r="U75" s="51">
        <v>1447</v>
      </c>
      <c r="V75" s="51">
        <v>1862</v>
      </c>
      <c r="W75" s="51">
        <v>1396</v>
      </c>
      <c r="X75" s="51">
        <v>1684</v>
      </c>
      <c r="Y75" s="51">
        <v>1355</v>
      </c>
      <c r="Z75" s="51">
        <v>1833</v>
      </c>
      <c r="AA75" s="51">
        <v>1373</v>
      </c>
      <c r="AB75" s="51">
        <v>1939</v>
      </c>
      <c r="AC75" s="51">
        <v>1599</v>
      </c>
      <c r="AD75" s="51">
        <v>2007</v>
      </c>
      <c r="AE75" s="51">
        <v>1711</v>
      </c>
      <c r="AF75" s="51">
        <v>2134</v>
      </c>
      <c r="AG75" s="51">
        <v>1856</v>
      </c>
      <c r="AH75" s="51">
        <v>2130</v>
      </c>
      <c r="AI75" s="51">
        <v>1920</v>
      </c>
      <c r="AJ75" s="51">
        <v>2147</v>
      </c>
      <c r="AK75" s="51">
        <v>1890</v>
      </c>
      <c r="AL75" s="51">
        <v>2074</v>
      </c>
      <c r="AM75" s="51">
        <v>1867</v>
      </c>
      <c r="AN75" s="51">
        <v>2016</v>
      </c>
      <c r="AO75" s="51">
        <v>1853</v>
      </c>
      <c r="AP75" s="51">
        <v>1991</v>
      </c>
      <c r="AQ75" s="51">
        <v>1953</v>
      </c>
      <c r="AR75" s="51">
        <v>1586</v>
      </c>
      <c r="AS75" s="51">
        <v>1536</v>
      </c>
      <c r="AT75" s="51">
        <v>2209</v>
      </c>
      <c r="AU75" s="51">
        <v>2647</v>
      </c>
      <c r="AV75" s="51">
        <v>2399</v>
      </c>
      <c r="AW75" s="51">
        <v>2833</v>
      </c>
      <c r="AX75" s="51">
        <v>2772</v>
      </c>
      <c r="AY75" s="51">
        <v>3577</v>
      </c>
      <c r="AZ75" s="51">
        <v>0</v>
      </c>
      <c r="BA75" s="51">
        <v>2558</v>
      </c>
      <c r="BB75" s="51">
        <v>3474</v>
      </c>
      <c r="BC75" s="51">
        <v>0</v>
      </c>
    </row>
    <row r="76" spans="1:55" x14ac:dyDescent="0.25">
      <c r="A76" s="27" t="s">
        <v>3</v>
      </c>
      <c r="B76" s="51">
        <v>821</v>
      </c>
      <c r="C76" s="51">
        <v>1153</v>
      </c>
      <c r="D76" s="51">
        <v>1331</v>
      </c>
      <c r="E76" s="51">
        <v>1606</v>
      </c>
      <c r="F76" s="51">
        <v>1520</v>
      </c>
      <c r="G76" s="51">
        <v>1705</v>
      </c>
      <c r="H76" s="51">
        <v>1600</v>
      </c>
      <c r="I76" s="51">
        <v>1707</v>
      </c>
      <c r="J76" s="51">
        <v>1261</v>
      </c>
      <c r="K76" s="51">
        <v>1439</v>
      </c>
      <c r="L76" s="51">
        <v>1755</v>
      </c>
      <c r="M76" s="51">
        <v>1690</v>
      </c>
      <c r="N76" s="51">
        <v>2102</v>
      </c>
      <c r="O76" s="51">
        <v>1890</v>
      </c>
      <c r="P76" s="51">
        <v>2274</v>
      </c>
      <c r="Q76" s="51">
        <v>2097</v>
      </c>
      <c r="R76" s="51">
        <v>2431</v>
      </c>
      <c r="S76" s="51">
        <v>2556</v>
      </c>
      <c r="T76" s="51">
        <v>2506</v>
      </c>
      <c r="U76" s="51">
        <v>2536</v>
      </c>
      <c r="V76" s="51">
        <v>2783</v>
      </c>
      <c r="W76" s="51">
        <v>2894</v>
      </c>
      <c r="X76" s="51">
        <v>2604</v>
      </c>
      <c r="Y76" s="51">
        <v>2642</v>
      </c>
      <c r="Z76" s="51">
        <v>2983</v>
      </c>
      <c r="AA76" s="51">
        <v>2948</v>
      </c>
      <c r="AB76" s="51">
        <v>2993</v>
      </c>
      <c r="AC76" s="51">
        <v>3416</v>
      </c>
      <c r="AD76" s="51">
        <v>3404</v>
      </c>
      <c r="AE76" s="51">
        <v>4021</v>
      </c>
      <c r="AF76" s="51">
        <v>3353</v>
      </c>
      <c r="AG76" s="51">
        <v>3880</v>
      </c>
      <c r="AH76" s="51">
        <v>3218</v>
      </c>
      <c r="AI76" s="51">
        <v>4136</v>
      </c>
      <c r="AJ76" s="51">
        <v>2986</v>
      </c>
      <c r="AK76" s="51">
        <v>3836</v>
      </c>
      <c r="AL76" s="51">
        <v>3130</v>
      </c>
      <c r="AM76" s="51">
        <v>4342</v>
      </c>
      <c r="AN76" s="51">
        <v>3086</v>
      </c>
      <c r="AO76" s="51">
        <v>4148</v>
      </c>
      <c r="AP76" s="51">
        <v>2730</v>
      </c>
      <c r="AQ76" s="51">
        <v>3917</v>
      </c>
      <c r="AR76" s="51">
        <v>2329</v>
      </c>
      <c r="AS76" s="51">
        <v>3494</v>
      </c>
      <c r="AT76" s="51">
        <v>3357</v>
      </c>
      <c r="AU76" s="51">
        <v>5044</v>
      </c>
      <c r="AV76" s="51">
        <v>3378</v>
      </c>
      <c r="AW76" s="51">
        <v>5726</v>
      </c>
      <c r="AX76" s="51">
        <v>3621</v>
      </c>
      <c r="AY76" s="51">
        <v>6120</v>
      </c>
      <c r="AZ76" s="51">
        <v>0</v>
      </c>
      <c r="BA76" s="51">
        <v>3536</v>
      </c>
      <c r="BB76" s="51">
        <v>7022</v>
      </c>
      <c r="BC76" s="51">
        <v>0</v>
      </c>
    </row>
    <row r="77" spans="1:55" x14ac:dyDescent="0.25">
      <c r="A77" s="27" t="s">
        <v>13</v>
      </c>
      <c r="B77" s="51">
        <v>454</v>
      </c>
      <c r="C77" s="51">
        <v>376</v>
      </c>
      <c r="D77" s="51">
        <v>435</v>
      </c>
      <c r="E77" s="51">
        <v>454</v>
      </c>
      <c r="F77" s="51">
        <v>279</v>
      </c>
      <c r="G77" s="51">
        <v>261</v>
      </c>
      <c r="H77" s="51">
        <v>450</v>
      </c>
      <c r="I77" s="51">
        <v>434</v>
      </c>
      <c r="J77" s="51">
        <v>423</v>
      </c>
      <c r="K77" s="51">
        <v>416</v>
      </c>
      <c r="L77" s="51">
        <v>386</v>
      </c>
      <c r="M77" s="51">
        <v>408</v>
      </c>
      <c r="N77" s="51">
        <v>458</v>
      </c>
      <c r="O77" s="51">
        <v>462</v>
      </c>
      <c r="P77" s="51">
        <v>472</v>
      </c>
      <c r="Q77" s="51">
        <v>532</v>
      </c>
      <c r="R77" s="51">
        <v>660</v>
      </c>
      <c r="S77" s="51">
        <v>739</v>
      </c>
      <c r="T77" s="51">
        <v>712</v>
      </c>
      <c r="U77" s="51">
        <v>681</v>
      </c>
      <c r="V77" s="51">
        <v>691</v>
      </c>
      <c r="W77" s="51">
        <v>691</v>
      </c>
      <c r="X77" s="51">
        <v>661</v>
      </c>
      <c r="Y77" s="51">
        <v>623</v>
      </c>
      <c r="Z77" s="51">
        <v>700</v>
      </c>
      <c r="AA77" s="51">
        <v>698</v>
      </c>
      <c r="AB77" s="51">
        <v>774</v>
      </c>
      <c r="AC77" s="51">
        <v>823</v>
      </c>
      <c r="AD77" s="51">
        <v>738</v>
      </c>
      <c r="AE77" s="51">
        <v>767</v>
      </c>
      <c r="AF77" s="51">
        <v>892</v>
      </c>
      <c r="AG77" s="51">
        <v>795</v>
      </c>
      <c r="AH77" s="51">
        <v>1020</v>
      </c>
      <c r="AI77" s="51">
        <v>888</v>
      </c>
      <c r="AJ77" s="51">
        <v>1046</v>
      </c>
      <c r="AK77" s="51">
        <v>852</v>
      </c>
      <c r="AL77" s="51">
        <v>1051</v>
      </c>
      <c r="AM77" s="51">
        <v>846</v>
      </c>
      <c r="AN77" s="51">
        <v>1009</v>
      </c>
      <c r="AO77" s="51">
        <v>819</v>
      </c>
      <c r="AP77" s="51">
        <v>1079</v>
      </c>
      <c r="AQ77" s="51">
        <v>823</v>
      </c>
      <c r="AR77" s="51">
        <v>929</v>
      </c>
      <c r="AS77" s="51">
        <v>622</v>
      </c>
      <c r="AT77" s="51">
        <v>1142</v>
      </c>
      <c r="AU77" s="51">
        <v>796</v>
      </c>
      <c r="AV77" s="51">
        <v>1384</v>
      </c>
      <c r="AW77" s="51">
        <v>1063</v>
      </c>
      <c r="AX77" s="51">
        <v>1556</v>
      </c>
      <c r="AY77" s="51">
        <v>1135</v>
      </c>
      <c r="AZ77" s="51">
        <v>0</v>
      </c>
      <c r="BA77" s="51">
        <v>1469</v>
      </c>
      <c r="BB77" s="51">
        <v>1160</v>
      </c>
      <c r="BC77" s="51">
        <v>1</v>
      </c>
    </row>
    <row r="78" spans="1:55" x14ac:dyDescent="0.25">
      <c r="A78" s="27" t="s">
        <v>6</v>
      </c>
      <c r="B78" s="51">
        <v>2215</v>
      </c>
      <c r="C78" s="51">
        <v>3208</v>
      </c>
      <c r="D78" s="51">
        <v>2887</v>
      </c>
      <c r="E78" s="51">
        <v>4555</v>
      </c>
      <c r="F78" s="51">
        <v>3214</v>
      </c>
      <c r="G78" s="51">
        <v>4676</v>
      </c>
      <c r="H78" s="51">
        <v>3371</v>
      </c>
      <c r="I78" s="51">
        <v>5331</v>
      </c>
      <c r="J78" s="51">
        <v>3475</v>
      </c>
      <c r="K78" s="51">
        <v>6029</v>
      </c>
      <c r="L78" s="51">
        <v>3144</v>
      </c>
      <c r="M78" s="51">
        <v>5255</v>
      </c>
      <c r="N78" s="51">
        <v>4130</v>
      </c>
      <c r="O78" s="51">
        <v>7134</v>
      </c>
      <c r="P78" s="51">
        <v>4188</v>
      </c>
      <c r="Q78" s="51">
        <v>7370</v>
      </c>
      <c r="R78" s="51">
        <v>2644</v>
      </c>
      <c r="S78" s="51">
        <v>6758</v>
      </c>
      <c r="T78" s="51">
        <v>3067</v>
      </c>
      <c r="U78" s="51">
        <v>7167</v>
      </c>
      <c r="V78" s="51">
        <v>3357</v>
      </c>
      <c r="W78" s="51">
        <v>7642</v>
      </c>
      <c r="X78" s="51">
        <v>3085</v>
      </c>
      <c r="Y78" s="51">
        <v>6873</v>
      </c>
      <c r="Z78" s="51">
        <v>3547</v>
      </c>
      <c r="AA78" s="51">
        <v>8023</v>
      </c>
      <c r="AB78" s="51">
        <v>3916</v>
      </c>
      <c r="AC78" s="51">
        <v>9149</v>
      </c>
      <c r="AD78" s="51">
        <v>4465</v>
      </c>
      <c r="AE78" s="51">
        <v>10028</v>
      </c>
      <c r="AF78" s="51">
        <v>4703</v>
      </c>
      <c r="AG78" s="51">
        <v>11078</v>
      </c>
      <c r="AH78" s="51">
        <v>5076</v>
      </c>
      <c r="AI78" s="51">
        <v>11719</v>
      </c>
      <c r="AJ78" s="51">
        <v>4921</v>
      </c>
      <c r="AK78" s="51">
        <v>11933</v>
      </c>
      <c r="AL78" s="51">
        <v>5164</v>
      </c>
      <c r="AM78" s="51">
        <v>12840</v>
      </c>
      <c r="AN78" s="51">
        <v>4954</v>
      </c>
      <c r="AO78" s="51">
        <v>13397</v>
      </c>
      <c r="AP78" s="51">
        <v>4783</v>
      </c>
      <c r="AQ78" s="51">
        <v>12380</v>
      </c>
      <c r="AR78" s="51">
        <v>4520</v>
      </c>
      <c r="AS78" s="51">
        <v>12142</v>
      </c>
      <c r="AT78" s="51">
        <v>6308</v>
      </c>
      <c r="AU78" s="51">
        <v>17403</v>
      </c>
      <c r="AV78" s="51">
        <v>6537</v>
      </c>
      <c r="AW78" s="51">
        <v>17620</v>
      </c>
      <c r="AX78" s="51">
        <v>6807</v>
      </c>
      <c r="AY78" s="51">
        <v>18168</v>
      </c>
      <c r="AZ78" s="51">
        <v>1</v>
      </c>
      <c r="BA78" s="51">
        <v>6593</v>
      </c>
      <c r="BB78" s="51">
        <v>18252</v>
      </c>
      <c r="BC78" s="51">
        <v>0</v>
      </c>
    </row>
    <row r="79" spans="1:55" x14ac:dyDescent="0.25">
      <c r="A79" s="27" t="s">
        <v>8</v>
      </c>
      <c r="B79" s="51">
        <v>437</v>
      </c>
      <c r="C79" s="51">
        <v>268</v>
      </c>
      <c r="D79" s="51">
        <v>632</v>
      </c>
      <c r="E79" s="51">
        <v>683</v>
      </c>
      <c r="F79" s="51">
        <v>596</v>
      </c>
      <c r="G79" s="51">
        <v>657</v>
      </c>
      <c r="H79" s="51">
        <v>795</v>
      </c>
      <c r="I79" s="51">
        <v>956</v>
      </c>
      <c r="J79" s="51">
        <v>842</v>
      </c>
      <c r="K79" s="51">
        <v>1095</v>
      </c>
      <c r="L79" s="51">
        <v>770</v>
      </c>
      <c r="M79" s="51">
        <v>935</v>
      </c>
      <c r="N79" s="51">
        <v>1051</v>
      </c>
      <c r="O79" s="51">
        <v>1322</v>
      </c>
      <c r="P79" s="51">
        <v>1419</v>
      </c>
      <c r="Q79" s="51">
        <v>2083</v>
      </c>
      <c r="R79" s="51">
        <v>1838</v>
      </c>
      <c r="S79" s="51">
        <v>2692</v>
      </c>
      <c r="T79" s="51">
        <v>2156</v>
      </c>
      <c r="U79" s="51">
        <v>3438</v>
      </c>
      <c r="V79" s="51">
        <v>2409</v>
      </c>
      <c r="W79" s="51">
        <v>3433</v>
      </c>
      <c r="X79" s="51">
        <v>1944</v>
      </c>
      <c r="Y79" s="51">
        <v>2609</v>
      </c>
      <c r="Z79" s="51">
        <v>1972</v>
      </c>
      <c r="AA79" s="51">
        <v>2587</v>
      </c>
      <c r="AB79" s="51">
        <v>1763</v>
      </c>
      <c r="AC79" s="51">
        <v>2533</v>
      </c>
      <c r="AD79" s="51">
        <v>1786</v>
      </c>
      <c r="AE79" s="51">
        <v>2366</v>
      </c>
      <c r="AF79" s="51">
        <v>2052</v>
      </c>
      <c r="AG79" s="51">
        <v>2346</v>
      </c>
      <c r="AH79" s="51">
        <v>1952</v>
      </c>
      <c r="AI79" s="51">
        <v>2344</v>
      </c>
      <c r="AJ79" s="51">
        <v>2013</v>
      </c>
      <c r="AK79" s="51">
        <v>2382</v>
      </c>
      <c r="AL79" s="51">
        <v>2332</v>
      </c>
      <c r="AM79" s="51">
        <v>2629</v>
      </c>
      <c r="AN79" s="51">
        <v>2002</v>
      </c>
      <c r="AO79" s="51">
        <v>2453</v>
      </c>
      <c r="AP79" s="51">
        <v>2028</v>
      </c>
      <c r="AQ79" s="51">
        <v>2519</v>
      </c>
      <c r="AR79" s="51">
        <v>1524</v>
      </c>
      <c r="AS79" s="51">
        <v>1813</v>
      </c>
      <c r="AT79" s="51">
        <v>1940</v>
      </c>
      <c r="AU79" s="51">
        <v>2358</v>
      </c>
      <c r="AV79" s="51">
        <v>2030</v>
      </c>
      <c r="AW79" s="51">
        <v>2657</v>
      </c>
      <c r="AX79" s="51">
        <v>2483</v>
      </c>
      <c r="AY79" s="51">
        <v>3189</v>
      </c>
      <c r="AZ79" s="51">
        <v>0</v>
      </c>
      <c r="BA79" s="51">
        <v>2443</v>
      </c>
      <c r="BB79" s="51">
        <v>3322</v>
      </c>
      <c r="BC79" s="51">
        <v>0</v>
      </c>
    </row>
    <row r="80" spans="1:55" x14ac:dyDescent="0.25">
      <c r="A80" s="27" t="s">
        <v>0</v>
      </c>
      <c r="B80" s="51">
        <v>919</v>
      </c>
      <c r="C80" s="51">
        <v>3619</v>
      </c>
      <c r="D80" s="51">
        <v>1230</v>
      </c>
      <c r="E80" s="51">
        <v>3577</v>
      </c>
      <c r="F80" s="51">
        <v>873</v>
      </c>
      <c r="G80" s="51">
        <v>3911</v>
      </c>
      <c r="H80" s="51">
        <v>1202</v>
      </c>
      <c r="I80" s="51">
        <v>5148</v>
      </c>
      <c r="J80" s="51">
        <v>1415</v>
      </c>
      <c r="K80" s="51">
        <v>5749</v>
      </c>
      <c r="L80" s="51">
        <v>1438</v>
      </c>
      <c r="M80" s="51">
        <v>6197</v>
      </c>
      <c r="N80" s="51">
        <v>2409</v>
      </c>
      <c r="O80" s="51">
        <v>9262</v>
      </c>
      <c r="P80" s="51">
        <v>2907</v>
      </c>
      <c r="Q80" s="51">
        <v>9622</v>
      </c>
      <c r="R80" s="51">
        <v>4133</v>
      </c>
      <c r="S80" s="51">
        <v>12731</v>
      </c>
      <c r="T80" s="51">
        <v>4361</v>
      </c>
      <c r="U80" s="51">
        <v>13533</v>
      </c>
      <c r="V80" s="51">
        <v>5173</v>
      </c>
      <c r="W80" s="51">
        <v>14800</v>
      </c>
      <c r="X80" s="51">
        <v>5250</v>
      </c>
      <c r="Y80" s="51">
        <v>14327</v>
      </c>
      <c r="Z80" s="51">
        <v>5265</v>
      </c>
      <c r="AA80" s="51">
        <v>15016</v>
      </c>
      <c r="AB80" s="51">
        <v>6060</v>
      </c>
      <c r="AC80" s="51">
        <v>16491</v>
      </c>
      <c r="AD80" s="51">
        <v>6310</v>
      </c>
      <c r="AE80" s="51">
        <v>19660</v>
      </c>
      <c r="AF80" s="51">
        <v>6617</v>
      </c>
      <c r="AG80" s="51">
        <v>19981</v>
      </c>
      <c r="AH80" s="51">
        <v>6735</v>
      </c>
      <c r="AI80" s="51">
        <v>21404</v>
      </c>
      <c r="AJ80" s="51">
        <v>6522</v>
      </c>
      <c r="AK80" s="51">
        <v>21784</v>
      </c>
      <c r="AL80" s="51">
        <v>6278</v>
      </c>
      <c r="AM80" s="51">
        <v>23949</v>
      </c>
      <c r="AN80" s="51">
        <v>5508</v>
      </c>
      <c r="AO80" s="51">
        <v>23651</v>
      </c>
      <c r="AP80" s="51">
        <v>5946</v>
      </c>
      <c r="AQ80" s="51">
        <v>25282</v>
      </c>
      <c r="AR80" s="51">
        <v>4279</v>
      </c>
      <c r="AS80" s="51">
        <v>21441</v>
      </c>
      <c r="AT80" s="51">
        <v>5549</v>
      </c>
      <c r="AU80" s="51">
        <v>26366</v>
      </c>
      <c r="AV80" s="51">
        <v>5592</v>
      </c>
      <c r="AW80" s="51">
        <v>21517</v>
      </c>
      <c r="AX80" s="51">
        <v>5568</v>
      </c>
      <c r="AY80" s="51">
        <v>20143</v>
      </c>
      <c r="AZ80" s="51">
        <v>0</v>
      </c>
      <c r="BA80" s="51">
        <v>5082</v>
      </c>
      <c r="BB80" s="51">
        <v>17902</v>
      </c>
      <c r="BC80" s="51">
        <v>0</v>
      </c>
    </row>
    <row r="81" spans="1:55" x14ac:dyDescent="0.25">
      <c r="A81" s="27" t="s">
        <v>4</v>
      </c>
      <c r="B81" s="51">
        <v>248</v>
      </c>
      <c r="C81" s="51">
        <v>426</v>
      </c>
      <c r="D81" s="51">
        <v>269</v>
      </c>
      <c r="E81" s="51">
        <v>386</v>
      </c>
      <c r="F81" s="51">
        <v>313</v>
      </c>
      <c r="G81" s="51">
        <v>641</v>
      </c>
      <c r="H81" s="51">
        <v>254</v>
      </c>
      <c r="I81" s="51">
        <v>398</v>
      </c>
      <c r="J81" s="51">
        <v>257</v>
      </c>
      <c r="K81" s="51">
        <v>448</v>
      </c>
      <c r="L81" s="51">
        <v>247</v>
      </c>
      <c r="M81" s="51">
        <v>413</v>
      </c>
      <c r="N81" s="51">
        <v>271</v>
      </c>
      <c r="O81" s="51">
        <v>561</v>
      </c>
      <c r="P81" s="51">
        <v>328</v>
      </c>
      <c r="Q81" s="51">
        <v>668</v>
      </c>
      <c r="R81" s="51">
        <v>216</v>
      </c>
      <c r="S81" s="51">
        <v>447</v>
      </c>
      <c r="T81" s="51">
        <v>289</v>
      </c>
      <c r="U81" s="51">
        <v>705</v>
      </c>
      <c r="V81" s="51">
        <v>383</v>
      </c>
      <c r="W81" s="51">
        <v>674</v>
      </c>
      <c r="X81" s="51">
        <v>393</v>
      </c>
      <c r="Y81" s="51">
        <v>643</v>
      </c>
      <c r="Z81" s="51">
        <v>387</v>
      </c>
      <c r="AA81" s="51">
        <v>727</v>
      </c>
      <c r="AB81" s="51">
        <v>406</v>
      </c>
      <c r="AC81" s="51">
        <v>785</v>
      </c>
      <c r="AD81" s="51">
        <v>410</v>
      </c>
      <c r="AE81" s="51">
        <v>697</v>
      </c>
      <c r="AF81" s="51">
        <v>430</v>
      </c>
      <c r="AG81" s="51">
        <v>783</v>
      </c>
      <c r="AH81" s="51">
        <v>533</v>
      </c>
      <c r="AI81" s="51">
        <v>834</v>
      </c>
      <c r="AJ81" s="51">
        <v>438</v>
      </c>
      <c r="AK81" s="51">
        <v>773</v>
      </c>
      <c r="AL81" s="51">
        <v>478</v>
      </c>
      <c r="AM81" s="51">
        <v>906</v>
      </c>
      <c r="AN81" s="51">
        <v>448</v>
      </c>
      <c r="AO81" s="51">
        <v>805</v>
      </c>
      <c r="AP81" s="51">
        <v>507</v>
      </c>
      <c r="AQ81" s="51">
        <v>835</v>
      </c>
      <c r="AR81" s="51">
        <v>398</v>
      </c>
      <c r="AS81" s="51">
        <v>813</v>
      </c>
      <c r="AT81" s="51">
        <v>525</v>
      </c>
      <c r="AU81" s="51">
        <v>949</v>
      </c>
      <c r="AV81" s="51">
        <v>512</v>
      </c>
      <c r="AW81" s="51">
        <v>885</v>
      </c>
      <c r="AX81" s="51">
        <v>524</v>
      </c>
      <c r="AY81" s="51">
        <v>1004</v>
      </c>
      <c r="AZ81" s="51">
        <v>0</v>
      </c>
      <c r="BA81" s="51">
        <v>414</v>
      </c>
      <c r="BB81" s="51">
        <v>671</v>
      </c>
      <c r="BC81" s="51">
        <v>0</v>
      </c>
    </row>
    <row r="82" spans="1:55" x14ac:dyDescent="0.25">
      <c r="A82" s="27" t="s">
        <v>10</v>
      </c>
      <c r="B82" s="51">
        <v>870</v>
      </c>
      <c r="C82" s="51">
        <v>1619</v>
      </c>
      <c r="D82" s="51">
        <v>937</v>
      </c>
      <c r="E82" s="51">
        <v>2222</v>
      </c>
      <c r="F82" s="51">
        <v>1066</v>
      </c>
      <c r="G82" s="51">
        <v>2789</v>
      </c>
      <c r="H82" s="51">
        <v>1207</v>
      </c>
      <c r="I82" s="51">
        <v>3363</v>
      </c>
      <c r="J82" s="51">
        <v>1345</v>
      </c>
      <c r="K82" s="51">
        <v>3779</v>
      </c>
      <c r="L82" s="51">
        <v>1447</v>
      </c>
      <c r="M82" s="51">
        <v>3766</v>
      </c>
      <c r="N82" s="51">
        <v>1622</v>
      </c>
      <c r="O82" s="51">
        <v>5588</v>
      </c>
      <c r="P82" s="51">
        <v>2096</v>
      </c>
      <c r="Q82" s="51">
        <v>6677</v>
      </c>
      <c r="R82" s="51">
        <v>2371</v>
      </c>
      <c r="S82" s="51">
        <v>7323</v>
      </c>
      <c r="T82" s="51">
        <v>3363</v>
      </c>
      <c r="U82" s="51">
        <v>12764</v>
      </c>
      <c r="V82" s="51">
        <v>3557</v>
      </c>
      <c r="W82" s="51">
        <v>12696</v>
      </c>
      <c r="X82" s="51">
        <v>3435</v>
      </c>
      <c r="Y82" s="51">
        <v>12262</v>
      </c>
      <c r="Z82" s="51">
        <v>4454</v>
      </c>
      <c r="AA82" s="51">
        <v>16979</v>
      </c>
      <c r="AB82" s="51">
        <v>5282</v>
      </c>
      <c r="AC82" s="51">
        <v>20507</v>
      </c>
      <c r="AD82" s="51">
        <v>6237</v>
      </c>
      <c r="AE82" s="51">
        <v>23601</v>
      </c>
      <c r="AF82" s="51">
        <v>6883</v>
      </c>
      <c r="AG82" s="51">
        <v>25319</v>
      </c>
      <c r="AH82" s="51">
        <v>7315</v>
      </c>
      <c r="AI82" s="51">
        <v>27439</v>
      </c>
      <c r="AJ82" s="51">
        <v>7299</v>
      </c>
      <c r="AK82" s="51">
        <v>28821</v>
      </c>
      <c r="AL82" s="51">
        <v>7520</v>
      </c>
      <c r="AM82" s="51">
        <v>28761</v>
      </c>
      <c r="AN82" s="51">
        <v>7599</v>
      </c>
      <c r="AO82" s="51">
        <v>29720</v>
      </c>
      <c r="AP82" s="51">
        <v>7564</v>
      </c>
      <c r="AQ82" s="51">
        <v>27980</v>
      </c>
      <c r="AR82" s="51">
        <v>3578</v>
      </c>
      <c r="AS82" s="51">
        <v>15658</v>
      </c>
      <c r="AT82" s="51">
        <v>9312</v>
      </c>
      <c r="AU82" s="51">
        <v>35444</v>
      </c>
      <c r="AV82" s="51">
        <v>9532</v>
      </c>
      <c r="AW82" s="51">
        <v>34850</v>
      </c>
      <c r="AX82" s="51">
        <v>9338</v>
      </c>
      <c r="AY82" s="51">
        <v>34721</v>
      </c>
      <c r="AZ82" s="51">
        <v>0</v>
      </c>
      <c r="BA82" s="51">
        <v>8802</v>
      </c>
      <c r="BB82" s="51">
        <v>32867</v>
      </c>
      <c r="BC82" s="51">
        <v>0</v>
      </c>
    </row>
    <row r="83" spans="1:55" x14ac:dyDescent="0.25">
      <c r="A83" s="27" t="s">
        <v>9</v>
      </c>
      <c r="B83" s="51">
        <v>5988</v>
      </c>
      <c r="C83" s="51">
        <v>1431</v>
      </c>
      <c r="D83" s="51">
        <v>6985.4</v>
      </c>
      <c r="E83" s="51">
        <v>2036.6</v>
      </c>
      <c r="F83" s="51">
        <v>10086</v>
      </c>
      <c r="G83" s="51">
        <v>2989</v>
      </c>
      <c r="H83" s="51">
        <v>10710</v>
      </c>
      <c r="I83" s="51">
        <v>2703</v>
      </c>
      <c r="J83" s="51">
        <v>10682</v>
      </c>
      <c r="K83" s="51">
        <v>2720</v>
      </c>
      <c r="L83" s="51">
        <v>8740</v>
      </c>
      <c r="M83" s="51">
        <v>2150</v>
      </c>
      <c r="N83" s="51">
        <v>14392</v>
      </c>
      <c r="O83" s="51">
        <v>4011</v>
      </c>
      <c r="P83" s="51">
        <v>15784</v>
      </c>
      <c r="Q83" s="51">
        <v>4136</v>
      </c>
      <c r="R83" s="51">
        <v>16849</v>
      </c>
      <c r="S83" s="51">
        <v>4069</v>
      </c>
      <c r="T83" s="51">
        <v>17345</v>
      </c>
      <c r="U83" s="51">
        <v>3862</v>
      </c>
      <c r="V83" s="51">
        <v>19378</v>
      </c>
      <c r="W83" s="51">
        <v>4405</v>
      </c>
      <c r="X83" s="51">
        <v>19181</v>
      </c>
      <c r="Y83" s="51">
        <v>4334</v>
      </c>
      <c r="Z83" s="51">
        <v>21587</v>
      </c>
      <c r="AA83" s="51">
        <v>5094</v>
      </c>
      <c r="AB83" s="51">
        <v>24920</v>
      </c>
      <c r="AC83" s="51">
        <v>6491</v>
      </c>
      <c r="AD83" s="51">
        <v>30234</v>
      </c>
      <c r="AE83" s="51">
        <v>8197</v>
      </c>
      <c r="AF83" s="51">
        <v>34561</v>
      </c>
      <c r="AG83" s="51">
        <v>9877</v>
      </c>
      <c r="AH83" s="51">
        <v>40178</v>
      </c>
      <c r="AI83" s="51">
        <v>12606</v>
      </c>
      <c r="AJ83" s="51">
        <v>42104</v>
      </c>
      <c r="AK83" s="51">
        <v>13847</v>
      </c>
      <c r="AL83" s="51">
        <v>44239</v>
      </c>
      <c r="AM83" s="51">
        <v>13818</v>
      </c>
      <c r="AN83" s="51">
        <v>45293</v>
      </c>
      <c r="AO83" s="51">
        <v>13216</v>
      </c>
      <c r="AP83" s="51">
        <v>41560</v>
      </c>
      <c r="AQ83" s="51">
        <v>10829</v>
      </c>
      <c r="AR83" s="51">
        <v>34059</v>
      </c>
      <c r="AS83" s="51">
        <v>8631</v>
      </c>
      <c r="AT83" s="51">
        <v>44405</v>
      </c>
      <c r="AU83" s="51">
        <v>10334</v>
      </c>
      <c r="AV83" s="51">
        <v>44744</v>
      </c>
      <c r="AW83" s="51">
        <v>10625</v>
      </c>
      <c r="AX83" s="51">
        <v>47651</v>
      </c>
      <c r="AY83" s="51">
        <v>11120</v>
      </c>
      <c r="AZ83" s="51">
        <v>0</v>
      </c>
      <c r="BA83" s="51">
        <v>47669</v>
      </c>
      <c r="BB83" s="51">
        <v>11204</v>
      </c>
      <c r="BC83" s="51">
        <v>0</v>
      </c>
    </row>
    <row r="84" spans="1:55" s="36" customFormat="1" x14ac:dyDescent="0.25">
      <c r="A84" s="26" t="s">
        <v>15</v>
      </c>
      <c r="B84" s="52">
        <v>17238</v>
      </c>
      <c r="C84" s="52">
        <v>18533</v>
      </c>
      <c r="D84" s="52">
        <v>20303.400000000001</v>
      </c>
      <c r="E84" s="52">
        <v>21702.6</v>
      </c>
      <c r="F84" s="52">
        <v>23235</v>
      </c>
      <c r="G84" s="52">
        <v>24351</v>
      </c>
      <c r="H84" s="52">
        <v>25236</v>
      </c>
      <c r="I84" s="52">
        <v>27011</v>
      </c>
      <c r="J84" s="52">
        <v>25097</v>
      </c>
      <c r="K84" s="52">
        <v>28146</v>
      </c>
      <c r="L84" s="52">
        <v>22155</v>
      </c>
      <c r="M84" s="52">
        <v>25779</v>
      </c>
      <c r="N84" s="52">
        <v>33177</v>
      </c>
      <c r="O84" s="52">
        <v>37992</v>
      </c>
      <c r="P84" s="52">
        <v>36270</v>
      </c>
      <c r="Q84" s="52">
        <v>41186</v>
      </c>
      <c r="R84" s="52">
        <v>40269</v>
      </c>
      <c r="S84" s="52">
        <v>46857</v>
      </c>
      <c r="T84" s="52">
        <v>43282</v>
      </c>
      <c r="U84" s="52">
        <v>54740</v>
      </c>
      <c r="V84" s="52">
        <v>47619</v>
      </c>
      <c r="W84" s="52">
        <v>58511</v>
      </c>
      <c r="X84" s="52">
        <v>46404</v>
      </c>
      <c r="Y84" s="52">
        <v>55760</v>
      </c>
      <c r="Z84" s="52">
        <v>52346</v>
      </c>
      <c r="AA84" s="52">
        <v>65986</v>
      </c>
      <c r="AB84" s="52">
        <v>58939</v>
      </c>
      <c r="AC84" s="52">
        <v>76782</v>
      </c>
      <c r="AD84" s="52">
        <v>68105</v>
      </c>
      <c r="AE84" s="52">
        <v>88886</v>
      </c>
      <c r="AF84" s="52">
        <v>75661</v>
      </c>
      <c r="AG84" s="52">
        <v>95987</v>
      </c>
      <c r="AH84" s="52">
        <v>83686</v>
      </c>
      <c r="AI84" s="52">
        <v>105400</v>
      </c>
      <c r="AJ84" s="52">
        <v>85859</v>
      </c>
      <c r="AK84" s="52">
        <v>111709</v>
      </c>
      <c r="AL84" s="52">
        <v>90044</v>
      </c>
      <c r="AM84" s="52">
        <v>116510</v>
      </c>
      <c r="AN84" s="52">
        <v>90766</v>
      </c>
      <c r="AO84" s="52">
        <v>118256</v>
      </c>
      <c r="AP84" s="52">
        <v>86661</v>
      </c>
      <c r="AQ84" s="52">
        <v>114481</v>
      </c>
      <c r="AR84" s="52">
        <v>69748</v>
      </c>
      <c r="AS84" s="52">
        <v>91142</v>
      </c>
      <c r="AT84" s="52">
        <v>95873</v>
      </c>
      <c r="AU84" s="52">
        <v>132818</v>
      </c>
      <c r="AV84" s="52">
        <v>97170</v>
      </c>
      <c r="AW84" s="52">
        <v>128765</v>
      </c>
      <c r="AX84" s="52">
        <v>101439</v>
      </c>
      <c r="AY84" s="52">
        <v>129729</v>
      </c>
      <c r="AZ84" s="52">
        <v>1</v>
      </c>
      <c r="BA84" s="52">
        <v>99468</v>
      </c>
      <c r="BB84" s="52">
        <v>125348</v>
      </c>
      <c r="BC84" s="52">
        <v>1</v>
      </c>
    </row>
    <row r="85" spans="1:55" x14ac:dyDescent="0.25"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</row>
    <row r="87" spans="1:55" ht="15.75" x14ac:dyDescent="0.25">
      <c r="A87" s="24" t="s">
        <v>104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55" x14ac:dyDescent="0.25">
      <c r="A88" s="1" t="s">
        <v>25</v>
      </c>
      <c r="B88" s="18">
        <v>1999</v>
      </c>
      <c r="C88" s="18">
        <v>2000</v>
      </c>
      <c r="D88" s="18">
        <v>2001</v>
      </c>
      <c r="E88" s="18">
        <v>2002</v>
      </c>
      <c r="F88" s="18">
        <v>2003</v>
      </c>
      <c r="G88" s="18">
        <v>2004</v>
      </c>
      <c r="H88" s="18">
        <v>2005</v>
      </c>
      <c r="I88" s="18">
        <v>2006</v>
      </c>
      <c r="J88" s="18">
        <v>2007</v>
      </c>
      <c r="K88" s="18">
        <v>2008</v>
      </c>
      <c r="L88" s="18">
        <v>2009</v>
      </c>
      <c r="M88" s="18">
        <v>2010</v>
      </c>
      <c r="N88" s="18">
        <v>2011</v>
      </c>
      <c r="O88" s="18">
        <v>2012</v>
      </c>
      <c r="P88" s="18">
        <v>2013</v>
      </c>
      <c r="Q88" s="18">
        <v>2014</v>
      </c>
      <c r="R88" s="18">
        <v>2015</v>
      </c>
      <c r="S88" s="18">
        <v>2016</v>
      </c>
      <c r="T88" s="18">
        <v>2017</v>
      </c>
      <c r="U88" s="18">
        <v>2018</v>
      </c>
      <c r="V88" s="18">
        <v>2019</v>
      </c>
      <c r="W88" s="18">
        <v>2020</v>
      </c>
      <c r="X88" s="18">
        <v>2021</v>
      </c>
      <c r="Y88" s="18">
        <v>2022</v>
      </c>
      <c r="Z88" s="18">
        <v>2023</v>
      </c>
      <c r="AA88" s="18">
        <v>2024</v>
      </c>
      <c r="AB88" s="20"/>
      <c r="AC88" s="20"/>
      <c r="AD88" s="20"/>
      <c r="AE88" s="20"/>
      <c r="AF88" s="20"/>
      <c r="AG88" s="20"/>
    </row>
    <row r="89" spans="1:55" x14ac:dyDescent="0.25">
      <c r="A89" s="27" t="s">
        <v>39</v>
      </c>
      <c r="B89" s="51">
        <v>0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1727</v>
      </c>
      <c r="K89" s="51">
        <v>1604</v>
      </c>
      <c r="L89" s="51">
        <v>1675</v>
      </c>
      <c r="M89" s="51">
        <v>1606</v>
      </c>
      <c r="N89" s="51">
        <v>1856</v>
      </c>
      <c r="O89" s="51">
        <v>1833</v>
      </c>
      <c r="P89" s="51">
        <v>2105</v>
      </c>
      <c r="Q89" s="51">
        <v>2551</v>
      </c>
      <c r="R89" s="51">
        <v>2425</v>
      </c>
      <c r="S89" s="51">
        <v>2454</v>
      </c>
      <c r="T89" s="51">
        <v>2671</v>
      </c>
      <c r="U89" s="51">
        <v>3063</v>
      </c>
      <c r="V89" s="51">
        <v>2953</v>
      </c>
      <c r="W89" s="51">
        <v>2388</v>
      </c>
      <c r="X89" s="51">
        <v>3553</v>
      </c>
      <c r="Y89" s="51">
        <v>3046</v>
      </c>
      <c r="Z89" s="51">
        <v>3357</v>
      </c>
      <c r="AA89" s="51">
        <v>3139</v>
      </c>
    </row>
    <row r="90" spans="1:55" x14ac:dyDescent="0.25">
      <c r="A90" s="27" t="s">
        <v>26</v>
      </c>
      <c r="B90" s="51">
        <v>760</v>
      </c>
      <c r="C90" s="51">
        <v>776</v>
      </c>
      <c r="D90" s="51">
        <v>775</v>
      </c>
      <c r="E90" s="51">
        <v>608</v>
      </c>
      <c r="F90" s="51">
        <v>736</v>
      </c>
      <c r="G90" s="51">
        <v>960</v>
      </c>
      <c r="H90" s="51">
        <v>1551</v>
      </c>
      <c r="I90" s="51">
        <v>2047</v>
      </c>
      <c r="J90" s="51">
        <v>1072</v>
      </c>
      <c r="K90" s="51">
        <v>1455</v>
      </c>
      <c r="L90" s="51">
        <v>1357</v>
      </c>
      <c r="M90" s="51">
        <v>1275</v>
      </c>
      <c r="N90" s="51">
        <v>1460</v>
      </c>
      <c r="O90" s="51">
        <v>1550</v>
      </c>
      <c r="P90" s="51">
        <v>1883</v>
      </c>
      <c r="Q90" s="51">
        <v>2139</v>
      </c>
      <c r="R90" s="51">
        <v>2471</v>
      </c>
      <c r="S90" s="51">
        <v>2514</v>
      </c>
      <c r="T90" s="51">
        <v>2936</v>
      </c>
      <c r="U90" s="51">
        <v>3406</v>
      </c>
      <c r="V90" s="51">
        <v>2933</v>
      </c>
      <c r="W90" s="51">
        <v>2525</v>
      </c>
      <c r="X90" s="51">
        <v>4098</v>
      </c>
      <c r="Y90" s="51">
        <v>3708</v>
      </c>
      <c r="Z90" s="51">
        <v>3795</v>
      </c>
      <c r="AA90" s="51">
        <v>3333</v>
      </c>
      <c r="AB90" s="20"/>
      <c r="AC90" s="20"/>
      <c r="AD90" s="20"/>
      <c r="AE90" s="20"/>
      <c r="AF90" s="20"/>
      <c r="AG90" s="20"/>
    </row>
    <row r="91" spans="1:55" x14ac:dyDescent="0.25">
      <c r="A91" s="27" t="s">
        <v>27</v>
      </c>
      <c r="B91" s="51">
        <v>797</v>
      </c>
      <c r="C91" s="51">
        <v>866</v>
      </c>
      <c r="D91" s="51">
        <v>1148</v>
      </c>
      <c r="E91" s="51">
        <v>1568</v>
      </c>
      <c r="F91" s="51">
        <v>1724</v>
      </c>
      <c r="G91" s="51">
        <v>1141</v>
      </c>
      <c r="H91" s="51">
        <v>1684</v>
      </c>
      <c r="I91" s="51">
        <v>1934</v>
      </c>
      <c r="J91" s="51">
        <v>3440</v>
      </c>
      <c r="K91" s="51">
        <v>3568</v>
      </c>
      <c r="L91" s="51">
        <v>4067</v>
      </c>
      <c r="M91" s="51">
        <v>3874</v>
      </c>
      <c r="N91" s="51">
        <v>4086</v>
      </c>
      <c r="O91" s="51">
        <v>4466</v>
      </c>
      <c r="P91" s="51">
        <v>5340</v>
      </c>
      <c r="Q91" s="51">
        <v>5836</v>
      </c>
      <c r="R91" s="51">
        <v>7179</v>
      </c>
      <c r="S91" s="51">
        <v>6784</v>
      </c>
      <c r="T91" s="51">
        <v>6773</v>
      </c>
      <c r="U91" s="51">
        <v>7288</v>
      </c>
      <c r="V91" s="51">
        <v>6871</v>
      </c>
      <c r="W91" s="51">
        <v>5754</v>
      </c>
      <c r="X91" s="51">
        <v>7228</v>
      </c>
      <c r="Y91" s="51">
        <v>7609</v>
      </c>
      <c r="Z91" s="51">
        <v>7846</v>
      </c>
      <c r="AA91" s="51">
        <v>6791</v>
      </c>
    </row>
    <row r="92" spans="1:55" x14ac:dyDescent="0.25">
      <c r="A92" s="27" t="s">
        <v>28</v>
      </c>
      <c r="B92" s="51">
        <v>81</v>
      </c>
      <c r="C92" s="51">
        <v>335</v>
      </c>
      <c r="D92" s="51">
        <v>709</v>
      </c>
      <c r="E92" s="51">
        <v>682</v>
      </c>
      <c r="F92" s="51">
        <v>596</v>
      </c>
      <c r="G92" s="51">
        <v>417</v>
      </c>
      <c r="H92" s="51">
        <v>557</v>
      </c>
      <c r="I92" s="51">
        <v>617</v>
      </c>
      <c r="J92" s="51">
        <v>631</v>
      </c>
      <c r="K92" s="51">
        <v>736</v>
      </c>
      <c r="L92" s="51">
        <v>912</v>
      </c>
      <c r="M92" s="51">
        <v>1044</v>
      </c>
      <c r="N92" s="51">
        <v>830</v>
      </c>
      <c r="O92" s="51">
        <v>1056</v>
      </c>
      <c r="P92" s="51">
        <v>1178</v>
      </c>
      <c r="Q92" s="51">
        <v>1360</v>
      </c>
      <c r="R92" s="51">
        <v>1578</v>
      </c>
      <c r="S92" s="51">
        <v>1913</v>
      </c>
      <c r="T92" s="51">
        <v>1981</v>
      </c>
      <c r="U92" s="51">
        <v>1862</v>
      </c>
      <c r="V92" s="51">
        <v>2028</v>
      </c>
      <c r="W92" s="51">
        <v>1873</v>
      </c>
      <c r="X92" s="51">
        <v>2586</v>
      </c>
      <c r="Y92" s="51">
        <v>2738</v>
      </c>
      <c r="Z92" s="51">
        <v>2414</v>
      </c>
      <c r="AA92" s="51">
        <v>2637</v>
      </c>
    </row>
    <row r="93" spans="1:55" x14ac:dyDescent="0.25">
      <c r="A93" s="27" t="s">
        <v>29</v>
      </c>
      <c r="B93" s="51">
        <v>562</v>
      </c>
      <c r="C93" s="51">
        <v>639</v>
      </c>
      <c r="D93" s="51">
        <v>821</v>
      </c>
      <c r="E93" s="51">
        <v>1102</v>
      </c>
      <c r="F93" s="51">
        <v>1425</v>
      </c>
      <c r="G93" s="51">
        <v>1656</v>
      </c>
      <c r="H93" s="51">
        <v>1450</v>
      </c>
      <c r="I93" s="51">
        <v>1638</v>
      </c>
      <c r="J93" s="51">
        <v>3108</v>
      </c>
      <c r="K93" s="51">
        <v>4070</v>
      </c>
      <c r="L93" s="51">
        <v>3559</v>
      </c>
      <c r="M93" s="51">
        <v>3172</v>
      </c>
      <c r="N93" s="51">
        <v>3454</v>
      </c>
      <c r="O93" s="51">
        <v>4381</v>
      </c>
      <c r="P93" s="51">
        <v>6027</v>
      </c>
      <c r="Q93" s="51">
        <v>5941</v>
      </c>
      <c r="R93" s="51">
        <v>6216</v>
      </c>
      <c r="S93" s="51">
        <v>6766</v>
      </c>
      <c r="T93" s="51">
        <v>7289</v>
      </c>
      <c r="U93" s="51">
        <v>7910</v>
      </c>
      <c r="V93" s="51">
        <v>7852</v>
      </c>
      <c r="W93" s="51">
        <v>5290</v>
      </c>
      <c r="X93" s="51">
        <v>9351</v>
      </c>
      <c r="Y93" s="51">
        <v>8852</v>
      </c>
      <c r="Z93" s="51">
        <v>9153</v>
      </c>
      <c r="AA93" s="51">
        <v>8554</v>
      </c>
    </row>
    <row r="94" spans="1:55" x14ac:dyDescent="0.25">
      <c r="A94" s="27" t="s">
        <v>30</v>
      </c>
      <c r="B94" s="51">
        <v>4449</v>
      </c>
      <c r="C94" s="51">
        <v>4348</v>
      </c>
      <c r="D94" s="51">
        <v>4304</v>
      </c>
      <c r="E94" s="51">
        <v>5808</v>
      </c>
      <c r="F94" s="51">
        <v>6619</v>
      </c>
      <c r="G94" s="51">
        <v>6092</v>
      </c>
      <c r="H94" s="51">
        <v>8567</v>
      </c>
      <c r="I94" s="51">
        <v>8190</v>
      </c>
      <c r="J94" s="51">
        <v>9907</v>
      </c>
      <c r="K94" s="51">
        <v>10723</v>
      </c>
      <c r="L94" s="51">
        <v>12074</v>
      </c>
      <c r="M94" s="51">
        <v>11339</v>
      </c>
      <c r="N94" s="51">
        <v>12397</v>
      </c>
      <c r="O94" s="51">
        <v>15862</v>
      </c>
      <c r="P94" s="51">
        <v>17338</v>
      </c>
      <c r="Q94" s="51">
        <v>19070</v>
      </c>
      <c r="R94" s="51">
        <v>20882</v>
      </c>
      <c r="S94" s="51">
        <v>21534</v>
      </c>
      <c r="T94" s="51">
        <v>23183</v>
      </c>
      <c r="U94" s="51">
        <v>21895</v>
      </c>
      <c r="V94" s="51">
        <v>21389</v>
      </c>
      <c r="W94" s="51">
        <v>17310</v>
      </c>
      <c r="X94" s="51">
        <v>23086</v>
      </c>
      <c r="Y94" s="51">
        <v>24102</v>
      </c>
      <c r="Z94" s="51">
        <v>23026</v>
      </c>
      <c r="AA94" s="51">
        <v>22267</v>
      </c>
    </row>
    <row r="95" spans="1:55" x14ac:dyDescent="0.25">
      <c r="A95" s="27" t="s">
        <v>40</v>
      </c>
      <c r="B95" s="51">
        <v>19379</v>
      </c>
      <c r="C95" s="51">
        <v>27174</v>
      </c>
      <c r="D95" s="51">
        <v>30184</v>
      </c>
      <c r="E95" s="51">
        <v>31137</v>
      </c>
      <c r="F95" s="51">
        <v>29060</v>
      </c>
      <c r="G95" s="51">
        <v>25832</v>
      </c>
      <c r="H95" s="51">
        <v>39986</v>
      </c>
      <c r="I95" s="51">
        <v>44129</v>
      </c>
      <c r="J95" s="51">
        <v>41364</v>
      </c>
      <c r="K95" s="51">
        <v>44605</v>
      </c>
      <c r="L95" s="51">
        <v>49548</v>
      </c>
      <c r="M95" s="51">
        <v>49974</v>
      </c>
      <c r="N95" s="51">
        <v>57443</v>
      </c>
      <c r="O95" s="51">
        <v>64494</v>
      </c>
      <c r="P95" s="51">
        <v>73481</v>
      </c>
      <c r="Q95" s="51">
        <v>79398</v>
      </c>
      <c r="R95" s="51">
        <v>86728</v>
      </c>
      <c r="S95" s="51">
        <v>89041</v>
      </c>
      <c r="T95" s="51">
        <v>93699</v>
      </c>
      <c r="U95" s="51">
        <v>94328</v>
      </c>
      <c r="V95" s="51">
        <v>92172</v>
      </c>
      <c r="W95" s="51">
        <v>76611</v>
      </c>
      <c r="X95" s="51">
        <v>107427</v>
      </c>
      <c r="Y95" s="51">
        <v>105544</v>
      </c>
      <c r="Z95" s="51">
        <v>111458</v>
      </c>
      <c r="AA95" s="51">
        <v>111453</v>
      </c>
    </row>
    <row r="96" spans="1:55" x14ac:dyDescent="0.25">
      <c r="A96" s="27" t="s">
        <v>31</v>
      </c>
      <c r="B96" s="51">
        <v>22</v>
      </c>
      <c r="C96" s="51">
        <v>54</v>
      </c>
      <c r="D96" s="51">
        <v>0</v>
      </c>
      <c r="E96" s="51">
        <v>407</v>
      </c>
      <c r="F96" s="51">
        <v>370</v>
      </c>
      <c r="G96" s="51">
        <v>416</v>
      </c>
      <c r="H96" s="51">
        <v>351</v>
      </c>
      <c r="I96" s="51">
        <v>352</v>
      </c>
      <c r="J96" s="51">
        <v>1766</v>
      </c>
      <c r="K96" s="51">
        <v>2306</v>
      </c>
      <c r="L96" s="51">
        <v>2358</v>
      </c>
      <c r="M96" s="51">
        <v>2319</v>
      </c>
      <c r="N96" s="51">
        <v>3247</v>
      </c>
      <c r="O96" s="51">
        <v>3786</v>
      </c>
      <c r="P96" s="51">
        <v>4620</v>
      </c>
      <c r="Q96" s="51">
        <v>5234</v>
      </c>
      <c r="R96" s="51">
        <v>6400</v>
      </c>
      <c r="S96" s="51">
        <v>7181</v>
      </c>
      <c r="T96" s="51">
        <v>6754</v>
      </c>
      <c r="U96" s="51">
        <v>6537</v>
      </c>
      <c r="V96" s="51">
        <v>6317</v>
      </c>
      <c r="W96" s="51">
        <v>4750</v>
      </c>
      <c r="X96" s="51">
        <v>5820</v>
      </c>
      <c r="Y96" s="51">
        <v>5701</v>
      </c>
      <c r="Z96" s="51">
        <v>5359</v>
      </c>
      <c r="AA96" s="51">
        <v>5549</v>
      </c>
    </row>
    <row r="97" spans="1:37" x14ac:dyDescent="0.25">
      <c r="A97" s="27" t="s">
        <v>32</v>
      </c>
      <c r="B97" s="51">
        <v>463</v>
      </c>
      <c r="C97" s="51">
        <v>1057</v>
      </c>
      <c r="D97" s="51">
        <v>1118</v>
      </c>
      <c r="E97" s="51">
        <v>1334</v>
      </c>
      <c r="F97" s="51">
        <v>1165</v>
      </c>
      <c r="G97" s="51">
        <v>1051</v>
      </c>
      <c r="H97" s="51">
        <v>2947</v>
      </c>
      <c r="I97" s="51">
        <v>3155</v>
      </c>
      <c r="J97" s="51">
        <v>2997</v>
      </c>
      <c r="K97" s="51">
        <v>4281</v>
      </c>
      <c r="L97" s="51">
        <v>4719</v>
      </c>
      <c r="M97" s="51">
        <v>3785</v>
      </c>
      <c r="N97" s="51">
        <v>4774</v>
      </c>
      <c r="O97" s="51">
        <v>6033</v>
      </c>
      <c r="P97" s="51">
        <v>7013</v>
      </c>
      <c r="Q97" s="51">
        <v>7874</v>
      </c>
      <c r="R97" s="51">
        <v>8652</v>
      </c>
      <c r="S97" s="51">
        <v>9449</v>
      </c>
      <c r="T97" s="51">
        <v>9643</v>
      </c>
      <c r="U97" s="51">
        <v>9667</v>
      </c>
      <c r="V97" s="51">
        <v>9410</v>
      </c>
      <c r="W97" s="51">
        <v>7889</v>
      </c>
      <c r="X97" s="51">
        <v>10922</v>
      </c>
      <c r="Y97" s="51">
        <v>11521</v>
      </c>
      <c r="Z97" s="51">
        <v>10984</v>
      </c>
      <c r="AA97" s="51">
        <v>10535</v>
      </c>
    </row>
    <row r="98" spans="1:37" x14ac:dyDescent="0.25">
      <c r="A98" s="27" t="s">
        <v>68</v>
      </c>
      <c r="B98" s="51">
        <v>0</v>
      </c>
      <c r="C98" s="51">
        <v>0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1963</v>
      </c>
      <c r="K98" s="51">
        <v>2010</v>
      </c>
      <c r="L98" s="51">
        <v>2372</v>
      </c>
      <c r="M98" s="51">
        <v>2116</v>
      </c>
      <c r="N98" s="51">
        <v>2971</v>
      </c>
      <c r="O98" s="51">
        <v>3125</v>
      </c>
      <c r="P98" s="51">
        <v>3886</v>
      </c>
      <c r="Q98" s="51">
        <v>4015</v>
      </c>
      <c r="R98" s="51">
        <v>4528</v>
      </c>
      <c r="S98" s="51">
        <v>4862</v>
      </c>
      <c r="T98" s="51">
        <v>4984</v>
      </c>
      <c r="U98" s="51">
        <v>5481</v>
      </c>
      <c r="V98" s="51">
        <v>4775</v>
      </c>
      <c r="W98" s="51">
        <v>3201</v>
      </c>
      <c r="X98" s="51">
        <v>5233</v>
      </c>
      <c r="Y98" s="51">
        <v>4983</v>
      </c>
      <c r="Z98" s="51">
        <v>5077</v>
      </c>
      <c r="AA98" s="51">
        <v>4404</v>
      </c>
    </row>
    <row r="99" spans="1:37" x14ac:dyDescent="0.25">
      <c r="A99" s="27" t="s">
        <v>33</v>
      </c>
      <c r="B99" s="51">
        <v>4772</v>
      </c>
      <c r="C99" s="51">
        <v>3318</v>
      </c>
      <c r="D99" s="51">
        <v>5532</v>
      </c>
      <c r="E99" s="51">
        <v>5343</v>
      </c>
      <c r="F99" s="51">
        <v>6636</v>
      </c>
      <c r="G99" s="51">
        <v>6563</v>
      </c>
      <c r="H99" s="51">
        <v>8011</v>
      </c>
      <c r="I99" s="51">
        <v>9438</v>
      </c>
      <c r="J99" s="51">
        <v>9999</v>
      </c>
      <c r="K99" s="51">
        <v>11963</v>
      </c>
      <c r="L99" s="51">
        <v>11673</v>
      </c>
      <c r="M99" s="51">
        <v>10919</v>
      </c>
      <c r="N99" s="51">
        <v>13311</v>
      </c>
      <c r="O99" s="51">
        <v>15257</v>
      </c>
      <c r="P99" s="51">
        <v>18254</v>
      </c>
      <c r="Q99" s="51">
        <v>19894</v>
      </c>
      <c r="R99" s="51">
        <v>22346</v>
      </c>
      <c r="S99" s="51">
        <v>22626</v>
      </c>
      <c r="T99" s="51">
        <v>23007</v>
      </c>
      <c r="U99" s="51">
        <v>23784</v>
      </c>
      <c r="V99" s="51">
        <v>22278</v>
      </c>
      <c r="W99" s="51">
        <v>16900</v>
      </c>
      <c r="X99" s="51">
        <v>24418</v>
      </c>
      <c r="Y99" s="51">
        <v>23586</v>
      </c>
      <c r="Z99" s="51">
        <v>23993</v>
      </c>
      <c r="AA99" s="51">
        <v>22416</v>
      </c>
    </row>
    <row r="100" spans="1:37" x14ac:dyDescent="0.25">
      <c r="A100" s="27" t="s">
        <v>34</v>
      </c>
      <c r="B100" s="51">
        <v>1108</v>
      </c>
      <c r="C100" s="51">
        <v>1198</v>
      </c>
      <c r="D100" s="51">
        <v>1278</v>
      </c>
      <c r="E100" s="51">
        <v>2119</v>
      </c>
      <c r="F100" s="51">
        <v>2438</v>
      </c>
      <c r="G100" s="51">
        <v>2198</v>
      </c>
      <c r="H100" s="51">
        <v>2724</v>
      </c>
      <c r="I100" s="51">
        <v>2651</v>
      </c>
      <c r="J100" s="51">
        <v>4340</v>
      </c>
      <c r="K100" s="51">
        <v>5066</v>
      </c>
      <c r="L100" s="51">
        <v>5138</v>
      </c>
      <c r="M100" s="51">
        <v>4885</v>
      </c>
      <c r="N100" s="51">
        <v>5429</v>
      </c>
      <c r="O100" s="51">
        <v>5916</v>
      </c>
      <c r="P100" s="51">
        <v>6884</v>
      </c>
      <c r="Q100" s="51">
        <v>8391</v>
      </c>
      <c r="R100" s="51">
        <v>8543</v>
      </c>
      <c r="S100" s="51">
        <v>9981</v>
      </c>
      <c r="T100" s="51">
        <v>9721</v>
      </c>
      <c r="U100" s="51">
        <v>9758</v>
      </c>
      <c r="V100" s="51">
        <v>9233</v>
      </c>
      <c r="W100" s="51">
        <v>6254</v>
      </c>
      <c r="X100" s="51">
        <v>10379</v>
      </c>
      <c r="Y100" s="51">
        <v>10437</v>
      </c>
      <c r="Z100" s="51">
        <v>10050</v>
      </c>
      <c r="AA100" s="51">
        <v>9160</v>
      </c>
    </row>
    <row r="101" spans="1:37" x14ac:dyDescent="0.25">
      <c r="A101" s="27" t="s">
        <v>38</v>
      </c>
      <c r="B101" s="51">
        <v>0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1523</v>
      </c>
      <c r="K101" s="51">
        <v>1761</v>
      </c>
      <c r="L101" s="51">
        <v>1964</v>
      </c>
      <c r="M101" s="51">
        <v>1585</v>
      </c>
      <c r="N101" s="51">
        <v>2033</v>
      </c>
      <c r="O101" s="51">
        <v>1999</v>
      </c>
      <c r="P101" s="51">
        <v>2551</v>
      </c>
      <c r="Q101" s="51">
        <v>2767</v>
      </c>
      <c r="R101" s="51">
        <v>2975</v>
      </c>
      <c r="S101" s="51">
        <v>3035</v>
      </c>
      <c r="T101" s="51">
        <v>3290</v>
      </c>
      <c r="U101" s="51">
        <v>3298</v>
      </c>
      <c r="V101" s="51">
        <v>3671</v>
      </c>
      <c r="W101" s="51">
        <v>2481</v>
      </c>
      <c r="X101" s="51">
        <v>4341</v>
      </c>
      <c r="Y101" s="51">
        <v>4292</v>
      </c>
      <c r="Z101" s="51">
        <v>4484</v>
      </c>
      <c r="AA101" s="51">
        <v>4702</v>
      </c>
    </row>
    <row r="102" spans="1:37" x14ac:dyDescent="0.25">
      <c r="A102" s="27" t="s">
        <v>35</v>
      </c>
      <c r="B102" s="51">
        <v>1593</v>
      </c>
      <c r="C102" s="51">
        <v>1831</v>
      </c>
      <c r="D102" s="51">
        <v>1377</v>
      </c>
      <c r="E102" s="51">
        <v>1698</v>
      </c>
      <c r="F102" s="51">
        <v>1888</v>
      </c>
      <c r="G102" s="51">
        <v>1090</v>
      </c>
      <c r="H102" s="51">
        <v>2130</v>
      </c>
      <c r="I102" s="51">
        <v>2393</v>
      </c>
      <c r="J102" s="51">
        <v>2296</v>
      </c>
      <c r="K102" s="51">
        <v>2789</v>
      </c>
      <c r="L102" s="51">
        <v>3427</v>
      </c>
      <c r="M102" s="51">
        <v>3255</v>
      </c>
      <c r="N102" s="51">
        <v>3699</v>
      </c>
      <c r="O102" s="51">
        <v>4740</v>
      </c>
      <c r="P102" s="51">
        <v>4993</v>
      </c>
      <c r="Q102" s="51">
        <v>5521</v>
      </c>
      <c r="R102" s="51">
        <v>6343</v>
      </c>
      <c r="S102" s="51">
        <v>7748</v>
      </c>
      <c r="T102" s="51">
        <v>8512</v>
      </c>
      <c r="U102" s="51">
        <v>8568</v>
      </c>
      <c r="V102" s="51">
        <v>7555</v>
      </c>
      <c r="W102" s="51">
        <v>6261</v>
      </c>
      <c r="X102" s="51">
        <v>8284</v>
      </c>
      <c r="Y102" s="51">
        <v>7695</v>
      </c>
      <c r="Z102" s="51">
        <v>8433</v>
      </c>
      <c r="AA102" s="51">
        <v>8132</v>
      </c>
    </row>
    <row r="103" spans="1:37" x14ac:dyDescent="0.25">
      <c r="A103" s="27" t="s">
        <v>36</v>
      </c>
      <c r="B103" s="51">
        <v>0</v>
      </c>
      <c r="C103" s="51">
        <v>0</v>
      </c>
      <c r="D103" s="51">
        <v>0</v>
      </c>
      <c r="E103" s="51">
        <v>5</v>
      </c>
      <c r="F103" s="51">
        <v>104</v>
      </c>
      <c r="G103" s="51">
        <v>43</v>
      </c>
      <c r="H103" s="51">
        <v>81</v>
      </c>
      <c r="I103" s="51">
        <v>102</v>
      </c>
      <c r="J103" s="51">
        <v>208</v>
      </c>
      <c r="K103" s="51">
        <v>146</v>
      </c>
      <c r="L103" s="51">
        <v>202</v>
      </c>
      <c r="M103" s="51">
        <v>212</v>
      </c>
      <c r="N103" s="51">
        <v>226</v>
      </c>
      <c r="O103" s="51">
        <v>177</v>
      </c>
      <c r="P103" s="51">
        <v>215</v>
      </c>
      <c r="Q103" s="51">
        <v>408</v>
      </c>
      <c r="R103" s="51">
        <v>402</v>
      </c>
      <c r="S103" s="51">
        <v>458</v>
      </c>
      <c r="T103" s="51">
        <v>568</v>
      </c>
      <c r="U103" s="51">
        <v>587</v>
      </c>
      <c r="V103" s="51">
        <v>523</v>
      </c>
      <c r="W103" s="51">
        <v>501</v>
      </c>
      <c r="X103" s="51">
        <v>585</v>
      </c>
      <c r="Y103" s="51">
        <v>529</v>
      </c>
      <c r="Z103" s="51">
        <v>423</v>
      </c>
      <c r="AA103" s="51">
        <v>432</v>
      </c>
    </row>
    <row r="104" spans="1:37" x14ac:dyDescent="0.25">
      <c r="A104" s="27" t="s">
        <v>37</v>
      </c>
      <c r="B104" s="51">
        <v>244</v>
      </c>
      <c r="C104" s="51">
        <v>410</v>
      </c>
      <c r="D104" s="51">
        <v>340</v>
      </c>
      <c r="E104" s="51">
        <v>436</v>
      </c>
      <c r="F104" s="51">
        <v>482</v>
      </c>
      <c r="G104" s="51">
        <v>475</v>
      </c>
      <c r="H104" s="51">
        <v>1130</v>
      </c>
      <c r="I104" s="51">
        <v>810</v>
      </c>
      <c r="J104" s="51">
        <v>785</v>
      </c>
      <c r="K104" s="51">
        <v>939</v>
      </c>
      <c r="L104" s="51">
        <v>1085</v>
      </c>
      <c r="M104" s="51">
        <v>804</v>
      </c>
      <c r="N104" s="51">
        <v>1116</v>
      </c>
      <c r="O104" s="51">
        <v>1046</v>
      </c>
      <c r="P104" s="51">
        <v>1223</v>
      </c>
      <c r="Q104" s="51">
        <v>1249</v>
      </c>
      <c r="R104" s="51">
        <v>1418</v>
      </c>
      <c r="S104" s="51">
        <v>1222</v>
      </c>
      <c r="T104" s="51">
        <v>1543</v>
      </c>
      <c r="U104" s="51">
        <v>1590</v>
      </c>
      <c r="V104" s="51">
        <v>1182</v>
      </c>
      <c r="W104" s="51">
        <v>902</v>
      </c>
      <c r="X104" s="51">
        <v>1380</v>
      </c>
      <c r="Y104" s="51">
        <v>1592</v>
      </c>
      <c r="Z104" s="51">
        <v>1317</v>
      </c>
      <c r="AA104" s="51">
        <v>1313</v>
      </c>
    </row>
    <row r="105" spans="1:37" s="36" customFormat="1" x14ac:dyDescent="0.25">
      <c r="A105" s="27" t="s">
        <v>44</v>
      </c>
      <c r="B105" s="51">
        <v>1541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 spans="1:37" x14ac:dyDescent="0.25">
      <c r="A106" s="26" t="s">
        <v>15</v>
      </c>
      <c r="B106" s="52">
        <v>35771</v>
      </c>
      <c r="C106" s="52">
        <v>42006</v>
      </c>
      <c r="D106" s="52">
        <v>47586</v>
      </c>
      <c r="E106" s="52">
        <v>52247</v>
      </c>
      <c r="F106" s="52">
        <v>53243</v>
      </c>
      <c r="G106" s="52">
        <v>47934</v>
      </c>
      <c r="H106" s="52">
        <v>71169</v>
      </c>
      <c r="I106" s="52">
        <v>77456</v>
      </c>
      <c r="J106" s="52">
        <v>87126</v>
      </c>
      <c r="K106" s="52">
        <v>98022</v>
      </c>
      <c r="L106" s="52">
        <v>106130</v>
      </c>
      <c r="M106" s="52">
        <v>102164</v>
      </c>
      <c r="N106" s="52">
        <v>118332</v>
      </c>
      <c r="O106" s="52">
        <v>135721</v>
      </c>
      <c r="P106" s="52">
        <v>156991</v>
      </c>
      <c r="Q106" s="52">
        <v>171648</v>
      </c>
      <c r="R106" s="52">
        <v>189086</v>
      </c>
      <c r="S106" s="52">
        <v>197568</v>
      </c>
      <c r="T106" s="52">
        <v>206554</v>
      </c>
      <c r="U106" s="52">
        <v>209022</v>
      </c>
      <c r="V106" s="52">
        <v>201142</v>
      </c>
      <c r="W106" s="52">
        <v>160890</v>
      </c>
      <c r="X106" s="52">
        <v>228691</v>
      </c>
      <c r="Y106" s="52">
        <v>225935</v>
      </c>
      <c r="Z106" s="52">
        <v>231169</v>
      </c>
      <c r="AA106" s="52">
        <v>224817</v>
      </c>
    </row>
    <row r="108" spans="1:37" x14ac:dyDescent="0.25">
      <c r="J108" s="48"/>
    </row>
    <row r="109" spans="1:37" ht="15.75" x14ac:dyDescent="0.25">
      <c r="A109" s="24" t="s">
        <v>105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spans="1:37" x14ac:dyDescent="0.25">
      <c r="A110" s="1" t="s">
        <v>25</v>
      </c>
      <c r="B110" s="18">
        <v>1999</v>
      </c>
      <c r="C110" s="18">
        <v>2000</v>
      </c>
      <c r="D110" s="18">
        <v>2001</v>
      </c>
      <c r="E110" s="18">
        <v>2002</v>
      </c>
      <c r="F110" s="18">
        <v>2003</v>
      </c>
      <c r="G110" s="18">
        <v>2004</v>
      </c>
      <c r="H110" s="18">
        <v>2005</v>
      </c>
      <c r="I110" s="18">
        <v>2006</v>
      </c>
      <c r="J110" s="18">
        <v>2007</v>
      </c>
      <c r="K110" s="18">
        <v>2008</v>
      </c>
      <c r="L110" s="18">
        <v>2009</v>
      </c>
      <c r="M110" s="18">
        <v>2010</v>
      </c>
      <c r="N110" s="18">
        <v>2011</v>
      </c>
      <c r="O110" s="18">
        <v>2012</v>
      </c>
      <c r="P110" s="18">
        <v>2013</v>
      </c>
      <c r="Q110" s="18">
        <v>2014</v>
      </c>
      <c r="R110" s="18">
        <v>2015</v>
      </c>
      <c r="S110" s="18">
        <v>2016</v>
      </c>
      <c r="T110" s="18">
        <v>2017</v>
      </c>
      <c r="U110" s="18">
        <v>2018</v>
      </c>
      <c r="V110" s="18">
        <v>2019</v>
      </c>
      <c r="W110" s="18">
        <v>2020</v>
      </c>
      <c r="X110" s="18">
        <v>2021</v>
      </c>
      <c r="Y110" s="18">
        <v>2022</v>
      </c>
      <c r="Z110" s="18">
        <v>2023</v>
      </c>
      <c r="AA110" s="18">
        <v>2024</v>
      </c>
    </row>
    <row r="111" spans="1:37" x14ac:dyDescent="0.25">
      <c r="A111" s="27" t="s">
        <v>39</v>
      </c>
      <c r="B111" s="31"/>
      <c r="C111" s="14">
        <v>0</v>
      </c>
      <c r="D111" s="31"/>
      <c r="E111" s="31"/>
      <c r="F111" s="31"/>
      <c r="G111" s="31"/>
      <c r="H111" s="31"/>
      <c r="I111" s="31"/>
      <c r="J111" s="14">
        <f>J89/J$106</f>
        <v>1.9821867180864493E-2</v>
      </c>
      <c r="K111" s="14">
        <f t="shared" ref="K111:AA126" si="5">K89/K$106</f>
        <v>1.6363673461059762E-2</v>
      </c>
      <c r="L111" s="14">
        <f t="shared" si="5"/>
        <v>1.578253085838123E-2</v>
      </c>
      <c r="M111" s="14">
        <f t="shared" si="5"/>
        <v>1.5719823029638619E-2</v>
      </c>
      <c r="N111" s="14">
        <f t="shared" si="5"/>
        <v>1.5684683771084746E-2</v>
      </c>
      <c r="O111" s="14">
        <f t="shared" si="5"/>
        <v>1.3505647615328504E-2</v>
      </c>
      <c r="P111" s="14">
        <f t="shared" si="5"/>
        <v>1.3408411947181686E-2</v>
      </c>
      <c r="Q111" s="14">
        <f t="shared" si="5"/>
        <v>1.4861810216256524E-2</v>
      </c>
      <c r="R111" s="14">
        <f t="shared" si="5"/>
        <v>1.282485218366246E-2</v>
      </c>
      <c r="S111" s="14">
        <f t="shared" si="5"/>
        <v>1.2421039844509232E-2</v>
      </c>
      <c r="T111" s="14">
        <f t="shared" si="5"/>
        <v>1.2931243161594547E-2</v>
      </c>
      <c r="U111" s="14">
        <f t="shared" si="5"/>
        <v>1.4653959870252892E-2</v>
      </c>
      <c r="V111" s="14">
        <f t="shared" si="5"/>
        <v>1.4681170516351632E-2</v>
      </c>
      <c r="W111" s="14">
        <f t="shared" si="5"/>
        <v>1.484243893343278E-2</v>
      </c>
      <c r="X111" s="14">
        <f t="shared" si="5"/>
        <v>1.5536247600474002E-2</v>
      </c>
      <c r="Y111" s="14">
        <f t="shared" si="5"/>
        <v>1.3481753601699604E-2</v>
      </c>
      <c r="Z111" s="14">
        <f t="shared" si="5"/>
        <v>1.4521843326743637E-2</v>
      </c>
      <c r="AA111" s="14">
        <f t="shared" si="5"/>
        <v>1.396246725114204E-2</v>
      </c>
    </row>
    <row r="112" spans="1:37" x14ac:dyDescent="0.25">
      <c r="A112" s="27" t="s">
        <v>26</v>
      </c>
      <c r="B112" s="14">
        <v>2.1246260937631042E-2</v>
      </c>
      <c r="C112" s="14">
        <v>1.8473551397419415E-2</v>
      </c>
      <c r="D112" s="14">
        <v>1.5971478031489572E-2</v>
      </c>
      <c r="E112" s="14">
        <v>1.1637031791299022E-2</v>
      </c>
      <c r="F112" s="14">
        <v>1.3823153782585831E-2</v>
      </c>
      <c r="G112" s="14">
        <v>2.0027537864563776E-2</v>
      </c>
      <c r="H112" s="14">
        <v>2.1793196475993763E-2</v>
      </c>
      <c r="I112" s="14">
        <v>2.6427907457136954E-2</v>
      </c>
      <c r="J112" s="14">
        <f t="shared" ref="J112:Y126" si="6">J90/J$106</f>
        <v>1.2304019466060648E-2</v>
      </c>
      <c r="K112" s="14">
        <f t="shared" si="6"/>
        <v>1.4843606537307952E-2</v>
      </c>
      <c r="L112" s="14">
        <f t="shared" si="6"/>
        <v>1.2786205596909451E-2</v>
      </c>
      <c r="M112" s="14">
        <f t="shared" si="6"/>
        <v>1.2479934223405506E-2</v>
      </c>
      <c r="N112" s="14">
        <f t="shared" si="6"/>
        <v>1.2338167190616232E-2</v>
      </c>
      <c r="O112" s="14">
        <f t="shared" si="6"/>
        <v>1.1420487617981005E-2</v>
      </c>
      <c r="P112" s="14">
        <f t="shared" si="6"/>
        <v>1.1994318145626182E-2</v>
      </c>
      <c r="Q112" s="14">
        <f t="shared" si="6"/>
        <v>1.2461549217002238E-2</v>
      </c>
      <c r="R112" s="14">
        <f t="shared" si="6"/>
        <v>1.3068127730239151E-2</v>
      </c>
      <c r="S112" s="14">
        <f t="shared" si="6"/>
        <v>1.2724732750242954E-2</v>
      </c>
      <c r="T112" s="14">
        <f t="shared" si="6"/>
        <v>1.4214200644867687E-2</v>
      </c>
      <c r="U112" s="14">
        <f t="shared" si="6"/>
        <v>1.6294935461338998E-2</v>
      </c>
      <c r="V112" s="14">
        <f t="shared" si="6"/>
        <v>1.4581738274452874E-2</v>
      </c>
      <c r="W112" s="14">
        <f t="shared" si="6"/>
        <v>1.5693952389831563E-2</v>
      </c>
      <c r="X112" s="14">
        <f t="shared" si="6"/>
        <v>1.7919375926468466E-2</v>
      </c>
      <c r="Y112" s="14">
        <f t="shared" si="6"/>
        <v>1.6411799853940291E-2</v>
      </c>
      <c r="Z112" s="14">
        <f t="shared" si="5"/>
        <v>1.6416561044084631E-2</v>
      </c>
      <c r="AA112" s="14">
        <f t="shared" si="5"/>
        <v>1.4825391318272195E-2</v>
      </c>
    </row>
    <row r="113" spans="1:27" x14ac:dyDescent="0.25">
      <c r="A113" s="27" t="s">
        <v>27</v>
      </c>
      <c r="B113" s="14">
        <v>2.2280618378015711E-2</v>
      </c>
      <c r="C113" s="14">
        <v>2.0616102461553112E-2</v>
      </c>
      <c r="D113" s="14">
        <v>2.3658395845354875E-2</v>
      </c>
      <c r="E113" s="14">
        <v>3.0011292514402741E-2</v>
      </c>
      <c r="F113" s="14">
        <v>3.237923521899181E-2</v>
      </c>
      <c r="G113" s="14">
        <v>2.3803563232778404E-2</v>
      </c>
      <c r="H113" s="14">
        <v>2.3661987663167953E-2</v>
      </c>
      <c r="I113" s="14">
        <v>2.4969014666391242E-2</v>
      </c>
      <c r="J113" s="14">
        <f t="shared" si="6"/>
        <v>3.9483047540343867E-2</v>
      </c>
      <c r="K113" s="14">
        <f t="shared" si="5"/>
        <v>3.6399991838566854E-2</v>
      </c>
      <c r="L113" s="14">
        <f t="shared" si="5"/>
        <v>3.8320927164797888E-2</v>
      </c>
      <c r="M113" s="14">
        <f t="shared" si="5"/>
        <v>3.7919423671743474E-2</v>
      </c>
      <c r="N113" s="14">
        <f t="shared" si="5"/>
        <v>3.4529966534834193E-2</v>
      </c>
      <c r="O113" s="14">
        <f t="shared" si="5"/>
        <v>3.2905740452840754E-2</v>
      </c>
      <c r="P113" s="14">
        <f t="shared" si="5"/>
        <v>3.4014688740118863E-2</v>
      </c>
      <c r="Q113" s="14">
        <f t="shared" si="5"/>
        <v>3.3999813571961225E-2</v>
      </c>
      <c r="R113" s="14">
        <f t="shared" si="5"/>
        <v>3.7966851062479504E-2</v>
      </c>
      <c r="S113" s="14">
        <f t="shared" si="5"/>
        <v>3.4337544541626172E-2</v>
      </c>
      <c r="T113" s="14">
        <f t="shared" si="5"/>
        <v>3.2790456732864043E-2</v>
      </c>
      <c r="U113" s="14">
        <f t="shared" si="5"/>
        <v>3.4867143171532181E-2</v>
      </c>
      <c r="V113" s="14">
        <f t="shared" si="5"/>
        <v>3.4159946704318343E-2</v>
      </c>
      <c r="W113" s="14">
        <f t="shared" si="5"/>
        <v>3.5763565168748832E-2</v>
      </c>
      <c r="X113" s="14">
        <f t="shared" si="5"/>
        <v>3.1605966128968786E-2</v>
      </c>
      <c r="Y113" s="14">
        <f t="shared" si="5"/>
        <v>3.3677827693805742E-2</v>
      </c>
      <c r="Z113" s="14">
        <f t="shared" si="5"/>
        <v>3.3940537009720162E-2</v>
      </c>
      <c r="AA113" s="14">
        <f t="shared" si="5"/>
        <v>3.0206790411757119E-2</v>
      </c>
    </row>
    <row r="114" spans="1:27" x14ac:dyDescent="0.25">
      <c r="A114" s="27" t="s">
        <v>28</v>
      </c>
      <c r="B114" s="14">
        <v>2.2644041262475188E-3</v>
      </c>
      <c r="C114" s="14">
        <v>7.9750511831643105E-3</v>
      </c>
      <c r="D114" s="14">
        <v>1.4611326353969169E-2</v>
      </c>
      <c r="E114" s="14">
        <v>1.3053381055371601E-2</v>
      </c>
      <c r="F114" s="14">
        <v>1.1193749530463527E-2</v>
      </c>
      <c r="G114" s="14">
        <v>8.6994617599198895E-3</v>
      </c>
      <c r="H114" s="14">
        <v>7.8264412876392804E-3</v>
      </c>
      <c r="I114" s="14">
        <v>7.9658128485850035E-3</v>
      </c>
      <c r="J114" s="14">
        <f t="shared" si="6"/>
        <v>7.2423845924293549E-3</v>
      </c>
      <c r="K114" s="14">
        <f t="shared" si="5"/>
        <v>7.5085184958478711E-3</v>
      </c>
      <c r="L114" s="14">
        <f t="shared" si="5"/>
        <v>8.5932347121454814E-3</v>
      </c>
      <c r="M114" s="14">
        <f t="shared" si="5"/>
        <v>1.0218863787635566E-2</v>
      </c>
      <c r="N114" s="14">
        <f t="shared" si="5"/>
        <v>7.0141635398708714E-3</v>
      </c>
      <c r="O114" s="14">
        <f t="shared" si="5"/>
        <v>7.7806676932825431E-3</v>
      </c>
      <c r="P114" s="14">
        <f t="shared" si="5"/>
        <v>7.5036148569026248E-3</v>
      </c>
      <c r="Q114" s="14">
        <f t="shared" si="5"/>
        <v>7.9231916480238633E-3</v>
      </c>
      <c r="R114" s="14">
        <f t="shared" si="5"/>
        <v>8.3454089673481915E-3</v>
      </c>
      <c r="S114" s="14">
        <f t="shared" si="5"/>
        <v>9.6827421444768379E-3</v>
      </c>
      <c r="T114" s="14">
        <f t="shared" si="5"/>
        <v>9.5907123560909011E-3</v>
      </c>
      <c r="U114" s="14">
        <f t="shared" si="5"/>
        <v>8.9081532087531452E-3</v>
      </c>
      <c r="V114" s="14">
        <f t="shared" si="5"/>
        <v>1.008242932853407E-2</v>
      </c>
      <c r="W114" s="14">
        <f t="shared" si="5"/>
        <v>1.1641494188576046E-2</v>
      </c>
      <c r="X114" s="14">
        <f t="shared" si="5"/>
        <v>1.1307834589030613E-2</v>
      </c>
      <c r="Y114" s="14">
        <f t="shared" si="5"/>
        <v>1.2118529665611791E-2</v>
      </c>
      <c r="Z114" s="14">
        <f t="shared" si="5"/>
        <v>1.0442576643062002E-2</v>
      </c>
      <c r="AA114" s="14">
        <f t="shared" si="5"/>
        <v>1.1729540025887723E-2</v>
      </c>
    </row>
    <row r="115" spans="1:27" x14ac:dyDescent="0.25">
      <c r="A115" s="27" t="s">
        <v>29</v>
      </c>
      <c r="B115" s="14">
        <v>1.5711050851248218E-2</v>
      </c>
      <c r="C115" s="14">
        <v>1.5212112555349235E-2</v>
      </c>
      <c r="D115" s="14">
        <v>1.6919462534003792E-2</v>
      </c>
      <c r="E115" s="14">
        <v>2.1092120121729476E-2</v>
      </c>
      <c r="F115" s="14">
        <v>2.6763578994816316E-2</v>
      </c>
      <c r="G115" s="14">
        <v>3.4547502816372512E-2</v>
      </c>
      <c r="H115" s="14">
        <v>2.0374039258665991E-2</v>
      </c>
      <c r="I115" s="14">
        <v>2.114749018797769E-2</v>
      </c>
      <c r="J115" s="14">
        <f t="shared" si="6"/>
        <v>3.5672474347496728E-2</v>
      </c>
      <c r="K115" s="14">
        <f t="shared" si="5"/>
        <v>4.1521291138723958E-2</v>
      </c>
      <c r="L115" s="14">
        <f t="shared" si="5"/>
        <v>3.3534344671629135E-2</v>
      </c>
      <c r="M115" s="14">
        <f t="shared" si="5"/>
        <v>3.104811871109197E-2</v>
      </c>
      <c r="N115" s="14">
        <f t="shared" si="5"/>
        <v>2.918906128519758E-2</v>
      </c>
      <c r="O115" s="14">
        <f t="shared" si="5"/>
        <v>3.2279455647983735E-2</v>
      </c>
      <c r="P115" s="14">
        <f t="shared" si="5"/>
        <v>3.8390735774662239E-2</v>
      </c>
      <c r="Q115" s="14">
        <f t="shared" si="5"/>
        <v>3.4611530574198357E-2</v>
      </c>
      <c r="R115" s="14">
        <f t="shared" si="5"/>
        <v>3.2873930380884889E-2</v>
      </c>
      <c r="S115" s="14">
        <f t="shared" si="5"/>
        <v>3.4246436669906059E-2</v>
      </c>
      <c r="T115" s="14">
        <f t="shared" si="5"/>
        <v>3.5288592813501551E-2</v>
      </c>
      <c r="U115" s="14">
        <f t="shared" si="5"/>
        <v>3.7842906488312233E-2</v>
      </c>
      <c r="V115" s="14">
        <f t="shared" si="5"/>
        <v>3.9037098169452424E-2</v>
      </c>
      <c r="W115" s="14">
        <f t="shared" si="5"/>
        <v>3.2879607185033251E-2</v>
      </c>
      <c r="X115" s="14">
        <f t="shared" si="5"/>
        <v>4.0889234819035294E-2</v>
      </c>
      <c r="Y115" s="14">
        <f t="shared" si="5"/>
        <v>3.9179410007302982E-2</v>
      </c>
      <c r="Z115" s="14">
        <f t="shared" si="5"/>
        <v>3.959440928498198E-2</v>
      </c>
      <c r="AA115" s="14">
        <f t="shared" si="5"/>
        <v>3.8048724073357444E-2</v>
      </c>
    </row>
    <row r="116" spans="1:27" x14ac:dyDescent="0.25">
      <c r="A116" s="27" t="s">
        <v>30</v>
      </c>
      <c r="B116" s="14">
        <v>0.12437449330463224</v>
      </c>
      <c r="C116" s="14">
        <v>0.1035090225205923</v>
      </c>
      <c r="D116" s="14">
        <v>8.8698376061330478E-2</v>
      </c>
      <c r="E116" s="14">
        <v>0.11116427737477749</v>
      </c>
      <c r="F116" s="14">
        <v>0.12431447674855382</v>
      </c>
      <c r="G116" s="14">
        <v>0.1270914173655443</v>
      </c>
      <c r="H116" s="14">
        <v>0.12037544436482177</v>
      </c>
      <c r="I116" s="14">
        <v>0.10573745093988846</v>
      </c>
      <c r="J116" s="14">
        <f t="shared" si="6"/>
        <v>0.11370888139017056</v>
      </c>
      <c r="K116" s="14">
        <f t="shared" si="5"/>
        <v>0.10939380955295749</v>
      </c>
      <c r="L116" s="14">
        <f t="shared" si="5"/>
        <v>0.11376613587110147</v>
      </c>
      <c r="M116" s="14">
        <f t="shared" si="5"/>
        <v>0.11098821502681962</v>
      </c>
      <c r="N116" s="14">
        <f t="shared" si="5"/>
        <v>0.10476456072744482</v>
      </c>
      <c r="O116" s="14">
        <f t="shared" si="5"/>
        <v>0.11687211264284819</v>
      </c>
      <c r="P116" s="14">
        <f t="shared" si="5"/>
        <v>0.11043945194310502</v>
      </c>
      <c r="Q116" s="14">
        <f t="shared" si="5"/>
        <v>0.11109945935868755</v>
      </c>
      <c r="R116" s="14">
        <f t="shared" si="5"/>
        <v>0.11043652094813999</v>
      </c>
      <c r="S116" s="14">
        <f t="shared" si="5"/>
        <v>0.10899538386783285</v>
      </c>
      <c r="T116" s="14">
        <f t="shared" si="5"/>
        <v>0.112236993715929</v>
      </c>
      <c r="U116" s="14">
        <f t="shared" si="5"/>
        <v>0.10474973926189587</v>
      </c>
      <c r="V116" s="14">
        <f t="shared" si="5"/>
        <v>0.10633781109862685</v>
      </c>
      <c r="W116" s="14">
        <f t="shared" si="5"/>
        <v>0.10758903598732053</v>
      </c>
      <c r="X116" s="14">
        <f t="shared" si="5"/>
        <v>0.10094844134662055</v>
      </c>
      <c r="Y116" s="14">
        <f t="shared" si="5"/>
        <v>0.1066766990506119</v>
      </c>
      <c r="Z116" s="14">
        <f t="shared" si="5"/>
        <v>9.9606781186058688E-2</v>
      </c>
      <c r="AA116" s="14">
        <f t="shared" si="5"/>
        <v>9.9045001045294623E-2</v>
      </c>
    </row>
    <row r="117" spans="1:27" x14ac:dyDescent="0.25">
      <c r="A117" s="27" t="s">
        <v>40</v>
      </c>
      <c r="B117" s="14">
        <v>0.54175169830309466</v>
      </c>
      <c r="C117" s="14">
        <v>0.64690758463076703</v>
      </c>
      <c r="D117" s="14">
        <v>0.64137334102712062</v>
      </c>
      <c r="E117" s="14">
        <v>0.59595766264091721</v>
      </c>
      <c r="F117" s="14">
        <v>0.54578919690481553</v>
      </c>
      <c r="G117" s="14">
        <v>0.53890766470563689</v>
      </c>
      <c r="H117" s="14">
        <v>0.56184574744621951</v>
      </c>
      <c r="I117" s="14">
        <v>0.56972991117537697</v>
      </c>
      <c r="J117" s="14">
        <f t="shared" si="6"/>
        <v>0.47476069141243715</v>
      </c>
      <c r="K117" s="14">
        <f t="shared" si="5"/>
        <v>0.45505090693925854</v>
      </c>
      <c r="L117" s="14">
        <f t="shared" si="5"/>
        <v>0.46686139640064073</v>
      </c>
      <c r="M117" s="14">
        <f t="shared" si="5"/>
        <v>0.48915469245526799</v>
      </c>
      <c r="N117" s="14">
        <f t="shared" si="5"/>
        <v>0.48543927255518371</v>
      </c>
      <c r="O117" s="14">
        <f t="shared" si="5"/>
        <v>0.47519543769939804</v>
      </c>
      <c r="P117" s="14">
        <f t="shared" si="5"/>
        <v>0.46805867852297267</v>
      </c>
      <c r="Q117" s="14">
        <f t="shared" si="5"/>
        <v>0.46256291946308725</v>
      </c>
      <c r="R117" s="14">
        <f t="shared" si="5"/>
        <v>0.45866960007615581</v>
      </c>
      <c r="S117" s="14">
        <f t="shared" si="5"/>
        <v>0.45068533365727242</v>
      </c>
      <c r="T117" s="14">
        <f t="shared" si="5"/>
        <v>0.4536295593404146</v>
      </c>
      <c r="U117" s="14">
        <f t="shared" si="5"/>
        <v>0.45128264010486935</v>
      </c>
      <c r="V117" s="14">
        <f t="shared" si="5"/>
        <v>0.45824343001461654</v>
      </c>
      <c r="W117" s="14">
        <f t="shared" si="5"/>
        <v>0.4761700540742122</v>
      </c>
      <c r="X117" s="14">
        <f t="shared" si="5"/>
        <v>0.46974738839744457</v>
      </c>
      <c r="Y117" s="14">
        <f t="shared" si="5"/>
        <v>0.4671432049040653</v>
      </c>
      <c r="Z117" s="14">
        <f t="shared" si="5"/>
        <v>0.48214942314929771</v>
      </c>
      <c r="AA117" s="14">
        <f t="shared" si="5"/>
        <v>0.49574987656627389</v>
      </c>
    </row>
    <row r="118" spans="1:27" x14ac:dyDescent="0.25">
      <c r="A118" s="27" t="s">
        <v>31</v>
      </c>
      <c r="B118" s="14">
        <v>6.1502334293142493E-4</v>
      </c>
      <c r="C118" s="14">
        <v>1.2855306384802171E-3</v>
      </c>
      <c r="D118" s="14">
        <v>0</v>
      </c>
      <c r="E118" s="14">
        <v>7.7899209523991809E-3</v>
      </c>
      <c r="F118" s="14">
        <v>6.9491398091803772E-3</v>
      </c>
      <c r="G118" s="14">
        <v>8.6785997413109696E-3</v>
      </c>
      <c r="H118" s="14">
        <v>4.9319226067529405E-3</v>
      </c>
      <c r="I118" s="14">
        <v>4.54451559595125E-3</v>
      </c>
      <c r="J118" s="14">
        <f t="shared" si="6"/>
        <v>2.0269494754723043E-2</v>
      </c>
      <c r="K118" s="14">
        <f t="shared" si="5"/>
        <v>2.352533104813205E-2</v>
      </c>
      <c r="L118" s="14">
        <f t="shared" si="5"/>
        <v>2.2218034486007725E-2</v>
      </c>
      <c r="M118" s="14">
        <f t="shared" si="5"/>
        <v>2.269879801104107E-2</v>
      </c>
      <c r="N118" s="14">
        <f t="shared" si="5"/>
        <v>2.7439745799952675E-2</v>
      </c>
      <c r="O118" s="14">
        <f t="shared" si="5"/>
        <v>2.789546201398457E-2</v>
      </c>
      <c r="P118" s="14">
        <f t="shared" si="5"/>
        <v>2.9428438572911823E-2</v>
      </c>
      <c r="Q118" s="14">
        <f t="shared" si="5"/>
        <v>3.0492636092468307E-2</v>
      </c>
      <c r="R118" s="14">
        <f t="shared" si="5"/>
        <v>3.3847032567191647E-2</v>
      </c>
      <c r="S118" s="14">
        <f t="shared" si="5"/>
        <v>3.6346979267897636E-2</v>
      </c>
      <c r="T118" s="14">
        <f t="shared" si="5"/>
        <v>3.2698471101987855E-2</v>
      </c>
      <c r="U118" s="14">
        <f t="shared" si="5"/>
        <v>3.127421993857106E-2</v>
      </c>
      <c r="V118" s="14">
        <f t="shared" si="5"/>
        <v>3.140567360372274E-2</v>
      </c>
      <c r="W118" s="14">
        <f t="shared" si="5"/>
        <v>2.9523276772950462E-2</v>
      </c>
      <c r="X118" s="14">
        <f t="shared" si="5"/>
        <v>2.5449186894106021E-2</v>
      </c>
      <c r="Y118" s="14">
        <f t="shared" si="5"/>
        <v>2.5232920972846174E-2</v>
      </c>
      <c r="Z118" s="14">
        <f t="shared" si="5"/>
        <v>2.3182174080434659E-2</v>
      </c>
      <c r="AA118" s="14">
        <f t="shared" si="5"/>
        <v>2.4682297157243446E-2</v>
      </c>
    </row>
    <row r="119" spans="1:27" x14ac:dyDescent="0.25">
      <c r="A119" s="27" t="s">
        <v>32</v>
      </c>
      <c r="B119" s="14">
        <v>1.2943445808056805E-2</v>
      </c>
      <c r="C119" s="14">
        <v>2.5163071942103508E-2</v>
      </c>
      <c r="D119" s="14">
        <v>2.3040145082845603E-2</v>
      </c>
      <c r="E119" s="14">
        <v>2.5532566463146208E-2</v>
      </c>
      <c r="F119" s="14">
        <v>2.1880399669446323E-2</v>
      </c>
      <c r="G119" s="14">
        <v>2.1925981557975548E-2</v>
      </c>
      <c r="H119" s="14">
        <v>4.1408478410543917E-2</v>
      </c>
      <c r="I119" s="14">
        <v>4.0732803139847139E-2</v>
      </c>
      <c r="J119" s="14">
        <f t="shared" si="6"/>
        <v>3.4398457406514704E-2</v>
      </c>
      <c r="K119" s="14">
        <f t="shared" si="5"/>
        <v>4.3673869131419477E-2</v>
      </c>
      <c r="L119" s="14">
        <f t="shared" si="5"/>
        <v>4.4464336191463297E-2</v>
      </c>
      <c r="M119" s="14">
        <f t="shared" si="5"/>
        <v>3.7048275322031241E-2</v>
      </c>
      <c r="N119" s="14">
        <f t="shared" si="5"/>
        <v>4.0344116553425957E-2</v>
      </c>
      <c r="O119" s="14">
        <f t="shared" si="5"/>
        <v>4.4451485031793164E-2</v>
      </c>
      <c r="P119" s="14">
        <f t="shared" si="5"/>
        <v>4.467135058697632E-2</v>
      </c>
      <c r="Q119" s="14">
        <f t="shared" si="5"/>
        <v>4.5872949291573456E-2</v>
      </c>
      <c r="R119" s="14">
        <f t="shared" si="5"/>
        <v>4.5756957151772207E-2</v>
      </c>
      <c r="S119" s="14">
        <f t="shared" si="5"/>
        <v>4.7826571104632329E-2</v>
      </c>
      <c r="T119" s="14">
        <f t="shared" si="5"/>
        <v>4.6685128344161816E-2</v>
      </c>
      <c r="U119" s="14">
        <f t="shared" si="5"/>
        <v>4.6248720230406368E-2</v>
      </c>
      <c r="V119" s="14">
        <f t="shared" si="5"/>
        <v>4.6782869813365685E-2</v>
      </c>
      <c r="W119" s="14">
        <f t="shared" si="5"/>
        <v>4.9033501149853935E-2</v>
      </c>
      <c r="X119" s="14">
        <f t="shared" si="5"/>
        <v>4.775876619543401E-2</v>
      </c>
      <c r="Y119" s="14">
        <f t="shared" si="5"/>
        <v>5.099254210281718E-2</v>
      </c>
      <c r="Z119" s="14">
        <f t="shared" si="5"/>
        <v>4.7515021477793302E-2</v>
      </c>
      <c r="AA119" s="14">
        <f t="shared" si="5"/>
        <v>4.6860335294928765E-2</v>
      </c>
    </row>
    <row r="120" spans="1:27" x14ac:dyDescent="0.25">
      <c r="A120" s="27" t="s">
        <v>68</v>
      </c>
      <c r="B120" s="31"/>
      <c r="C120" s="14">
        <v>0</v>
      </c>
      <c r="D120" s="31"/>
      <c r="E120" s="31"/>
      <c r="F120" s="31"/>
      <c r="G120" s="31"/>
      <c r="H120" s="31"/>
      <c r="I120" s="31"/>
      <c r="J120" s="14">
        <f t="shared" si="6"/>
        <v>2.2530587884213669E-2</v>
      </c>
      <c r="K120" s="14">
        <f t="shared" si="5"/>
        <v>2.0505600783497582E-2</v>
      </c>
      <c r="L120" s="14">
        <f t="shared" si="5"/>
        <v>2.2349948176764344E-2</v>
      </c>
      <c r="M120" s="14">
        <f t="shared" si="5"/>
        <v>2.0711796719000822E-2</v>
      </c>
      <c r="N120" s="14">
        <f t="shared" si="5"/>
        <v>2.5107325152959471E-2</v>
      </c>
      <c r="O120" s="14">
        <f t="shared" si="5"/>
        <v>2.3025176649155252E-2</v>
      </c>
      <c r="P120" s="14">
        <f t="shared" si="5"/>
        <v>2.4753011319120204E-2</v>
      </c>
      <c r="Q120" s="14">
        <f t="shared" si="5"/>
        <v>2.3390892990305744E-2</v>
      </c>
      <c r="R120" s="14">
        <f t="shared" si="5"/>
        <v>2.3946775541288091E-2</v>
      </c>
      <c r="S120" s="14">
        <f t="shared" si="5"/>
        <v>2.4609248461289278E-2</v>
      </c>
      <c r="T120" s="14">
        <f t="shared" si="5"/>
        <v>2.4129283383521983E-2</v>
      </c>
      <c r="U120" s="14">
        <f t="shared" si="5"/>
        <v>2.6222120159600425E-2</v>
      </c>
      <c r="V120" s="14">
        <f t="shared" si="5"/>
        <v>2.3739447753328494E-2</v>
      </c>
      <c r="W120" s="14">
        <f t="shared" si="5"/>
        <v>1.9895580831624092E-2</v>
      </c>
      <c r="X120" s="14">
        <f t="shared" si="5"/>
        <v>2.2882404642071617E-2</v>
      </c>
      <c r="Y120" s="14">
        <f t="shared" si="5"/>
        <v>2.2055015823134974E-2</v>
      </c>
      <c r="Z120" s="14">
        <f t="shared" si="5"/>
        <v>2.1962287330913748E-2</v>
      </c>
      <c r="AA120" s="14">
        <f t="shared" si="5"/>
        <v>1.9589265936294852E-2</v>
      </c>
    </row>
    <row r="121" spans="1:27" x14ac:dyDescent="0.25">
      <c r="A121" s="27" t="s">
        <v>33</v>
      </c>
      <c r="B121" s="14">
        <v>0.13340415420312543</v>
      </c>
      <c r="C121" s="14">
        <v>7.8988715897728892E-2</v>
      </c>
      <c r="D121" s="14">
        <v>0.11400544060671008</v>
      </c>
      <c r="E121" s="14">
        <v>0.10226424483702413</v>
      </c>
      <c r="F121" s="14">
        <v>0.12463376155059724</v>
      </c>
      <c r="G121" s="14">
        <v>0.13691742813034588</v>
      </c>
      <c r="H121" s="14">
        <v>0.11256305413874018</v>
      </c>
      <c r="I121" s="14">
        <v>0.12184982441644289</v>
      </c>
      <c r="J121" s="14">
        <f t="shared" si="6"/>
        <v>0.11476482335927278</v>
      </c>
      <c r="K121" s="14">
        <f t="shared" si="5"/>
        <v>0.12204403093183162</v>
      </c>
      <c r="L121" s="14">
        <f t="shared" si="5"/>
        <v>0.1099877508715726</v>
      </c>
      <c r="M121" s="14">
        <f t="shared" si="5"/>
        <v>0.10687717787087428</v>
      </c>
      <c r="N121" s="14">
        <f t="shared" si="5"/>
        <v>0.11248859142074841</v>
      </c>
      <c r="O121" s="14">
        <f t="shared" si="5"/>
        <v>0.11241443844357174</v>
      </c>
      <c r="P121" s="14">
        <f t="shared" si="5"/>
        <v>0.1162741813224962</v>
      </c>
      <c r="Q121" s="14">
        <f t="shared" si="5"/>
        <v>0.11589998135719612</v>
      </c>
      <c r="R121" s="14">
        <f t="shared" si="5"/>
        <v>0.11817902964788508</v>
      </c>
      <c r="S121" s="14">
        <f t="shared" si="5"/>
        <v>0.11452259475218658</v>
      </c>
      <c r="T121" s="14">
        <f t="shared" si="5"/>
        <v>0.1113849162930759</v>
      </c>
      <c r="U121" s="14">
        <f t="shared" si="5"/>
        <v>0.11378706547636135</v>
      </c>
      <c r="V121" s="14">
        <f t="shared" si="5"/>
        <v>0.11075757425102664</v>
      </c>
      <c r="W121" s="14">
        <f t="shared" si="5"/>
        <v>0.10504071104481323</v>
      </c>
      <c r="X121" s="14">
        <f t="shared" si="5"/>
        <v>0.10677289442960151</v>
      </c>
      <c r="Y121" s="14">
        <f t="shared" si="5"/>
        <v>0.10439285635249076</v>
      </c>
      <c r="Z121" s="14">
        <f t="shared" si="5"/>
        <v>0.10378986801863571</v>
      </c>
      <c r="AA121" s="14">
        <f t="shared" si="5"/>
        <v>9.9707762313348186E-2</v>
      </c>
    </row>
    <row r="122" spans="1:27" x14ac:dyDescent="0.25">
      <c r="A122" s="27" t="s">
        <v>34</v>
      </c>
      <c r="B122" s="14">
        <v>3.097481199854631E-2</v>
      </c>
      <c r="C122" s="14">
        <v>2.8519735275912964E-2</v>
      </c>
      <c r="D122" s="14">
        <v>2.6337482482895063E-2</v>
      </c>
      <c r="E122" s="14">
        <v>4.0557352575267477E-2</v>
      </c>
      <c r="F122" s="14">
        <v>4.5789196904815567E-2</v>
      </c>
      <c r="G122" s="14">
        <v>4.5854716902407479E-2</v>
      </c>
      <c r="H122" s="14">
        <v>3.8275091683176665E-2</v>
      </c>
      <c r="I122" s="14">
        <v>3.4225883082007851E-2</v>
      </c>
      <c r="J122" s="14">
        <f t="shared" si="6"/>
        <v>4.9812914629387327E-2</v>
      </c>
      <c r="K122" s="14">
        <f t="shared" si="5"/>
        <v>5.1682275407561568E-2</v>
      </c>
      <c r="L122" s="14">
        <f t="shared" si="5"/>
        <v>4.8412324507679259E-2</v>
      </c>
      <c r="M122" s="14">
        <f t="shared" si="5"/>
        <v>4.7815277397126189E-2</v>
      </c>
      <c r="N122" s="14">
        <f t="shared" si="5"/>
        <v>4.5879390190312001E-2</v>
      </c>
      <c r="O122" s="14">
        <f t="shared" si="5"/>
        <v>4.3589422418048793E-2</v>
      </c>
      <c r="P122" s="14">
        <f t="shared" si="5"/>
        <v>4.3849647432018399E-2</v>
      </c>
      <c r="Q122" s="14">
        <f t="shared" si="5"/>
        <v>4.888492729306488E-2</v>
      </c>
      <c r="R122" s="14">
        <f t="shared" si="5"/>
        <v>4.5180499878362229E-2</v>
      </c>
      <c r="S122" s="14">
        <f t="shared" si="5"/>
        <v>5.0519314868804663E-2</v>
      </c>
      <c r="T122" s="14">
        <f t="shared" si="5"/>
        <v>4.7062753565653537E-2</v>
      </c>
      <c r="U122" s="14">
        <f t="shared" si="5"/>
        <v>4.6684081101510844E-2</v>
      </c>
      <c r="V122" s="14">
        <f t="shared" si="5"/>
        <v>4.590289447256167E-2</v>
      </c>
      <c r="W122" s="14">
        <f t="shared" si="5"/>
        <v>3.8871278513269936E-2</v>
      </c>
      <c r="X122" s="14">
        <f t="shared" si="5"/>
        <v>4.5384383294489072E-2</v>
      </c>
      <c r="Y122" s="14">
        <f t="shared" si="5"/>
        <v>4.6194702016066569E-2</v>
      </c>
      <c r="Z122" s="14">
        <f t="shared" si="5"/>
        <v>4.3474687349947444E-2</v>
      </c>
      <c r="AA122" s="14">
        <f t="shared" si="5"/>
        <v>4.0744249767588753E-2</v>
      </c>
    </row>
    <row r="123" spans="1:27" x14ac:dyDescent="0.25">
      <c r="A123" s="27" t="s">
        <v>38</v>
      </c>
      <c r="B123" s="31"/>
      <c r="C123" s="14">
        <v>0</v>
      </c>
      <c r="D123" s="31"/>
      <c r="E123" s="31"/>
      <c r="F123" s="31"/>
      <c r="G123" s="31"/>
      <c r="H123" s="31"/>
      <c r="I123" s="31"/>
      <c r="J123" s="14">
        <f t="shared" si="6"/>
        <v>1.7480430640681312E-2</v>
      </c>
      <c r="K123" s="14">
        <f t="shared" si="5"/>
        <v>1.7965354716288181E-2</v>
      </c>
      <c r="L123" s="14">
        <f t="shared" si="5"/>
        <v>1.8505606331857157E-2</v>
      </c>
      <c r="M123" s="14">
        <f t="shared" si="5"/>
        <v>1.5514271171841353E-2</v>
      </c>
      <c r="N123" s="14">
        <f t="shared" si="5"/>
        <v>1.7180475272960821E-2</v>
      </c>
      <c r="O123" s="14">
        <f t="shared" si="5"/>
        <v>1.4728744998931632E-2</v>
      </c>
      <c r="P123" s="14">
        <f t="shared" si="5"/>
        <v>1.624933913409049E-2</v>
      </c>
      <c r="Q123" s="14">
        <f t="shared" si="5"/>
        <v>1.6120199478001491E-2</v>
      </c>
      <c r="R123" s="14">
        <f t="shared" si="5"/>
        <v>1.5733581544905492E-2</v>
      </c>
      <c r="S123" s="14">
        <f t="shared" si="5"/>
        <v>1.5361799481697441E-2</v>
      </c>
      <c r="T123" s="14">
        <f t="shared" si="5"/>
        <v>1.592803818856086E-2</v>
      </c>
      <c r="U123" s="14">
        <f t="shared" si="5"/>
        <v>1.5778243438489728E-2</v>
      </c>
      <c r="V123" s="14">
        <f t="shared" si="5"/>
        <v>1.8250788000517049E-2</v>
      </c>
      <c r="W123" s="14">
        <f t="shared" si="5"/>
        <v>1.5420473615513705E-2</v>
      </c>
      <c r="X123" s="14">
        <f t="shared" si="5"/>
        <v>1.8981945069985264E-2</v>
      </c>
      <c r="Y123" s="14">
        <f t="shared" si="5"/>
        <v>1.8996614070418482E-2</v>
      </c>
      <c r="Z123" s="14">
        <f t="shared" si="5"/>
        <v>1.9397064485289984E-2</v>
      </c>
      <c r="AA123" s="14">
        <f t="shared" si="5"/>
        <v>2.0914788472402E-2</v>
      </c>
    </row>
    <row r="124" spans="1:27" x14ac:dyDescent="0.25">
      <c r="A124" s="27" t="s">
        <v>35</v>
      </c>
      <c r="B124" s="14">
        <v>4.4533281149534538E-2</v>
      </c>
      <c r="C124" s="14">
        <v>4.358901109365329E-2</v>
      </c>
      <c r="D124" s="14">
        <v>2.8377709999175667E-2</v>
      </c>
      <c r="E124" s="14">
        <v>3.2499473653989704E-2</v>
      </c>
      <c r="F124" s="14">
        <v>3.5459394485763657E-2</v>
      </c>
      <c r="G124" s="14">
        <v>2.2739600283723453E-2</v>
      </c>
      <c r="H124" s="14">
        <v>2.9928761117902457E-2</v>
      </c>
      <c r="I124" s="14">
        <v>3.089495971906631E-2</v>
      </c>
      <c r="J124" s="14">
        <f t="shared" si="6"/>
        <v>2.6352638707159745E-2</v>
      </c>
      <c r="K124" s="14">
        <f t="shared" si="5"/>
        <v>2.8452796311032216E-2</v>
      </c>
      <c r="L124" s="14">
        <f t="shared" si="5"/>
        <v>3.2290587015923869E-2</v>
      </c>
      <c r="M124" s="14">
        <f t="shared" si="5"/>
        <v>3.1860537958576407E-2</v>
      </c>
      <c r="N124" s="14">
        <f t="shared" si="5"/>
        <v>3.125950714937633E-2</v>
      </c>
      <c r="O124" s="14">
        <f t="shared" si="5"/>
        <v>3.4924587941438684E-2</v>
      </c>
      <c r="P124" s="14">
        <f t="shared" si="5"/>
        <v>3.1804370951201026E-2</v>
      </c>
      <c r="Q124" s="14">
        <f t="shared" si="5"/>
        <v>3.2164662565249816E-2</v>
      </c>
      <c r="R124" s="14">
        <f t="shared" si="5"/>
        <v>3.3545582433390099E-2</v>
      </c>
      <c r="S124" s="14">
        <f t="shared" si="5"/>
        <v>3.9216877227081309E-2</v>
      </c>
      <c r="T124" s="14">
        <f t="shared" si="5"/>
        <v>4.1209562632531928E-2</v>
      </c>
      <c r="U124" s="14">
        <f t="shared" si="5"/>
        <v>4.0990900479375376E-2</v>
      </c>
      <c r="V124" s="14">
        <f t="shared" si="5"/>
        <v>3.7560529377255868E-2</v>
      </c>
      <c r="W124" s="14">
        <f t="shared" si="5"/>
        <v>3.8914786500093231E-2</v>
      </c>
      <c r="X124" s="14">
        <f t="shared" si="5"/>
        <v>3.6223550555115856E-2</v>
      </c>
      <c r="Y124" s="14">
        <f t="shared" si="5"/>
        <v>3.4058468143492594E-2</v>
      </c>
      <c r="Z124" s="14">
        <f t="shared" si="5"/>
        <v>3.6479804818120076E-2</v>
      </c>
      <c r="AA124" s="14">
        <f t="shared" si="5"/>
        <v>3.6171641824239271E-2</v>
      </c>
    </row>
    <row r="125" spans="1:27" x14ac:dyDescent="0.25">
      <c r="A125" s="27" t="s">
        <v>36</v>
      </c>
      <c r="B125" s="14">
        <v>0</v>
      </c>
      <c r="C125" s="14">
        <v>0</v>
      </c>
      <c r="D125" s="14">
        <v>0</v>
      </c>
      <c r="E125" s="14">
        <v>9.5699274599498542E-5</v>
      </c>
      <c r="F125" s="14">
        <v>1.953271730147998E-3</v>
      </c>
      <c r="G125" s="14">
        <v>8.9706680018358581E-4</v>
      </c>
      <c r="H125" s="14">
        <v>1.1381359861737555E-3</v>
      </c>
      <c r="I125" s="14">
        <v>1.3168766783722371E-3</v>
      </c>
      <c r="J125" s="14">
        <f t="shared" si="6"/>
        <v>2.3873470605789318E-3</v>
      </c>
      <c r="K125" s="14">
        <f t="shared" si="5"/>
        <v>1.489461549448083E-3</v>
      </c>
      <c r="L125" s="14">
        <f t="shared" si="5"/>
        <v>1.9033261094883634E-3</v>
      </c>
      <c r="M125" s="14">
        <f t="shared" si="5"/>
        <v>2.075094945381935E-3</v>
      </c>
      <c r="N125" s="14">
        <f t="shared" si="5"/>
        <v>1.9098806747118277E-3</v>
      </c>
      <c r="O125" s="14">
        <f t="shared" si="5"/>
        <v>1.3041460054081535E-3</v>
      </c>
      <c r="P125" s="14">
        <f t="shared" si="5"/>
        <v>1.3695052582632125E-3</v>
      </c>
      <c r="Q125" s="14">
        <f t="shared" si="5"/>
        <v>2.3769574944071587E-3</v>
      </c>
      <c r="R125" s="14">
        <f t="shared" si="5"/>
        <v>2.1260167331267252E-3</v>
      </c>
      <c r="S125" s="14">
        <f t="shared" si="5"/>
        <v>2.3181891804340783E-3</v>
      </c>
      <c r="T125" s="14">
        <f t="shared" si="5"/>
        <v>2.749886228298653E-3</v>
      </c>
      <c r="U125" s="14">
        <f t="shared" si="5"/>
        <v>2.8083168278937145E-3</v>
      </c>
      <c r="V125" s="14">
        <f t="shared" si="5"/>
        <v>2.600153125652524E-3</v>
      </c>
      <c r="W125" s="14">
        <f t="shared" si="5"/>
        <v>3.1139287712101437E-3</v>
      </c>
      <c r="X125" s="14">
        <f t="shared" si="5"/>
        <v>2.5580368269848834E-3</v>
      </c>
      <c r="Y125" s="14">
        <f t="shared" si="5"/>
        <v>2.3413813707482242E-3</v>
      </c>
      <c r="Z125" s="14">
        <f t="shared" si="5"/>
        <v>1.8298301242813699E-3</v>
      </c>
      <c r="AA125" s="14">
        <f t="shared" si="5"/>
        <v>1.9215628711351899E-3</v>
      </c>
    </row>
    <row r="126" spans="1:27" x14ac:dyDescent="0.25">
      <c r="A126" s="27" t="s">
        <v>37</v>
      </c>
      <c r="B126" s="14">
        <v>6.8211679852394399E-3</v>
      </c>
      <c r="C126" s="14">
        <v>9.7605104032757219E-3</v>
      </c>
      <c r="D126" s="14">
        <v>7.0068419751051023E-3</v>
      </c>
      <c r="E126" s="14">
        <v>8.344976745076272E-3</v>
      </c>
      <c r="F126" s="14">
        <v>9.0714446698219511E-3</v>
      </c>
      <c r="G126" s="14">
        <v>9.909458839237285E-3</v>
      </c>
      <c r="H126" s="14">
        <v>1.5877699560201772E-2</v>
      </c>
      <c r="I126" s="14">
        <v>1.0457550092956E-2</v>
      </c>
      <c r="J126" s="14">
        <f t="shared" si="6"/>
        <v>9.0099396276656796E-3</v>
      </c>
      <c r="K126" s="14">
        <f t="shared" si="5"/>
        <v>9.5794821570667817E-3</v>
      </c>
      <c r="L126" s="14">
        <f t="shared" si="5"/>
        <v>1.0223311033637991E-2</v>
      </c>
      <c r="M126" s="14">
        <f t="shared" si="5"/>
        <v>7.8696996985239426E-3</v>
      </c>
      <c r="N126" s="14">
        <f t="shared" si="5"/>
        <v>9.4310921813203531E-3</v>
      </c>
      <c r="O126" s="14">
        <f t="shared" si="5"/>
        <v>7.7069871280052464E-3</v>
      </c>
      <c r="P126" s="14">
        <f t="shared" si="5"/>
        <v>7.7902554923530648E-3</v>
      </c>
      <c r="Q126" s="14">
        <f t="shared" si="5"/>
        <v>7.2765193885160331E-3</v>
      </c>
      <c r="R126" s="14">
        <f t="shared" si="5"/>
        <v>7.4992331531684E-3</v>
      </c>
      <c r="S126" s="14">
        <f t="shared" si="5"/>
        <v>6.1852121801101393E-3</v>
      </c>
      <c r="T126" s="14">
        <f t="shared" si="5"/>
        <v>7.4702014969451084E-3</v>
      </c>
      <c r="U126" s="14">
        <f t="shared" si="5"/>
        <v>7.6068547808364672E-3</v>
      </c>
      <c r="V126" s="14">
        <f t="shared" si="5"/>
        <v>5.8764454962166035E-3</v>
      </c>
      <c r="W126" s="14">
        <f t="shared" si="5"/>
        <v>5.606314873516067E-3</v>
      </c>
      <c r="X126" s="14">
        <f t="shared" si="5"/>
        <v>6.0343432841694685E-3</v>
      </c>
      <c r="Y126" s="14">
        <f t="shared" si="5"/>
        <v>7.046274370947396E-3</v>
      </c>
      <c r="Z126" s="14">
        <f t="shared" ref="Z126:AA126" si="7">Z104/Z$106</f>
        <v>5.6971306706349034E-3</v>
      </c>
      <c r="AA126" s="14">
        <f t="shared" si="7"/>
        <v>5.8403056708345013E-3</v>
      </c>
    </row>
    <row r="127" spans="1:27" x14ac:dyDescent="0.25"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</row>
    <row r="129" spans="1:55" ht="15.75" x14ac:dyDescent="0.25">
      <c r="A129" s="24" t="s">
        <v>106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spans="1:55" x14ac:dyDescent="0.25">
      <c r="A130" s="1" t="s">
        <v>25</v>
      </c>
      <c r="B130" s="18">
        <v>1999</v>
      </c>
      <c r="C130" s="18">
        <v>2000</v>
      </c>
      <c r="D130" s="18">
        <v>2001</v>
      </c>
      <c r="E130" s="18">
        <v>2002</v>
      </c>
      <c r="F130" s="18">
        <v>2003</v>
      </c>
      <c r="G130" s="18">
        <v>2004</v>
      </c>
      <c r="H130" s="18">
        <v>2005</v>
      </c>
      <c r="I130" s="18">
        <v>2006</v>
      </c>
      <c r="J130" s="18">
        <v>2007</v>
      </c>
      <c r="K130" s="18">
        <v>2008</v>
      </c>
      <c r="L130" s="18">
        <v>2009</v>
      </c>
      <c r="M130" s="18">
        <v>2010</v>
      </c>
      <c r="N130" s="18">
        <v>2011</v>
      </c>
      <c r="O130" s="18">
        <v>2012</v>
      </c>
      <c r="P130" s="18">
        <v>2013</v>
      </c>
      <c r="Q130" s="18">
        <v>2014</v>
      </c>
      <c r="R130" s="18">
        <v>2015</v>
      </c>
      <c r="S130" s="18">
        <v>2016</v>
      </c>
      <c r="T130" s="18">
        <v>2017</v>
      </c>
      <c r="U130" s="18">
        <v>2018</v>
      </c>
      <c r="V130" s="18">
        <v>2019</v>
      </c>
      <c r="W130" s="18">
        <v>2020</v>
      </c>
      <c r="X130" s="18">
        <v>2021</v>
      </c>
      <c r="Y130" s="18">
        <v>2022</v>
      </c>
      <c r="Z130" s="18">
        <v>2023</v>
      </c>
      <c r="AA130" s="18">
        <v>2024</v>
      </c>
    </row>
    <row r="131" spans="1:55" s="36" customFormat="1" x14ac:dyDescent="0.25">
      <c r="A131" s="27" t="s">
        <v>41</v>
      </c>
      <c r="B131" s="51">
        <v>14851</v>
      </c>
      <c r="C131" s="51">
        <v>14832</v>
      </c>
      <c r="D131" s="51">
        <v>17402</v>
      </c>
      <c r="E131" s="51">
        <v>21110</v>
      </c>
      <c r="F131" s="51">
        <v>24183</v>
      </c>
      <c r="G131" s="51">
        <v>22102</v>
      </c>
      <c r="H131" s="51">
        <v>31183</v>
      </c>
      <c r="I131" s="51">
        <v>33327</v>
      </c>
      <c r="J131" s="51">
        <v>45762</v>
      </c>
      <c r="K131" s="51">
        <v>53417</v>
      </c>
      <c r="L131" s="51">
        <v>56582</v>
      </c>
      <c r="M131" s="51">
        <v>52190</v>
      </c>
      <c r="N131" s="51">
        <v>60889</v>
      </c>
      <c r="O131" s="51">
        <v>71227</v>
      </c>
      <c r="P131" s="51">
        <v>83510</v>
      </c>
      <c r="Q131" s="51">
        <v>92250</v>
      </c>
      <c r="R131" s="51">
        <v>102358</v>
      </c>
      <c r="S131" s="51">
        <v>108527</v>
      </c>
      <c r="T131" s="51">
        <v>112855</v>
      </c>
      <c r="U131" s="51">
        <v>114694</v>
      </c>
      <c r="V131" s="51">
        <v>108970</v>
      </c>
      <c r="W131" s="51">
        <v>84279</v>
      </c>
      <c r="X131" s="51">
        <v>121264</v>
      </c>
      <c r="Y131" s="51">
        <v>120391</v>
      </c>
      <c r="Z131" s="51">
        <v>119711</v>
      </c>
      <c r="AA131" s="51">
        <v>113364</v>
      </c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 spans="1:55" x14ac:dyDescent="0.25">
      <c r="A132" s="27" t="s">
        <v>40</v>
      </c>
      <c r="B132" s="51">
        <v>19379</v>
      </c>
      <c r="C132" s="51">
        <v>27174</v>
      </c>
      <c r="D132" s="51">
        <v>30184</v>
      </c>
      <c r="E132" s="51">
        <v>31137</v>
      </c>
      <c r="F132" s="51">
        <v>29060</v>
      </c>
      <c r="G132" s="51">
        <v>25832</v>
      </c>
      <c r="H132" s="51">
        <v>39986</v>
      </c>
      <c r="I132" s="51">
        <v>44129</v>
      </c>
      <c r="J132" s="51">
        <v>41364</v>
      </c>
      <c r="K132" s="51">
        <v>44605</v>
      </c>
      <c r="L132" s="51">
        <v>49548</v>
      </c>
      <c r="M132" s="51">
        <v>49974</v>
      </c>
      <c r="N132" s="51">
        <v>57443</v>
      </c>
      <c r="O132" s="51">
        <v>64494</v>
      </c>
      <c r="P132" s="51">
        <v>73481</v>
      </c>
      <c r="Q132" s="51">
        <v>79398</v>
      </c>
      <c r="R132" s="51">
        <v>86728</v>
      </c>
      <c r="S132" s="51">
        <v>89041</v>
      </c>
      <c r="T132" s="51">
        <v>93699</v>
      </c>
      <c r="U132" s="51">
        <v>94328</v>
      </c>
      <c r="V132" s="51">
        <v>92172</v>
      </c>
      <c r="W132" s="51">
        <v>76611</v>
      </c>
      <c r="X132" s="51">
        <v>107427</v>
      </c>
      <c r="Y132" s="51">
        <v>105544</v>
      </c>
      <c r="Z132" s="51">
        <v>111458</v>
      </c>
      <c r="AA132" s="51">
        <v>111453</v>
      </c>
    </row>
    <row r="133" spans="1:55" x14ac:dyDescent="0.25">
      <c r="A133" s="26" t="s">
        <v>45</v>
      </c>
      <c r="B133" s="52" t="s">
        <v>72</v>
      </c>
      <c r="C133" s="52">
        <v>42006</v>
      </c>
      <c r="D133" s="52">
        <v>47586</v>
      </c>
      <c r="E133" s="52">
        <v>52247</v>
      </c>
      <c r="F133" s="52">
        <v>53243</v>
      </c>
      <c r="G133" s="52">
        <v>47934</v>
      </c>
      <c r="H133" s="52">
        <v>71169</v>
      </c>
      <c r="I133" s="52">
        <v>77456</v>
      </c>
      <c r="J133" s="52">
        <v>87126</v>
      </c>
      <c r="K133" s="52">
        <v>98022</v>
      </c>
      <c r="L133" s="52">
        <v>106130</v>
      </c>
      <c r="M133" s="52">
        <v>102164</v>
      </c>
      <c r="N133" s="52">
        <v>118332</v>
      </c>
      <c r="O133" s="52">
        <v>135721</v>
      </c>
      <c r="P133" s="52">
        <v>156991</v>
      </c>
      <c r="Q133" s="52">
        <v>171648</v>
      </c>
      <c r="R133" s="52">
        <v>189086</v>
      </c>
      <c r="S133" s="52">
        <v>197568</v>
      </c>
      <c r="T133" s="52">
        <v>206554</v>
      </c>
      <c r="U133" s="52">
        <v>209022</v>
      </c>
      <c r="V133" s="52">
        <v>201142</v>
      </c>
      <c r="W133" s="52">
        <v>160890</v>
      </c>
      <c r="X133" s="52">
        <v>228691</v>
      </c>
      <c r="Y133" s="52">
        <v>225935</v>
      </c>
      <c r="Z133" s="52">
        <v>231169</v>
      </c>
      <c r="AA133" s="52">
        <v>224817</v>
      </c>
    </row>
    <row r="134" spans="1:55" x14ac:dyDescent="0.25">
      <c r="A134" s="50" t="s">
        <v>74</v>
      </c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6" spans="1:55" ht="15.75" x14ac:dyDescent="0.25">
      <c r="A136" s="24" t="s">
        <v>107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spans="1:55" x14ac:dyDescent="0.25">
      <c r="A137" s="59" t="s">
        <v>25</v>
      </c>
      <c r="B137" s="58">
        <v>1999</v>
      </c>
      <c r="C137" s="58"/>
      <c r="D137" s="58">
        <v>2000</v>
      </c>
      <c r="E137" s="58"/>
      <c r="F137" s="58">
        <v>2001</v>
      </c>
      <c r="G137" s="58"/>
      <c r="H137" s="58">
        <v>2002</v>
      </c>
      <c r="I137" s="58"/>
      <c r="J137" s="58">
        <v>2003</v>
      </c>
      <c r="K137" s="58"/>
      <c r="L137" s="58">
        <v>2004</v>
      </c>
      <c r="M137" s="58"/>
      <c r="N137" s="58">
        <v>2005</v>
      </c>
      <c r="O137" s="58"/>
      <c r="P137" s="58">
        <v>2006</v>
      </c>
      <c r="Q137" s="58"/>
      <c r="R137" s="58">
        <v>2007</v>
      </c>
      <c r="S137" s="58"/>
      <c r="T137" s="58">
        <v>2008</v>
      </c>
      <c r="U137" s="58"/>
      <c r="V137" s="58">
        <v>2009</v>
      </c>
      <c r="W137" s="58"/>
      <c r="X137" s="58">
        <v>2010</v>
      </c>
      <c r="Y137" s="58"/>
      <c r="Z137" s="58">
        <v>2011</v>
      </c>
      <c r="AA137" s="58"/>
      <c r="AB137" s="58">
        <v>2012</v>
      </c>
      <c r="AC137" s="58"/>
      <c r="AD137" s="58">
        <v>2013</v>
      </c>
      <c r="AE137" s="58"/>
      <c r="AF137" s="58">
        <v>2014</v>
      </c>
      <c r="AG137" s="58"/>
      <c r="AH137" s="58">
        <v>2015</v>
      </c>
      <c r="AI137" s="58"/>
      <c r="AJ137" s="58">
        <v>2016</v>
      </c>
      <c r="AK137" s="58"/>
      <c r="AL137" s="58">
        <v>2017</v>
      </c>
      <c r="AM137" s="58"/>
      <c r="AN137" s="58">
        <v>2018</v>
      </c>
      <c r="AO137" s="58"/>
      <c r="AP137" s="58">
        <v>2019</v>
      </c>
      <c r="AQ137" s="58"/>
      <c r="AR137" s="58">
        <v>2020</v>
      </c>
      <c r="AS137" s="58"/>
      <c r="AT137" s="58">
        <v>2021</v>
      </c>
      <c r="AU137" s="58"/>
      <c r="AV137" s="58">
        <v>2022</v>
      </c>
      <c r="AW137" s="58"/>
      <c r="AX137" s="58">
        <v>2023</v>
      </c>
      <c r="AY137" s="58"/>
      <c r="AZ137" s="58"/>
      <c r="BA137" s="58">
        <v>2024</v>
      </c>
      <c r="BB137" s="58"/>
      <c r="BC137" s="58"/>
    </row>
    <row r="138" spans="1:55" x14ac:dyDescent="0.25">
      <c r="A138" s="59"/>
      <c r="B138" s="18" t="s">
        <v>64</v>
      </c>
      <c r="C138" s="18" t="s">
        <v>65</v>
      </c>
      <c r="D138" s="18" t="s">
        <v>64</v>
      </c>
      <c r="E138" s="18" t="s">
        <v>65</v>
      </c>
      <c r="F138" s="18" t="s">
        <v>64</v>
      </c>
      <c r="G138" s="18" t="s">
        <v>65</v>
      </c>
      <c r="H138" s="18" t="s">
        <v>64</v>
      </c>
      <c r="I138" s="18" t="s">
        <v>65</v>
      </c>
      <c r="J138" s="18" t="s">
        <v>64</v>
      </c>
      <c r="K138" s="18" t="s">
        <v>65</v>
      </c>
      <c r="L138" s="18" t="s">
        <v>64</v>
      </c>
      <c r="M138" s="18" t="s">
        <v>65</v>
      </c>
      <c r="N138" s="18" t="s">
        <v>64</v>
      </c>
      <c r="O138" s="18" t="s">
        <v>65</v>
      </c>
      <c r="P138" s="18" t="s">
        <v>64</v>
      </c>
      <c r="Q138" s="18" t="s">
        <v>65</v>
      </c>
      <c r="R138" s="18" t="s">
        <v>64</v>
      </c>
      <c r="S138" s="18" t="s">
        <v>65</v>
      </c>
      <c r="T138" s="18" t="s">
        <v>64</v>
      </c>
      <c r="U138" s="18" t="s">
        <v>65</v>
      </c>
      <c r="V138" s="18" t="s">
        <v>64</v>
      </c>
      <c r="W138" s="18" t="s">
        <v>65</v>
      </c>
      <c r="X138" s="18" t="s">
        <v>64</v>
      </c>
      <c r="Y138" s="18" t="s">
        <v>65</v>
      </c>
      <c r="Z138" s="18" t="s">
        <v>64</v>
      </c>
      <c r="AA138" s="18" t="s">
        <v>65</v>
      </c>
      <c r="AB138" s="18" t="s">
        <v>64</v>
      </c>
      <c r="AC138" s="18" t="s">
        <v>65</v>
      </c>
      <c r="AD138" s="18" t="s">
        <v>64</v>
      </c>
      <c r="AE138" s="18" t="s">
        <v>65</v>
      </c>
      <c r="AF138" s="18" t="s">
        <v>64</v>
      </c>
      <c r="AG138" s="18" t="s">
        <v>65</v>
      </c>
      <c r="AH138" s="18" t="s">
        <v>64</v>
      </c>
      <c r="AI138" s="18" t="s">
        <v>65</v>
      </c>
      <c r="AJ138" s="18" t="s">
        <v>64</v>
      </c>
      <c r="AK138" s="18" t="s">
        <v>65</v>
      </c>
      <c r="AL138" s="18" t="s">
        <v>64</v>
      </c>
      <c r="AM138" s="18" t="s">
        <v>65</v>
      </c>
      <c r="AN138" s="18" t="s">
        <v>64</v>
      </c>
      <c r="AO138" s="18" t="s">
        <v>65</v>
      </c>
      <c r="AP138" s="18" t="s">
        <v>64</v>
      </c>
      <c r="AQ138" s="18" t="s">
        <v>65</v>
      </c>
      <c r="AR138" s="18" t="s">
        <v>64</v>
      </c>
      <c r="AS138" s="18" t="s">
        <v>65</v>
      </c>
      <c r="AT138" s="18" t="s">
        <v>64</v>
      </c>
      <c r="AU138" s="18" t="s">
        <v>65</v>
      </c>
      <c r="AV138" s="18" t="s">
        <v>64</v>
      </c>
      <c r="AW138" s="18" t="s">
        <v>65</v>
      </c>
      <c r="AX138" s="18" t="s">
        <v>64</v>
      </c>
      <c r="AY138" s="18" t="s">
        <v>65</v>
      </c>
      <c r="AZ138" s="18" t="s">
        <v>78</v>
      </c>
      <c r="BA138" s="18" t="s">
        <v>64</v>
      </c>
      <c r="BB138" s="18" t="s">
        <v>65</v>
      </c>
      <c r="BC138" s="18" t="s">
        <v>78</v>
      </c>
    </row>
    <row r="139" spans="1:55" x14ac:dyDescent="0.25">
      <c r="A139" s="27" t="s">
        <v>39</v>
      </c>
      <c r="B139" s="51">
        <v>0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736</v>
      </c>
      <c r="S139" s="51">
        <v>991</v>
      </c>
      <c r="T139" s="51">
        <v>713</v>
      </c>
      <c r="U139" s="51">
        <v>891</v>
      </c>
      <c r="V139" s="51">
        <v>774</v>
      </c>
      <c r="W139" s="51">
        <v>901</v>
      </c>
      <c r="X139" s="51">
        <v>745</v>
      </c>
      <c r="Y139" s="51">
        <v>861</v>
      </c>
      <c r="Z139" s="51">
        <v>820</v>
      </c>
      <c r="AA139" s="51">
        <v>1036</v>
      </c>
      <c r="AB139" s="51">
        <v>846</v>
      </c>
      <c r="AC139" s="51">
        <v>987</v>
      </c>
      <c r="AD139" s="51">
        <v>908</v>
      </c>
      <c r="AE139" s="51">
        <v>1197</v>
      </c>
      <c r="AF139" s="51">
        <v>1116</v>
      </c>
      <c r="AG139" s="51">
        <v>1435</v>
      </c>
      <c r="AH139" s="51">
        <v>1113</v>
      </c>
      <c r="AI139" s="51">
        <v>1312</v>
      </c>
      <c r="AJ139" s="51">
        <v>1011</v>
      </c>
      <c r="AK139" s="51">
        <v>1443</v>
      </c>
      <c r="AL139" s="51">
        <v>1085</v>
      </c>
      <c r="AM139" s="51">
        <v>1586</v>
      </c>
      <c r="AN139" s="51">
        <v>1276</v>
      </c>
      <c r="AO139" s="51">
        <v>1787</v>
      </c>
      <c r="AP139" s="51">
        <v>1197</v>
      </c>
      <c r="AQ139" s="51">
        <v>1756</v>
      </c>
      <c r="AR139" s="51">
        <v>925</v>
      </c>
      <c r="AS139" s="51">
        <v>1463</v>
      </c>
      <c r="AT139" s="51">
        <v>1419</v>
      </c>
      <c r="AU139" s="51">
        <v>2134</v>
      </c>
      <c r="AV139" s="51">
        <v>1210</v>
      </c>
      <c r="AW139" s="51">
        <v>1836</v>
      </c>
      <c r="AX139" s="51">
        <v>1376</v>
      </c>
      <c r="AY139" s="51">
        <v>1981</v>
      </c>
      <c r="AZ139" s="51"/>
      <c r="BA139" s="51">
        <v>1397</v>
      </c>
      <c r="BB139" s="51">
        <v>1742</v>
      </c>
      <c r="BC139" s="51"/>
    </row>
    <row r="140" spans="1:55" x14ac:dyDescent="0.25">
      <c r="A140" s="27" t="s">
        <v>26</v>
      </c>
      <c r="B140" s="51">
        <v>356</v>
      </c>
      <c r="C140" s="51">
        <v>404</v>
      </c>
      <c r="D140" s="51">
        <v>380</v>
      </c>
      <c r="E140" s="51">
        <v>396</v>
      </c>
      <c r="F140" s="51">
        <v>366</v>
      </c>
      <c r="G140" s="51">
        <v>409</v>
      </c>
      <c r="H140" s="51">
        <v>325</v>
      </c>
      <c r="I140" s="51">
        <v>283</v>
      </c>
      <c r="J140" s="51">
        <v>369</v>
      </c>
      <c r="K140" s="51">
        <v>367</v>
      </c>
      <c r="L140" s="51">
        <v>407</v>
      </c>
      <c r="M140" s="51">
        <v>553</v>
      </c>
      <c r="N140" s="51">
        <v>631</v>
      </c>
      <c r="O140" s="51">
        <v>920</v>
      </c>
      <c r="P140" s="51">
        <v>857</v>
      </c>
      <c r="Q140" s="51">
        <v>1190</v>
      </c>
      <c r="R140" s="51">
        <v>453</v>
      </c>
      <c r="S140" s="51">
        <v>619</v>
      </c>
      <c r="T140" s="51">
        <v>581</v>
      </c>
      <c r="U140" s="51">
        <v>874</v>
      </c>
      <c r="V140" s="51">
        <v>588</v>
      </c>
      <c r="W140" s="51">
        <v>769</v>
      </c>
      <c r="X140" s="51">
        <v>607</v>
      </c>
      <c r="Y140" s="51">
        <v>668</v>
      </c>
      <c r="Z140" s="51">
        <v>662</v>
      </c>
      <c r="AA140" s="51">
        <v>798</v>
      </c>
      <c r="AB140" s="51">
        <v>676</v>
      </c>
      <c r="AC140" s="51">
        <v>874</v>
      </c>
      <c r="AD140" s="51">
        <v>866</v>
      </c>
      <c r="AE140" s="51">
        <v>1017</v>
      </c>
      <c r="AF140" s="51">
        <v>930</v>
      </c>
      <c r="AG140" s="51">
        <v>1209</v>
      </c>
      <c r="AH140" s="51">
        <v>1016</v>
      </c>
      <c r="AI140" s="51">
        <v>1455</v>
      </c>
      <c r="AJ140" s="51">
        <v>1089</v>
      </c>
      <c r="AK140" s="51">
        <v>1425</v>
      </c>
      <c r="AL140" s="51">
        <v>1340</v>
      </c>
      <c r="AM140" s="51">
        <v>1596</v>
      </c>
      <c r="AN140" s="51">
        <v>1536</v>
      </c>
      <c r="AO140" s="51">
        <v>1870</v>
      </c>
      <c r="AP140" s="51">
        <v>1338</v>
      </c>
      <c r="AQ140" s="51">
        <v>1595</v>
      </c>
      <c r="AR140" s="51">
        <v>1066</v>
      </c>
      <c r="AS140" s="51">
        <v>1459</v>
      </c>
      <c r="AT140" s="51">
        <v>1553</v>
      </c>
      <c r="AU140" s="51">
        <v>2545</v>
      </c>
      <c r="AV140" s="51">
        <v>1508</v>
      </c>
      <c r="AW140" s="51">
        <v>2200</v>
      </c>
      <c r="AX140" s="51">
        <v>1657</v>
      </c>
      <c r="AY140" s="51">
        <v>2138</v>
      </c>
      <c r="AZ140" s="51"/>
      <c r="BA140" s="51">
        <v>1365</v>
      </c>
      <c r="BB140" s="51">
        <v>1968</v>
      </c>
      <c r="BC140" s="51"/>
    </row>
    <row r="141" spans="1:55" x14ac:dyDescent="0.25">
      <c r="A141" s="27" t="s">
        <v>27</v>
      </c>
      <c r="B141" s="51">
        <v>434</v>
      </c>
      <c r="C141" s="51">
        <v>363</v>
      </c>
      <c r="D141" s="51">
        <v>403</v>
      </c>
      <c r="E141" s="51">
        <v>463</v>
      </c>
      <c r="F141" s="51">
        <v>561</v>
      </c>
      <c r="G141" s="51">
        <v>587</v>
      </c>
      <c r="H141" s="51">
        <v>820</v>
      </c>
      <c r="I141" s="51">
        <v>748</v>
      </c>
      <c r="J141" s="51">
        <v>962</v>
      </c>
      <c r="K141" s="51">
        <v>762</v>
      </c>
      <c r="L141" s="51">
        <v>608</v>
      </c>
      <c r="M141" s="51">
        <v>533</v>
      </c>
      <c r="N141" s="51">
        <v>770</v>
      </c>
      <c r="O141" s="51">
        <v>914</v>
      </c>
      <c r="P141" s="51">
        <v>982</v>
      </c>
      <c r="Q141" s="51">
        <v>952</v>
      </c>
      <c r="R141" s="51">
        <v>1676</v>
      </c>
      <c r="S141" s="51">
        <v>1764</v>
      </c>
      <c r="T141" s="51">
        <v>1623</v>
      </c>
      <c r="U141" s="51">
        <v>1945</v>
      </c>
      <c r="V141" s="51">
        <v>1849</v>
      </c>
      <c r="W141" s="51">
        <v>2218</v>
      </c>
      <c r="X141" s="51">
        <v>1780</v>
      </c>
      <c r="Y141" s="51">
        <v>2094</v>
      </c>
      <c r="Z141" s="51">
        <v>1970</v>
      </c>
      <c r="AA141" s="51">
        <v>2116</v>
      </c>
      <c r="AB141" s="51">
        <v>2059</v>
      </c>
      <c r="AC141" s="51">
        <v>2407</v>
      </c>
      <c r="AD141" s="51">
        <v>2438</v>
      </c>
      <c r="AE141" s="51">
        <v>2902</v>
      </c>
      <c r="AF141" s="51">
        <v>2860</v>
      </c>
      <c r="AG141" s="51">
        <v>2976</v>
      </c>
      <c r="AH141" s="51">
        <v>3060</v>
      </c>
      <c r="AI141" s="51">
        <v>4119</v>
      </c>
      <c r="AJ141" s="51">
        <v>3098</v>
      </c>
      <c r="AK141" s="51">
        <v>3686</v>
      </c>
      <c r="AL141" s="51">
        <v>3083</v>
      </c>
      <c r="AM141" s="51">
        <v>3690</v>
      </c>
      <c r="AN141" s="51">
        <v>3533</v>
      </c>
      <c r="AO141" s="51">
        <v>3755</v>
      </c>
      <c r="AP141" s="51">
        <v>3213</v>
      </c>
      <c r="AQ141" s="51">
        <v>3658</v>
      </c>
      <c r="AR141" s="51">
        <v>2681</v>
      </c>
      <c r="AS141" s="51">
        <v>3073</v>
      </c>
      <c r="AT141" s="51">
        <v>3373</v>
      </c>
      <c r="AU141" s="51">
        <v>3855</v>
      </c>
      <c r="AV141" s="51">
        <v>3495</v>
      </c>
      <c r="AW141" s="51">
        <v>4114</v>
      </c>
      <c r="AX141" s="51">
        <v>3616</v>
      </c>
      <c r="AY141" s="51">
        <v>4230</v>
      </c>
      <c r="AZ141" s="51"/>
      <c r="BA141" s="51">
        <v>3107</v>
      </c>
      <c r="BB141" s="51">
        <v>3684</v>
      </c>
      <c r="BC141" s="51"/>
    </row>
    <row r="142" spans="1:55" x14ac:dyDescent="0.25">
      <c r="A142" s="27" t="s">
        <v>28</v>
      </c>
      <c r="B142" s="51">
        <v>20</v>
      </c>
      <c r="C142" s="51">
        <v>61</v>
      </c>
      <c r="D142" s="51">
        <v>189</v>
      </c>
      <c r="E142" s="51">
        <v>146</v>
      </c>
      <c r="F142" s="51">
        <v>454</v>
      </c>
      <c r="G142" s="51">
        <v>255</v>
      </c>
      <c r="H142" s="51">
        <v>432</v>
      </c>
      <c r="I142" s="51">
        <v>250</v>
      </c>
      <c r="J142" s="51">
        <v>390</v>
      </c>
      <c r="K142" s="51">
        <v>206</v>
      </c>
      <c r="L142" s="51">
        <v>244</v>
      </c>
      <c r="M142" s="51">
        <v>173</v>
      </c>
      <c r="N142" s="51">
        <v>300</v>
      </c>
      <c r="O142" s="51">
        <v>257</v>
      </c>
      <c r="P142" s="51">
        <v>329</v>
      </c>
      <c r="Q142" s="51">
        <v>288</v>
      </c>
      <c r="R142" s="51">
        <v>313</v>
      </c>
      <c r="S142" s="51">
        <v>318</v>
      </c>
      <c r="T142" s="51">
        <v>342</v>
      </c>
      <c r="U142" s="51">
        <v>394</v>
      </c>
      <c r="V142" s="51">
        <v>414</v>
      </c>
      <c r="W142" s="51">
        <v>498</v>
      </c>
      <c r="X142" s="51">
        <v>502</v>
      </c>
      <c r="Y142" s="51">
        <v>542</v>
      </c>
      <c r="Z142" s="51">
        <v>354</v>
      </c>
      <c r="AA142" s="51">
        <v>476</v>
      </c>
      <c r="AB142" s="51">
        <v>478</v>
      </c>
      <c r="AC142" s="51">
        <v>578</v>
      </c>
      <c r="AD142" s="51">
        <v>514</v>
      </c>
      <c r="AE142" s="51">
        <v>664</v>
      </c>
      <c r="AF142" s="51">
        <v>727</v>
      </c>
      <c r="AG142" s="51">
        <v>633</v>
      </c>
      <c r="AH142" s="51">
        <v>803</v>
      </c>
      <c r="AI142" s="51">
        <v>775</v>
      </c>
      <c r="AJ142" s="51">
        <v>942</v>
      </c>
      <c r="AK142" s="51">
        <v>971</v>
      </c>
      <c r="AL142" s="51">
        <v>928</v>
      </c>
      <c r="AM142" s="51">
        <v>1053</v>
      </c>
      <c r="AN142" s="51">
        <v>820</v>
      </c>
      <c r="AO142" s="51">
        <v>1042</v>
      </c>
      <c r="AP142" s="51">
        <v>825</v>
      </c>
      <c r="AQ142" s="51">
        <v>1203</v>
      </c>
      <c r="AR142" s="51">
        <v>866</v>
      </c>
      <c r="AS142" s="51">
        <v>1007</v>
      </c>
      <c r="AT142" s="51">
        <v>1018</v>
      </c>
      <c r="AU142" s="51">
        <v>1568</v>
      </c>
      <c r="AV142" s="51">
        <v>1285</v>
      </c>
      <c r="AW142" s="51">
        <v>1453</v>
      </c>
      <c r="AX142" s="51">
        <v>1043</v>
      </c>
      <c r="AY142" s="51">
        <v>1371</v>
      </c>
      <c r="AZ142" s="51"/>
      <c r="BA142" s="51">
        <v>1288</v>
      </c>
      <c r="BB142" s="51">
        <v>1349</v>
      </c>
      <c r="BC142" s="51"/>
    </row>
    <row r="143" spans="1:55" x14ac:dyDescent="0.25">
      <c r="A143" s="27" t="s">
        <v>29</v>
      </c>
      <c r="B143" s="51">
        <v>221</v>
      </c>
      <c r="C143" s="51">
        <v>341</v>
      </c>
      <c r="D143" s="51">
        <v>269</v>
      </c>
      <c r="E143" s="51">
        <v>370</v>
      </c>
      <c r="F143" s="51">
        <v>311</v>
      </c>
      <c r="G143" s="51">
        <v>510</v>
      </c>
      <c r="H143" s="51">
        <v>486</v>
      </c>
      <c r="I143" s="51">
        <v>616</v>
      </c>
      <c r="J143" s="51">
        <v>667</v>
      </c>
      <c r="K143" s="51">
        <v>758</v>
      </c>
      <c r="L143" s="51">
        <v>720</v>
      </c>
      <c r="M143" s="51">
        <v>936</v>
      </c>
      <c r="N143" s="51">
        <v>687</v>
      </c>
      <c r="O143" s="51">
        <v>763</v>
      </c>
      <c r="P143" s="51">
        <v>819</v>
      </c>
      <c r="Q143" s="51">
        <v>819</v>
      </c>
      <c r="R143" s="51">
        <v>1412</v>
      </c>
      <c r="S143" s="51">
        <v>1696</v>
      </c>
      <c r="T143" s="51">
        <v>1759</v>
      </c>
      <c r="U143" s="51">
        <v>2311</v>
      </c>
      <c r="V143" s="51">
        <v>1575</v>
      </c>
      <c r="W143" s="51">
        <v>1984</v>
      </c>
      <c r="X143" s="51">
        <v>1535</v>
      </c>
      <c r="Y143" s="51">
        <v>1637</v>
      </c>
      <c r="Z143" s="51">
        <v>1541</v>
      </c>
      <c r="AA143" s="51">
        <v>1913</v>
      </c>
      <c r="AB143" s="51">
        <v>1856</v>
      </c>
      <c r="AC143" s="51">
        <v>2525</v>
      </c>
      <c r="AD143" s="51">
        <v>2603</v>
      </c>
      <c r="AE143" s="51">
        <v>3424</v>
      </c>
      <c r="AF143" s="51">
        <v>2444</v>
      </c>
      <c r="AG143" s="51">
        <v>3497</v>
      </c>
      <c r="AH143" s="51">
        <v>2660</v>
      </c>
      <c r="AI143" s="51">
        <v>3556</v>
      </c>
      <c r="AJ143" s="51">
        <v>2924</v>
      </c>
      <c r="AK143" s="51">
        <v>3842</v>
      </c>
      <c r="AL143" s="51">
        <v>3184</v>
      </c>
      <c r="AM143" s="51">
        <v>4105</v>
      </c>
      <c r="AN143" s="51">
        <v>3315</v>
      </c>
      <c r="AO143" s="51">
        <v>4595</v>
      </c>
      <c r="AP143" s="51">
        <v>3303</v>
      </c>
      <c r="AQ143" s="51">
        <v>4549</v>
      </c>
      <c r="AR143" s="51">
        <v>2044</v>
      </c>
      <c r="AS143" s="51">
        <v>3246</v>
      </c>
      <c r="AT143" s="51">
        <v>3762</v>
      </c>
      <c r="AU143" s="51">
        <v>5589</v>
      </c>
      <c r="AV143" s="51">
        <v>3644</v>
      </c>
      <c r="AW143" s="51">
        <v>5208</v>
      </c>
      <c r="AX143" s="51">
        <v>3969</v>
      </c>
      <c r="AY143" s="51">
        <v>5184</v>
      </c>
      <c r="AZ143" s="51"/>
      <c r="BA143" s="51">
        <v>3848</v>
      </c>
      <c r="BB143" s="51">
        <v>4706</v>
      </c>
      <c r="BC143" s="51"/>
    </row>
    <row r="144" spans="1:55" x14ac:dyDescent="0.25">
      <c r="A144" s="27" t="s">
        <v>30</v>
      </c>
      <c r="B144" s="51">
        <v>2137</v>
      </c>
      <c r="C144" s="51">
        <v>2312</v>
      </c>
      <c r="D144" s="51">
        <v>2373</v>
      </c>
      <c r="E144" s="51">
        <v>1975</v>
      </c>
      <c r="F144" s="51">
        <v>2261</v>
      </c>
      <c r="G144" s="51">
        <v>2043</v>
      </c>
      <c r="H144" s="51">
        <v>2707</v>
      </c>
      <c r="I144" s="51">
        <v>3101</v>
      </c>
      <c r="J144" s="51">
        <v>3126</v>
      </c>
      <c r="K144" s="51">
        <v>3493</v>
      </c>
      <c r="L144" s="51">
        <v>2711</v>
      </c>
      <c r="M144" s="51">
        <v>3381</v>
      </c>
      <c r="N144" s="51">
        <v>3650</v>
      </c>
      <c r="O144" s="51">
        <v>4917</v>
      </c>
      <c r="P144" s="51">
        <v>3627</v>
      </c>
      <c r="Q144" s="51">
        <v>4563</v>
      </c>
      <c r="R144" s="51">
        <v>4558</v>
      </c>
      <c r="S144" s="51">
        <v>5349</v>
      </c>
      <c r="T144" s="51">
        <v>4676</v>
      </c>
      <c r="U144" s="51">
        <v>6047</v>
      </c>
      <c r="V144" s="51">
        <v>5531</v>
      </c>
      <c r="W144" s="51">
        <v>6543</v>
      </c>
      <c r="X144" s="51">
        <v>5329</v>
      </c>
      <c r="Y144" s="51">
        <v>6010</v>
      </c>
      <c r="Z144" s="51">
        <v>5773</v>
      </c>
      <c r="AA144" s="51">
        <v>6624</v>
      </c>
      <c r="AB144" s="51">
        <v>6966</v>
      </c>
      <c r="AC144" s="51">
        <v>8896</v>
      </c>
      <c r="AD144" s="51">
        <v>7842</v>
      </c>
      <c r="AE144" s="51">
        <v>9496</v>
      </c>
      <c r="AF144" s="51">
        <v>8495</v>
      </c>
      <c r="AG144" s="51">
        <v>10575</v>
      </c>
      <c r="AH144" s="51">
        <v>9358</v>
      </c>
      <c r="AI144" s="51">
        <v>11524</v>
      </c>
      <c r="AJ144" s="51">
        <v>9232</v>
      </c>
      <c r="AK144" s="51">
        <v>12302</v>
      </c>
      <c r="AL144" s="51">
        <v>10092</v>
      </c>
      <c r="AM144" s="51">
        <v>13091</v>
      </c>
      <c r="AN144" s="51">
        <v>9560</v>
      </c>
      <c r="AO144" s="51">
        <v>12335</v>
      </c>
      <c r="AP144" s="51">
        <v>9498</v>
      </c>
      <c r="AQ144" s="51">
        <v>11891</v>
      </c>
      <c r="AR144" s="51">
        <v>7750</v>
      </c>
      <c r="AS144" s="51">
        <v>9560</v>
      </c>
      <c r="AT144" s="51">
        <v>9861</v>
      </c>
      <c r="AU144" s="51">
        <v>13225</v>
      </c>
      <c r="AV144" s="51">
        <v>10583</v>
      </c>
      <c r="AW144" s="51">
        <v>13519</v>
      </c>
      <c r="AX144" s="51">
        <v>9937</v>
      </c>
      <c r="AY144" s="51">
        <v>13089</v>
      </c>
      <c r="AZ144" s="51"/>
      <c r="BA144" s="51">
        <v>9645</v>
      </c>
      <c r="BB144" s="51">
        <v>12622</v>
      </c>
      <c r="BC144" s="51"/>
    </row>
    <row r="145" spans="1:55" x14ac:dyDescent="0.25">
      <c r="A145" s="27" t="s">
        <v>40</v>
      </c>
      <c r="B145" s="51">
        <v>9623</v>
      </c>
      <c r="C145" s="51">
        <v>9756</v>
      </c>
      <c r="D145" s="51">
        <v>13102.4</v>
      </c>
      <c r="E145" s="51">
        <v>14071.6</v>
      </c>
      <c r="F145" s="51">
        <v>14911</v>
      </c>
      <c r="G145" s="51">
        <v>15273</v>
      </c>
      <c r="H145" s="51">
        <v>15285</v>
      </c>
      <c r="I145" s="51">
        <v>15852</v>
      </c>
      <c r="J145" s="51">
        <v>13541</v>
      </c>
      <c r="K145" s="51">
        <v>15519</v>
      </c>
      <c r="L145" s="51">
        <v>12330</v>
      </c>
      <c r="M145" s="51">
        <v>13502</v>
      </c>
      <c r="N145" s="51">
        <v>19989</v>
      </c>
      <c r="O145" s="51">
        <v>19997</v>
      </c>
      <c r="P145" s="51">
        <v>21920</v>
      </c>
      <c r="Q145" s="51">
        <v>22209</v>
      </c>
      <c r="R145" s="51">
        <v>19829</v>
      </c>
      <c r="S145" s="51">
        <v>21535</v>
      </c>
      <c r="T145" s="51">
        <v>20527</v>
      </c>
      <c r="U145" s="51">
        <v>24078</v>
      </c>
      <c r="V145" s="51">
        <v>22900</v>
      </c>
      <c r="W145" s="51">
        <v>26648</v>
      </c>
      <c r="X145" s="51">
        <v>23120</v>
      </c>
      <c r="Y145" s="51">
        <v>26854</v>
      </c>
      <c r="Z145" s="51">
        <v>25788</v>
      </c>
      <c r="AA145" s="51">
        <v>31655</v>
      </c>
      <c r="AB145" s="51">
        <v>28805</v>
      </c>
      <c r="AC145" s="51">
        <v>35689</v>
      </c>
      <c r="AD145" s="51">
        <v>33117</v>
      </c>
      <c r="AE145" s="51">
        <v>40364</v>
      </c>
      <c r="AF145" s="51">
        <v>36313</v>
      </c>
      <c r="AG145" s="51">
        <v>43085</v>
      </c>
      <c r="AH145" s="51">
        <v>40056</v>
      </c>
      <c r="AI145" s="51">
        <v>46672</v>
      </c>
      <c r="AJ145" s="51">
        <v>40775</v>
      </c>
      <c r="AK145" s="51">
        <v>48266</v>
      </c>
      <c r="AL145" s="51">
        <v>42771</v>
      </c>
      <c r="AM145" s="51">
        <v>50928</v>
      </c>
      <c r="AN145" s="51">
        <v>43031</v>
      </c>
      <c r="AO145" s="51">
        <v>51297</v>
      </c>
      <c r="AP145" s="51">
        <v>40583</v>
      </c>
      <c r="AQ145" s="51">
        <v>51589</v>
      </c>
      <c r="AR145" s="51">
        <v>34324</v>
      </c>
      <c r="AS145" s="51">
        <v>42287</v>
      </c>
      <c r="AT145" s="51">
        <v>46869</v>
      </c>
      <c r="AU145" s="51">
        <v>60558</v>
      </c>
      <c r="AV145" s="51">
        <v>47106</v>
      </c>
      <c r="AW145" s="51">
        <v>58438</v>
      </c>
      <c r="AX145" s="51">
        <v>50384</v>
      </c>
      <c r="AY145" s="51">
        <v>61073</v>
      </c>
      <c r="AZ145" s="51">
        <v>1</v>
      </c>
      <c r="BA145" s="51">
        <v>50775</v>
      </c>
      <c r="BB145" s="51">
        <v>60677</v>
      </c>
      <c r="BC145" s="51">
        <v>1</v>
      </c>
    </row>
    <row r="146" spans="1:55" x14ac:dyDescent="0.25">
      <c r="A146" s="27" t="s">
        <v>31</v>
      </c>
      <c r="B146" s="51">
        <v>2</v>
      </c>
      <c r="C146" s="51">
        <v>20</v>
      </c>
      <c r="D146" s="51">
        <v>19</v>
      </c>
      <c r="E146" s="51">
        <v>35</v>
      </c>
      <c r="F146" s="51">
        <v>0</v>
      </c>
      <c r="G146" s="51">
        <v>0</v>
      </c>
      <c r="H146" s="51">
        <v>235</v>
      </c>
      <c r="I146" s="51">
        <v>172</v>
      </c>
      <c r="J146" s="51">
        <v>184</v>
      </c>
      <c r="K146" s="51">
        <v>186</v>
      </c>
      <c r="L146" s="51">
        <v>172</v>
      </c>
      <c r="M146" s="51">
        <v>244</v>
      </c>
      <c r="N146" s="51">
        <v>201</v>
      </c>
      <c r="O146" s="51">
        <v>150</v>
      </c>
      <c r="P146" s="51">
        <v>144</v>
      </c>
      <c r="Q146" s="51">
        <v>208</v>
      </c>
      <c r="R146" s="51">
        <v>865</v>
      </c>
      <c r="S146" s="51">
        <v>901</v>
      </c>
      <c r="T146" s="51">
        <v>1074</v>
      </c>
      <c r="U146" s="51">
        <v>1232</v>
      </c>
      <c r="V146" s="51">
        <v>1132</v>
      </c>
      <c r="W146" s="51">
        <v>1226</v>
      </c>
      <c r="X146" s="51">
        <v>1032</v>
      </c>
      <c r="Y146" s="51">
        <v>1287</v>
      </c>
      <c r="Z146" s="51">
        <v>1486</v>
      </c>
      <c r="AA146" s="51">
        <v>1761</v>
      </c>
      <c r="AB146" s="51">
        <v>1728</v>
      </c>
      <c r="AC146" s="51">
        <v>2058</v>
      </c>
      <c r="AD146" s="51">
        <v>1972</v>
      </c>
      <c r="AE146" s="51">
        <v>2648</v>
      </c>
      <c r="AF146" s="51">
        <v>2244</v>
      </c>
      <c r="AG146" s="51">
        <v>2990</v>
      </c>
      <c r="AH146" s="51">
        <v>2814</v>
      </c>
      <c r="AI146" s="51">
        <v>3586</v>
      </c>
      <c r="AJ146" s="51">
        <v>3160</v>
      </c>
      <c r="AK146" s="51">
        <v>4021</v>
      </c>
      <c r="AL146" s="51">
        <v>2855</v>
      </c>
      <c r="AM146" s="51">
        <v>3899</v>
      </c>
      <c r="AN146" s="51">
        <v>2742</v>
      </c>
      <c r="AO146" s="51">
        <v>3795</v>
      </c>
      <c r="AP146" s="51">
        <v>2769</v>
      </c>
      <c r="AQ146" s="51">
        <v>3548</v>
      </c>
      <c r="AR146" s="51">
        <v>2061</v>
      </c>
      <c r="AS146" s="51">
        <v>2689</v>
      </c>
      <c r="AT146" s="51">
        <v>2431</v>
      </c>
      <c r="AU146" s="51">
        <v>3389</v>
      </c>
      <c r="AV146" s="51">
        <v>2382</v>
      </c>
      <c r="AW146" s="51">
        <v>3319</v>
      </c>
      <c r="AX146" s="51">
        <v>2339</v>
      </c>
      <c r="AY146" s="51">
        <v>3020</v>
      </c>
      <c r="AZ146" s="51"/>
      <c r="BA146" s="51">
        <v>2414</v>
      </c>
      <c r="BB146" s="51">
        <v>3135</v>
      </c>
      <c r="BC146" s="51"/>
    </row>
    <row r="147" spans="1:55" x14ac:dyDescent="0.25">
      <c r="A147" s="27" t="s">
        <v>32</v>
      </c>
      <c r="B147" s="51">
        <v>208</v>
      </c>
      <c r="C147" s="51">
        <v>255</v>
      </c>
      <c r="D147" s="51">
        <v>440</v>
      </c>
      <c r="E147" s="51">
        <v>617</v>
      </c>
      <c r="F147" s="51">
        <v>456</v>
      </c>
      <c r="G147" s="51">
        <v>662</v>
      </c>
      <c r="H147" s="51">
        <v>569</v>
      </c>
      <c r="I147" s="51">
        <v>765</v>
      </c>
      <c r="J147" s="51">
        <v>533</v>
      </c>
      <c r="K147" s="51">
        <v>632</v>
      </c>
      <c r="L147" s="51">
        <v>427</v>
      </c>
      <c r="M147" s="51">
        <v>624</v>
      </c>
      <c r="N147" s="51">
        <v>1066</v>
      </c>
      <c r="O147" s="51">
        <v>1881</v>
      </c>
      <c r="P147" s="51">
        <v>988</v>
      </c>
      <c r="Q147" s="51">
        <v>2167</v>
      </c>
      <c r="R147" s="51">
        <v>1249</v>
      </c>
      <c r="S147" s="51">
        <v>1748</v>
      </c>
      <c r="T147" s="51">
        <v>1733</v>
      </c>
      <c r="U147" s="51">
        <v>2548</v>
      </c>
      <c r="V147" s="51">
        <v>1806</v>
      </c>
      <c r="W147" s="51">
        <v>2913</v>
      </c>
      <c r="X147" s="51">
        <v>1562</v>
      </c>
      <c r="Y147" s="51">
        <v>2223</v>
      </c>
      <c r="Z147" s="51">
        <v>1872</v>
      </c>
      <c r="AA147" s="51">
        <v>2902</v>
      </c>
      <c r="AB147" s="51">
        <v>2260</v>
      </c>
      <c r="AC147" s="51">
        <v>3773</v>
      </c>
      <c r="AD147" s="51">
        <v>2735</v>
      </c>
      <c r="AE147" s="51">
        <v>4278</v>
      </c>
      <c r="AF147" s="51">
        <v>2967</v>
      </c>
      <c r="AG147" s="51">
        <v>4907</v>
      </c>
      <c r="AH147" s="51">
        <v>3445</v>
      </c>
      <c r="AI147" s="51">
        <v>5207</v>
      </c>
      <c r="AJ147" s="51">
        <v>3668</v>
      </c>
      <c r="AK147" s="51">
        <v>5781</v>
      </c>
      <c r="AL147" s="51">
        <v>3823</v>
      </c>
      <c r="AM147" s="51">
        <v>5820</v>
      </c>
      <c r="AN147" s="51">
        <v>3742</v>
      </c>
      <c r="AO147" s="51">
        <v>5925</v>
      </c>
      <c r="AP147" s="51">
        <v>3685</v>
      </c>
      <c r="AQ147" s="51">
        <v>5725</v>
      </c>
      <c r="AR147" s="51">
        <v>2983</v>
      </c>
      <c r="AS147" s="51">
        <v>4906</v>
      </c>
      <c r="AT147" s="51">
        <v>4199</v>
      </c>
      <c r="AU147" s="51">
        <v>6723</v>
      </c>
      <c r="AV147" s="51">
        <v>4455</v>
      </c>
      <c r="AW147" s="51">
        <v>7066</v>
      </c>
      <c r="AX147" s="51">
        <v>4292</v>
      </c>
      <c r="AY147" s="51">
        <v>6692</v>
      </c>
      <c r="AZ147" s="51"/>
      <c r="BA147" s="51">
        <v>4318</v>
      </c>
      <c r="BB147" s="51">
        <v>6217</v>
      </c>
      <c r="BC147" s="51"/>
    </row>
    <row r="148" spans="1:55" x14ac:dyDescent="0.25">
      <c r="A148" s="27" t="s">
        <v>68</v>
      </c>
      <c r="B148" s="51">
        <v>0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849</v>
      </c>
      <c r="S148" s="51">
        <v>1114</v>
      </c>
      <c r="T148" s="51">
        <v>754</v>
      </c>
      <c r="U148" s="51">
        <v>1256</v>
      </c>
      <c r="V148" s="51">
        <v>900</v>
      </c>
      <c r="W148" s="51">
        <v>1472</v>
      </c>
      <c r="X148" s="51">
        <v>842</v>
      </c>
      <c r="Y148" s="51">
        <v>1274</v>
      </c>
      <c r="Z148" s="51">
        <v>1121</v>
      </c>
      <c r="AA148" s="51">
        <v>1850</v>
      </c>
      <c r="AB148" s="51">
        <v>1207</v>
      </c>
      <c r="AC148" s="51">
        <v>1918</v>
      </c>
      <c r="AD148" s="51">
        <v>1360</v>
      </c>
      <c r="AE148" s="51">
        <v>2526</v>
      </c>
      <c r="AF148" s="51">
        <v>1590</v>
      </c>
      <c r="AG148" s="51">
        <v>2425</v>
      </c>
      <c r="AH148" s="51">
        <v>1798</v>
      </c>
      <c r="AI148" s="51">
        <v>2730</v>
      </c>
      <c r="AJ148" s="51">
        <v>1909</v>
      </c>
      <c r="AK148" s="51">
        <v>2953</v>
      </c>
      <c r="AL148" s="51">
        <v>1873</v>
      </c>
      <c r="AM148" s="51">
        <v>3111</v>
      </c>
      <c r="AN148" s="51">
        <v>1970</v>
      </c>
      <c r="AO148" s="51">
        <v>3511</v>
      </c>
      <c r="AP148" s="51">
        <v>1856</v>
      </c>
      <c r="AQ148" s="51">
        <v>2919</v>
      </c>
      <c r="AR148" s="51">
        <v>1256</v>
      </c>
      <c r="AS148" s="51">
        <v>1945</v>
      </c>
      <c r="AT148" s="51">
        <v>1849</v>
      </c>
      <c r="AU148" s="51">
        <v>3384</v>
      </c>
      <c r="AV148" s="51">
        <v>1929</v>
      </c>
      <c r="AW148" s="51">
        <v>3054</v>
      </c>
      <c r="AX148" s="51">
        <v>2175</v>
      </c>
      <c r="AY148" s="51">
        <v>2902</v>
      </c>
      <c r="AZ148" s="51"/>
      <c r="BA148" s="51">
        <v>1814</v>
      </c>
      <c r="BB148" s="51">
        <v>2590</v>
      </c>
      <c r="BC148" s="51"/>
    </row>
    <row r="149" spans="1:55" x14ac:dyDescent="0.25">
      <c r="A149" s="27" t="s">
        <v>33</v>
      </c>
      <c r="B149" s="51">
        <v>2244</v>
      </c>
      <c r="C149" s="51">
        <v>2528</v>
      </c>
      <c r="D149" s="51">
        <v>1595</v>
      </c>
      <c r="E149" s="51">
        <v>1723</v>
      </c>
      <c r="F149" s="51">
        <v>2555</v>
      </c>
      <c r="G149" s="51">
        <v>2977</v>
      </c>
      <c r="H149" s="51">
        <v>2521</v>
      </c>
      <c r="I149" s="51">
        <v>2822</v>
      </c>
      <c r="J149" s="51">
        <v>3054</v>
      </c>
      <c r="K149" s="51">
        <v>3582</v>
      </c>
      <c r="L149" s="51">
        <v>3034</v>
      </c>
      <c r="M149" s="51">
        <v>3529</v>
      </c>
      <c r="N149" s="51">
        <v>3527</v>
      </c>
      <c r="O149" s="51">
        <v>4484</v>
      </c>
      <c r="P149" s="51">
        <v>4195</v>
      </c>
      <c r="Q149" s="51">
        <v>5243</v>
      </c>
      <c r="R149" s="51">
        <v>4503</v>
      </c>
      <c r="S149" s="51">
        <v>5496</v>
      </c>
      <c r="T149" s="51">
        <v>5196</v>
      </c>
      <c r="U149" s="51">
        <v>6767</v>
      </c>
      <c r="V149" s="51">
        <v>5238</v>
      </c>
      <c r="W149" s="51">
        <v>6435</v>
      </c>
      <c r="X149" s="51">
        <v>4878</v>
      </c>
      <c r="Y149" s="51">
        <v>6041</v>
      </c>
      <c r="Z149" s="51">
        <v>5904</v>
      </c>
      <c r="AA149" s="51">
        <v>7407</v>
      </c>
      <c r="AB149" s="51">
        <v>6752</v>
      </c>
      <c r="AC149" s="51">
        <v>8505</v>
      </c>
      <c r="AD149" s="51">
        <v>7556</v>
      </c>
      <c r="AE149" s="51">
        <v>10698</v>
      </c>
      <c r="AF149" s="51">
        <v>8576</v>
      </c>
      <c r="AG149" s="51">
        <v>11318</v>
      </c>
      <c r="AH149" s="51">
        <v>9794</v>
      </c>
      <c r="AI149" s="51">
        <v>12552</v>
      </c>
      <c r="AJ149" s="51">
        <v>9448</v>
      </c>
      <c r="AK149" s="51">
        <v>13178</v>
      </c>
      <c r="AL149" s="51">
        <v>9877</v>
      </c>
      <c r="AM149" s="51">
        <v>13130</v>
      </c>
      <c r="AN149" s="51">
        <v>10165</v>
      </c>
      <c r="AO149" s="51">
        <v>13619</v>
      </c>
      <c r="AP149" s="51">
        <v>9580</v>
      </c>
      <c r="AQ149" s="51">
        <v>12698</v>
      </c>
      <c r="AR149" s="51">
        <v>7372</v>
      </c>
      <c r="AS149" s="51">
        <v>9528</v>
      </c>
      <c r="AT149" s="51">
        <v>10127</v>
      </c>
      <c r="AU149" s="51">
        <v>14291</v>
      </c>
      <c r="AV149" s="51">
        <v>9955</v>
      </c>
      <c r="AW149" s="51">
        <v>13631</v>
      </c>
      <c r="AX149" s="51">
        <v>10575</v>
      </c>
      <c r="AY149" s="51">
        <v>13418</v>
      </c>
      <c r="AZ149" s="51"/>
      <c r="BA149" s="51">
        <v>9869</v>
      </c>
      <c r="BB149" s="51">
        <v>12547</v>
      </c>
      <c r="BC149" s="51"/>
    </row>
    <row r="150" spans="1:55" x14ac:dyDescent="0.25">
      <c r="A150" s="27" t="s">
        <v>34</v>
      </c>
      <c r="B150" s="51">
        <v>477</v>
      </c>
      <c r="C150" s="51">
        <v>631</v>
      </c>
      <c r="D150" s="51">
        <v>528</v>
      </c>
      <c r="E150" s="51">
        <v>670</v>
      </c>
      <c r="F150" s="51">
        <v>547</v>
      </c>
      <c r="G150" s="51">
        <v>731</v>
      </c>
      <c r="H150" s="51">
        <v>868</v>
      </c>
      <c r="I150" s="51">
        <v>1251</v>
      </c>
      <c r="J150" s="51">
        <v>1126</v>
      </c>
      <c r="K150" s="51">
        <v>1312</v>
      </c>
      <c r="L150" s="51">
        <v>876</v>
      </c>
      <c r="M150" s="51">
        <v>1322</v>
      </c>
      <c r="N150" s="51">
        <v>1158</v>
      </c>
      <c r="O150" s="51">
        <v>1566</v>
      </c>
      <c r="P150" s="51">
        <v>1080</v>
      </c>
      <c r="Q150" s="51">
        <v>1571</v>
      </c>
      <c r="R150" s="51">
        <v>1772</v>
      </c>
      <c r="S150" s="51">
        <v>2568</v>
      </c>
      <c r="T150" s="51">
        <v>2056</v>
      </c>
      <c r="U150" s="51">
        <v>3010</v>
      </c>
      <c r="V150" s="51">
        <v>2241</v>
      </c>
      <c r="W150" s="51">
        <v>2897</v>
      </c>
      <c r="X150" s="51">
        <v>2036</v>
      </c>
      <c r="Y150" s="51">
        <v>2849</v>
      </c>
      <c r="Z150" s="51">
        <v>2182</v>
      </c>
      <c r="AA150" s="51">
        <v>3247</v>
      </c>
      <c r="AB150" s="51">
        <v>2371</v>
      </c>
      <c r="AC150" s="51">
        <v>3545</v>
      </c>
      <c r="AD150" s="51">
        <v>2680</v>
      </c>
      <c r="AE150" s="51">
        <v>4204</v>
      </c>
      <c r="AF150" s="51">
        <v>3317</v>
      </c>
      <c r="AG150" s="51">
        <v>5074</v>
      </c>
      <c r="AH150" s="51">
        <v>3301</v>
      </c>
      <c r="AI150" s="51">
        <v>5242</v>
      </c>
      <c r="AJ150" s="51">
        <v>3742</v>
      </c>
      <c r="AK150" s="51">
        <v>6239</v>
      </c>
      <c r="AL150" s="51">
        <v>3613</v>
      </c>
      <c r="AM150" s="51">
        <v>6108</v>
      </c>
      <c r="AN150" s="51">
        <v>3706</v>
      </c>
      <c r="AO150" s="51">
        <v>6052</v>
      </c>
      <c r="AP150" s="51">
        <v>3610</v>
      </c>
      <c r="AQ150" s="51">
        <v>5623</v>
      </c>
      <c r="AR150" s="51">
        <v>2366</v>
      </c>
      <c r="AS150" s="51">
        <v>3888</v>
      </c>
      <c r="AT150" s="51">
        <v>3881</v>
      </c>
      <c r="AU150" s="51">
        <v>6498</v>
      </c>
      <c r="AV150" s="51">
        <v>4074</v>
      </c>
      <c r="AW150" s="51">
        <v>6363</v>
      </c>
      <c r="AX150" s="51">
        <v>4061</v>
      </c>
      <c r="AY150" s="51">
        <v>5989</v>
      </c>
      <c r="AZ150" s="51"/>
      <c r="BA150" s="51">
        <v>3513</v>
      </c>
      <c r="BB150" s="51">
        <v>5647</v>
      </c>
      <c r="BC150" s="51"/>
    </row>
    <row r="151" spans="1:55" x14ac:dyDescent="0.25">
      <c r="A151" s="27" t="s">
        <v>38</v>
      </c>
      <c r="B151" s="51">
        <v>0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765</v>
      </c>
      <c r="S151" s="51">
        <v>758</v>
      </c>
      <c r="T151" s="51">
        <v>754</v>
      </c>
      <c r="U151" s="51">
        <v>1007</v>
      </c>
      <c r="V151" s="51">
        <v>840</v>
      </c>
      <c r="W151" s="51">
        <v>1124</v>
      </c>
      <c r="X151" s="51">
        <v>774</v>
      </c>
      <c r="Y151" s="51">
        <v>811</v>
      </c>
      <c r="Z151" s="51">
        <v>890</v>
      </c>
      <c r="AA151" s="51">
        <v>1143</v>
      </c>
      <c r="AB151" s="51">
        <v>781</v>
      </c>
      <c r="AC151" s="51">
        <v>1218</v>
      </c>
      <c r="AD151" s="51">
        <v>1119</v>
      </c>
      <c r="AE151" s="51">
        <v>1432</v>
      </c>
      <c r="AF151" s="51">
        <v>1229</v>
      </c>
      <c r="AG151" s="51">
        <v>1538</v>
      </c>
      <c r="AH151" s="51">
        <v>1248</v>
      </c>
      <c r="AI151" s="51">
        <v>1727</v>
      </c>
      <c r="AJ151" s="51">
        <v>1231</v>
      </c>
      <c r="AK151" s="51">
        <v>1804</v>
      </c>
      <c r="AL151" s="51">
        <v>1399</v>
      </c>
      <c r="AM151" s="51">
        <v>1891</v>
      </c>
      <c r="AN151" s="51">
        <v>1298</v>
      </c>
      <c r="AO151" s="51">
        <v>2000</v>
      </c>
      <c r="AP151" s="51">
        <v>1479</v>
      </c>
      <c r="AQ151" s="51">
        <v>2192</v>
      </c>
      <c r="AR151" s="51">
        <v>1090</v>
      </c>
      <c r="AS151" s="51">
        <v>1391</v>
      </c>
      <c r="AT151" s="51">
        <v>1708</v>
      </c>
      <c r="AU151" s="51">
        <v>2633</v>
      </c>
      <c r="AV151" s="51">
        <v>1762</v>
      </c>
      <c r="AW151" s="51">
        <v>2530</v>
      </c>
      <c r="AX151" s="51">
        <v>1910</v>
      </c>
      <c r="AY151" s="51">
        <v>2574</v>
      </c>
      <c r="AZ151" s="51"/>
      <c r="BA151" s="51">
        <v>2055</v>
      </c>
      <c r="BB151" s="51">
        <v>2647</v>
      </c>
      <c r="BC151" s="51"/>
    </row>
    <row r="152" spans="1:55" x14ac:dyDescent="0.25">
      <c r="A152" s="27" t="s">
        <v>35</v>
      </c>
      <c r="B152" s="51">
        <v>762</v>
      </c>
      <c r="C152" s="51">
        <v>831</v>
      </c>
      <c r="D152" s="51">
        <v>816</v>
      </c>
      <c r="E152" s="51">
        <v>1015</v>
      </c>
      <c r="F152" s="51">
        <v>659</v>
      </c>
      <c r="G152" s="51">
        <v>718</v>
      </c>
      <c r="H152" s="51">
        <v>759</v>
      </c>
      <c r="I152" s="51">
        <v>939</v>
      </c>
      <c r="J152" s="51">
        <v>887</v>
      </c>
      <c r="K152" s="51">
        <v>1001</v>
      </c>
      <c r="L152" s="51">
        <v>437</v>
      </c>
      <c r="M152" s="51">
        <v>653</v>
      </c>
      <c r="N152" s="51">
        <v>875</v>
      </c>
      <c r="O152" s="51">
        <v>1255</v>
      </c>
      <c r="P152" s="51">
        <v>999</v>
      </c>
      <c r="Q152" s="51">
        <v>1394</v>
      </c>
      <c r="R152" s="51">
        <v>830</v>
      </c>
      <c r="S152" s="51">
        <v>1466</v>
      </c>
      <c r="T152" s="51">
        <v>1011</v>
      </c>
      <c r="U152" s="51">
        <v>1778</v>
      </c>
      <c r="V152" s="51">
        <v>1233</v>
      </c>
      <c r="W152" s="51">
        <v>2194</v>
      </c>
      <c r="X152" s="51">
        <v>1215</v>
      </c>
      <c r="Y152" s="51">
        <v>2040</v>
      </c>
      <c r="Z152" s="51">
        <v>1414</v>
      </c>
      <c r="AA152" s="51">
        <v>2285</v>
      </c>
      <c r="AB152" s="51">
        <v>1638</v>
      </c>
      <c r="AC152" s="51">
        <v>3102</v>
      </c>
      <c r="AD152" s="51">
        <v>1788</v>
      </c>
      <c r="AE152" s="51">
        <v>3205</v>
      </c>
      <c r="AF152" s="51">
        <v>2141</v>
      </c>
      <c r="AG152" s="51">
        <v>3380</v>
      </c>
      <c r="AH152" s="51">
        <v>2427</v>
      </c>
      <c r="AI152" s="51">
        <v>3916</v>
      </c>
      <c r="AJ152" s="51">
        <v>2931</v>
      </c>
      <c r="AK152" s="51">
        <v>4817</v>
      </c>
      <c r="AL152" s="51">
        <v>3253</v>
      </c>
      <c r="AM152" s="51">
        <v>5259</v>
      </c>
      <c r="AN152" s="51">
        <v>3209</v>
      </c>
      <c r="AO152" s="51">
        <v>5359</v>
      </c>
      <c r="AP152" s="51">
        <v>2997</v>
      </c>
      <c r="AQ152" s="51">
        <v>4558</v>
      </c>
      <c r="AR152" s="51">
        <v>2424</v>
      </c>
      <c r="AS152" s="51">
        <v>3837</v>
      </c>
      <c r="AT152" s="51">
        <v>3014</v>
      </c>
      <c r="AU152" s="51">
        <v>5270</v>
      </c>
      <c r="AV152" s="51">
        <v>2952</v>
      </c>
      <c r="AW152" s="51">
        <v>4743</v>
      </c>
      <c r="AX152" s="51">
        <v>3352</v>
      </c>
      <c r="AY152" s="51">
        <v>5081</v>
      </c>
      <c r="AZ152" s="51"/>
      <c r="BA152" s="51">
        <v>3243</v>
      </c>
      <c r="BB152" s="51">
        <v>4889</v>
      </c>
      <c r="BC152" s="51"/>
    </row>
    <row r="153" spans="1:55" x14ac:dyDescent="0.25">
      <c r="A153" s="27" t="s">
        <v>36</v>
      </c>
      <c r="B153" s="51">
        <v>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2</v>
      </c>
      <c r="I153" s="51">
        <v>3</v>
      </c>
      <c r="J153" s="51">
        <v>40</v>
      </c>
      <c r="K153" s="51">
        <v>64</v>
      </c>
      <c r="L153" s="51">
        <v>9</v>
      </c>
      <c r="M153" s="51">
        <v>34</v>
      </c>
      <c r="N153" s="51">
        <v>23</v>
      </c>
      <c r="O153" s="51">
        <v>58</v>
      </c>
      <c r="P153" s="51">
        <v>31</v>
      </c>
      <c r="Q153" s="51">
        <v>71</v>
      </c>
      <c r="R153" s="51">
        <v>84</v>
      </c>
      <c r="S153" s="51">
        <v>124</v>
      </c>
      <c r="T153" s="51">
        <v>62</v>
      </c>
      <c r="U153" s="51">
        <v>84</v>
      </c>
      <c r="V153" s="51">
        <v>71</v>
      </c>
      <c r="W153" s="51">
        <v>131</v>
      </c>
      <c r="X153" s="51">
        <v>70</v>
      </c>
      <c r="Y153" s="51">
        <v>142</v>
      </c>
      <c r="Z153" s="51">
        <v>79</v>
      </c>
      <c r="AA153" s="51">
        <v>147</v>
      </c>
      <c r="AB153" s="51">
        <v>45</v>
      </c>
      <c r="AC153" s="51">
        <v>132</v>
      </c>
      <c r="AD153" s="51">
        <v>84</v>
      </c>
      <c r="AE153" s="51">
        <v>131</v>
      </c>
      <c r="AF153" s="51">
        <v>165</v>
      </c>
      <c r="AG153" s="51">
        <v>243</v>
      </c>
      <c r="AH153" s="51">
        <v>162</v>
      </c>
      <c r="AI153" s="51">
        <v>240</v>
      </c>
      <c r="AJ153" s="51">
        <v>156</v>
      </c>
      <c r="AK153" s="51">
        <v>302</v>
      </c>
      <c r="AL153" s="51">
        <v>195</v>
      </c>
      <c r="AM153" s="51">
        <v>373</v>
      </c>
      <c r="AN153" s="51">
        <v>194</v>
      </c>
      <c r="AO153" s="51">
        <v>393</v>
      </c>
      <c r="AP153" s="51">
        <v>187</v>
      </c>
      <c r="AQ153" s="51">
        <v>336</v>
      </c>
      <c r="AR153" s="51">
        <v>158</v>
      </c>
      <c r="AS153" s="51">
        <v>343</v>
      </c>
      <c r="AT153" s="51">
        <v>207</v>
      </c>
      <c r="AU153" s="51">
        <v>378</v>
      </c>
      <c r="AV153" s="51">
        <v>171</v>
      </c>
      <c r="AW153" s="51">
        <v>358</v>
      </c>
      <c r="AX153" s="51">
        <v>174</v>
      </c>
      <c r="AY153" s="51">
        <v>249</v>
      </c>
      <c r="AZ153" s="51"/>
      <c r="BA153" s="51">
        <v>178</v>
      </c>
      <c r="BB153" s="51">
        <v>254</v>
      </c>
      <c r="BC153" s="51"/>
    </row>
    <row r="154" spans="1:55" s="36" customFormat="1" x14ac:dyDescent="0.25">
      <c r="A154" s="27" t="s">
        <v>37</v>
      </c>
      <c r="B154" s="51">
        <v>138</v>
      </c>
      <c r="C154" s="51">
        <v>106</v>
      </c>
      <c r="D154" s="51">
        <v>189</v>
      </c>
      <c r="E154" s="51">
        <v>221</v>
      </c>
      <c r="F154" s="51">
        <v>154</v>
      </c>
      <c r="G154" s="51">
        <v>186</v>
      </c>
      <c r="H154" s="51">
        <v>227</v>
      </c>
      <c r="I154" s="51">
        <v>209</v>
      </c>
      <c r="J154" s="51">
        <v>218</v>
      </c>
      <c r="K154" s="51">
        <v>264</v>
      </c>
      <c r="L154" s="51">
        <v>180</v>
      </c>
      <c r="M154" s="51">
        <v>295</v>
      </c>
      <c r="N154" s="51">
        <v>300</v>
      </c>
      <c r="O154" s="51">
        <v>830</v>
      </c>
      <c r="P154" s="51">
        <v>299</v>
      </c>
      <c r="Q154" s="51">
        <v>511</v>
      </c>
      <c r="R154" s="51">
        <v>375</v>
      </c>
      <c r="S154" s="51">
        <v>410</v>
      </c>
      <c r="T154" s="51">
        <v>421</v>
      </c>
      <c r="U154" s="51">
        <v>518</v>
      </c>
      <c r="V154" s="51">
        <v>527</v>
      </c>
      <c r="W154" s="51">
        <v>558</v>
      </c>
      <c r="X154" s="51">
        <v>377</v>
      </c>
      <c r="Y154" s="51">
        <v>427</v>
      </c>
      <c r="Z154" s="51">
        <v>490</v>
      </c>
      <c r="AA154" s="51">
        <v>626</v>
      </c>
      <c r="AB154" s="51">
        <v>471</v>
      </c>
      <c r="AC154" s="51">
        <v>575</v>
      </c>
      <c r="AD154" s="51">
        <v>523</v>
      </c>
      <c r="AE154" s="51">
        <v>700</v>
      </c>
      <c r="AF154" s="51">
        <v>547</v>
      </c>
      <c r="AG154" s="51">
        <v>702</v>
      </c>
      <c r="AH154" s="51">
        <v>631</v>
      </c>
      <c r="AI154" s="51">
        <v>787</v>
      </c>
      <c r="AJ154" s="51">
        <v>543</v>
      </c>
      <c r="AK154" s="51">
        <v>679</v>
      </c>
      <c r="AL154" s="51">
        <v>673</v>
      </c>
      <c r="AM154" s="51">
        <v>870</v>
      </c>
      <c r="AN154" s="51">
        <v>669</v>
      </c>
      <c r="AO154" s="51">
        <v>921</v>
      </c>
      <c r="AP154" s="51">
        <v>541</v>
      </c>
      <c r="AQ154" s="51">
        <v>641</v>
      </c>
      <c r="AR154" s="51">
        <v>382</v>
      </c>
      <c r="AS154" s="51">
        <v>520</v>
      </c>
      <c r="AT154" s="51">
        <v>602</v>
      </c>
      <c r="AU154" s="51">
        <v>778</v>
      </c>
      <c r="AV154" s="51">
        <v>659</v>
      </c>
      <c r="AW154" s="51">
        <v>933</v>
      </c>
      <c r="AX154" s="51">
        <v>579</v>
      </c>
      <c r="AY154" s="51">
        <v>738</v>
      </c>
      <c r="AZ154" s="51"/>
      <c r="BA154" s="51">
        <v>639</v>
      </c>
      <c r="BB154" s="51">
        <v>674</v>
      </c>
      <c r="BC154" s="51"/>
    </row>
    <row r="155" spans="1:55" x14ac:dyDescent="0.25">
      <c r="A155" s="27" t="s">
        <v>44</v>
      </c>
      <c r="B155" s="51">
        <v>616</v>
      </c>
      <c r="C155" s="51">
        <v>925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</row>
    <row r="156" spans="1:55" x14ac:dyDescent="0.25">
      <c r="A156" s="26" t="s">
        <v>15</v>
      </c>
      <c r="B156" s="52">
        <v>17238</v>
      </c>
      <c r="C156" s="52">
        <v>18533</v>
      </c>
      <c r="D156" s="52">
        <v>20303.400000000001</v>
      </c>
      <c r="E156" s="52">
        <v>21702.6</v>
      </c>
      <c r="F156" s="52">
        <v>23235</v>
      </c>
      <c r="G156" s="52">
        <v>24351</v>
      </c>
      <c r="H156" s="52">
        <v>25236</v>
      </c>
      <c r="I156" s="52">
        <v>27011</v>
      </c>
      <c r="J156" s="52">
        <v>25097</v>
      </c>
      <c r="K156" s="52">
        <v>28146</v>
      </c>
      <c r="L156" s="52">
        <v>22155</v>
      </c>
      <c r="M156" s="52">
        <v>25779</v>
      </c>
      <c r="N156" s="52">
        <v>33177</v>
      </c>
      <c r="O156" s="52">
        <v>37992</v>
      </c>
      <c r="P156" s="52">
        <v>36270</v>
      </c>
      <c r="Q156" s="52">
        <v>41186</v>
      </c>
      <c r="R156" s="52">
        <v>40269</v>
      </c>
      <c r="S156" s="52">
        <v>46857</v>
      </c>
      <c r="T156" s="52">
        <v>43282</v>
      </c>
      <c r="U156" s="52">
        <v>54740</v>
      </c>
      <c r="V156" s="52">
        <v>47619</v>
      </c>
      <c r="W156" s="52">
        <v>58511</v>
      </c>
      <c r="X156" s="52">
        <v>46404</v>
      </c>
      <c r="Y156" s="52">
        <v>55760</v>
      </c>
      <c r="Z156" s="52">
        <v>52346</v>
      </c>
      <c r="AA156" s="52">
        <v>65986</v>
      </c>
      <c r="AB156" s="52">
        <v>58939</v>
      </c>
      <c r="AC156" s="52">
        <v>76782</v>
      </c>
      <c r="AD156" s="52">
        <v>68105</v>
      </c>
      <c r="AE156" s="52">
        <v>88886</v>
      </c>
      <c r="AF156" s="52">
        <v>75661</v>
      </c>
      <c r="AG156" s="52">
        <v>95987</v>
      </c>
      <c r="AH156" s="52">
        <v>83686</v>
      </c>
      <c r="AI156" s="52">
        <v>105400</v>
      </c>
      <c r="AJ156" s="52">
        <v>85859</v>
      </c>
      <c r="AK156" s="52">
        <v>111709</v>
      </c>
      <c r="AL156" s="52">
        <v>90044</v>
      </c>
      <c r="AM156" s="52">
        <v>116510</v>
      </c>
      <c r="AN156" s="52">
        <v>90766</v>
      </c>
      <c r="AO156" s="52">
        <v>118256</v>
      </c>
      <c r="AP156" s="52">
        <v>86661</v>
      </c>
      <c r="AQ156" s="52">
        <v>114481</v>
      </c>
      <c r="AR156" s="52">
        <v>69748</v>
      </c>
      <c r="AS156" s="52">
        <v>91142</v>
      </c>
      <c r="AT156" s="52">
        <v>95873</v>
      </c>
      <c r="AU156" s="52">
        <v>132818</v>
      </c>
      <c r="AV156" s="52">
        <v>97170</v>
      </c>
      <c r="AW156" s="52">
        <v>128765</v>
      </c>
      <c r="AX156" s="52">
        <v>101439</v>
      </c>
      <c r="AY156" s="52">
        <v>129729</v>
      </c>
      <c r="AZ156" s="52">
        <v>1</v>
      </c>
      <c r="BA156" s="52">
        <v>99468</v>
      </c>
      <c r="BB156" s="52">
        <v>125348</v>
      </c>
      <c r="BC156" s="52">
        <v>1</v>
      </c>
    </row>
    <row r="157" spans="1:55" x14ac:dyDescent="0.25">
      <c r="C157" s="38"/>
      <c r="E157" s="38"/>
      <c r="G157" s="38"/>
      <c r="I157" s="38"/>
      <c r="K157" s="38"/>
      <c r="M157" s="38"/>
      <c r="O157" s="38"/>
      <c r="Q157" s="38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BA157" s="57"/>
      <c r="BB157" s="57"/>
    </row>
    <row r="158" spans="1:55" x14ac:dyDescent="0.25">
      <c r="R158" s="48"/>
    </row>
    <row r="159" spans="1:55" ht="15.75" x14ac:dyDescent="0.25">
      <c r="A159" s="24" t="s">
        <v>125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</row>
    <row r="160" spans="1:55" x14ac:dyDescent="0.25">
      <c r="A160" s="59" t="s">
        <v>25</v>
      </c>
      <c r="B160" s="58">
        <v>1999</v>
      </c>
      <c r="C160" s="58"/>
      <c r="D160" s="58">
        <v>2000</v>
      </c>
      <c r="E160" s="58"/>
      <c r="F160" s="58">
        <v>2001</v>
      </c>
      <c r="G160" s="58"/>
      <c r="H160" s="58">
        <v>2002</v>
      </c>
      <c r="I160" s="58"/>
      <c r="J160" s="58">
        <v>2003</v>
      </c>
      <c r="K160" s="58"/>
      <c r="L160" s="58">
        <v>2004</v>
      </c>
      <c r="M160" s="58"/>
      <c r="N160" s="58">
        <v>2005</v>
      </c>
      <c r="O160" s="58"/>
      <c r="P160" s="58">
        <v>2006</v>
      </c>
      <c r="Q160" s="58"/>
      <c r="R160" s="58">
        <v>2007</v>
      </c>
      <c r="S160" s="58"/>
      <c r="T160" s="58">
        <v>2008</v>
      </c>
      <c r="U160" s="58"/>
      <c r="V160" s="58">
        <v>2009</v>
      </c>
      <c r="W160" s="58"/>
      <c r="X160" s="58">
        <v>2010</v>
      </c>
      <c r="Y160" s="58"/>
      <c r="Z160" s="58">
        <v>2011</v>
      </c>
      <c r="AA160" s="58"/>
      <c r="AB160" s="58">
        <v>2012</v>
      </c>
      <c r="AC160" s="58"/>
      <c r="AD160" s="58">
        <v>2013</v>
      </c>
      <c r="AE160" s="58"/>
      <c r="AF160" s="58">
        <v>2014</v>
      </c>
      <c r="AG160" s="58"/>
      <c r="AH160" s="58">
        <v>2015</v>
      </c>
      <c r="AI160" s="58"/>
      <c r="AJ160" s="58">
        <v>2016</v>
      </c>
      <c r="AK160" s="58"/>
      <c r="AL160" s="58">
        <v>2017</v>
      </c>
      <c r="AM160" s="58"/>
      <c r="AN160" s="58">
        <v>2018</v>
      </c>
      <c r="AO160" s="58"/>
      <c r="AP160" s="58">
        <v>2019</v>
      </c>
      <c r="AQ160" s="58"/>
      <c r="AR160" s="58">
        <v>2020</v>
      </c>
      <c r="AS160" s="58"/>
      <c r="AT160" s="58">
        <v>2021</v>
      </c>
      <c r="AU160" s="58"/>
      <c r="AV160" s="58">
        <v>2022</v>
      </c>
      <c r="AW160" s="58"/>
      <c r="AX160" s="58">
        <v>2023</v>
      </c>
      <c r="AY160" s="58"/>
      <c r="AZ160" s="58"/>
      <c r="BA160" s="58">
        <v>2024</v>
      </c>
      <c r="BB160" s="58"/>
      <c r="BC160" s="58"/>
    </row>
    <row r="161" spans="1:55" x14ac:dyDescent="0.25">
      <c r="A161" s="59"/>
      <c r="B161" s="18" t="s">
        <v>64</v>
      </c>
      <c r="C161" s="18" t="s">
        <v>65</v>
      </c>
      <c r="D161" s="18" t="s">
        <v>64</v>
      </c>
      <c r="E161" s="18" t="s">
        <v>65</v>
      </c>
      <c r="F161" s="18" t="s">
        <v>64</v>
      </c>
      <c r="G161" s="18" t="s">
        <v>65</v>
      </c>
      <c r="H161" s="18" t="s">
        <v>64</v>
      </c>
      <c r="I161" s="18" t="s">
        <v>65</v>
      </c>
      <c r="J161" s="18" t="s">
        <v>64</v>
      </c>
      <c r="K161" s="18" t="s">
        <v>65</v>
      </c>
      <c r="L161" s="18" t="s">
        <v>64</v>
      </c>
      <c r="M161" s="18" t="s">
        <v>65</v>
      </c>
      <c r="N161" s="18" t="s">
        <v>64</v>
      </c>
      <c r="O161" s="18" t="s">
        <v>65</v>
      </c>
      <c r="P161" s="18" t="s">
        <v>64</v>
      </c>
      <c r="Q161" s="18" t="s">
        <v>65</v>
      </c>
      <c r="R161" s="18" t="s">
        <v>64</v>
      </c>
      <c r="S161" s="18" t="s">
        <v>65</v>
      </c>
      <c r="T161" s="18" t="s">
        <v>64</v>
      </c>
      <c r="U161" s="18" t="s">
        <v>65</v>
      </c>
      <c r="V161" s="18" t="s">
        <v>64</v>
      </c>
      <c r="W161" s="18" t="s">
        <v>65</v>
      </c>
      <c r="X161" s="18" t="s">
        <v>64</v>
      </c>
      <c r="Y161" s="18" t="s">
        <v>65</v>
      </c>
      <c r="Z161" s="18" t="s">
        <v>64</v>
      </c>
      <c r="AA161" s="18" t="s">
        <v>65</v>
      </c>
      <c r="AB161" s="18" t="s">
        <v>64</v>
      </c>
      <c r="AC161" s="18" t="s">
        <v>65</v>
      </c>
      <c r="AD161" s="18" t="s">
        <v>64</v>
      </c>
      <c r="AE161" s="18" t="s">
        <v>65</v>
      </c>
      <c r="AF161" s="18" t="s">
        <v>64</v>
      </c>
      <c r="AG161" s="18" t="s">
        <v>65</v>
      </c>
      <c r="AH161" s="18" t="s">
        <v>64</v>
      </c>
      <c r="AI161" s="18" t="s">
        <v>65</v>
      </c>
      <c r="AJ161" s="18" t="s">
        <v>64</v>
      </c>
      <c r="AK161" s="18" t="s">
        <v>65</v>
      </c>
      <c r="AL161" s="18" t="s">
        <v>64</v>
      </c>
      <c r="AM161" s="18" t="s">
        <v>65</v>
      </c>
      <c r="AN161" s="18" t="s">
        <v>64</v>
      </c>
      <c r="AO161" s="18" t="s">
        <v>65</v>
      </c>
      <c r="AP161" s="18" t="s">
        <v>64</v>
      </c>
      <c r="AQ161" s="18" t="s">
        <v>65</v>
      </c>
      <c r="AR161" s="18" t="s">
        <v>64</v>
      </c>
      <c r="AS161" s="18" t="s">
        <v>65</v>
      </c>
      <c r="AT161" s="18" t="s">
        <v>64</v>
      </c>
      <c r="AU161" s="18" t="s">
        <v>65</v>
      </c>
      <c r="AV161" s="18" t="s">
        <v>64</v>
      </c>
      <c r="AW161" s="18" t="s">
        <v>65</v>
      </c>
      <c r="AX161" s="18" t="s">
        <v>64</v>
      </c>
      <c r="AY161" s="18" t="s">
        <v>65</v>
      </c>
      <c r="AZ161" s="18" t="s">
        <v>78</v>
      </c>
      <c r="BA161" s="18" t="s">
        <v>64</v>
      </c>
      <c r="BB161" s="18" t="s">
        <v>65</v>
      </c>
      <c r="BC161" s="18" t="s">
        <v>78</v>
      </c>
    </row>
    <row r="162" spans="1:55" x14ac:dyDescent="0.25">
      <c r="A162" s="27" t="s">
        <v>39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>
        <f>R139/SUM($R$139:$S$154)</f>
        <v>8.4475357528177586E-3</v>
      </c>
      <c r="S162" s="32">
        <f>S139/SUM($R$139:$S$155)</f>
        <v>1.1374331428046737E-2</v>
      </c>
      <c r="T162" s="32">
        <f>T139/SUM($T$139:$U$154)</f>
        <v>7.2738772928526247E-3</v>
      </c>
      <c r="U162" s="32">
        <f>U139/SUM($T$139:$U$154)</f>
        <v>9.0897961682071364E-3</v>
      </c>
      <c r="V162" s="32">
        <f>V139/SUM($V$156:$W$156)</f>
        <v>7.2929426175445209E-3</v>
      </c>
      <c r="W162" s="32">
        <f>W139/SUM($V$156:$W$156)</f>
        <v>8.4895882408367093E-3</v>
      </c>
      <c r="X162" s="32">
        <f>X139/SUM($X$156:$Y$156)</f>
        <v>7.2921968599506679E-3</v>
      </c>
      <c r="Y162" s="32">
        <f>Y139/SUM($X$156:$Y$156)</f>
        <v>8.4276261696879535E-3</v>
      </c>
      <c r="Z162" s="32">
        <f>Z139/SUM($Z$156:$AA$156)</f>
        <v>6.9296555454145961E-3</v>
      </c>
      <c r="AA162" s="32">
        <f>AA139/SUM($Z$156:$AA$156)</f>
        <v>8.755028225670149E-3</v>
      </c>
      <c r="AB162" s="32">
        <f>AB139/SUM($AB$156:$AC$156)</f>
        <v>6.2333758224593101E-3</v>
      </c>
      <c r="AC162" s="32">
        <f>AC139/SUM($AB$156:$AC$156)</f>
        <v>7.2722717928691951E-3</v>
      </c>
      <c r="AD162" s="32">
        <f>AD139/SUM($AD$156:$AE$156)</f>
        <v>5.7837710441999857E-3</v>
      </c>
      <c r="AE162" s="32">
        <f>AE139/SUM($AD$156:$AE$156)</f>
        <v>7.6246409029816992E-3</v>
      </c>
      <c r="AF162" s="32">
        <f>AF139/SUM($AF$156:$AG$156)</f>
        <v>6.5016778523489934E-3</v>
      </c>
      <c r="AG162" s="32">
        <f>AG139/SUM($AF$156:$AG$156)</f>
        <v>8.3601323639075319E-3</v>
      </c>
      <c r="AH162" s="32">
        <f>AH139/SUM($AH$156:$AI$156)</f>
        <v>5.8862105073881725E-3</v>
      </c>
      <c r="AI162" s="32">
        <f>AI139/SUM($AH$156:$AI$156)</f>
        <v>6.938641676274288E-3</v>
      </c>
      <c r="AJ162" s="32">
        <f>AJ139/SUM($AJ$156:$AK$156)</f>
        <v>5.1172254616132168E-3</v>
      </c>
      <c r="AK162" s="32">
        <f>AK139/SUM($AJ$156:$AK$156)</f>
        <v>7.3038143828960157E-3</v>
      </c>
      <c r="AL162" s="32">
        <f>AL139/SUM($AL$156:$AM$156)</f>
        <v>5.2528636579296456E-3</v>
      </c>
      <c r="AM162" s="32">
        <f>AM139/SUM($AL$156:$AM$156)</f>
        <v>7.6783795036649014E-3</v>
      </c>
      <c r="AN162" s="32">
        <f>AN139/SUM($AN$156:$AO$156)</f>
        <v>6.1046205662561833E-3</v>
      </c>
      <c r="AO162" s="32">
        <f>AO139/SUM($AN$156:$AO$156)</f>
        <v>8.5493393039967093E-3</v>
      </c>
      <c r="AP162" s="32">
        <f>AP139/SUM($AP$139:$AQ$154)</f>
        <v>5.951019677640672E-3</v>
      </c>
      <c r="AQ162" s="32">
        <f>AQ139/SUM($AP$139:$AQ$154)</f>
        <v>8.7301508387109608E-3</v>
      </c>
      <c r="AR162" s="32">
        <f>AR139/SUM($AR$156:$AS$156)</f>
        <v>5.7492696873640376E-3</v>
      </c>
      <c r="AS162" s="32">
        <f>AS139/SUM($AR$156:$AS$156)</f>
        <v>9.0931692460687434E-3</v>
      </c>
      <c r="AT162" s="32">
        <f>AT139/SUM($AT$156:$AU$156)</f>
        <v>6.2048790726351279E-3</v>
      </c>
      <c r="AU162" s="32">
        <f>AU139/SUM($AT$156:$AU$156)</f>
        <v>9.3313685278388746E-3</v>
      </c>
      <c r="AV162" s="32">
        <f>AV139/SUM($AV$156:$AW$156)</f>
        <v>5.355522606059265E-3</v>
      </c>
      <c r="AW162" s="32">
        <f>AW139/SUM($AV$156:$AW$156)</f>
        <v>8.1262309956403392E-3</v>
      </c>
      <c r="AX162" s="32">
        <f>AX139/SUM($AX$156:$AZ$156)</f>
        <v>5.9523552033360879E-3</v>
      </c>
      <c r="AY162" s="32">
        <f>AY139/SUM($AX$156:$AZ$156)</f>
        <v>8.5694881234075499E-3</v>
      </c>
      <c r="AZ162" s="32">
        <f>AZ139/SUM($AX$156:$AZ$156)</f>
        <v>0</v>
      </c>
      <c r="BA162" s="32">
        <f>BA139/SUM($BA$156:$BC$156)</f>
        <v>6.2139428957774549E-3</v>
      </c>
      <c r="BB162" s="32">
        <f t="shared" ref="BB162:BC162" si="8">BB139/SUM($BA$156:$BC$156)</f>
        <v>7.7485243553645855E-3</v>
      </c>
      <c r="BC162" s="32">
        <f t="shared" si="8"/>
        <v>0</v>
      </c>
    </row>
    <row r="163" spans="1:55" x14ac:dyDescent="0.25">
      <c r="A163" s="27" t="s">
        <v>26</v>
      </c>
      <c r="B163" s="32">
        <v>9.9521959128903298E-3</v>
      </c>
      <c r="C163" s="32">
        <v>1.1294065024740712E-2</v>
      </c>
      <c r="D163" s="32">
        <v>9.0463267152311577E-3</v>
      </c>
      <c r="E163" s="32">
        <v>9.4272246821882587E-3</v>
      </c>
      <c r="F163" s="32">
        <v>7.6913377884251666E-3</v>
      </c>
      <c r="G163" s="32">
        <v>8.5949649056445178E-3</v>
      </c>
      <c r="H163" s="32">
        <v>6.2204528489674046E-3</v>
      </c>
      <c r="I163" s="32">
        <v>5.4165789423316173E-3</v>
      </c>
      <c r="J163" s="32">
        <v>6.9304885149221495E-3</v>
      </c>
      <c r="K163" s="32">
        <v>6.8929248915350376E-3</v>
      </c>
      <c r="L163" s="32">
        <v>8.4908415738306833E-3</v>
      </c>
      <c r="M163" s="32">
        <v>1.1536696290733091E-2</v>
      </c>
      <c r="N163" s="32">
        <v>8.8662198429091312E-3</v>
      </c>
      <c r="O163" s="32">
        <v>1.292697663308463E-2</v>
      </c>
      <c r="P163" s="32">
        <v>1.1064346209460856E-2</v>
      </c>
      <c r="Q163" s="32">
        <v>1.53635612476761E-2</v>
      </c>
      <c r="R163" s="32">
        <f t="shared" ref="R163:R177" si="9">R140/SUM($R$139:$S$154)</f>
        <v>5.1993664348185384E-3</v>
      </c>
      <c r="S163" s="32">
        <f>S140/SUM($R$139:$S$155)</f>
        <v>7.1046530312421094E-3</v>
      </c>
      <c r="T163" s="32">
        <f t="shared" ref="T163:U177" si="10">T140/SUM($T$139:$U$154)</f>
        <v>5.9272408234886048E-3</v>
      </c>
      <c r="U163" s="32">
        <f t="shared" si="10"/>
        <v>8.9163657138193464E-3</v>
      </c>
      <c r="V163" s="32">
        <f t="shared" ref="V163:W177" si="11">V140/SUM($V$156:$W$156)</f>
        <v>5.5403750117780084E-3</v>
      </c>
      <c r="W163" s="32">
        <f t="shared" si="11"/>
        <v>7.2458305851314424E-3</v>
      </c>
      <c r="X163" s="32">
        <f t="shared" ref="X163:Y177" si="12">X140/SUM($X$156:$Y$156)</f>
        <v>5.9414275087114835E-3</v>
      </c>
      <c r="Y163" s="32">
        <f t="shared" si="12"/>
        <v>6.5385067146940213E-3</v>
      </c>
      <c r="Z163" s="32">
        <f t="shared" ref="Z163:AA177" si="13">Z140/SUM($Z$156:$AA$156)</f>
        <v>5.5944292330054419E-3</v>
      </c>
      <c r="AA163" s="32">
        <f t="shared" si="13"/>
        <v>6.7437379576107898E-3</v>
      </c>
      <c r="AB163" s="32">
        <f t="shared" ref="AB163:AC177" si="14">AB140/SUM($AB$156:$AC$156)</f>
        <v>4.9808062127452641E-3</v>
      </c>
      <c r="AC163" s="32">
        <f t="shared" si="14"/>
        <v>6.4396814052357408E-3</v>
      </c>
      <c r="AD163" s="32">
        <f t="shared" ref="AD163:AE177" si="15">AD140/SUM($AD$156:$AE$156)</f>
        <v>5.5162397844462424E-3</v>
      </c>
      <c r="AE163" s="32">
        <f t="shared" si="15"/>
        <v>6.4780783611799401E-3</v>
      </c>
      <c r="AF163" s="32">
        <f t="shared" ref="AF163:AG177" si="16">AF140/SUM($AF$156:$AG$156)</f>
        <v>5.4180648769574947E-3</v>
      </c>
      <c r="AG163" s="32">
        <f t="shared" si="16"/>
        <v>7.0434843400447424E-3</v>
      </c>
      <c r="AH163" s="32">
        <f t="shared" ref="AH163:AI177" si="17">AH140/SUM($AH$156:$AI$156)</f>
        <v>5.3732164200416743E-3</v>
      </c>
      <c r="AI163" s="32">
        <f t="shared" si="17"/>
        <v>7.6949113101974767E-3</v>
      </c>
      <c r="AJ163" s="32">
        <f t="shared" ref="AJ163:AK177" si="18">AJ140/SUM($AJ$156:$AK$156)</f>
        <v>5.5120262390670558E-3</v>
      </c>
      <c r="AK163" s="32">
        <f t="shared" si="18"/>
        <v>7.2127065111758986E-3</v>
      </c>
      <c r="AL163" s="32">
        <f t="shared" ref="AL163:AM177" si="19">AL140/SUM($AL$156:$AM$156)</f>
        <v>6.487407651267949E-3</v>
      </c>
      <c r="AM163" s="32">
        <f t="shared" si="19"/>
        <v>7.7267929935997369E-3</v>
      </c>
      <c r="AN163" s="32">
        <f t="shared" ref="AN163:AO177" si="20">AN140/SUM($AN$156:$AO$156)</f>
        <v>7.3485087694118321E-3</v>
      </c>
      <c r="AO163" s="32">
        <f t="shared" si="20"/>
        <v>8.9464266919271652E-3</v>
      </c>
      <c r="AP163" s="32">
        <f t="shared" ref="AP163:AQ177" si="21">AP140/SUM($AP$139:$AQ$154)</f>
        <v>6.6520169830269161E-3</v>
      </c>
      <c r="AQ163" s="32">
        <f t="shared" si="21"/>
        <v>7.929721291425957E-3</v>
      </c>
      <c r="AR163" s="32">
        <f t="shared" ref="AR163:AS178" si="22">AR140/SUM($AR$156:$AS$156)</f>
        <v>6.6256448505189885E-3</v>
      </c>
      <c r="AS163" s="32">
        <f t="shared" si="22"/>
        <v>9.0683075393125732E-3</v>
      </c>
      <c r="AT163" s="32">
        <f t="shared" ref="AT163:AU178" si="23">AT140/SUM($AT$156:$AU$156)</f>
        <v>6.7908225509530325E-3</v>
      </c>
      <c r="AU163" s="32">
        <f t="shared" si="23"/>
        <v>1.1128553375515434E-2</v>
      </c>
      <c r="AV163" s="32">
        <f t="shared" ref="AV163:AW179" si="24">AV140/SUM($AV$156:$AW$156)</f>
        <v>6.6744860247416292E-3</v>
      </c>
      <c r="AW163" s="32">
        <f t="shared" si="24"/>
        <v>9.7373138291986638E-3</v>
      </c>
      <c r="AX163" s="32">
        <f>AX140/SUM($AX$156:$AZ$156)</f>
        <v>7.1679161133196929E-3</v>
      </c>
      <c r="AY163" s="32">
        <f t="shared" ref="AX163:AZ178" si="25">AY140/SUM($AX$156:$AZ$156)</f>
        <v>9.2486449307649377E-3</v>
      </c>
      <c r="AZ163" s="32">
        <f t="shared" si="25"/>
        <v>0</v>
      </c>
      <c r="BA163" s="32">
        <f t="shared" ref="BA163:BC163" si="26">BA140/SUM($BA$156:$BC$156)</f>
        <v>6.0716049053229958E-3</v>
      </c>
      <c r="BB163" s="32">
        <f t="shared" si="26"/>
        <v>8.7537864129491987E-3</v>
      </c>
      <c r="BC163" s="32">
        <f t="shared" si="26"/>
        <v>0</v>
      </c>
    </row>
    <row r="164" spans="1:55" x14ac:dyDescent="0.25">
      <c r="A164" s="27" t="s">
        <v>27</v>
      </c>
      <c r="B164" s="32">
        <v>1.2132733219647199E-2</v>
      </c>
      <c r="C164" s="32">
        <v>1.0147885158368512E-2</v>
      </c>
      <c r="D164" s="32">
        <v>9.5938675427319903E-3</v>
      </c>
      <c r="E164" s="32">
        <v>1.102223491882112E-2</v>
      </c>
      <c r="F164" s="32">
        <v>1.1789181692094313E-2</v>
      </c>
      <c r="G164" s="32">
        <v>1.2335560879250199E-2</v>
      </c>
      <c r="H164" s="32">
        <v>1.5694681034317759E-2</v>
      </c>
      <c r="I164" s="32">
        <v>1.431661148008498E-2</v>
      </c>
      <c r="J164" s="32">
        <v>1.8068102849200834E-2</v>
      </c>
      <c r="K164" s="32">
        <v>1.4311740510489642E-2</v>
      </c>
      <c r="L164" s="32">
        <v>1.2684107314223723E-2</v>
      </c>
      <c r="M164" s="32">
        <v>1.1119455918554679E-2</v>
      </c>
      <c r="N164" s="32">
        <v>1.0819317399429526E-2</v>
      </c>
      <c r="O164" s="32">
        <v>1.2842670263738426E-2</v>
      </c>
      <c r="P164" s="32">
        <v>1.2678165668250361E-2</v>
      </c>
      <c r="Q164" s="32">
        <v>1.2290848998140881E-2</v>
      </c>
      <c r="R164" s="32">
        <f t="shared" si="9"/>
        <v>1.9236508045818699E-2</v>
      </c>
      <c r="S164" s="32">
        <f t="shared" ref="S164:S177" si="27">S141/SUM($R$139:$S$155)</f>
        <v>2.0246539494525172E-2</v>
      </c>
      <c r="T164" s="32">
        <f t="shared" si="10"/>
        <v>1.6557507498316703E-2</v>
      </c>
      <c r="U164" s="32">
        <f t="shared" si="10"/>
        <v>1.9842484340250148E-2</v>
      </c>
      <c r="V164" s="32">
        <f t="shared" si="11"/>
        <v>1.7422029586356354E-2</v>
      </c>
      <c r="W164" s="32">
        <f t="shared" si="11"/>
        <v>2.0898897578441534E-2</v>
      </c>
      <c r="X164" s="32">
        <f t="shared" si="12"/>
        <v>1.7422966994244549E-2</v>
      </c>
      <c r="Y164" s="32">
        <f t="shared" si="12"/>
        <v>2.0496456677498925E-2</v>
      </c>
      <c r="Z164" s="32">
        <f t="shared" si="13"/>
        <v>1.6648074907886286E-2</v>
      </c>
      <c r="AA164" s="32">
        <f t="shared" si="13"/>
        <v>1.7881891626947911E-2</v>
      </c>
      <c r="AB164" s="32">
        <f t="shared" si="14"/>
        <v>1.5170828390595413E-2</v>
      </c>
      <c r="AC164" s="32">
        <f t="shared" si="14"/>
        <v>1.7734912062245343E-2</v>
      </c>
      <c r="AD164" s="32">
        <f t="shared" si="15"/>
        <v>1.552955264951494E-2</v>
      </c>
      <c r="AE164" s="32">
        <f t="shared" si="15"/>
        <v>1.8485136090603919E-2</v>
      </c>
      <c r="AF164" s="32">
        <f t="shared" si="16"/>
        <v>1.6662005965697241E-2</v>
      </c>
      <c r="AG164" s="32">
        <f t="shared" si="16"/>
        <v>1.7337807606263984E-2</v>
      </c>
      <c r="AH164" s="32">
        <f t="shared" si="17"/>
        <v>1.6183112446188506E-2</v>
      </c>
      <c r="AI164" s="32">
        <f t="shared" si="17"/>
        <v>2.1783738616291001E-2</v>
      </c>
      <c r="AJ164" s="32">
        <f t="shared" si="18"/>
        <v>1.568067703271785E-2</v>
      </c>
      <c r="AK164" s="32">
        <f t="shared" si="18"/>
        <v>1.8656867508908326E-2</v>
      </c>
      <c r="AL164" s="32">
        <f t="shared" si="19"/>
        <v>1.4925878946909768E-2</v>
      </c>
      <c r="AM164" s="32">
        <f t="shared" si="19"/>
        <v>1.7864577785954277E-2</v>
      </c>
      <c r="AN164" s="32">
        <f t="shared" si="20"/>
        <v>1.6902527006726564E-2</v>
      </c>
      <c r="AO164" s="32">
        <f t="shared" si="20"/>
        <v>1.796461616480562E-2</v>
      </c>
      <c r="AP164" s="32">
        <f t="shared" si="21"/>
        <v>1.5973789661035489E-2</v>
      </c>
      <c r="AQ164" s="32">
        <f t="shared" si="21"/>
        <v>1.8186157043282854E-2</v>
      </c>
      <c r="AR164" s="32">
        <f t="shared" si="22"/>
        <v>1.6663558953322145E-2</v>
      </c>
      <c r="AS164" s="32">
        <f t="shared" si="22"/>
        <v>1.910000621542669E-2</v>
      </c>
      <c r="AT164" s="32">
        <f t="shared" si="23"/>
        <v>1.4749159346017116E-2</v>
      </c>
      <c r="AU164" s="32">
        <f t="shared" si="23"/>
        <v>1.6856806782951667E-2</v>
      </c>
      <c r="AV164" s="32">
        <f t="shared" si="24"/>
        <v>1.546905083320424E-2</v>
      </c>
      <c r="AW164" s="32">
        <f t="shared" si="24"/>
        <v>1.8208776860601499E-2</v>
      </c>
      <c r="AX164" s="32">
        <f t="shared" si="25"/>
        <v>1.5642235766906463E-2</v>
      </c>
      <c r="AY164" s="32">
        <f t="shared" si="25"/>
        <v>1.8298301242813699E-2</v>
      </c>
      <c r="AZ164" s="32">
        <f t="shared" si="25"/>
        <v>0</v>
      </c>
      <c r="BA164" s="32">
        <f t="shared" ref="BA164:BC164" si="28">BA141/SUM($BA$156:$BC$156)</f>
        <v>1.3820129260687581E-2</v>
      </c>
      <c r="BB164" s="32">
        <f t="shared" si="28"/>
        <v>1.6386661151069536E-2</v>
      </c>
      <c r="BC164" s="32">
        <f t="shared" si="28"/>
        <v>0</v>
      </c>
    </row>
    <row r="165" spans="1:55" x14ac:dyDescent="0.25">
      <c r="A165" s="27" t="s">
        <v>28</v>
      </c>
      <c r="B165" s="32">
        <v>5.59112129937659E-4</v>
      </c>
      <c r="C165" s="32">
        <v>1.70529199630986E-3</v>
      </c>
      <c r="D165" s="32">
        <v>4.4993572346807599E-3</v>
      </c>
      <c r="E165" s="32">
        <v>3.4756939484835501E-3</v>
      </c>
      <c r="F165" s="32">
        <v>9.5406211911066279E-3</v>
      </c>
      <c r="G165" s="32">
        <v>5.3587189509519606E-3</v>
      </c>
      <c r="H165" s="32">
        <v>8.2684173253966733E-3</v>
      </c>
      <c r="I165" s="32">
        <v>4.7849637299749266E-3</v>
      </c>
      <c r="J165" s="32">
        <v>7.3249065604868244E-3</v>
      </c>
      <c r="K165" s="32">
        <v>3.8690532088725277E-3</v>
      </c>
      <c r="L165" s="32">
        <v>5.0903325405766264E-3</v>
      </c>
      <c r="M165" s="32">
        <v>3.6091292193432636E-3</v>
      </c>
      <c r="N165" s="32">
        <v>4.2153184673102053E-3</v>
      </c>
      <c r="O165" s="32">
        <v>3.611122820329076E-3</v>
      </c>
      <c r="P165" s="32">
        <v>4.2475728155339804E-3</v>
      </c>
      <c r="Q165" s="32">
        <v>3.7182400330510227E-3</v>
      </c>
      <c r="R165" s="32">
        <f t="shared" si="9"/>
        <v>3.5924982209673347E-3</v>
      </c>
      <c r="S165" s="32">
        <f t="shared" si="27"/>
        <v>3.6498863714620206E-3</v>
      </c>
      <c r="T165" s="32">
        <f t="shared" si="10"/>
        <v>3.4890126706249619E-3</v>
      </c>
      <c r="U165" s="32">
        <f t="shared" si="10"/>
        <v>4.0195058252229087E-3</v>
      </c>
      <c r="V165" s="32">
        <f t="shared" si="11"/>
        <v>3.9008762838028833E-3</v>
      </c>
      <c r="W165" s="32">
        <f t="shared" si="11"/>
        <v>4.692358428342599E-3</v>
      </c>
      <c r="X165" s="32">
        <f t="shared" si="12"/>
        <v>4.9136682197251482E-3</v>
      </c>
      <c r="Y165" s="32">
        <f t="shared" si="12"/>
        <v>5.3051955679104187E-3</v>
      </c>
      <c r="Z165" s="32">
        <f t="shared" si="13"/>
        <v>2.9915830037521548E-3</v>
      </c>
      <c r="AA165" s="32">
        <f t="shared" si="13"/>
        <v>4.0225805361187167E-3</v>
      </c>
      <c r="AB165" s="32">
        <f t="shared" si="14"/>
        <v>3.5219310202547873E-3</v>
      </c>
      <c r="AC165" s="32">
        <f t="shared" si="14"/>
        <v>4.2587366730277559E-3</v>
      </c>
      <c r="AD165" s="32">
        <f t="shared" si="15"/>
        <v>3.2740730360339126E-3</v>
      </c>
      <c r="AE165" s="32">
        <f t="shared" si="15"/>
        <v>4.2295418208687123E-3</v>
      </c>
      <c r="AF165" s="32">
        <f t="shared" si="16"/>
        <v>4.2354120059656976E-3</v>
      </c>
      <c r="AG165" s="32">
        <f t="shared" si="16"/>
        <v>3.6877796420581657E-3</v>
      </c>
      <c r="AH165" s="32">
        <f t="shared" si="17"/>
        <v>4.2467448674148268E-3</v>
      </c>
      <c r="AI165" s="32">
        <f t="shared" si="17"/>
        <v>4.0986640999333638E-3</v>
      </c>
      <c r="AJ165" s="32">
        <f t="shared" si="18"/>
        <v>4.7679786200194359E-3</v>
      </c>
      <c r="AK165" s="32">
        <f t="shared" si="18"/>
        <v>4.9147635244574019E-3</v>
      </c>
      <c r="AL165" s="32">
        <f t="shared" si="19"/>
        <v>4.4927718659527292E-3</v>
      </c>
      <c r="AM165" s="32">
        <f t="shared" si="19"/>
        <v>5.0979404901381718E-3</v>
      </c>
      <c r="AN165" s="32">
        <f t="shared" si="20"/>
        <v>3.9230320253370457E-3</v>
      </c>
      <c r="AO165" s="32">
        <f t="shared" si="20"/>
        <v>4.9851211834160995E-3</v>
      </c>
      <c r="AP165" s="32">
        <f t="shared" si="21"/>
        <v>4.1015799783237711E-3</v>
      </c>
      <c r="AQ165" s="32">
        <f t="shared" si="21"/>
        <v>5.980849350210299E-3</v>
      </c>
      <c r="AR165" s="32">
        <f t="shared" si="22"/>
        <v>5.3825595127105479E-3</v>
      </c>
      <c r="AS165" s="32">
        <f t="shared" si="22"/>
        <v>6.258934675865498E-3</v>
      </c>
      <c r="AT165" s="32">
        <f t="shared" si="23"/>
        <v>4.4514213502061736E-3</v>
      </c>
      <c r="AU165" s="32">
        <f t="shared" si="23"/>
        <v>6.8564132388244398E-3</v>
      </c>
      <c r="AV165" s="32">
        <f t="shared" si="24"/>
        <v>5.6874764866001286E-3</v>
      </c>
      <c r="AW165" s="32">
        <f t="shared" si="24"/>
        <v>6.4310531790116631E-3</v>
      </c>
      <c r="AX165" s="32">
        <f t="shared" si="25"/>
        <v>4.5118506374124557E-3</v>
      </c>
      <c r="AY165" s="32">
        <f t="shared" si="25"/>
        <v>5.9307260056495467E-3</v>
      </c>
      <c r="AZ165" s="32">
        <f t="shared" si="25"/>
        <v>0</v>
      </c>
      <c r="BA165" s="32">
        <f t="shared" ref="BA165:BC165" si="29">BA142/SUM($BA$156:$BC$156)</f>
        <v>5.7291041157919555E-3</v>
      </c>
      <c r="BB165" s="32">
        <f t="shared" si="29"/>
        <v>6.0004359100957671E-3</v>
      </c>
      <c r="BC165" s="32">
        <f t="shared" si="29"/>
        <v>0</v>
      </c>
    </row>
    <row r="166" spans="1:55" x14ac:dyDescent="0.25">
      <c r="A166" s="27" t="s">
        <v>29</v>
      </c>
      <c r="B166" s="32">
        <v>6.1781890358111316E-3</v>
      </c>
      <c r="C166" s="32">
        <v>9.532861815437086E-3</v>
      </c>
      <c r="D166" s="32">
        <v>6.4038470694662668E-3</v>
      </c>
      <c r="E166" s="32">
        <v>8.8082654858829684E-3</v>
      </c>
      <c r="F166" s="32">
        <v>6.5355356617492538E-3</v>
      </c>
      <c r="G166" s="32">
        <v>1.0717437901903921E-2</v>
      </c>
      <c r="H166" s="32">
        <v>9.3019694910712585E-3</v>
      </c>
      <c r="I166" s="32">
        <v>1.1790150630658219E-2</v>
      </c>
      <c r="J166" s="32">
        <v>1.2527468399601826E-2</v>
      </c>
      <c r="K166" s="32">
        <v>1.4236613263715418E-2</v>
      </c>
      <c r="L166" s="32">
        <v>1.5020653398422831E-2</v>
      </c>
      <c r="M166" s="32">
        <v>1.9526849417949681E-2</v>
      </c>
      <c r="N166" s="32">
        <v>9.6530792901403702E-3</v>
      </c>
      <c r="O166" s="32">
        <v>1.0720959968525623E-2</v>
      </c>
      <c r="P166" s="32">
        <v>1.0573745093988845E-2</v>
      </c>
      <c r="Q166" s="32">
        <v>1.0573745093988845E-2</v>
      </c>
      <c r="R166" s="32">
        <f t="shared" si="9"/>
        <v>1.6206413699699287E-2</v>
      </c>
      <c r="S166" s="32">
        <f t="shared" si="27"/>
        <v>1.9466060647797444E-2</v>
      </c>
      <c r="T166" s="32">
        <f t="shared" si="10"/>
        <v>1.794495113341903E-2</v>
      </c>
      <c r="U166" s="32">
        <f t="shared" si="10"/>
        <v>2.3576340005304931E-2</v>
      </c>
      <c r="V166" s="32">
        <f t="shared" si="11"/>
        <v>1.4840290210119664E-2</v>
      </c>
      <c r="W166" s="32">
        <f t="shared" si="11"/>
        <v>1.8694054461509471E-2</v>
      </c>
      <c r="X166" s="32">
        <f t="shared" si="12"/>
        <v>1.5024861986609765E-2</v>
      </c>
      <c r="Y166" s="32">
        <f t="shared" si="12"/>
        <v>1.6023256724482206E-2</v>
      </c>
      <c r="Z166" s="32">
        <f t="shared" si="13"/>
        <v>1.3022681945712064E-2</v>
      </c>
      <c r="AA166" s="32">
        <f t="shared" si="13"/>
        <v>1.6166379339485514E-2</v>
      </c>
      <c r="AB166" s="32">
        <f t="shared" si="14"/>
        <v>1.3675112915466288E-2</v>
      </c>
      <c r="AC166" s="32">
        <f t="shared" si="14"/>
        <v>1.8604342732517445E-2</v>
      </c>
      <c r="AD166" s="32">
        <f t="shared" si="15"/>
        <v>1.6580568312833218E-2</v>
      </c>
      <c r="AE166" s="32">
        <f t="shared" si="15"/>
        <v>2.1810167461829021E-2</v>
      </c>
      <c r="AF166" s="32">
        <f t="shared" si="16"/>
        <v>1.4238441461595823E-2</v>
      </c>
      <c r="AG166" s="32">
        <f t="shared" si="16"/>
        <v>2.0373089112602535E-2</v>
      </c>
      <c r="AH166" s="32">
        <f t="shared" si="17"/>
        <v>1.4067672910739029E-2</v>
      </c>
      <c r="AI166" s="32">
        <f t="shared" si="17"/>
        <v>1.880625747014586E-2</v>
      </c>
      <c r="AJ166" s="32">
        <f t="shared" si="18"/>
        <v>1.4799967606090056E-2</v>
      </c>
      <c r="AK166" s="32">
        <f t="shared" si="18"/>
        <v>1.9446469063816002E-2</v>
      </c>
      <c r="AL166" s="32">
        <f t="shared" si="19"/>
        <v>1.5414855195251605E-2</v>
      </c>
      <c r="AM166" s="32">
        <f t="shared" si="19"/>
        <v>1.987373761824995E-2</v>
      </c>
      <c r="AN166" s="32">
        <f t="shared" si="20"/>
        <v>1.5859574590234522E-2</v>
      </c>
      <c r="AO166" s="32">
        <f t="shared" si="20"/>
        <v>2.1983331898077715E-2</v>
      </c>
      <c r="AP166" s="32">
        <f t="shared" si="21"/>
        <v>1.6421234749579898E-2</v>
      </c>
      <c r="AQ166" s="32">
        <f t="shared" si="21"/>
        <v>2.2615863419872529E-2</v>
      </c>
      <c r="AR166" s="32">
        <f t="shared" si="22"/>
        <v>1.2704332152402263E-2</v>
      </c>
      <c r="AS166" s="32">
        <f t="shared" si="22"/>
        <v>2.0175275032630991E-2</v>
      </c>
      <c r="AT166" s="32">
        <f t="shared" si="23"/>
        <v>1.6450144518148944E-2</v>
      </c>
      <c r="AU166" s="32">
        <f t="shared" si="23"/>
        <v>2.4439090300886347E-2</v>
      </c>
      <c r="AV166" s="32">
        <f t="shared" si="24"/>
        <v>1.6128532542545423E-2</v>
      </c>
      <c r="AW166" s="32">
        <f t="shared" si="24"/>
        <v>2.3050877464757563E-2</v>
      </c>
      <c r="AX166" s="32">
        <f t="shared" si="25"/>
        <v>1.7169257123576257E-2</v>
      </c>
      <c r="AY166" s="32">
        <f t="shared" si="25"/>
        <v>2.2425152161405726E-2</v>
      </c>
      <c r="AZ166" s="32">
        <f t="shared" si="25"/>
        <v>0</v>
      </c>
      <c r="BA166" s="32">
        <f t="shared" ref="BA166:BC166" si="30">BA143/SUM($BA$156:$BC$156)</f>
        <v>1.7116143352148637E-2</v>
      </c>
      <c r="BB166" s="32">
        <f t="shared" si="30"/>
        <v>2.0932580721208804E-2</v>
      </c>
      <c r="BC166" s="32">
        <f t="shared" si="30"/>
        <v>0</v>
      </c>
    </row>
    <row r="167" spans="1:55" x14ac:dyDescent="0.25">
      <c r="A167" s="27" t="s">
        <v>30</v>
      </c>
      <c r="B167" s="32">
        <v>5.9741131083838862E-2</v>
      </c>
      <c r="C167" s="32">
        <v>6.4633362220793383E-2</v>
      </c>
      <c r="D167" s="32">
        <v>5.6491929724325096E-2</v>
      </c>
      <c r="E167" s="32">
        <v>4.7017092796267201E-2</v>
      </c>
      <c r="F167" s="32">
        <v>4.7513974698440715E-2</v>
      </c>
      <c r="G167" s="32">
        <v>4.2932795359979826E-2</v>
      </c>
      <c r="H167" s="32">
        <v>5.1811587268168507E-2</v>
      </c>
      <c r="I167" s="32">
        <v>5.9352690106608992E-2</v>
      </c>
      <c r="J167" s="32">
        <v>5.8711943354055933E-2</v>
      </c>
      <c r="K167" s="32">
        <v>6.5604868245590975E-2</v>
      </c>
      <c r="L167" s="32">
        <v>5.6556932448783744E-2</v>
      </c>
      <c r="M167" s="32">
        <v>7.0534484916760551E-2</v>
      </c>
      <c r="N167" s="32">
        <v>5.1286374685607497E-2</v>
      </c>
      <c r="O167" s="32">
        <v>6.9089069679214271E-2</v>
      </c>
      <c r="P167" s="32">
        <v>4.6826585416236313E-2</v>
      </c>
      <c r="Q167" s="32">
        <v>5.8910865523652135E-2</v>
      </c>
      <c r="R167" s="32">
        <f t="shared" si="9"/>
        <v>5.2315037990955625E-2</v>
      </c>
      <c r="S167" s="32">
        <f t="shared" si="27"/>
        <v>6.1393843399214929E-2</v>
      </c>
      <c r="T167" s="32">
        <f t="shared" si="10"/>
        <v>4.7703576748076959E-2</v>
      </c>
      <c r="U167" s="32">
        <f t="shared" si="10"/>
        <v>6.1690232804880535E-2</v>
      </c>
      <c r="V167" s="32">
        <f t="shared" si="11"/>
        <v>5.2115330255347217E-2</v>
      </c>
      <c r="W167" s="32">
        <f t="shared" si="11"/>
        <v>6.1650805615754263E-2</v>
      </c>
      <c r="X167" s="32">
        <f t="shared" si="12"/>
        <v>5.2161230961982698E-2</v>
      </c>
      <c r="Y167" s="32">
        <f t="shared" si="12"/>
        <v>5.8826984064836926E-2</v>
      </c>
      <c r="Z167" s="32">
        <f t="shared" si="13"/>
        <v>4.878646519960788E-2</v>
      </c>
      <c r="AA167" s="32">
        <f t="shared" si="13"/>
        <v>5.5978095527836932E-2</v>
      </c>
      <c r="AB167" s="32">
        <f t="shared" si="14"/>
        <v>5.1325881772164954E-2</v>
      </c>
      <c r="AC167" s="32">
        <f t="shared" si="14"/>
        <v>6.5546230870683245E-2</v>
      </c>
      <c r="AD167" s="32">
        <f t="shared" si="15"/>
        <v>4.9951908071163315E-2</v>
      </c>
      <c r="AE167" s="32">
        <f t="shared" si="15"/>
        <v>6.0487543871941704E-2</v>
      </c>
      <c r="AF167" s="32">
        <f t="shared" si="16"/>
        <v>4.9490818419090234E-2</v>
      </c>
      <c r="AG167" s="32">
        <f t="shared" si="16"/>
        <v>6.1608640939597316E-2</v>
      </c>
      <c r="AH167" s="32">
        <f t="shared" si="17"/>
        <v>4.9490707931840537E-2</v>
      </c>
      <c r="AI167" s="32">
        <f t="shared" si="17"/>
        <v>6.0945813016299463E-2</v>
      </c>
      <c r="AJ167" s="32">
        <f t="shared" si="18"/>
        <v>4.6728215095562034E-2</v>
      </c>
      <c r="AK167" s="32">
        <f t="shared" si="18"/>
        <v>6.2267168772270814E-2</v>
      </c>
      <c r="AL167" s="32">
        <f t="shared" si="19"/>
        <v>4.885889404223593E-2</v>
      </c>
      <c r="AM167" s="32">
        <f t="shared" si="19"/>
        <v>6.3378099673693081E-2</v>
      </c>
      <c r="AN167" s="32">
        <f t="shared" si="20"/>
        <v>4.5736812392953852E-2</v>
      </c>
      <c r="AO167" s="32">
        <f t="shared" si="20"/>
        <v>5.9012926868942023E-2</v>
      </c>
      <c r="AP167" s="32">
        <f t="shared" si="21"/>
        <v>4.7220371677720217E-2</v>
      </c>
      <c r="AQ167" s="32">
        <f t="shared" si="21"/>
        <v>5.9117439420906623E-2</v>
      </c>
      <c r="AR167" s="32">
        <f t="shared" si="22"/>
        <v>4.8169556840077073E-2</v>
      </c>
      <c r="AS167" s="32">
        <f t="shared" si="22"/>
        <v>5.9419479147243458E-2</v>
      </c>
      <c r="AT167" s="32">
        <f t="shared" si="23"/>
        <v>4.3119318206663142E-2</v>
      </c>
      <c r="AU167" s="32">
        <f t="shared" si="23"/>
        <v>5.782912313995741E-2</v>
      </c>
      <c r="AV167" s="32">
        <f t="shared" si="24"/>
        <v>4.6840905570186116E-2</v>
      </c>
      <c r="AW167" s="32">
        <f t="shared" si="24"/>
        <v>5.9835793480425788E-2</v>
      </c>
      <c r="AX167" s="32">
        <f t="shared" si="25"/>
        <v>4.2985867482231613E-2</v>
      </c>
      <c r="AY167" s="32">
        <f t="shared" si="25"/>
        <v>5.6620913703827068E-2</v>
      </c>
      <c r="AZ167" s="32">
        <f t="shared" si="25"/>
        <v>0</v>
      </c>
      <c r="BA167" s="32">
        <f t="shared" ref="BA167:BC167" si="31">BA144/SUM($BA$156:$BC$156)</f>
        <v>4.2901559935414134E-2</v>
      </c>
      <c r="BB167" s="32">
        <f t="shared" si="31"/>
        <v>5.6143441109880482E-2</v>
      </c>
      <c r="BC167" s="32">
        <f t="shared" si="31"/>
        <v>0</v>
      </c>
    </row>
    <row r="168" spans="1:55" x14ac:dyDescent="0.25">
      <c r="A168" s="27" t="s">
        <v>40</v>
      </c>
      <c r="B168" s="32">
        <v>0.26901680131950462</v>
      </c>
      <c r="C168" s="32">
        <v>0.27273489698359005</v>
      </c>
      <c r="D168" s="32">
        <v>0.31191734514117031</v>
      </c>
      <c r="E168" s="32">
        <v>0.33499023948959672</v>
      </c>
      <c r="F168" s="32">
        <v>0.31334846383390075</v>
      </c>
      <c r="G168" s="32">
        <v>0.32095574328584037</v>
      </c>
      <c r="H168" s="32">
        <v>0.29255268245066701</v>
      </c>
      <c r="I168" s="32">
        <v>0.30340498019025014</v>
      </c>
      <c r="J168" s="32">
        <v>0.25432451214244128</v>
      </c>
      <c r="K168" s="32">
        <v>0.29147493567229493</v>
      </c>
      <c r="L168" s="32">
        <v>0.25722868944799099</v>
      </c>
      <c r="M168" s="32">
        <v>0.2816789752576459</v>
      </c>
      <c r="N168" s="32">
        <v>0.28086666947687899</v>
      </c>
      <c r="O168" s="32">
        <v>0.28097907796934057</v>
      </c>
      <c r="P168" s="32">
        <v>0.28299938029332783</v>
      </c>
      <c r="Q168" s="32">
        <v>0.28673053088204914</v>
      </c>
      <c r="R168" s="32">
        <f t="shared" si="9"/>
        <v>0.22758992723182517</v>
      </c>
      <c r="S168" s="32">
        <f t="shared" si="27"/>
        <v>0.24717076418061198</v>
      </c>
      <c r="T168" s="32">
        <f t="shared" si="10"/>
        <v>0.20941217277753973</v>
      </c>
      <c r="U168" s="32">
        <f t="shared" si="10"/>
        <v>0.2456387341617188</v>
      </c>
      <c r="V168" s="32">
        <f t="shared" si="11"/>
        <v>0.21577310845189862</v>
      </c>
      <c r="W168" s="32">
        <f t="shared" si="11"/>
        <v>0.25108828794874211</v>
      </c>
      <c r="X168" s="32">
        <f t="shared" si="12"/>
        <v>0.22630280725108648</v>
      </c>
      <c r="Y168" s="32">
        <f t="shared" si="12"/>
        <v>0.26285188520418151</v>
      </c>
      <c r="Z168" s="32">
        <f t="shared" si="13"/>
        <v>0.21792921610384342</v>
      </c>
      <c r="AA168" s="32">
        <f t="shared" si="13"/>
        <v>0.26751005645134029</v>
      </c>
      <c r="AB168" s="32">
        <f t="shared" si="14"/>
        <v>0.21223686828125346</v>
      </c>
      <c r="AC168" s="32">
        <f t="shared" si="14"/>
        <v>0.26295856941814455</v>
      </c>
      <c r="AD168" s="32">
        <f t="shared" si="15"/>
        <v>0.21094839831582701</v>
      </c>
      <c r="AE168" s="32">
        <f t="shared" si="15"/>
        <v>0.25711028020714566</v>
      </c>
      <c r="AF168" s="32">
        <f t="shared" si="16"/>
        <v>0.21155504287844892</v>
      </c>
      <c r="AG168" s="32">
        <f t="shared" si="16"/>
        <v>0.25100787658463836</v>
      </c>
      <c r="AH168" s="32">
        <f t="shared" si="17"/>
        <v>0.21184011507991074</v>
      </c>
      <c r="AI168" s="32">
        <f t="shared" si="17"/>
        <v>0.2468294849962451</v>
      </c>
      <c r="AJ168" s="32">
        <f t="shared" si="18"/>
        <v>0.20638463718820863</v>
      </c>
      <c r="AK168" s="32">
        <f t="shared" si="18"/>
        <v>0.24430069646906383</v>
      </c>
      <c r="AL168" s="32">
        <f t="shared" si="19"/>
        <v>0.20706933780028466</v>
      </c>
      <c r="AM168" s="32">
        <f t="shared" si="19"/>
        <v>0.24656022154012994</v>
      </c>
      <c r="AN168" s="32">
        <f t="shared" si="20"/>
        <v>0.20586828180765662</v>
      </c>
      <c r="AO168" s="32">
        <f t="shared" si="20"/>
        <v>0.24541435829721273</v>
      </c>
      <c r="AP168" s="32">
        <f t="shared" si="21"/>
        <v>0.20176293364886497</v>
      </c>
      <c r="AQ168" s="32">
        <f t="shared" si="21"/>
        <v>0.25648049636575154</v>
      </c>
      <c r="AR168" s="32">
        <f t="shared" si="22"/>
        <v>0.21333830567468456</v>
      </c>
      <c r="AS168" s="32">
        <f t="shared" si="22"/>
        <v>0.26283174839952761</v>
      </c>
      <c r="AT168" s="32">
        <f t="shared" si="23"/>
        <v>0.20494466332299915</v>
      </c>
      <c r="AU168" s="32">
        <f t="shared" si="23"/>
        <v>0.26480272507444541</v>
      </c>
      <c r="AV168" s="32">
        <f t="shared" si="24"/>
        <v>0.20849359329010556</v>
      </c>
      <c r="AW168" s="32">
        <f t="shared" si="24"/>
        <v>0.25864961161395977</v>
      </c>
      <c r="AX168" s="32">
        <f t="shared" si="25"/>
        <v>0.21795309924773651</v>
      </c>
      <c r="AY168" s="32">
        <f t="shared" si="25"/>
        <v>0.26419199806202387</v>
      </c>
      <c r="AZ168" s="32">
        <f t="shared" si="25"/>
        <v>4.325839537308203E-6</v>
      </c>
      <c r="BA168" s="32">
        <f t="shared" ref="BA168:BC168" si="32">BA145/SUM($BA$156:$BC$156)</f>
        <v>0.22585035829141034</v>
      </c>
      <c r="BB168" s="32">
        <f t="shared" si="32"/>
        <v>0.26989507021266185</v>
      </c>
      <c r="BC168" s="32">
        <f t="shared" si="32"/>
        <v>4.4480622017018289E-6</v>
      </c>
    </row>
    <row r="169" spans="1:55" x14ac:dyDescent="0.25">
      <c r="A169" s="27" t="s">
        <v>31</v>
      </c>
      <c r="B169" s="32">
        <v>5.5911212993765902E-5</v>
      </c>
      <c r="C169" s="32">
        <v>5.59112129937659E-4</v>
      </c>
      <c r="D169" s="32">
        <v>4.5231633576155785E-4</v>
      </c>
      <c r="E169" s="32">
        <v>8.3321430271865926E-4</v>
      </c>
      <c r="F169" s="32">
        <v>0</v>
      </c>
      <c r="G169" s="32">
        <v>0</v>
      </c>
      <c r="H169" s="32">
        <v>4.497865906176431E-3</v>
      </c>
      <c r="I169" s="32">
        <v>3.2920550462227495E-3</v>
      </c>
      <c r="J169" s="32">
        <v>3.4558533516142968E-3</v>
      </c>
      <c r="K169" s="32">
        <v>3.4934169750014087E-3</v>
      </c>
      <c r="L169" s="32">
        <v>3.5882672007343432E-3</v>
      </c>
      <c r="M169" s="32">
        <v>5.0903325405766264E-3</v>
      </c>
      <c r="N169" s="32">
        <v>2.8242633730978374E-3</v>
      </c>
      <c r="O169" s="32">
        <v>2.1076592336551027E-3</v>
      </c>
      <c r="P169" s="32">
        <v>1.8591200165255113E-3</v>
      </c>
      <c r="Q169" s="32">
        <v>2.6853955794257384E-3</v>
      </c>
      <c r="R169" s="32">
        <f t="shared" si="9"/>
        <v>9.9281500355806532E-3</v>
      </c>
      <c r="S169" s="32">
        <f t="shared" si="27"/>
        <v>1.0341344719142392E-2</v>
      </c>
      <c r="T169" s="32">
        <f t="shared" si="10"/>
        <v>1.095672400073453E-2</v>
      </c>
      <c r="U169" s="32">
        <f t="shared" si="10"/>
        <v>1.2568607047397522E-2</v>
      </c>
      <c r="V169" s="32">
        <f t="shared" si="11"/>
        <v>1.0666164138320926E-2</v>
      </c>
      <c r="W169" s="32">
        <f t="shared" si="11"/>
        <v>1.15518703476868E-2</v>
      </c>
      <c r="X169" s="32">
        <f t="shared" si="12"/>
        <v>1.0101405583179984E-2</v>
      </c>
      <c r="Y169" s="32">
        <f t="shared" si="12"/>
        <v>1.2597392427861086E-2</v>
      </c>
      <c r="Z169" s="32">
        <f t="shared" si="13"/>
        <v>1.255788797620255E-2</v>
      </c>
      <c r="AA169" s="32">
        <f t="shared" si="13"/>
        <v>1.4881857823750127E-2</v>
      </c>
      <c r="AB169" s="32">
        <f t="shared" si="14"/>
        <v>1.2732001679916888E-2</v>
      </c>
      <c r="AC169" s="32">
        <f t="shared" si="14"/>
        <v>1.5163460334067683E-2</v>
      </c>
      <c r="AD169" s="32">
        <f t="shared" si="15"/>
        <v>1.2561229624628164E-2</v>
      </c>
      <c r="AE169" s="32">
        <f t="shared" si="15"/>
        <v>1.6867208948283658E-2</v>
      </c>
      <c r="AF169" s="32">
        <f t="shared" si="16"/>
        <v>1.3073266219239373E-2</v>
      </c>
      <c r="AG169" s="32">
        <f t="shared" si="16"/>
        <v>1.7419369873228934E-2</v>
      </c>
      <c r="AH169" s="32">
        <f t="shared" si="17"/>
        <v>1.4882117131887078E-2</v>
      </c>
      <c r="AI169" s="32">
        <f t="shared" si="17"/>
        <v>1.8964915435304569E-2</v>
      </c>
      <c r="AJ169" s="32">
        <f t="shared" si="18"/>
        <v>1.5994493035309362E-2</v>
      </c>
      <c r="AK169" s="32">
        <f t="shared" si="18"/>
        <v>2.0352486232588275E-2</v>
      </c>
      <c r="AL169" s="32">
        <f t="shared" si="19"/>
        <v>1.3822051376395519E-2</v>
      </c>
      <c r="AM169" s="32">
        <f t="shared" si="19"/>
        <v>1.8876419725592338E-2</v>
      </c>
      <c r="AN169" s="32">
        <f t="shared" si="20"/>
        <v>1.3118236357895342E-2</v>
      </c>
      <c r="AO169" s="32">
        <f t="shared" si="20"/>
        <v>1.815598358067572E-2</v>
      </c>
      <c r="AP169" s="32">
        <f t="shared" si="21"/>
        <v>1.3766393890883058E-2</v>
      </c>
      <c r="AQ169" s="32">
        <f t="shared" si="21"/>
        <v>1.7639279712839684E-2</v>
      </c>
      <c r="AR169" s="32">
        <f t="shared" si="22"/>
        <v>1.2809994406115979E-2</v>
      </c>
      <c r="AS169" s="32">
        <f t="shared" si="22"/>
        <v>1.6713282366834482E-2</v>
      </c>
      <c r="AT169" s="32">
        <f t="shared" si="23"/>
        <v>1.0630064147692738E-2</v>
      </c>
      <c r="AU169" s="32">
        <f t="shared" si="23"/>
        <v>1.4819122746413282E-2</v>
      </c>
      <c r="AV169" s="32">
        <f t="shared" si="24"/>
        <v>1.0542855245977825E-2</v>
      </c>
      <c r="AW169" s="32">
        <f t="shared" si="24"/>
        <v>1.4690065726868347E-2</v>
      </c>
      <c r="AX169" s="32">
        <f t="shared" si="25"/>
        <v>1.0118138677763887E-2</v>
      </c>
      <c r="AY169" s="32">
        <f t="shared" si="25"/>
        <v>1.3064035402670773E-2</v>
      </c>
      <c r="AZ169" s="32">
        <f t="shared" si="25"/>
        <v>0</v>
      </c>
      <c r="BA169" s="32">
        <f t="shared" ref="BA169:BC169" si="33">BA146/SUM($BA$156:$BC$156)</f>
        <v>1.0737622154908213E-2</v>
      </c>
      <c r="BB169" s="32">
        <f t="shared" si="33"/>
        <v>1.3944675002335233E-2</v>
      </c>
      <c r="BC169" s="32">
        <f t="shared" si="33"/>
        <v>0</v>
      </c>
    </row>
    <row r="170" spans="1:55" x14ac:dyDescent="0.25">
      <c r="A170" s="27" t="s">
        <v>32</v>
      </c>
      <c r="B170" s="32">
        <v>5.8147661513516533E-3</v>
      </c>
      <c r="C170" s="32">
        <v>7.1286796567051518E-3</v>
      </c>
      <c r="D170" s="32">
        <v>1.0474694091320288E-2</v>
      </c>
      <c r="E170" s="32">
        <v>1.4688377850783221E-2</v>
      </c>
      <c r="F170" s="32">
        <v>9.5826503593493886E-3</v>
      </c>
      <c r="G170" s="32">
        <v>1.3911654688353717E-2</v>
      </c>
      <c r="H170" s="32">
        <v>1.0890577449422933E-2</v>
      </c>
      <c r="I170" s="32">
        <v>1.4641989013723275E-2</v>
      </c>
      <c r="J170" s="32">
        <v>1.0010705632665326E-2</v>
      </c>
      <c r="K170" s="32">
        <v>1.1870104990327366E-2</v>
      </c>
      <c r="L170" s="32">
        <v>8.9080819460090957E-3</v>
      </c>
      <c r="M170" s="32">
        <v>1.3017899611966454E-2</v>
      </c>
      <c r="N170" s="32">
        <v>1.4978431620508929E-2</v>
      </c>
      <c r="O170" s="32">
        <v>2.6430046790034988E-2</v>
      </c>
      <c r="P170" s="32">
        <v>1.2755629002272258E-2</v>
      </c>
      <c r="Q170" s="32">
        <v>2.7977174137574883E-2</v>
      </c>
      <c r="R170" s="32">
        <f t="shared" si="9"/>
        <v>1.4335559993572528E-2</v>
      </c>
      <c r="S170" s="32">
        <f t="shared" si="27"/>
        <v>2.0062897412942177E-2</v>
      </c>
      <c r="T170" s="32">
        <f t="shared" si="10"/>
        <v>1.7679704556120054E-2</v>
      </c>
      <c r="U170" s="32">
        <f t="shared" si="10"/>
        <v>2.5994164575299423E-2</v>
      </c>
      <c r="V170" s="32">
        <f t="shared" si="11"/>
        <v>1.7016866107603883E-2</v>
      </c>
      <c r="W170" s="32">
        <f t="shared" si="11"/>
        <v>2.7447470083859418E-2</v>
      </c>
      <c r="X170" s="32">
        <f t="shared" si="12"/>
        <v>1.5289142946634823E-2</v>
      </c>
      <c r="Y170" s="32">
        <f t="shared" si="12"/>
        <v>2.1759132375396423E-2</v>
      </c>
      <c r="Z170" s="32">
        <f t="shared" si="13"/>
        <v>1.5819896562214785E-2</v>
      </c>
      <c r="AA170" s="32">
        <f t="shared" si="13"/>
        <v>2.4524219991211169E-2</v>
      </c>
      <c r="AB170" s="32">
        <f t="shared" si="14"/>
        <v>1.6651807752669077E-2</v>
      </c>
      <c r="AC170" s="32">
        <f t="shared" si="14"/>
        <v>2.7799677279124087E-2</v>
      </c>
      <c r="AD170" s="32">
        <f t="shared" si="15"/>
        <v>1.7421380843487842E-2</v>
      </c>
      <c r="AE170" s="32">
        <f t="shared" si="15"/>
        <v>2.7249969743488481E-2</v>
      </c>
      <c r="AF170" s="32">
        <f t="shared" si="16"/>
        <v>1.7285374720357943E-2</v>
      </c>
      <c r="AG170" s="32">
        <f t="shared" si="16"/>
        <v>2.858757457121551E-2</v>
      </c>
      <c r="AH170" s="32">
        <f t="shared" si="17"/>
        <v>1.8219222999058628E-2</v>
      </c>
      <c r="AI170" s="32">
        <f t="shared" si="17"/>
        <v>2.7537734152713579E-2</v>
      </c>
      <c r="AJ170" s="32">
        <f t="shared" si="18"/>
        <v>1.856575963718821E-2</v>
      </c>
      <c r="AK170" s="32">
        <f t="shared" si="18"/>
        <v>2.9260811467444119E-2</v>
      </c>
      <c r="AL170" s="32">
        <f t="shared" si="19"/>
        <v>1.8508477202087589E-2</v>
      </c>
      <c r="AM170" s="32">
        <f t="shared" si="19"/>
        <v>2.8176651142074228E-2</v>
      </c>
      <c r="AN170" s="32">
        <f t="shared" si="20"/>
        <v>1.7902421754647836E-2</v>
      </c>
      <c r="AO170" s="32">
        <f t="shared" si="20"/>
        <v>2.8346298475758532E-2</v>
      </c>
      <c r="AP170" s="32">
        <f t="shared" si="21"/>
        <v>1.832039056984618E-2</v>
      </c>
      <c r="AQ170" s="32">
        <f t="shared" si="21"/>
        <v>2.8462479243519502E-2</v>
      </c>
      <c r="AR170" s="32">
        <f t="shared" si="22"/>
        <v>1.8540617813412891E-2</v>
      </c>
      <c r="AS170" s="32">
        <f t="shared" si="22"/>
        <v>3.0492883336441047E-2</v>
      </c>
      <c r="AT170" s="32">
        <f t="shared" si="23"/>
        <v>1.8361019891469276E-2</v>
      </c>
      <c r="AU170" s="32">
        <f t="shared" si="23"/>
        <v>2.9397746303964738E-2</v>
      </c>
      <c r="AV170" s="32">
        <f t="shared" si="24"/>
        <v>1.9718060504127295E-2</v>
      </c>
      <c r="AW170" s="32">
        <f t="shared" si="24"/>
        <v>3.1274481598689889E-2</v>
      </c>
      <c r="AX170" s="32">
        <f t="shared" si="25"/>
        <v>1.8566503294126808E-2</v>
      </c>
      <c r="AY170" s="32">
        <f t="shared" si="25"/>
        <v>2.8948518183666495E-2</v>
      </c>
      <c r="AZ170" s="32">
        <f t="shared" si="25"/>
        <v>0</v>
      </c>
      <c r="BA170" s="32">
        <f t="shared" ref="BA170:BC170" si="34">BA147/SUM($BA$156:$BC$156)</f>
        <v>1.9206732586948497E-2</v>
      </c>
      <c r="BB170" s="32">
        <f t="shared" si="34"/>
        <v>2.7653602707980268E-2</v>
      </c>
      <c r="BC170" s="32">
        <f t="shared" si="34"/>
        <v>0</v>
      </c>
    </row>
    <row r="171" spans="1:55" x14ac:dyDescent="0.25">
      <c r="A171" s="27" t="s">
        <v>68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>
        <f t="shared" si="9"/>
        <v>9.7445079539976581E-3</v>
      </c>
      <c r="S171" s="32">
        <f t="shared" si="27"/>
        <v>1.2786079930216009E-2</v>
      </c>
      <c r="T171" s="32">
        <f t="shared" si="10"/>
        <v>7.6921507416702374E-3</v>
      </c>
      <c r="U171" s="32">
        <f t="shared" si="10"/>
        <v>1.2813450041827344E-2</v>
      </c>
      <c r="V171" s="32">
        <f t="shared" si="11"/>
        <v>8.4801658343540941E-3</v>
      </c>
      <c r="W171" s="32">
        <f t="shared" si="11"/>
        <v>1.3869782342410252E-2</v>
      </c>
      <c r="X171" s="32">
        <f t="shared" si="12"/>
        <v>8.2416506792999493E-3</v>
      </c>
      <c r="Y171" s="32">
        <f t="shared" si="12"/>
        <v>1.2470146039700872E-2</v>
      </c>
      <c r="Z171" s="32">
        <f t="shared" si="13"/>
        <v>9.4733461785484908E-3</v>
      </c>
      <c r="AA171" s="32">
        <f t="shared" si="13"/>
        <v>1.5633978974410979E-2</v>
      </c>
      <c r="AB171" s="32">
        <f t="shared" si="14"/>
        <v>8.8932442289697249E-3</v>
      </c>
      <c r="AC171" s="32">
        <f t="shared" si="14"/>
        <v>1.4131932420185527E-2</v>
      </c>
      <c r="AD171" s="32">
        <f t="shared" si="15"/>
        <v>8.6629169825021817E-3</v>
      </c>
      <c r="AE171" s="32">
        <f t="shared" si="15"/>
        <v>1.6090094336618024E-2</v>
      </c>
      <c r="AF171" s="32">
        <f t="shared" si="16"/>
        <v>9.2631431767337801E-3</v>
      </c>
      <c r="AG171" s="32">
        <f t="shared" si="16"/>
        <v>1.4127749813571962E-2</v>
      </c>
      <c r="AH171" s="32">
        <f t="shared" si="17"/>
        <v>9.5089007118454045E-3</v>
      </c>
      <c r="AI171" s="32">
        <f t="shared" si="17"/>
        <v>1.4437874829442688E-2</v>
      </c>
      <c r="AJ171" s="32">
        <f t="shared" si="18"/>
        <v>9.6624959507612563E-3</v>
      </c>
      <c r="AK171" s="32">
        <f t="shared" si="18"/>
        <v>1.4946752510528022E-2</v>
      </c>
      <c r="AL171" s="32">
        <f t="shared" si="19"/>
        <v>9.0678466647946786E-3</v>
      </c>
      <c r="AM171" s="32">
        <f t="shared" si="19"/>
        <v>1.5061436718727306E-2</v>
      </c>
      <c r="AN171" s="32">
        <f t="shared" si="20"/>
        <v>9.4248452316024155E-3</v>
      </c>
      <c r="AO171" s="32">
        <f t="shared" si="20"/>
        <v>1.6797274927998009E-2</v>
      </c>
      <c r="AP171" s="32">
        <f t="shared" si="21"/>
        <v>9.2273120482047506E-3</v>
      </c>
      <c r="AQ171" s="32">
        <f t="shared" si="21"/>
        <v>1.4512135705123743E-2</v>
      </c>
      <c r="AR171" s="32">
        <f t="shared" si="22"/>
        <v>7.806575921437007E-3</v>
      </c>
      <c r="AS171" s="32">
        <f t="shared" si="22"/>
        <v>1.2089004910187084E-2</v>
      </c>
      <c r="AT171" s="32">
        <f t="shared" si="23"/>
        <v>8.0851454582821364E-3</v>
      </c>
      <c r="AU171" s="32">
        <f t="shared" si="23"/>
        <v>1.479725918378948E-2</v>
      </c>
      <c r="AV171" s="32">
        <f t="shared" si="24"/>
        <v>8.5378538075110092E-3</v>
      </c>
      <c r="AW171" s="32">
        <f t="shared" si="24"/>
        <v>1.3517162015623963E-2</v>
      </c>
      <c r="AX171" s="32">
        <f t="shared" si="25"/>
        <v>9.4087009936453421E-3</v>
      </c>
      <c r="AY171" s="32">
        <f t="shared" si="25"/>
        <v>1.2553586337268406E-2</v>
      </c>
      <c r="AZ171" s="32">
        <f t="shared" si="25"/>
        <v>0</v>
      </c>
      <c r="BA171" s="32">
        <f t="shared" ref="BA171:BC171" si="35">BA148/SUM($BA$156:$BC$156)</f>
        <v>8.0687848338871163E-3</v>
      </c>
      <c r="BB171" s="32">
        <f t="shared" si="35"/>
        <v>1.1520481102407736E-2</v>
      </c>
      <c r="BC171" s="32">
        <f t="shared" si="35"/>
        <v>0</v>
      </c>
    </row>
    <row r="172" spans="1:55" x14ac:dyDescent="0.25">
      <c r="A172" s="27" t="s">
        <v>33</v>
      </c>
      <c r="B172" s="32">
        <v>6.2732380979005339E-2</v>
      </c>
      <c r="C172" s="32">
        <v>7.0671773224120091E-2</v>
      </c>
      <c r="D172" s="32">
        <v>3.7970766081036042E-2</v>
      </c>
      <c r="E172" s="32">
        <v>4.101794981669285E-2</v>
      </c>
      <c r="F172" s="32">
        <v>5.3692262430126508E-2</v>
      </c>
      <c r="G172" s="32">
        <v>6.2560416929348966E-2</v>
      </c>
      <c r="H172" s="32">
        <v>4.8251574253067163E-2</v>
      </c>
      <c r="I172" s="32">
        <v>5.4012670583956972E-2</v>
      </c>
      <c r="J172" s="32">
        <v>5.7359652912119904E-2</v>
      </c>
      <c r="K172" s="32">
        <v>6.7276449486317447E-2</v>
      </c>
      <c r="L172" s="32">
        <v>6.3295364459465098E-2</v>
      </c>
      <c r="M172" s="32">
        <v>7.3622063670880797E-2</v>
      </c>
      <c r="N172" s="32">
        <v>4.9558094114010312E-2</v>
      </c>
      <c r="O172" s="32">
        <v>6.300496002472987E-2</v>
      </c>
      <c r="P172" s="32">
        <v>5.4159781036975829E-2</v>
      </c>
      <c r="Q172" s="32">
        <v>6.7690043379467046E-2</v>
      </c>
      <c r="R172" s="32">
        <f t="shared" si="9"/>
        <v>5.168376833551408E-2</v>
      </c>
      <c r="S172" s="32">
        <f t="shared" si="27"/>
        <v>6.30810550237587E-2</v>
      </c>
      <c r="T172" s="32">
        <f t="shared" si="10"/>
        <v>5.3008508294056435E-2</v>
      </c>
      <c r="U172" s="32">
        <f t="shared" si="10"/>
        <v>6.9035522637775196E-2</v>
      </c>
      <c r="V172" s="32">
        <f t="shared" si="11"/>
        <v>4.9354565155940826E-2</v>
      </c>
      <c r="W172" s="32">
        <f t="shared" si="11"/>
        <v>6.0633185715631775E-2</v>
      </c>
      <c r="X172" s="32">
        <f t="shared" si="12"/>
        <v>4.7746760111193769E-2</v>
      </c>
      <c r="Y172" s="32">
        <f t="shared" si="12"/>
        <v>5.9130417759680511E-2</v>
      </c>
      <c r="Z172" s="32">
        <f t="shared" si="13"/>
        <v>4.989351992698509E-2</v>
      </c>
      <c r="AA172" s="32">
        <f t="shared" si="13"/>
        <v>6.259507149376331E-2</v>
      </c>
      <c r="AB172" s="32">
        <f t="shared" si="14"/>
        <v>4.9749117675230804E-2</v>
      </c>
      <c r="AC172" s="32">
        <f t="shared" si="14"/>
        <v>6.2665320768340929E-2</v>
      </c>
      <c r="AD172" s="32">
        <f t="shared" si="15"/>
        <v>4.8130147588078299E-2</v>
      </c>
      <c r="AE172" s="32">
        <f t="shared" si="15"/>
        <v>6.8144033734417894E-2</v>
      </c>
      <c r="AF172" s="32">
        <f t="shared" si="16"/>
        <v>4.9962714392244596E-2</v>
      </c>
      <c r="AG172" s="32">
        <f t="shared" si="16"/>
        <v>6.593726696495153E-2</v>
      </c>
      <c r="AH172" s="32">
        <f t="shared" si="17"/>
        <v>5.1796537025480469E-2</v>
      </c>
      <c r="AI172" s="32">
        <f t="shared" si="17"/>
        <v>6.6382492622404615E-2</v>
      </c>
      <c r="AJ172" s="32">
        <f t="shared" si="18"/>
        <v>4.7821509556203436E-2</v>
      </c>
      <c r="AK172" s="32">
        <f t="shared" si="18"/>
        <v>6.6701085195983154E-2</v>
      </c>
      <c r="AL172" s="32">
        <f t="shared" si="19"/>
        <v>4.7818004008636963E-2</v>
      </c>
      <c r="AM172" s="32">
        <f t="shared" si="19"/>
        <v>6.3566912284438934E-2</v>
      </c>
      <c r="AN172" s="32">
        <f t="shared" si="20"/>
        <v>4.863124455798911E-2</v>
      </c>
      <c r="AO172" s="32">
        <f t="shared" si="20"/>
        <v>6.5155820918372229E-2</v>
      </c>
      <c r="AP172" s="32">
        <f t="shared" si="21"/>
        <v>4.7628043869505123E-2</v>
      </c>
      <c r="AQ172" s="32">
        <f t="shared" si="21"/>
        <v>6.3129530381521512E-2</v>
      </c>
      <c r="AR172" s="32">
        <f t="shared" si="22"/>
        <v>4.5820125551619122E-2</v>
      </c>
      <c r="AS172" s="32">
        <f t="shared" si="22"/>
        <v>5.922058549319411E-2</v>
      </c>
      <c r="AT172" s="32">
        <f t="shared" si="23"/>
        <v>4.428245973824943E-2</v>
      </c>
      <c r="AU172" s="32">
        <f t="shared" si="23"/>
        <v>6.2490434691352084E-2</v>
      </c>
      <c r="AV172" s="32">
        <f t="shared" si="24"/>
        <v>4.4061345077123955E-2</v>
      </c>
      <c r="AW172" s="32">
        <f t="shared" si="24"/>
        <v>6.033151127536681E-2</v>
      </c>
      <c r="AX172" s="32">
        <f t="shared" si="25"/>
        <v>4.574575310703425E-2</v>
      </c>
      <c r="AY172" s="32">
        <f t="shared" si="25"/>
        <v>5.8044114911601469E-2</v>
      </c>
      <c r="AZ172" s="32">
        <f t="shared" si="25"/>
        <v>0</v>
      </c>
      <c r="BA172" s="32">
        <f t="shared" ref="BA172:BC172" si="36">BA149/SUM($BA$156:$BC$156)</f>
        <v>4.3897925868595346E-2</v>
      </c>
      <c r="BB172" s="32">
        <f t="shared" si="36"/>
        <v>5.580983644475284E-2</v>
      </c>
      <c r="BC172" s="32">
        <f t="shared" si="36"/>
        <v>0</v>
      </c>
    </row>
    <row r="173" spans="1:55" x14ac:dyDescent="0.25">
      <c r="A173" s="27" t="s">
        <v>34</v>
      </c>
      <c r="B173" s="32">
        <v>1.3334824299013167E-2</v>
      </c>
      <c r="C173" s="32">
        <v>1.7639987699533143E-2</v>
      </c>
      <c r="D173" s="32">
        <v>1.2569632909584344E-2</v>
      </c>
      <c r="E173" s="32">
        <v>1.5950102366328621E-2</v>
      </c>
      <c r="F173" s="32">
        <v>1.149497751439499E-2</v>
      </c>
      <c r="G173" s="32">
        <v>1.5361660992728954E-2</v>
      </c>
      <c r="H173" s="32">
        <v>1.6613394070472947E-2</v>
      </c>
      <c r="I173" s="32">
        <v>2.3943958504794534E-2</v>
      </c>
      <c r="J173" s="32">
        <v>2.114831996694401E-2</v>
      </c>
      <c r="K173" s="32">
        <v>2.4641736941945418E-2</v>
      </c>
      <c r="L173" s="32">
        <v>1.8275128301414444E-2</v>
      </c>
      <c r="M173" s="32">
        <v>2.7579588600993032E-2</v>
      </c>
      <c r="N173" s="32">
        <v>1.6271129283817392E-2</v>
      </c>
      <c r="O173" s="32">
        <v>2.2003962399359273E-2</v>
      </c>
      <c r="P173" s="32">
        <v>1.3943400123941335E-2</v>
      </c>
      <c r="Q173" s="32">
        <v>2.0282482958066516E-2</v>
      </c>
      <c r="R173" s="32">
        <f t="shared" si="9"/>
        <v>2.0338360535316669E-2</v>
      </c>
      <c r="S173" s="32">
        <f t="shared" si="27"/>
        <v>2.9474554094070658E-2</v>
      </c>
      <c r="T173" s="32">
        <f t="shared" si="10"/>
        <v>2.0974883189488074E-2</v>
      </c>
      <c r="U173" s="32">
        <f t="shared" si="10"/>
        <v>3.0707392218073493E-2</v>
      </c>
      <c r="V173" s="32">
        <f t="shared" si="11"/>
        <v>2.1115612927541695E-2</v>
      </c>
      <c r="W173" s="32">
        <f t="shared" si="11"/>
        <v>2.7296711580137568E-2</v>
      </c>
      <c r="X173" s="32">
        <f t="shared" si="12"/>
        <v>1.9928742022630282E-2</v>
      </c>
      <c r="Y173" s="32">
        <f t="shared" si="12"/>
        <v>2.7886535374495907E-2</v>
      </c>
      <c r="Z173" s="32">
        <f t="shared" si="13"/>
        <v>1.8439644390359326E-2</v>
      </c>
      <c r="AA173" s="32">
        <f t="shared" si="13"/>
        <v>2.7439745799952675E-2</v>
      </c>
      <c r="AB173" s="32">
        <f t="shared" si="14"/>
        <v>1.7469662027247073E-2</v>
      </c>
      <c r="AC173" s="32">
        <f t="shared" si="14"/>
        <v>2.611976039080172E-2</v>
      </c>
      <c r="AD173" s="32">
        <f t="shared" si="15"/>
        <v>1.7071042289048415E-2</v>
      </c>
      <c r="AE173" s="32">
        <f t="shared" si="15"/>
        <v>2.677860514296998E-2</v>
      </c>
      <c r="AF173" s="32">
        <f t="shared" si="16"/>
        <v>1.9324431394481732E-2</v>
      </c>
      <c r="AG173" s="32">
        <f t="shared" si="16"/>
        <v>2.9560495898583148E-2</v>
      </c>
      <c r="AH173" s="32">
        <f t="shared" si="17"/>
        <v>1.7457664766296819E-2</v>
      </c>
      <c r="AI173" s="32">
        <f t="shared" si="17"/>
        <v>2.772283511206541E-2</v>
      </c>
      <c r="AJ173" s="32">
        <f t="shared" si="18"/>
        <v>1.8940314220926464E-2</v>
      </c>
      <c r="AK173" s="32">
        <f t="shared" si="18"/>
        <v>3.1579000647878198E-2</v>
      </c>
      <c r="AL173" s="32">
        <f t="shared" si="19"/>
        <v>1.7491793913456045E-2</v>
      </c>
      <c r="AM173" s="32">
        <f t="shared" si="19"/>
        <v>2.9570959652197488E-2</v>
      </c>
      <c r="AN173" s="32">
        <f t="shared" si="20"/>
        <v>1.7730191080364745E-2</v>
      </c>
      <c r="AO173" s="32">
        <f t="shared" si="20"/>
        <v>2.8953890021146098E-2</v>
      </c>
      <c r="AP173" s="32">
        <f t="shared" si="21"/>
        <v>1.7947519662725835E-2</v>
      </c>
      <c r="AQ173" s="32">
        <f t="shared" si="21"/>
        <v>2.7955374809835839E-2</v>
      </c>
      <c r="AR173" s="32">
        <f t="shared" si="22"/>
        <v>1.4705699546273852E-2</v>
      </c>
      <c r="AS173" s="32">
        <f t="shared" si="22"/>
        <v>2.4165578966996084E-2</v>
      </c>
      <c r="AT173" s="32">
        <f t="shared" si="23"/>
        <v>1.6970497308595442E-2</v>
      </c>
      <c r="AU173" s="32">
        <f t="shared" si="23"/>
        <v>2.841388598589363E-2</v>
      </c>
      <c r="AV173" s="32">
        <f t="shared" si="24"/>
        <v>1.8031734790979706E-2</v>
      </c>
      <c r="AW173" s="32">
        <f t="shared" si="24"/>
        <v>2.8162967225086863E-2</v>
      </c>
      <c r="AX173" s="32">
        <f t="shared" si="25"/>
        <v>1.7567234361008613E-2</v>
      </c>
      <c r="AY173" s="32">
        <f t="shared" si="25"/>
        <v>2.5907452988938828E-2</v>
      </c>
      <c r="AZ173" s="32">
        <f t="shared" si="25"/>
        <v>0</v>
      </c>
      <c r="BA173" s="32">
        <f t="shared" ref="BA173:BC173" si="37">BA150/SUM($BA$156:$BC$156)</f>
        <v>1.5626042514578525E-2</v>
      </c>
      <c r="BB173" s="32">
        <f t="shared" si="37"/>
        <v>2.5118207253010227E-2</v>
      </c>
      <c r="BC173" s="32">
        <f t="shared" si="37"/>
        <v>0</v>
      </c>
    </row>
    <row r="174" spans="1:55" x14ac:dyDescent="0.25">
      <c r="A174" s="27" t="s">
        <v>38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>
        <f t="shared" si="9"/>
        <v>8.7803870256869358E-3</v>
      </c>
      <c r="S174" s="32">
        <f t="shared" si="27"/>
        <v>8.7000436149943759E-3</v>
      </c>
      <c r="T174" s="32">
        <f t="shared" si="10"/>
        <v>7.6921507416702374E-3</v>
      </c>
      <c r="U174" s="32">
        <f t="shared" si="10"/>
        <v>1.0273203974617943E-2</v>
      </c>
      <c r="V174" s="32">
        <f t="shared" si="11"/>
        <v>7.9148214453971539E-3</v>
      </c>
      <c r="W174" s="32">
        <f t="shared" si="11"/>
        <v>1.0590784886460002E-2</v>
      </c>
      <c r="X174" s="32">
        <f t="shared" si="12"/>
        <v>7.5760541873849891E-3</v>
      </c>
      <c r="Y174" s="32">
        <f t="shared" si="12"/>
        <v>7.9382169844563651E-3</v>
      </c>
      <c r="Z174" s="32">
        <f t="shared" si="13"/>
        <v>7.521211506608525E-3</v>
      </c>
      <c r="AA174" s="32">
        <f t="shared" si="13"/>
        <v>9.6592637663522971E-3</v>
      </c>
      <c r="AB174" s="32">
        <f t="shared" si="14"/>
        <v>5.754452148156881E-3</v>
      </c>
      <c r="AC174" s="32">
        <f t="shared" si="14"/>
        <v>8.974292850774751E-3</v>
      </c>
      <c r="AD174" s="32">
        <f t="shared" si="15"/>
        <v>7.127797134867604E-3</v>
      </c>
      <c r="AE174" s="32">
        <f t="shared" si="15"/>
        <v>9.1215419992228854E-3</v>
      </c>
      <c r="AF174" s="32">
        <f t="shared" si="16"/>
        <v>7.1600018642803877E-3</v>
      </c>
      <c r="AG174" s="32">
        <f t="shared" si="16"/>
        <v>8.9601976137211031E-3</v>
      </c>
      <c r="AH174" s="32">
        <f t="shared" si="17"/>
        <v>6.6001713506023711E-3</v>
      </c>
      <c r="AI174" s="32">
        <f t="shared" si="17"/>
        <v>9.133410194303122E-3</v>
      </c>
      <c r="AJ174" s="32">
        <f t="shared" si="18"/>
        <v>6.2307661159701974E-3</v>
      </c>
      <c r="AK174" s="32">
        <f t="shared" si="18"/>
        <v>9.1310333657272438E-3</v>
      </c>
      <c r="AL174" s="32">
        <f t="shared" si="19"/>
        <v>6.7730472418834784E-3</v>
      </c>
      <c r="AM174" s="32">
        <f t="shared" si="19"/>
        <v>9.1549909466773823E-3</v>
      </c>
      <c r="AN174" s="32">
        <f t="shared" si="20"/>
        <v>6.2098726449847383E-3</v>
      </c>
      <c r="AO174" s="32">
        <f t="shared" si="20"/>
        <v>9.5683707935049905E-3</v>
      </c>
      <c r="AP174" s="32">
        <f t="shared" si="21"/>
        <v>7.3530142884131611E-3</v>
      </c>
      <c r="AQ174" s="32">
        <f t="shared" si="21"/>
        <v>1.0897773712103887E-2</v>
      </c>
      <c r="AR174" s="32">
        <f t="shared" si="22"/>
        <v>6.7748150910560013E-3</v>
      </c>
      <c r="AS174" s="32">
        <f t="shared" si="22"/>
        <v>8.6456585244577035E-3</v>
      </c>
      <c r="AT174" s="32">
        <f t="shared" si="23"/>
        <v>7.4685929922909079E-3</v>
      </c>
      <c r="AU174" s="32">
        <f t="shared" si="23"/>
        <v>1.1513352077694355E-2</v>
      </c>
      <c r="AV174" s="32">
        <f t="shared" si="24"/>
        <v>7.7987031668400207E-3</v>
      </c>
      <c r="AW174" s="32">
        <f t="shared" si="24"/>
        <v>1.1197910903578462E-2</v>
      </c>
      <c r="AX174" s="32">
        <f t="shared" si="25"/>
        <v>8.2623535162586678E-3</v>
      </c>
      <c r="AY174" s="32">
        <f t="shared" si="25"/>
        <v>1.1134710969031314E-2</v>
      </c>
      <c r="AZ174" s="32">
        <f t="shared" si="25"/>
        <v>0</v>
      </c>
      <c r="BA174" s="32">
        <f t="shared" ref="BA174:BC174" si="38">BA151/SUM($BA$156:$BC$156)</f>
        <v>9.140767824497258E-3</v>
      </c>
      <c r="BB174" s="32">
        <f t="shared" si="38"/>
        <v>1.177402064790474E-2</v>
      </c>
      <c r="BC174" s="32">
        <f t="shared" si="38"/>
        <v>0</v>
      </c>
    </row>
    <row r="175" spans="1:55" x14ac:dyDescent="0.25">
      <c r="A175" s="27" t="s">
        <v>35</v>
      </c>
      <c r="B175" s="32">
        <v>2.1302172150624809E-2</v>
      </c>
      <c r="C175" s="32">
        <v>2.3231108998909733E-2</v>
      </c>
      <c r="D175" s="32">
        <v>1.9425796314812168E-2</v>
      </c>
      <c r="E175" s="32">
        <v>2.4163214778841119E-2</v>
      </c>
      <c r="F175" s="32">
        <v>1.3848610935989577E-2</v>
      </c>
      <c r="G175" s="32">
        <v>1.508847139915101E-2</v>
      </c>
      <c r="H175" s="32">
        <v>1.4527149884203878E-2</v>
      </c>
      <c r="I175" s="32">
        <v>1.7972323769785824E-2</v>
      </c>
      <c r="J175" s="32">
        <v>1.6659466972184137E-2</v>
      </c>
      <c r="K175" s="32">
        <v>1.8800593505249517E-2</v>
      </c>
      <c r="L175" s="32">
        <v>9.1167021320983019E-3</v>
      </c>
      <c r="M175" s="32">
        <v>1.3622898151625151E-2</v>
      </c>
      <c r="N175" s="32">
        <v>1.2294678862988099E-2</v>
      </c>
      <c r="O175" s="32">
        <v>1.7634082254914359E-2</v>
      </c>
      <c r="P175" s="32">
        <v>1.2897645114645735E-2</v>
      </c>
      <c r="Q175" s="32">
        <v>1.7997314604420573E-2</v>
      </c>
      <c r="R175" s="32">
        <f t="shared" si="9"/>
        <v>9.5264329821178519E-3</v>
      </c>
      <c r="S175" s="32">
        <f t="shared" si="27"/>
        <v>1.6826205725041895E-2</v>
      </c>
      <c r="T175" s="32">
        <f t="shared" si="10"/>
        <v>1.0314011140356247E-2</v>
      </c>
      <c r="U175" s="32">
        <f t="shared" si="10"/>
        <v>1.8138785170675971E-2</v>
      </c>
      <c r="V175" s="32">
        <f t="shared" si="11"/>
        <v>1.1617827193065108E-2</v>
      </c>
      <c r="W175" s="32">
        <f t="shared" si="11"/>
        <v>2.0672759822858759E-2</v>
      </c>
      <c r="X175" s="32">
        <f t="shared" si="12"/>
        <v>1.1892643201127599E-2</v>
      </c>
      <c r="Y175" s="32">
        <f t="shared" si="12"/>
        <v>1.9967894757448808E-2</v>
      </c>
      <c r="Z175" s="32">
        <f t="shared" si="13"/>
        <v>1.1949430416117365E-2</v>
      </c>
      <c r="AA175" s="32">
        <f t="shared" si="13"/>
        <v>1.9310076733258966E-2</v>
      </c>
      <c r="AB175" s="32">
        <f t="shared" si="14"/>
        <v>1.2068876592421217E-2</v>
      </c>
      <c r="AC175" s="32">
        <f t="shared" si="14"/>
        <v>2.2855711349017468E-2</v>
      </c>
      <c r="AD175" s="32">
        <f t="shared" si="15"/>
        <v>1.138918791523081E-2</v>
      </c>
      <c r="AE175" s="32">
        <f t="shared" si="15"/>
        <v>2.0415183035970216E-2</v>
      </c>
      <c r="AF175" s="32">
        <f t="shared" si="16"/>
        <v>1.2473200969425802E-2</v>
      </c>
      <c r="AG175" s="32">
        <f t="shared" si="16"/>
        <v>1.9691461595824012E-2</v>
      </c>
      <c r="AH175" s="32">
        <f t="shared" si="17"/>
        <v>1.2835429381339709E-2</v>
      </c>
      <c r="AI175" s="32">
        <f t="shared" si="17"/>
        <v>2.071015305205039E-2</v>
      </c>
      <c r="AJ175" s="32">
        <f t="shared" si="18"/>
        <v>1.4835398445092322E-2</v>
      </c>
      <c r="AK175" s="32">
        <f t="shared" si="18"/>
        <v>2.4381478781988986E-2</v>
      </c>
      <c r="AL175" s="32">
        <f t="shared" si="19"/>
        <v>1.5748908275801971E-2</v>
      </c>
      <c r="AM175" s="32">
        <f t="shared" si="19"/>
        <v>2.5460654356729961E-2</v>
      </c>
      <c r="AN175" s="32">
        <f t="shared" si="20"/>
        <v>1.5352450938178757E-2</v>
      </c>
      <c r="AO175" s="32">
        <f t="shared" si="20"/>
        <v>2.5638449541196619E-2</v>
      </c>
      <c r="AP175" s="32">
        <f t="shared" si="21"/>
        <v>1.48999214485289E-2</v>
      </c>
      <c r="AQ175" s="32">
        <f t="shared" si="21"/>
        <v>2.266060792872697E-2</v>
      </c>
      <c r="AR175" s="32">
        <f t="shared" si="22"/>
        <v>1.50661942942383E-2</v>
      </c>
      <c r="AS175" s="32">
        <f t="shared" si="22"/>
        <v>2.3848592205854932E-2</v>
      </c>
      <c r="AT175" s="32">
        <f t="shared" si="23"/>
        <v>1.31793555496281E-2</v>
      </c>
      <c r="AU175" s="32">
        <f t="shared" si="23"/>
        <v>2.3044195005487753E-2</v>
      </c>
      <c r="AV175" s="32">
        <f t="shared" si="24"/>
        <v>1.3065704738088388E-2</v>
      </c>
      <c r="AW175" s="32">
        <f t="shared" si="24"/>
        <v>2.0992763405404208E-2</v>
      </c>
      <c r="AX175" s="32">
        <f t="shared" si="25"/>
        <v>1.4500214129057097E-2</v>
      </c>
      <c r="AY175" s="32">
        <f t="shared" si="25"/>
        <v>2.1979590689062981E-2</v>
      </c>
      <c r="AZ175" s="32">
        <f t="shared" si="25"/>
        <v>0</v>
      </c>
      <c r="BA175" s="32">
        <f t="shared" ref="BA175:BC175" si="39">BA152/SUM($BA$156:$BC$156)</f>
        <v>1.4425065720119029E-2</v>
      </c>
      <c r="BB175" s="32">
        <f t="shared" si="39"/>
        <v>2.174657610412024E-2</v>
      </c>
      <c r="BC175" s="32">
        <f t="shared" si="39"/>
        <v>0</v>
      </c>
    </row>
    <row r="176" spans="1:55" x14ac:dyDescent="0.25">
      <c r="A176" s="27" t="s">
        <v>36</v>
      </c>
      <c r="B176" s="32">
        <v>0</v>
      </c>
      <c r="C176" s="32">
        <v>0</v>
      </c>
      <c r="D176" s="32">
        <v>0</v>
      </c>
      <c r="E176" s="32">
        <v>0</v>
      </c>
      <c r="F176" s="32">
        <v>0</v>
      </c>
      <c r="G176" s="32">
        <v>0</v>
      </c>
      <c r="H176" s="32">
        <v>3.8279709839799411E-5</v>
      </c>
      <c r="I176" s="32">
        <v>5.7419564759699124E-5</v>
      </c>
      <c r="J176" s="32">
        <v>7.5127246774223837E-4</v>
      </c>
      <c r="K176" s="32">
        <v>1.2020359483875815E-3</v>
      </c>
      <c r="L176" s="32">
        <v>1.8775816748028539E-4</v>
      </c>
      <c r="M176" s="32">
        <v>7.0930863270330042E-4</v>
      </c>
      <c r="N176" s="32">
        <v>3.2317441582711576E-4</v>
      </c>
      <c r="O176" s="32">
        <v>8.1496157034663971E-4</v>
      </c>
      <c r="P176" s="32">
        <v>4.0022722577979754E-4</v>
      </c>
      <c r="Q176" s="32">
        <v>9.1664945259243961E-4</v>
      </c>
      <c r="R176" s="32">
        <f t="shared" si="9"/>
        <v>9.6412092831072241E-4</v>
      </c>
      <c r="S176" s="32">
        <f t="shared" si="27"/>
        <v>1.4232261322682093E-3</v>
      </c>
      <c r="T176" s="32">
        <f t="shared" si="10"/>
        <v>6.3251106894370653E-4</v>
      </c>
      <c r="U176" s="32">
        <f t="shared" si="10"/>
        <v>8.5695048050437662E-4</v>
      </c>
      <c r="V176" s="32">
        <f t="shared" si="11"/>
        <v>6.6899086026571191E-4</v>
      </c>
      <c r="W176" s="32">
        <f t="shared" si="11"/>
        <v>1.2343352492226514E-3</v>
      </c>
      <c r="X176" s="32">
        <f t="shared" si="12"/>
        <v>6.8517285932422382E-4</v>
      </c>
      <c r="Y176" s="32">
        <f t="shared" si="12"/>
        <v>1.3899220860577111E-3</v>
      </c>
      <c r="Z176" s="32">
        <f t="shared" si="13"/>
        <v>6.67613156204577E-4</v>
      </c>
      <c r="AA176" s="32">
        <f t="shared" si="13"/>
        <v>1.2422675185072508E-3</v>
      </c>
      <c r="AB176" s="32">
        <f t="shared" si="14"/>
        <v>3.3156254374783564E-4</v>
      </c>
      <c r="AC176" s="32">
        <f t="shared" si="14"/>
        <v>9.7258346166031789E-4</v>
      </c>
      <c r="AD176" s="32">
        <f t="shared" si="15"/>
        <v>5.350625195074877E-4</v>
      </c>
      <c r="AE176" s="32">
        <f t="shared" si="15"/>
        <v>8.344427387557248E-4</v>
      </c>
      <c r="AF176" s="32">
        <f t="shared" si="16"/>
        <v>9.6126957494407157E-4</v>
      </c>
      <c r="AG176" s="32">
        <f t="shared" si="16"/>
        <v>1.4156879194630872E-3</v>
      </c>
      <c r="AH176" s="32">
        <f t="shared" si="17"/>
        <v>8.567530118570386E-4</v>
      </c>
      <c r="AI176" s="32">
        <f t="shared" si="17"/>
        <v>1.2692637212696868E-3</v>
      </c>
      <c r="AJ176" s="32">
        <f t="shared" si="18"/>
        <v>7.8960155490767733E-4</v>
      </c>
      <c r="AK176" s="32">
        <f t="shared" si="18"/>
        <v>1.5285876255264009E-3</v>
      </c>
      <c r="AL176" s="32">
        <f t="shared" si="19"/>
        <v>9.4406305372929118E-4</v>
      </c>
      <c r="AM176" s="32">
        <f t="shared" si="19"/>
        <v>1.805823174569362E-3</v>
      </c>
      <c r="AN176" s="32">
        <f t="shared" si="20"/>
        <v>9.2813196696998402E-4</v>
      </c>
      <c r="AO176" s="32">
        <f t="shared" si="20"/>
        <v>1.8801848609237305E-3</v>
      </c>
      <c r="AP176" s="32">
        <f t="shared" si="21"/>
        <v>9.296914617533882E-4</v>
      </c>
      <c r="AQ176" s="32">
        <f t="shared" si="21"/>
        <v>1.670461663899136E-3</v>
      </c>
      <c r="AR176" s="32">
        <f t="shared" si="22"/>
        <v>9.8203741686866811E-4</v>
      </c>
      <c r="AS176" s="32">
        <f t="shared" si="22"/>
        <v>2.1318913543414753E-3</v>
      </c>
      <c r="AT176" s="32">
        <f t="shared" si="23"/>
        <v>9.0515149262542036E-4</v>
      </c>
      <c r="AU176" s="32">
        <f t="shared" si="23"/>
        <v>1.6528853343594633E-3</v>
      </c>
      <c r="AV176" s="32">
        <f t="shared" si="24"/>
        <v>7.5685484763316879E-4</v>
      </c>
      <c r="AW176" s="32">
        <f t="shared" si="24"/>
        <v>1.5845265231150551E-3</v>
      </c>
      <c r="AX176" s="32">
        <f t="shared" si="25"/>
        <v>7.5269607949162733E-4</v>
      </c>
      <c r="AY176" s="32">
        <f t="shared" si="25"/>
        <v>1.0771340447897427E-3</v>
      </c>
      <c r="AZ176" s="32">
        <f t="shared" si="25"/>
        <v>0</v>
      </c>
      <c r="BA176" s="32">
        <f t="shared" ref="BA176:BC176" si="40">BA153/SUM($BA$156:$BC$156)</f>
        <v>7.9175507190292545E-4</v>
      </c>
      <c r="BB176" s="32">
        <f t="shared" si="40"/>
        <v>1.1298077992322644E-3</v>
      </c>
      <c r="BC176" s="32">
        <f t="shared" si="40"/>
        <v>0</v>
      </c>
    </row>
    <row r="177" spans="1:55" x14ac:dyDescent="0.25">
      <c r="A177" s="27" t="s">
        <v>37</v>
      </c>
      <c r="B177" s="32">
        <v>3.8578736965698469E-3</v>
      </c>
      <c r="C177" s="32">
        <v>2.9632942886695926E-3</v>
      </c>
      <c r="D177" s="32">
        <v>4.4993572346807599E-3</v>
      </c>
      <c r="E177" s="32">
        <v>5.2611531685949628E-3</v>
      </c>
      <c r="F177" s="32">
        <v>3.2362459546925568E-3</v>
      </c>
      <c r="G177" s="32">
        <v>3.9087126465767244E-3</v>
      </c>
      <c r="H177" s="32">
        <v>4.3447470668172335E-3</v>
      </c>
      <c r="I177" s="32">
        <v>4.0002296782590385E-3</v>
      </c>
      <c r="J177" s="32">
        <v>4.0944349491951991E-3</v>
      </c>
      <c r="K177" s="32">
        <v>4.9583982870987737E-3</v>
      </c>
      <c r="L177" s="32">
        <v>3.7551633496057078E-3</v>
      </c>
      <c r="M177" s="32">
        <v>6.1542954896315763E-3</v>
      </c>
      <c r="N177" s="32">
        <v>4.2153184673102053E-3</v>
      </c>
      <c r="O177" s="32">
        <v>1.1662381092891567E-2</v>
      </c>
      <c r="P177" s="32">
        <v>3.8602561454244991E-3</v>
      </c>
      <c r="Q177" s="32">
        <v>6.5972939475315018E-3</v>
      </c>
      <c r="R177" s="32">
        <f t="shared" si="9"/>
        <v>4.3041112871014392E-3</v>
      </c>
      <c r="S177" s="32">
        <f t="shared" si="27"/>
        <v>4.7058283405642404E-3</v>
      </c>
      <c r="T177" s="32">
        <f t="shared" si="10"/>
        <v>4.2949541939564587E-3</v>
      </c>
      <c r="U177" s="32">
        <f t="shared" si="10"/>
        <v>5.2845279631103222E-3</v>
      </c>
      <c r="V177" s="32">
        <f t="shared" si="11"/>
        <v>4.9656082163384531E-3</v>
      </c>
      <c r="W177" s="32">
        <f t="shared" si="11"/>
        <v>5.2577028172995383E-3</v>
      </c>
      <c r="X177" s="32">
        <f t="shared" si="12"/>
        <v>3.6901452566461767E-3</v>
      </c>
      <c r="Y177" s="32">
        <f t="shared" si="12"/>
        <v>4.1795544418777655E-3</v>
      </c>
      <c r="Z177" s="32">
        <f t="shared" si="13"/>
        <v>4.1408917283575026E-3</v>
      </c>
      <c r="AA177" s="32">
        <f t="shared" si="13"/>
        <v>5.2902004529628505E-3</v>
      </c>
      <c r="AB177" s="32">
        <f t="shared" si="14"/>
        <v>3.4703546245606798E-3</v>
      </c>
      <c r="AC177" s="32">
        <f t="shared" si="14"/>
        <v>4.2366325034445661E-3</v>
      </c>
      <c r="AD177" s="32">
        <f t="shared" si="15"/>
        <v>3.3314011631240007E-3</v>
      </c>
      <c r="AE177" s="32">
        <f t="shared" si="15"/>
        <v>4.4588543292290641E-3</v>
      </c>
      <c r="AF177" s="32">
        <f t="shared" si="16"/>
        <v>3.186754287844892E-3</v>
      </c>
      <c r="AG177" s="32">
        <f t="shared" si="16"/>
        <v>4.0897651006711411E-3</v>
      </c>
      <c r="AH177" s="32">
        <f t="shared" si="17"/>
        <v>3.3371058671715515E-3</v>
      </c>
      <c r="AI177" s="32">
        <f t="shared" si="17"/>
        <v>4.1621272859968476E-3</v>
      </c>
      <c r="AJ177" s="32">
        <f t="shared" si="18"/>
        <v>2.7484207968901846E-3</v>
      </c>
      <c r="AK177" s="32">
        <f t="shared" si="18"/>
        <v>3.4367913832199547E-3</v>
      </c>
      <c r="AL177" s="32">
        <f t="shared" si="19"/>
        <v>3.2582278726144254E-3</v>
      </c>
      <c r="AM177" s="32">
        <f t="shared" si="19"/>
        <v>4.2119736243306834E-3</v>
      </c>
      <c r="AN177" s="32">
        <f t="shared" si="20"/>
        <v>3.2006200304274192E-3</v>
      </c>
      <c r="AO177" s="32">
        <f t="shared" si="20"/>
        <v>4.4062347504090476E-3</v>
      </c>
      <c r="AP177" s="32">
        <f t="shared" si="21"/>
        <v>2.6896421433614064E-3</v>
      </c>
      <c r="AQ177" s="32">
        <f t="shared" si="21"/>
        <v>3.1868033528551967E-3</v>
      </c>
      <c r="AR177" s="32">
        <f t="shared" si="22"/>
        <v>2.3742929952141213E-3</v>
      </c>
      <c r="AS177" s="32">
        <f t="shared" si="22"/>
        <v>3.2320218783019453E-3</v>
      </c>
      <c r="AT177" s="32">
        <f>AT154/SUM($AT$156:$AU$156)</f>
        <v>2.6323729399058116E-3</v>
      </c>
      <c r="AU177" s="32">
        <f>AU154/SUM($AT$156:$AU$156)</f>
        <v>3.4019703442636569E-3</v>
      </c>
      <c r="AV177" s="32">
        <f>AV154/SUM($AV$156:$AW$156)</f>
        <v>2.916768097019054E-3</v>
      </c>
      <c r="AW177" s="32">
        <f>AW154/SUM($AV$156:$AW$156)</f>
        <v>4.1295062739283425E-3</v>
      </c>
      <c r="AX177" s="32">
        <f t="shared" si="25"/>
        <v>2.5046610921014498E-3</v>
      </c>
      <c r="AY177" s="32">
        <f t="shared" si="25"/>
        <v>3.1924695785334541E-3</v>
      </c>
      <c r="AZ177" s="32">
        <f t="shared" si="25"/>
        <v>0</v>
      </c>
      <c r="BA177" s="32">
        <f t="shared" ref="BA177:BC177" si="41">BA154/SUM($BA$156:$BC$156)</f>
        <v>2.8423117468874687E-3</v>
      </c>
      <c r="BB177" s="32">
        <f t="shared" si="41"/>
        <v>2.9979939239470326E-3</v>
      </c>
      <c r="BC177" s="32">
        <f t="shared" si="41"/>
        <v>0</v>
      </c>
    </row>
    <row r="178" spans="1:55" x14ac:dyDescent="0.25">
      <c r="A178" s="27" t="s">
        <v>44</v>
      </c>
      <c r="B178" s="32">
        <v>1.7220653602079899E-2</v>
      </c>
      <c r="C178" s="32">
        <v>2.585893600961673E-2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32">
        <v>0</v>
      </c>
      <c r="AI178" s="32">
        <v>0</v>
      </c>
      <c r="AJ178" s="32">
        <v>0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f t="shared" si="22"/>
        <v>0</v>
      </c>
      <c r="AS178" s="32">
        <f t="shared" si="22"/>
        <v>0</v>
      </c>
      <c r="AT178" s="32">
        <f t="shared" si="23"/>
        <v>0</v>
      </c>
      <c r="AU178" s="32">
        <f t="shared" si="23"/>
        <v>0</v>
      </c>
      <c r="AV178" s="32">
        <f>AV155/SUM($AV$156:$AW$156)</f>
        <v>0</v>
      </c>
      <c r="AW178" s="32">
        <f>AW155/SUM($AV$156:$AW$156)</f>
        <v>0</v>
      </c>
      <c r="AX178" s="32">
        <f t="shared" si="25"/>
        <v>0</v>
      </c>
      <c r="AY178" s="32">
        <f t="shared" si="25"/>
        <v>0</v>
      </c>
      <c r="AZ178" s="32">
        <f t="shared" si="25"/>
        <v>0</v>
      </c>
      <c r="BA178" s="32">
        <f t="shared" ref="BA178:BC179" si="42">BA155/SUM($BA$156:$BC$156)</f>
        <v>0</v>
      </c>
      <c r="BB178" s="32">
        <f t="shared" si="42"/>
        <v>0</v>
      </c>
      <c r="BC178" s="32">
        <f t="shared" si="42"/>
        <v>0</v>
      </c>
    </row>
    <row r="179" spans="1:55" x14ac:dyDescent="0.25">
      <c r="A179" s="26" t="s">
        <v>15</v>
      </c>
      <c r="B179" s="47">
        <v>0.48189874479326827</v>
      </c>
      <c r="C179" s="47">
        <v>0.51810125520673167</v>
      </c>
      <c r="D179" s="47">
        <v>0.48334523639480076</v>
      </c>
      <c r="E179" s="47">
        <v>0.51665476360519924</v>
      </c>
      <c r="F179" s="47">
        <v>0.48827386206026985</v>
      </c>
      <c r="G179" s="47">
        <v>0.51172613793973021</v>
      </c>
      <c r="H179" s="47">
        <v>0.48301337875858902</v>
      </c>
      <c r="I179" s="47">
        <v>0.51698662124141104</v>
      </c>
      <c r="J179" s="47">
        <v>0.47136712807317394</v>
      </c>
      <c r="K179" s="47">
        <v>0.52863287192682606</v>
      </c>
      <c r="L179" s="47">
        <v>0.46219802228063589</v>
      </c>
      <c r="M179" s="47">
        <v>0.53780197771936411</v>
      </c>
      <c r="N179" s="47">
        <v>0.46617206929983562</v>
      </c>
      <c r="O179" s="47">
        <v>0.53382793070016443</v>
      </c>
      <c r="P179" s="47">
        <v>0.46826585416236316</v>
      </c>
      <c r="Q179" s="47">
        <v>0.5317341458376369</v>
      </c>
      <c r="R179" s="47">
        <v>0.45594682835820899</v>
      </c>
      <c r="S179" s="47">
        <v>0.54405317164179101</v>
      </c>
      <c r="T179" s="47">
        <v>0.43696808510638296</v>
      </c>
      <c r="U179" s="47">
        <v>0.56303191489361704</v>
      </c>
      <c r="V179" s="47">
        <f>+SUM(V162:V177)</f>
        <v>0.44868557429567518</v>
      </c>
      <c r="W179" s="47">
        <f>SUM(W162:W177)</f>
        <v>0.55131442570432487</v>
      </c>
      <c r="X179" s="47">
        <v>0.45411418769909334</v>
      </c>
      <c r="Y179" s="47">
        <v>0.5458858123009066</v>
      </c>
      <c r="Z179" s="47">
        <v>0.44277782864562959</v>
      </c>
      <c r="AA179" s="47">
        <v>0.55722217135437047</v>
      </c>
      <c r="AB179" s="47">
        <v>0.43445036247965674</v>
      </c>
      <c r="AC179" s="47">
        <v>0.56554963752034326</v>
      </c>
      <c r="AD179" s="47">
        <v>0.43295241496294973</v>
      </c>
      <c r="AE179" s="47">
        <v>0.56704758503705022</v>
      </c>
      <c r="AF179" s="47">
        <f>SUM(AF162:AF177)</f>
        <v>0.440791620059657</v>
      </c>
      <c r="AG179" s="47">
        <f>SUM(AG162:AG177)</f>
        <v>0.55920837994034311</v>
      </c>
      <c r="AH179" s="47">
        <v>0.44237763580319334</v>
      </c>
      <c r="AI179" s="47">
        <v>0.55762236419680666</v>
      </c>
      <c r="AJ179" s="47">
        <v>0.43305180812712546</v>
      </c>
      <c r="AK179" s="47">
        <v>0.56694819187287449</v>
      </c>
      <c r="AL179" s="47">
        <v>0.43420461557447859</v>
      </c>
      <c r="AM179" s="47">
        <v>0.56579538442552146</v>
      </c>
      <c r="AN179" s="47">
        <f t="shared" ref="AN179:AS179" si="43">SUM(AN162:AN177)</f>
        <v>0.43424137172163696</v>
      </c>
      <c r="AO179" s="47">
        <f t="shared" si="43"/>
        <v>0.5657586282783631</v>
      </c>
      <c r="AP179" s="47">
        <f t="shared" si="43"/>
        <v>0.43084487575941383</v>
      </c>
      <c r="AQ179" s="47">
        <f t="shared" si="43"/>
        <v>0.56915512424058612</v>
      </c>
      <c r="AR179" s="47">
        <f t="shared" si="43"/>
        <v>0.43351358070731549</v>
      </c>
      <c r="AS179" s="47">
        <f t="shared" si="43"/>
        <v>0.56648641929268451</v>
      </c>
      <c r="AT179" s="47">
        <f t="shared" ref="AT179:AU179" si="44">SUM(AT162:AT177)</f>
        <v>0.41922506788636205</v>
      </c>
      <c r="AU179" s="47">
        <f t="shared" si="44"/>
        <v>0.58077493211363806</v>
      </c>
      <c r="AV179" s="47">
        <f t="shared" si="24"/>
        <v>0.43007944762874278</v>
      </c>
      <c r="AW179" s="47">
        <f t="shared" si="24"/>
        <v>0.56992055237125727</v>
      </c>
      <c r="AX179" s="47">
        <f>AX156/SUM($AX$156:$AZ$156)</f>
        <v>0.43880883682500682</v>
      </c>
      <c r="AY179" s="47">
        <f>AY156/SUM($AX$156:$AZ$156)</f>
        <v>0.56118683733545582</v>
      </c>
      <c r="AZ179" s="47">
        <f t="shared" ref="AZ179" si="45">AZ156/SUM($AX$156:$AZ$156)</f>
        <v>4.325839537308203E-6</v>
      </c>
      <c r="BA179" s="47">
        <f t="shared" si="42"/>
        <v>0.44243985107887751</v>
      </c>
      <c r="BB179" s="47">
        <f t="shared" si="42"/>
        <v>0.55755570085892081</v>
      </c>
      <c r="BC179" s="47">
        <f t="shared" si="42"/>
        <v>4.4480622017018289E-6</v>
      </c>
    </row>
    <row r="180" spans="1:55" x14ac:dyDescent="0.25">
      <c r="A180" s="46"/>
    </row>
    <row r="181" spans="1:55" ht="15.75" x14ac:dyDescent="0.25">
      <c r="A181" s="24" t="s">
        <v>109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 spans="1:55" x14ac:dyDescent="0.25">
      <c r="A182" s="59" t="s">
        <v>25</v>
      </c>
      <c r="B182" s="58">
        <v>1999</v>
      </c>
      <c r="C182" s="58"/>
      <c r="D182" s="58">
        <v>2000</v>
      </c>
      <c r="E182" s="58"/>
      <c r="F182" s="58">
        <v>2001</v>
      </c>
      <c r="G182" s="58"/>
      <c r="H182" s="58">
        <v>2002</v>
      </c>
      <c r="I182" s="58"/>
      <c r="J182" s="58">
        <v>2003</v>
      </c>
      <c r="K182" s="58"/>
      <c r="L182" s="58">
        <v>2004</v>
      </c>
      <c r="M182" s="58"/>
      <c r="N182" s="58">
        <v>2005</v>
      </c>
      <c r="O182" s="58"/>
      <c r="P182" s="58">
        <v>2006</v>
      </c>
      <c r="Q182" s="58"/>
      <c r="R182" s="58">
        <v>2007</v>
      </c>
      <c r="S182" s="58"/>
      <c r="T182" s="58">
        <v>2008</v>
      </c>
      <c r="U182" s="58"/>
      <c r="V182" s="58">
        <v>2009</v>
      </c>
      <c r="W182" s="58"/>
      <c r="X182" s="58">
        <v>2010</v>
      </c>
      <c r="Y182" s="58"/>
      <c r="Z182" s="58">
        <v>2011</v>
      </c>
      <c r="AA182" s="58"/>
      <c r="AB182" s="58">
        <v>2012</v>
      </c>
      <c r="AC182" s="58"/>
      <c r="AD182" s="58">
        <v>2013</v>
      </c>
      <c r="AE182" s="58"/>
      <c r="AF182" s="58">
        <v>2014</v>
      </c>
      <c r="AG182" s="58"/>
      <c r="AH182" s="58">
        <v>2015</v>
      </c>
      <c r="AI182" s="58"/>
      <c r="AJ182" s="58">
        <v>2016</v>
      </c>
      <c r="AK182" s="58"/>
      <c r="AL182" s="58">
        <v>2017</v>
      </c>
      <c r="AM182" s="58"/>
      <c r="AN182" s="58">
        <v>2018</v>
      </c>
      <c r="AO182" s="58"/>
      <c r="AP182" s="58">
        <v>2019</v>
      </c>
      <c r="AQ182" s="58"/>
      <c r="AR182" s="58">
        <v>2020</v>
      </c>
      <c r="AS182" s="58"/>
      <c r="AT182" s="58">
        <v>2021</v>
      </c>
      <c r="AU182" s="58"/>
      <c r="AV182" s="58">
        <v>2022</v>
      </c>
      <c r="AW182" s="58"/>
      <c r="AX182" s="58">
        <v>2023</v>
      </c>
      <c r="AY182" s="58"/>
      <c r="AZ182" s="58"/>
      <c r="BA182" s="58">
        <v>2024</v>
      </c>
      <c r="BB182" s="58"/>
      <c r="BC182" s="58"/>
    </row>
    <row r="183" spans="1:55" s="36" customFormat="1" x14ac:dyDescent="0.25">
      <c r="A183" s="59"/>
      <c r="B183" s="18" t="s">
        <v>64</v>
      </c>
      <c r="C183" s="18" t="s">
        <v>65</v>
      </c>
      <c r="D183" s="18" t="s">
        <v>64</v>
      </c>
      <c r="E183" s="18" t="s">
        <v>65</v>
      </c>
      <c r="F183" s="18" t="s">
        <v>64</v>
      </c>
      <c r="G183" s="18" t="s">
        <v>65</v>
      </c>
      <c r="H183" s="18" t="s">
        <v>64</v>
      </c>
      <c r="I183" s="18" t="s">
        <v>65</v>
      </c>
      <c r="J183" s="18" t="s">
        <v>64</v>
      </c>
      <c r="K183" s="18" t="s">
        <v>65</v>
      </c>
      <c r="L183" s="18" t="s">
        <v>64</v>
      </c>
      <c r="M183" s="18" t="s">
        <v>65</v>
      </c>
      <c r="N183" s="18" t="s">
        <v>64</v>
      </c>
      <c r="O183" s="18" t="s">
        <v>65</v>
      </c>
      <c r="P183" s="18" t="s">
        <v>64</v>
      </c>
      <c r="Q183" s="18" t="s">
        <v>65</v>
      </c>
      <c r="R183" s="18" t="s">
        <v>64</v>
      </c>
      <c r="S183" s="18" t="s">
        <v>65</v>
      </c>
      <c r="T183" s="18" t="s">
        <v>64</v>
      </c>
      <c r="U183" s="18" t="s">
        <v>65</v>
      </c>
      <c r="V183" s="18" t="s">
        <v>64</v>
      </c>
      <c r="W183" s="18" t="s">
        <v>65</v>
      </c>
      <c r="X183" s="18" t="s">
        <v>64</v>
      </c>
      <c r="Y183" s="18" t="s">
        <v>65</v>
      </c>
      <c r="Z183" s="18" t="s">
        <v>64</v>
      </c>
      <c r="AA183" s="18" t="s">
        <v>65</v>
      </c>
      <c r="AB183" s="18" t="s">
        <v>64</v>
      </c>
      <c r="AC183" s="18" t="s">
        <v>65</v>
      </c>
      <c r="AD183" s="18" t="s">
        <v>64</v>
      </c>
      <c r="AE183" s="18" t="s">
        <v>65</v>
      </c>
      <c r="AF183" s="18" t="s">
        <v>64</v>
      </c>
      <c r="AG183" s="18" t="s">
        <v>65</v>
      </c>
      <c r="AH183" s="18" t="s">
        <v>64</v>
      </c>
      <c r="AI183" s="18" t="s">
        <v>65</v>
      </c>
      <c r="AJ183" s="18" t="s">
        <v>64</v>
      </c>
      <c r="AK183" s="18" t="s">
        <v>65</v>
      </c>
      <c r="AL183" s="18" t="s">
        <v>64</v>
      </c>
      <c r="AM183" s="18" t="s">
        <v>65</v>
      </c>
      <c r="AN183" s="18" t="s">
        <v>64</v>
      </c>
      <c r="AO183" s="18" t="s">
        <v>65</v>
      </c>
      <c r="AP183" s="18" t="s">
        <v>64</v>
      </c>
      <c r="AQ183" s="18" t="s">
        <v>65</v>
      </c>
      <c r="AR183" s="18" t="s">
        <v>64</v>
      </c>
      <c r="AS183" s="18" t="s">
        <v>65</v>
      </c>
      <c r="AT183" s="18" t="s">
        <v>64</v>
      </c>
      <c r="AU183" s="18" t="s">
        <v>65</v>
      </c>
      <c r="AV183" s="18" t="s">
        <v>64</v>
      </c>
      <c r="AW183" s="18" t="s">
        <v>65</v>
      </c>
      <c r="AX183" s="18" t="s">
        <v>64</v>
      </c>
      <c r="AY183" s="18" t="s">
        <v>65</v>
      </c>
      <c r="AZ183" s="18" t="s">
        <v>78</v>
      </c>
      <c r="BA183" s="18" t="s">
        <v>64</v>
      </c>
      <c r="BB183" s="18" t="s">
        <v>65</v>
      </c>
      <c r="BC183" s="18" t="s">
        <v>78</v>
      </c>
    </row>
    <row r="184" spans="1:55" x14ac:dyDescent="0.25">
      <c r="A184" s="27" t="s">
        <v>41</v>
      </c>
      <c r="B184" s="51">
        <v>6999</v>
      </c>
      <c r="C184" s="51">
        <v>7852</v>
      </c>
      <c r="D184" s="51">
        <v>7201</v>
      </c>
      <c r="E184" s="51">
        <v>7631</v>
      </c>
      <c r="F184" s="51">
        <v>8324</v>
      </c>
      <c r="G184" s="51">
        <v>9078</v>
      </c>
      <c r="H184" s="51">
        <v>9951</v>
      </c>
      <c r="I184" s="51">
        <v>11159</v>
      </c>
      <c r="J184" s="51">
        <v>11556</v>
      </c>
      <c r="K184" s="51">
        <v>12627</v>
      </c>
      <c r="L184" s="51">
        <v>9825</v>
      </c>
      <c r="M184" s="51">
        <v>12277</v>
      </c>
      <c r="N184" s="51">
        <v>13188</v>
      </c>
      <c r="O184" s="51">
        <v>17995</v>
      </c>
      <c r="P184" s="51">
        <v>14350</v>
      </c>
      <c r="Q184" s="51">
        <v>18977</v>
      </c>
      <c r="R184" s="51">
        <v>20440</v>
      </c>
      <c r="S184" s="51">
        <v>25322</v>
      </c>
      <c r="T184" s="51">
        <v>22755</v>
      </c>
      <c r="U184" s="51">
        <v>30662</v>
      </c>
      <c r="V184" s="51">
        <v>24719</v>
      </c>
      <c r="W184" s="51">
        <v>31863</v>
      </c>
      <c r="X184" s="51">
        <v>23284</v>
      </c>
      <c r="Y184" s="51">
        <v>28906</v>
      </c>
      <c r="Z184" s="51">
        <v>26558</v>
      </c>
      <c r="AA184" s="51">
        <v>34331</v>
      </c>
      <c r="AB184" s="51">
        <v>30134</v>
      </c>
      <c r="AC184" s="51">
        <v>41093</v>
      </c>
      <c r="AD184" s="51">
        <v>34988</v>
      </c>
      <c r="AE184" s="51">
        <v>48522</v>
      </c>
      <c r="AF184" s="51">
        <v>39348</v>
      </c>
      <c r="AG184" s="51">
        <v>52902</v>
      </c>
      <c r="AH184" s="51">
        <v>43630</v>
      </c>
      <c r="AI184" s="51">
        <v>58728</v>
      </c>
      <c r="AJ184" s="51">
        <v>45084</v>
      </c>
      <c r="AK184" s="51">
        <v>63443</v>
      </c>
      <c r="AL184" s="51">
        <v>47273</v>
      </c>
      <c r="AM184" s="51">
        <v>65582</v>
      </c>
      <c r="AN184" s="51">
        <v>47735</v>
      </c>
      <c r="AO184" s="51">
        <v>66959</v>
      </c>
      <c r="AP184" s="51">
        <v>46078</v>
      </c>
      <c r="AQ184" s="51">
        <v>62892</v>
      </c>
      <c r="AR184" s="51">
        <v>35424</v>
      </c>
      <c r="AS184" s="51">
        <v>48855</v>
      </c>
      <c r="AT184" s="51">
        <v>49004</v>
      </c>
      <c r="AU184" s="51">
        <v>72260</v>
      </c>
      <c r="AV184" s="51">
        <v>50064</v>
      </c>
      <c r="AW184" s="51">
        <v>70327</v>
      </c>
      <c r="AX184" s="51">
        <v>51055</v>
      </c>
      <c r="AY184" s="51">
        <v>68656</v>
      </c>
      <c r="AZ184" s="51">
        <v>0</v>
      </c>
      <c r="BA184" s="51">
        <v>48693</v>
      </c>
      <c r="BB184" s="51">
        <v>64671</v>
      </c>
      <c r="BC184" s="51">
        <v>0</v>
      </c>
    </row>
    <row r="185" spans="1:55" x14ac:dyDescent="0.25">
      <c r="A185" s="27" t="s">
        <v>40</v>
      </c>
      <c r="B185" s="51">
        <v>9623</v>
      </c>
      <c r="C185" s="51">
        <v>9756</v>
      </c>
      <c r="D185" s="51">
        <v>13102.4</v>
      </c>
      <c r="E185" s="51">
        <v>14071.6</v>
      </c>
      <c r="F185" s="51">
        <v>14911</v>
      </c>
      <c r="G185" s="51">
        <v>15273</v>
      </c>
      <c r="H185" s="51">
        <v>15285</v>
      </c>
      <c r="I185" s="51">
        <v>15852</v>
      </c>
      <c r="J185" s="51">
        <v>13541</v>
      </c>
      <c r="K185" s="51">
        <v>15519</v>
      </c>
      <c r="L185" s="51">
        <v>12330</v>
      </c>
      <c r="M185" s="51">
        <v>13502</v>
      </c>
      <c r="N185" s="51">
        <v>19989</v>
      </c>
      <c r="O185" s="51">
        <v>19997</v>
      </c>
      <c r="P185" s="51">
        <v>21920</v>
      </c>
      <c r="Q185" s="51">
        <v>22209</v>
      </c>
      <c r="R185" s="51">
        <v>19829</v>
      </c>
      <c r="S185" s="51">
        <v>21535</v>
      </c>
      <c r="T185" s="51">
        <v>20527</v>
      </c>
      <c r="U185" s="51">
        <v>24078</v>
      </c>
      <c r="V185" s="51">
        <v>22900</v>
      </c>
      <c r="W185" s="51">
        <v>26648</v>
      </c>
      <c r="X185" s="51">
        <v>23120</v>
      </c>
      <c r="Y185" s="51">
        <v>26854</v>
      </c>
      <c r="Z185" s="51">
        <v>25788</v>
      </c>
      <c r="AA185" s="51">
        <v>31655</v>
      </c>
      <c r="AB185" s="51">
        <v>28805</v>
      </c>
      <c r="AC185" s="51">
        <v>35689</v>
      </c>
      <c r="AD185" s="51">
        <v>33117</v>
      </c>
      <c r="AE185" s="51">
        <v>40364</v>
      </c>
      <c r="AF185" s="51">
        <v>36313</v>
      </c>
      <c r="AG185" s="51">
        <v>43085</v>
      </c>
      <c r="AH185" s="51">
        <v>40056</v>
      </c>
      <c r="AI185" s="51">
        <v>46672</v>
      </c>
      <c r="AJ185" s="51">
        <v>40775</v>
      </c>
      <c r="AK185" s="51">
        <v>48266</v>
      </c>
      <c r="AL185" s="51">
        <v>42771</v>
      </c>
      <c r="AM185" s="51">
        <v>50928</v>
      </c>
      <c r="AN185" s="51">
        <v>43031</v>
      </c>
      <c r="AO185" s="51">
        <v>51297</v>
      </c>
      <c r="AP185" s="51">
        <v>40583</v>
      </c>
      <c r="AQ185" s="51">
        <v>51589</v>
      </c>
      <c r="AR185" s="51">
        <v>34324</v>
      </c>
      <c r="AS185" s="51">
        <v>42287</v>
      </c>
      <c r="AT185" s="51">
        <v>46869</v>
      </c>
      <c r="AU185" s="51">
        <v>60558</v>
      </c>
      <c r="AV185" s="51">
        <v>47106</v>
      </c>
      <c r="AW185" s="51">
        <v>58438</v>
      </c>
      <c r="AX185" s="51">
        <v>50384</v>
      </c>
      <c r="AY185" s="51">
        <v>61073</v>
      </c>
      <c r="AZ185" s="51">
        <v>1</v>
      </c>
      <c r="BA185" s="51">
        <v>50775</v>
      </c>
      <c r="BB185" s="51">
        <v>60677</v>
      </c>
      <c r="BC185" s="51">
        <v>1</v>
      </c>
    </row>
    <row r="186" spans="1:55" x14ac:dyDescent="0.25">
      <c r="A186" s="26" t="s">
        <v>15</v>
      </c>
      <c r="B186" s="52">
        <v>16622</v>
      </c>
      <c r="C186" s="52">
        <v>17608</v>
      </c>
      <c r="D186" s="52">
        <v>20303.400000000001</v>
      </c>
      <c r="E186" s="52">
        <v>21702.6</v>
      </c>
      <c r="F186" s="52">
        <v>23235</v>
      </c>
      <c r="G186" s="52">
        <v>24351</v>
      </c>
      <c r="H186" s="52">
        <v>25236</v>
      </c>
      <c r="I186" s="52">
        <v>27011</v>
      </c>
      <c r="J186" s="52">
        <v>25097</v>
      </c>
      <c r="K186" s="52">
        <v>28146</v>
      </c>
      <c r="L186" s="52">
        <v>22155</v>
      </c>
      <c r="M186" s="52">
        <v>25779</v>
      </c>
      <c r="N186" s="52">
        <v>33177</v>
      </c>
      <c r="O186" s="52">
        <v>37992</v>
      </c>
      <c r="P186" s="52">
        <v>36270</v>
      </c>
      <c r="Q186" s="52">
        <v>41186</v>
      </c>
      <c r="R186" s="52">
        <v>40269</v>
      </c>
      <c r="S186" s="52">
        <v>46857</v>
      </c>
      <c r="T186" s="52">
        <v>43282</v>
      </c>
      <c r="U186" s="52">
        <v>54740</v>
      </c>
      <c r="V186" s="52">
        <v>47619</v>
      </c>
      <c r="W186" s="52">
        <v>58511</v>
      </c>
      <c r="X186" s="52">
        <v>46404</v>
      </c>
      <c r="Y186" s="52">
        <v>55760</v>
      </c>
      <c r="Z186" s="52">
        <v>52346</v>
      </c>
      <c r="AA186" s="52">
        <v>65986</v>
      </c>
      <c r="AB186" s="52">
        <v>58939</v>
      </c>
      <c r="AC186" s="52">
        <v>76782</v>
      </c>
      <c r="AD186" s="52">
        <v>68105</v>
      </c>
      <c r="AE186" s="52">
        <v>88886</v>
      </c>
      <c r="AF186" s="52">
        <v>75661</v>
      </c>
      <c r="AG186" s="52">
        <v>95987</v>
      </c>
      <c r="AH186" s="52">
        <v>83686</v>
      </c>
      <c r="AI186" s="52">
        <v>105400</v>
      </c>
      <c r="AJ186" s="52">
        <v>85859</v>
      </c>
      <c r="AK186" s="52">
        <v>111709</v>
      </c>
      <c r="AL186" s="52">
        <v>90044</v>
      </c>
      <c r="AM186" s="52">
        <v>116510</v>
      </c>
      <c r="AN186" s="52">
        <v>90766</v>
      </c>
      <c r="AO186" s="52">
        <v>118256</v>
      </c>
      <c r="AP186" s="52">
        <v>86661</v>
      </c>
      <c r="AQ186" s="52">
        <v>114481</v>
      </c>
      <c r="AR186" s="52">
        <v>69748</v>
      </c>
      <c r="AS186" s="52">
        <v>91142</v>
      </c>
      <c r="AT186" s="52">
        <v>95873</v>
      </c>
      <c r="AU186" s="52">
        <v>132818</v>
      </c>
      <c r="AV186" s="52">
        <v>97170</v>
      </c>
      <c r="AW186" s="52">
        <v>128765</v>
      </c>
      <c r="AX186" s="52">
        <v>101439</v>
      </c>
      <c r="AY186" s="52">
        <v>129729</v>
      </c>
      <c r="AZ186" s="52">
        <v>1</v>
      </c>
      <c r="BA186" s="52">
        <v>99468</v>
      </c>
      <c r="BB186" s="52">
        <v>125348</v>
      </c>
      <c r="BC186" s="52">
        <v>1</v>
      </c>
    </row>
    <row r="187" spans="1:55" x14ac:dyDescent="0.25"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</row>
    <row r="188" spans="1:55" x14ac:dyDescent="0.25"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55" x14ac:dyDescent="0.25">
      <c r="A189" s="29" t="s">
        <v>66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</row>
    <row r="190" spans="1:55" x14ac:dyDescent="0.25">
      <c r="A190" s="2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 spans="1:55" x14ac:dyDescent="0.25">
      <c r="A191" s="30" t="s">
        <v>62</v>
      </c>
    </row>
    <row r="193" spans="1:33" x14ac:dyDescent="0.25"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5" spans="1:33" x14ac:dyDescent="0.25">
      <c r="A195" s="3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</row>
  </sheetData>
  <mergeCells count="162">
    <mergeCell ref="BA160:BC160"/>
    <mergeCell ref="BA182:BC182"/>
    <mergeCell ref="AX182:AZ182"/>
    <mergeCell ref="AN31:AO31"/>
    <mergeCell ref="AN40:AO40"/>
    <mergeCell ref="AP31:AQ31"/>
    <mergeCell ref="AP40:AQ40"/>
    <mergeCell ref="AP72:AQ72"/>
    <mergeCell ref="AP137:AQ137"/>
    <mergeCell ref="AP160:AQ160"/>
    <mergeCell ref="AP182:AQ182"/>
    <mergeCell ref="AT31:AU31"/>
    <mergeCell ref="AT40:AU40"/>
    <mergeCell ref="AT72:AU72"/>
    <mergeCell ref="AT137:AU137"/>
    <mergeCell ref="AT160:AU160"/>
    <mergeCell ref="AR31:AS31"/>
    <mergeCell ref="AR40:AS40"/>
    <mergeCell ref="AR72:AS72"/>
    <mergeCell ref="AR137:AS137"/>
    <mergeCell ref="X137:Y137"/>
    <mergeCell ref="Z137:AA137"/>
    <mergeCell ref="AB137:AC137"/>
    <mergeCell ref="AD137:AE137"/>
    <mergeCell ref="AF137:AG137"/>
    <mergeCell ref="AF40:AG40"/>
    <mergeCell ref="BA31:BC31"/>
    <mergeCell ref="BA40:BC40"/>
    <mergeCell ref="BA72:BC72"/>
    <mergeCell ref="BA137:BC137"/>
    <mergeCell ref="AF31:AG31"/>
    <mergeCell ref="AD31:AE31"/>
    <mergeCell ref="X72:Y72"/>
    <mergeCell ref="Z72:AA72"/>
    <mergeCell ref="AB72:AC72"/>
    <mergeCell ref="AD72:AE72"/>
    <mergeCell ref="AF72:AG72"/>
    <mergeCell ref="X31:Y31"/>
    <mergeCell ref="Z31:AA31"/>
    <mergeCell ref="AB31:AC31"/>
    <mergeCell ref="X40:Y40"/>
    <mergeCell ref="Z40:AA40"/>
    <mergeCell ref="AB40:AC40"/>
    <mergeCell ref="AD40:AE40"/>
    <mergeCell ref="AH72:AI72"/>
    <mergeCell ref="AH31:AI31"/>
    <mergeCell ref="AH137:AI137"/>
    <mergeCell ref="AH40:AI40"/>
    <mergeCell ref="AN72:AO72"/>
    <mergeCell ref="AN137:AO137"/>
    <mergeCell ref="AN160:AO160"/>
    <mergeCell ref="AN182:AO182"/>
    <mergeCell ref="AJ31:AK31"/>
    <mergeCell ref="AJ40:AK40"/>
    <mergeCell ref="AJ72:AK72"/>
    <mergeCell ref="AJ137:AK137"/>
    <mergeCell ref="AL31:AM31"/>
    <mergeCell ref="AL40:AM40"/>
    <mergeCell ref="AL72:AM72"/>
    <mergeCell ref="AL137:AM137"/>
    <mergeCell ref="AJ160:AK160"/>
    <mergeCell ref="AL160:AM160"/>
    <mergeCell ref="AJ182:AK182"/>
    <mergeCell ref="AL182:AM182"/>
    <mergeCell ref="L31:M31"/>
    <mergeCell ref="N31:O31"/>
    <mergeCell ref="P31:Q31"/>
    <mergeCell ref="R31:S31"/>
    <mergeCell ref="T31:U31"/>
    <mergeCell ref="V31:W31"/>
    <mergeCell ref="N72:O72"/>
    <mergeCell ref="P72:Q72"/>
    <mergeCell ref="A72:A73"/>
    <mergeCell ref="B72:C72"/>
    <mergeCell ref="D72:E72"/>
    <mergeCell ref="F72:G72"/>
    <mergeCell ref="H72:I72"/>
    <mergeCell ref="J72:K72"/>
    <mergeCell ref="A31:A32"/>
    <mergeCell ref="B31:C31"/>
    <mergeCell ref="D31:E31"/>
    <mergeCell ref="F31:G31"/>
    <mergeCell ref="H31:I31"/>
    <mergeCell ref="J31:K31"/>
    <mergeCell ref="L40:M40"/>
    <mergeCell ref="N40:O40"/>
    <mergeCell ref="P40:Q40"/>
    <mergeCell ref="R40:S40"/>
    <mergeCell ref="T40:U40"/>
    <mergeCell ref="V40:W40"/>
    <mergeCell ref="T137:U137"/>
    <mergeCell ref="V137:W137"/>
    <mergeCell ref="A137:A138"/>
    <mergeCell ref="B137:C137"/>
    <mergeCell ref="D137:E137"/>
    <mergeCell ref="F137:G137"/>
    <mergeCell ref="H137:I137"/>
    <mergeCell ref="J137:K137"/>
    <mergeCell ref="A40:A41"/>
    <mergeCell ref="B40:C40"/>
    <mergeCell ref="D40:E40"/>
    <mergeCell ref="F40:G40"/>
    <mergeCell ref="H40:I40"/>
    <mergeCell ref="J40:K40"/>
    <mergeCell ref="R72:S72"/>
    <mergeCell ref="T72:U72"/>
    <mergeCell ref="V72:W72"/>
    <mergeCell ref="L72:M72"/>
    <mergeCell ref="A160:A161"/>
    <mergeCell ref="B160:C160"/>
    <mergeCell ref="D160:E160"/>
    <mergeCell ref="F160:G160"/>
    <mergeCell ref="H160:I160"/>
    <mergeCell ref="J160:K160"/>
    <mergeCell ref="R160:S160"/>
    <mergeCell ref="L137:M137"/>
    <mergeCell ref="N137:O137"/>
    <mergeCell ref="P137:Q137"/>
    <mergeCell ref="R137:S137"/>
    <mergeCell ref="AF160:AG160"/>
    <mergeCell ref="AH160:AI160"/>
    <mergeCell ref="X182:Y182"/>
    <mergeCell ref="Z182:AA182"/>
    <mergeCell ref="AB182:AC182"/>
    <mergeCell ref="AD182:AE182"/>
    <mergeCell ref="L182:M182"/>
    <mergeCell ref="N182:O182"/>
    <mergeCell ref="P182:Q182"/>
    <mergeCell ref="R182:S182"/>
    <mergeCell ref="T182:U182"/>
    <mergeCell ref="V182:W182"/>
    <mergeCell ref="T160:U160"/>
    <mergeCell ref="V160:W160"/>
    <mergeCell ref="L160:M160"/>
    <mergeCell ref="N160:O160"/>
    <mergeCell ref="P160:Q160"/>
    <mergeCell ref="X160:Y160"/>
    <mergeCell ref="Z160:AA160"/>
    <mergeCell ref="AB160:AC160"/>
    <mergeCell ref="AD160:AE160"/>
    <mergeCell ref="A182:A183"/>
    <mergeCell ref="B182:C182"/>
    <mergeCell ref="D182:E182"/>
    <mergeCell ref="F182:G182"/>
    <mergeCell ref="H182:I182"/>
    <mergeCell ref="J182:K182"/>
    <mergeCell ref="AF182:AG182"/>
    <mergeCell ref="AH182:AI182"/>
    <mergeCell ref="AV182:AW182"/>
    <mergeCell ref="AT182:AU182"/>
    <mergeCell ref="AR160:AS160"/>
    <mergeCell ref="AR182:AS182"/>
    <mergeCell ref="AX31:AZ31"/>
    <mergeCell ref="AX40:AZ40"/>
    <mergeCell ref="AX72:AZ72"/>
    <mergeCell ref="AX137:AZ137"/>
    <mergeCell ref="AX160:AZ160"/>
    <mergeCell ref="AV31:AW31"/>
    <mergeCell ref="AV40:AW40"/>
    <mergeCell ref="AV72:AW72"/>
    <mergeCell ref="AV137:AW137"/>
    <mergeCell ref="AV160:AW160"/>
  </mergeCells>
  <hyperlinks>
    <hyperlink ref="A191" location="INDICE!A1" display="Volver al Índice" xr:uid="{00000000-0004-0000-0200-000000000000}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03"/>
  <sheetViews>
    <sheetView showGridLines="0" tabSelected="1" zoomScale="80" zoomScaleNormal="80" zoomScalePageLayoutView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Z100" sqref="AZ100:BA100"/>
    </sheetView>
  </sheetViews>
  <sheetFormatPr baseColWidth="10" defaultRowHeight="15" x14ac:dyDescent="0.25"/>
  <cols>
    <col min="1" max="1" width="28.5703125" style="28" customWidth="1"/>
    <col min="2" max="19" width="9.85546875" style="19" customWidth="1"/>
    <col min="20" max="37" width="9.85546875" customWidth="1"/>
  </cols>
  <sheetData>
    <row r="1" spans="1:27" ht="17.25" customHeight="1" x14ac:dyDescent="0.25">
      <c r="A1" s="23" t="s">
        <v>79</v>
      </c>
    </row>
    <row r="2" spans="1:27" ht="17.25" customHeight="1" x14ac:dyDescent="0.25"/>
    <row r="3" spans="1:27" ht="25.5" customHeight="1" x14ac:dyDescent="0.25"/>
    <row r="5" spans="1:27" ht="15.75" x14ac:dyDescent="0.25">
      <c r="A5" s="24" t="s">
        <v>110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27" x14ac:dyDescent="0.25">
      <c r="A6" s="1"/>
      <c r="B6" s="18">
        <v>1999</v>
      </c>
      <c r="C6" s="18">
        <v>2000</v>
      </c>
      <c r="D6" s="18">
        <v>2001</v>
      </c>
      <c r="E6" s="18">
        <v>2002</v>
      </c>
      <c r="F6" s="18">
        <v>2003</v>
      </c>
      <c r="G6" s="18">
        <v>2004</v>
      </c>
      <c r="H6" s="18">
        <v>2005</v>
      </c>
      <c r="I6" s="18">
        <v>2006</v>
      </c>
      <c r="J6" s="18">
        <v>2007</v>
      </c>
      <c r="K6" s="18">
        <v>2008</v>
      </c>
      <c r="L6" s="18">
        <v>2009</v>
      </c>
      <c r="M6" s="18">
        <v>2010</v>
      </c>
      <c r="N6" s="18">
        <v>2011</v>
      </c>
      <c r="O6" s="18">
        <v>2012</v>
      </c>
      <c r="P6" s="18">
        <v>2013</v>
      </c>
      <c r="Q6" s="18">
        <v>2014</v>
      </c>
      <c r="R6" s="18">
        <v>2015</v>
      </c>
      <c r="S6" s="18">
        <v>2016</v>
      </c>
      <c r="T6" s="18">
        <v>2017</v>
      </c>
      <c r="U6" s="18">
        <v>2018</v>
      </c>
      <c r="V6" s="18">
        <v>2019</v>
      </c>
      <c r="W6" s="18">
        <v>2020</v>
      </c>
      <c r="X6" s="18">
        <v>2021</v>
      </c>
      <c r="Y6" s="18">
        <v>2022</v>
      </c>
      <c r="Z6" s="18">
        <v>2023</v>
      </c>
      <c r="AA6" s="18">
        <v>2024</v>
      </c>
    </row>
    <row r="7" spans="1:27" x14ac:dyDescent="0.25">
      <c r="A7" s="26" t="s">
        <v>46</v>
      </c>
      <c r="B7" s="21">
        <v>1073</v>
      </c>
      <c r="C7" s="21">
        <v>1900</v>
      </c>
      <c r="D7" s="21">
        <v>2085</v>
      </c>
      <c r="E7" s="21">
        <v>2553</v>
      </c>
      <c r="F7" s="21">
        <v>2959</v>
      </c>
      <c r="G7" s="21">
        <v>3066</v>
      </c>
      <c r="H7" s="21">
        <v>3460</v>
      </c>
      <c r="I7" s="21">
        <v>3650</v>
      </c>
      <c r="J7" s="31">
        <v>5481</v>
      </c>
      <c r="K7" s="31">
        <v>6239</v>
      </c>
      <c r="L7" s="31">
        <v>8606</v>
      </c>
      <c r="M7" s="31">
        <v>8088</v>
      </c>
      <c r="N7" s="31">
        <v>10011</v>
      </c>
      <c r="O7" s="31">
        <v>10589</v>
      </c>
      <c r="P7" s="31">
        <v>12613</v>
      </c>
      <c r="Q7" s="31">
        <v>13015</v>
      </c>
      <c r="R7" s="31">
        <v>13984</v>
      </c>
      <c r="S7" s="31">
        <v>13984</v>
      </c>
      <c r="T7" s="31">
        <v>14827</v>
      </c>
      <c r="U7" s="31">
        <v>16379</v>
      </c>
      <c r="V7" s="31">
        <v>16244</v>
      </c>
      <c r="W7" s="31">
        <v>15352</v>
      </c>
      <c r="X7" s="31">
        <v>19391</v>
      </c>
      <c r="Y7" s="31">
        <v>19485</v>
      </c>
      <c r="Z7" s="31">
        <v>22177</v>
      </c>
      <c r="AA7" s="31">
        <v>20875</v>
      </c>
    </row>
    <row r="10" spans="1:27" ht="15.75" x14ac:dyDescent="0.25">
      <c r="A10" s="24" t="s">
        <v>111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27" x14ac:dyDescent="0.25">
      <c r="A11" s="1" t="s">
        <v>47</v>
      </c>
      <c r="B11" s="18">
        <v>1999</v>
      </c>
      <c r="C11" s="18">
        <v>2000</v>
      </c>
      <c r="D11" s="18">
        <v>2001</v>
      </c>
      <c r="E11" s="18">
        <v>2002</v>
      </c>
      <c r="F11" s="18">
        <v>2003</v>
      </c>
      <c r="G11" s="18">
        <v>2004</v>
      </c>
      <c r="H11" s="18">
        <v>2005</v>
      </c>
      <c r="I11" s="18">
        <v>2006</v>
      </c>
      <c r="J11" s="18">
        <v>2007</v>
      </c>
      <c r="K11" s="18">
        <v>2008</v>
      </c>
      <c r="L11" s="18">
        <v>2009</v>
      </c>
      <c r="M11" s="18">
        <v>2010</v>
      </c>
      <c r="N11" s="18">
        <v>2011</v>
      </c>
      <c r="O11" s="18">
        <v>2012</v>
      </c>
      <c r="P11" s="18">
        <v>2013</v>
      </c>
      <c r="Q11" s="18">
        <v>2014</v>
      </c>
      <c r="R11" s="18">
        <v>2015</v>
      </c>
      <c r="S11" s="18">
        <v>2016</v>
      </c>
      <c r="T11" s="18">
        <v>2017</v>
      </c>
      <c r="U11" s="18">
        <v>2018</v>
      </c>
      <c r="V11" s="18">
        <v>2019</v>
      </c>
      <c r="W11" s="18">
        <v>2020</v>
      </c>
      <c r="X11" s="18">
        <v>2021</v>
      </c>
      <c r="Y11" s="18">
        <v>2022</v>
      </c>
      <c r="Z11" s="18">
        <v>2023</v>
      </c>
      <c r="AA11" s="18">
        <v>2024</v>
      </c>
    </row>
    <row r="12" spans="1:27" x14ac:dyDescent="0.25">
      <c r="A12" s="27" t="s">
        <v>67</v>
      </c>
      <c r="B12" s="51">
        <v>823</v>
      </c>
      <c r="C12" s="51">
        <v>1655</v>
      </c>
      <c r="D12" s="51">
        <v>1530</v>
      </c>
      <c r="E12" s="51">
        <v>1760</v>
      </c>
      <c r="F12" s="51">
        <v>2096</v>
      </c>
      <c r="G12" s="51">
        <v>1999</v>
      </c>
      <c r="H12" s="51">
        <v>2106</v>
      </c>
      <c r="I12" s="51">
        <v>2181</v>
      </c>
      <c r="J12" s="51">
        <v>3213</v>
      </c>
      <c r="K12" s="51">
        <v>3398</v>
      </c>
      <c r="L12" s="51">
        <v>4236</v>
      </c>
      <c r="M12" s="51">
        <v>4286</v>
      </c>
      <c r="N12" s="51">
        <v>4795</v>
      </c>
      <c r="O12" s="51">
        <v>5075</v>
      </c>
      <c r="P12" s="51">
        <v>6145</v>
      </c>
      <c r="Q12" s="51">
        <v>6565</v>
      </c>
      <c r="R12" s="51">
        <v>6640</v>
      </c>
      <c r="S12" s="51">
        <v>6638</v>
      </c>
      <c r="T12" s="51">
        <v>7463</v>
      </c>
      <c r="U12" s="51">
        <v>7687</v>
      </c>
      <c r="V12" s="51">
        <v>7784</v>
      </c>
      <c r="W12" s="51">
        <v>6372</v>
      </c>
      <c r="X12" s="51">
        <v>9409</v>
      </c>
      <c r="Y12" s="51">
        <v>8429</v>
      </c>
      <c r="Z12" s="51">
        <v>9656</v>
      </c>
      <c r="AA12" s="51">
        <v>9765</v>
      </c>
    </row>
    <row r="13" spans="1:27" x14ac:dyDescent="0.25">
      <c r="A13" s="27" t="s">
        <v>20</v>
      </c>
      <c r="B13" s="51">
        <v>250</v>
      </c>
      <c r="C13" s="51">
        <v>245</v>
      </c>
      <c r="D13" s="51">
        <v>555</v>
      </c>
      <c r="E13" s="51">
        <v>793</v>
      </c>
      <c r="F13" s="51">
        <v>863</v>
      </c>
      <c r="G13" s="51">
        <v>1067</v>
      </c>
      <c r="H13" s="51">
        <v>1354</v>
      </c>
      <c r="I13" s="51">
        <v>1469</v>
      </c>
      <c r="J13" s="51">
        <v>2268</v>
      </c>
      <c r="K13" s="51">
        <v>2841</v>
      </c>
      <c r="L13" s="51">
        <v>4370</v>
      </c>
      <c r="M13" s="51">
        <v>3802</v>
      </c>
      <c r="N13" s="51">
        <v>5216</v>
      </c>
      <c r="O13" s="51">
        <v>5514</v>
      </c>
      <c r="P13" s="51">
        <v>6468</v>
      </c>
      <c r="Q13" s="51">
        <v>6450</v>
      </c>
      <c r="R13" s="51">
        <v>7344</v>
      </c>
      <c r="S13" s="51">
        <v>7346</v>
      </c>
      <c r="T13" s="51">
        <v>7364</v>
      </c>
      <c r="U13" s="51">
        <v>8692</v>
      </c>
      <c r="V13" s="51">
        <v>8460</v>
      </c>
      <c r="W13" s="51">
        <v>8980</v>
      </c>
      <c r="X13" s="51">
        <v>9982</v>
      </c>
      <c r="Y13" s="51">
        <v>11056</v>
      </c>
      <c r="Z13" s="51">
        <v>12521</v>
      </c>
      <c r="AA13" s="51">
        <v>11110</v>
      </c>
    </row>
    <row r="14" spans="1:27" s="36" customFormat="1" x14ac:dyDescent="0.25">
      <c r="A14" s="26" t="s">
        <v>15</v>
      </c>
      <c r="B14" s="52">
        <v>1073</v>
      </c>
      <c r="C14" s="52">
        <v>1900</v>
      </c>
      <c r="D14" s="52">
        <v>2085</v>
      </c>
      <c r="E14" s="52">
        <v>2553</v>
      </c>
      <c r="F14" s="52">
        <v>2959</v>
      </c>
      <c r="G14" s="52">
        <v>3066</v>
      </c>
      <c r="H14" s="52">
        <v>3460</v>
      </c>
      <c r="I14" s="52">
        <v>3650</v>
      </c>
      <c r="J14" s="52">
        <v>5481</v>
      </c>
      <c r="K14" s="52">
        <v>6239</v>
      </c>
      <c r="L14" s="52">
        <v>8606</v>
      </c>
      <c r="M14" s="52">
        <v>8088</v>
      </c>
      <c r="N14" s="52">
        <v>10011</v>
      </c>
      <c r="O14" s="52">
        <v>10589</v>
      </c>
      <c r="P14" s="52">
        <v>12613</v>
      </c>
      <c r="Q14" s="52">
        <v>13015</v>
      </c>
      <c r="R14" s="52">
        <v>13984</v>
      </c>
      <c r="S14" s="52">
        <v>13984</v>
      </c>
      <c r="T14" s="52">
        <v>14827</v>
      </c>
      <c r="U14" s="52">
        <v>16379</v>
      </c>
      <c r="V14" s="52">
        <v>16244</v>
      </c>
      <c r="W14" s="52">
        <v>15352</v>
      </c>
      <c r="X14" s="52">
        <v>19391</v>
      </c>
      <c r="Y14" s="52">
        <v>19485</v>
      </c>
      <c r="Z14" s="52">
        <v>22177</v>
      </c>
      <c r="AA14" s="52">
        <v>20875</v>
      </c>
    </row>
    <row r="17" spans="1:34" ht="15.75" x14ac:dyDescent="0.25">
      <c r="A17" s="24" t="s">
        <v>112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34" x14ac:dyDescent="0.25">
      <c r="A18" s="1" t="s">
        <v>48</v>
      </c>
      <c r="B18" s="18">
        <v>1999</v>
      </c>
      <c r="C18" s="18">
        <v>2000</v>
      </c>
      <c r="D18" s="18">
        <v>2001</v>
      </c>
      <c r="E18" s="18">
        <v>2002</v>
      </c>
      <c r="F18" s="18">
        <v>2003</v>
      </c>
      <c r="G18" s="18">
        <v>2004</v>
      </c>
      <c r="H18" s="18">
        <v>2005</v>
      </c>
      <c r="I18" s="18">
        <v>2006</v>
      </c>
      <c r="J18" s="18">
        <v>2007</v>
      </c>
      <c r="K18" s="18">
        <v>2008</v>
      </c>
      <c r="L18" s="18">
        <v>2009</v>
      </c>
      <c r="M18" s="18">
        <v>2010</v>
      </c>
      <c r="N18" s="18">
        <v>2011</v>
      </c>
      <c r="O18" s="18">
        <v>2012</v>
      </c>
      <c r="P18" s="18">
        <v>2013</v>
      </c>
      <c r="Q18" s="18">
        <v>2014</v>
      </c>
      <c r="R18" s="18">
        <v>2015</v>
      </c>
      <c r="S18" s="18">
        <v>2016</v>
      </c>
      <c r="T18" s="18">
        <v>2017</v>
      </c>
      <c r="U18" s="18">
        <v>2018</v>
      </c>
      <c r="V18" s="18">
        <v>2019</v>
      </c>
      <c r="W18" s="18">
        <v>2020</v>
      </c>
      <c r="X18" s="18">
        <v>2021</v>
      </c>
      <c r="Y18" s="18">
        <v>2022</v>
      </c>
      <c r="Z18" s="18">
        <v>2023</v>
      </c>
      <c r="AA18" s="18">
        <v>2024</v>
      </c>
    </row>
    <row r="19" spans="1:34" x14ac:dyDescent="0.25">
      <c r="A19" s="27" t="s">
        <v>14</v>
      </c>
      <c r="B19" s="51">
        <v>63</v>
      </c>
      <c r="C19" s="51">
        <v>157</v>
      </c>
      <c r="D19" s="51">
        <v>91</v>
      </c>
      <c r="E19" s="51">
        <v>158</v>
      </c>
      <c r="F19" s="51">
        <v>150</v>
      </c>
      <c r="G19" s="51">
        <v>232</v>
      </c>
      <c r="H19" s="51">
        <v>213</v>
      </c>
      <c r="I19" s="51">
        <v>214</v>
      </c>
      <c r="J19" s="51">
        <v>314</v>
      </c>
      <c r="K19" s="51">
        <v>320</v>
      </c>
      <c r="L19" s="51">
        <v>384</v>
      </c>
      <c r="M19" s="51">
        <v>394</v>
      </c>
      <c r="N19" s="51">
        <v>492</v>
      </c>
      <c r="O19" s="51">
        <v>603</v>
      </c>
      <c r="P19" s="51">
        <v>634</v>
      </c>
      <c r="Q19" s="51">
        <v>612</v>
      </c>
      <c r="R19" s="51">
        <v>693</v>
      </c>
      <c r="S19" s="51">
        <v>706</v>
      </c>
      <c r="T19" s="51">
        <v>727</v>
      </c>
      <c r="U19" s="51">
        <v>832</v>
      </c>
      <c r="V19" s="51">
        <v>885</v>
      </c>
      <c r="W19" s="51">
        <v>777</v>
      </c>
      <c r="X19" s="51">
        <v>909</v>
      </c>
      <c r="Y19" s="51">
        <v>895</v>
      </c>
      <c r="Z19" s="51">
        <v>1051</v>
      </c>
      <c r="AA19" s="51">
        <v>1177</v>
      </c>
    </row>
    <row r="20" spans="1:34" x14ac:dyDescent="0.25">
      <c r="A20" s="27" t="s">
        <v>49</v>
      </c>
      <c r="B20" s="51">
        <v>1010</v>
      </c>
      <c r="C20" s="51">
        <v>1743</v>
      </c>
      <c r="D20" s="51">
        <v>1994</v>
      </c>
      <c r="E20" s="51">
        <v>2395</v>
      </c>
      <c r="F20" s="51">
        <v>2809</v>
      </c>
      <c r="G20" s="51">
        <v>2834</v>
      </c>
      <c r="H20" s="51">
        <v>3247</v>
      </c>
      <c r="I20" s="51">
        <v>3436</v>
      </c>
      <c r="J20" s="51">
        <v>5167</v>
      </c>
      <c r="K20" s="51">
        <v>5919</v>
      </c>
      <c r="L20" s="51">
        <v>8222</v>
      </c>
      <c r="M20" s="51">
        <v>7694</v>
      </c>
      <c r="N20" s="51">
        <v>9519</v>
      </c>
      <c r="O20" s="51">
        <v>9986</v>
      </c>
      <c r="P20" s="51">
        <v>11979</v>
      </c>
      <c r="Q20" s="51">
        <v>12403</v>
      </c>
      <c r="R20" s="51">
        <v>13291</v>
      </c>
      <c r="S20" s="51">
        <v>13278</v>
      </c>
      <c r="T20" s="51">
        <v>14100</v>
      </c>
      <c r="U20" s="51">
        <v>15547</v>
      </c>
      <c r="V20" s="51">
        <v>15359</v>
      </c>
      <c r="W20" s="51">
        <v>14575</v>
      </c>
      <c r="X20" s="51">
        <v>18482</v>
      </c>
      <c r="Y20" s="51">
        <v>18590</v>
      </c>
      <c r="Z20" s="51">
        <v>21126</v>
      </c>
      <c r="AA20" s="51">
        <v>19698</v>
      </c>
    </row>
    <row r="21" spans="1:34" s="36" customFormat="1" x14ac:dyDescent="0.25">
      <c r="A21" s="26" t="s">
        <v>15</v>
      </c>
      <c r="B21" s="52">
        <v>1073</v>
      </c>
      <c r="C21" s="52">
        <v>1900</v>
      </c>
      <c r="D21" s="52">
        <v>2085</v>
      </c>
      <c r="E21" s="52">
        <v>2553</v>
      </c>
      <c r="F21" s="52">
        <v>2959</v>
      </c>
      <c r="G21" s="52">
        <v>3066</v>
      </c>
      <c r="H21" s="52">
        <v>3460</v>
      </c>
      <c r="I21" s="52">
        <v>3650</v>
      </c>
      <c r="J21" s="52">
        <v>5481</v>
      </c>
      <c r="K21" s="52">
        <v>6239</v>
      </c>
      <c r="L21" s="52">
        <v>8606</v>
      </c>
      <c r="M21" s="52">
        <v>8088</v>
      </c>
      <c r="N21" s="52">
        <v>10011</v>
      </c>
      <c r="O21" s="52">
        <v>10589</v>
      </c>
      <c r="P21" s="52">
        <v>12613</v>
      </c>
      <c r="Q21" s="52">
        <v>13015</v>
      </c>
      <c r="R21" s="52">
        <v>13984</v>
      </c>
      <c r="S21" s="52">
        <v>13984</v>
      </c>
      <c r="T21" s="52">
        <v>14827</v>
      </c>
      <c r="U21" s="52">
        <v>16379</v>
      </c>
      <c r="V21" s="52">
        <v>16244</v>
      </c>
      <c r="W21" s="52">
        <v>15352</v>
      </c>
      <c r="X21" s="52">
        <v>19391</v>
      </c>
      <c r="Y21" s="52">
        <v>19485</v>
      </c>
      <c r="Z21" s="52">
        <v>22177</v>
      </c>
      <c r="AA21" s="52">
        <v>20875</v>
      </c>
    </row>
    <row r="24" spans="1:34" ht="15.75" x14ac:dyDescent="0.25">
      <c r="A24" s="24" t="s">
        <v>113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1:34" x14ac:dyDescent="0.25">
      <c r="A25" s="1" t="s">
        <v>63</v>
      </c>
      <c r="B25" s="18">
        <v>1999</v>
      </c>
      <c r="C25" s="18">
        <v>2000</v>
      </c>
      <c r="D25" s="18">
        <v>2001</v>
      </c>
      <c r="E25" s="18">
        <v>2002</v>
      </c>
      <c r="F25" s="18">
        <v>2003</v>
      </c>
      <c r="G25" s="18">
        <v>2004</v>
      </c>
      <c r="H25" s="18">
        <v>2005</v>
      </c>
      <c r="I25" s="18">
        <v>2006</v>
      </c>
      <c r="J25" s="18">
        <v>2007</v>
      </c>
      <c r="K25" s="18">
        <v>2008</v>
      </c>
      <c r="L25" s="18">
        <v>2009</v>
      </c>
      <c r="M25" s="18">
        <v>2010</v>
      </c>
      <c r="N25" s="18">
        <v>2011</v>
      </c>
      <c r="O25" s="18">
        <v>2012</v>
      </c>
      <c r="P25" s="18">
        <v>2013</v>
      </c>
      <c r="Q25" s="18">
        <v>2014</v>
      </c>
      <c r="R25" s="18">
        <v>2015</v>
      </c>
      <c r="S25" s="18">
        <v>2016</v>
      </c>
      <c r="T25" s="18">
        <v>2017</v>
      </c>
      <c r="U25" s="18">
        <v>2018</v>
      </c>
      <c r="V25" s="18">
        <v>2019</v>
      </c>
      <c r="W25" s="18">
        <v>2020</v>
      </c>
      <c r="X25" s="18">
        <v>2021</v>
      </c>
      <c r="Y25" s="18">
        <v>2022</v>
      </c>
      <c r="Z25" s="18">
        <v>2023</v>
      </c>
      <c r="AA25" s="18">
        <v>2024</v>
      </c>
    </row>
    <row r="26" spans="1:34" x14ac:dyDescent="0.25">
      <c r="A26" s="27" t="s">
        <v>64</v>
      </c>
      <c r="B26" s="51">
        <v>770</v>
      </c>
      <c r="C26" s="51">
        <v>1203</v>
      </c>
      <c r="D26" s="51">
        <v>1486</v>
      </c>
      <c r="E26" s="51">
        <v>1786</v>
      </c>
      <c r="F26" s="51">
        <v>1933</v>
      </c>
      <c r="G26" s="51">
        <v>1999</v>
      </c>
      <c r="H26" s="51">
        <v>2199</v>
      </c>
      <c r="I26" s="51">
        <v>2311</v>
      </c>
      <c r="J26" s="51">
        <v>3219</v>
      </c>
      <c r="K26" s="51">
        <v>3614</v>
      </c>
      <c r="L26" s="51">
        <v>4867</v>
      </c>
      <c r="M26" s="51">
        <v>4429</v>
      </c>
      <c r="N26" s="51">
        <v>5197</v>
      </c>
      <c r="O26" s="51">
        <v>5501</v>
      </c>
      <c r="P26" s="51">
        <v>6514</v>
      </c>
      <c r="Q26" s="51">
        <v>6801</v>
      </c>
      <c r="R26" s="51">
        <v>7199</v>
      </c>
      <c r="S26" s="51">
        <v>7149</v>
      </c>
      <c r="T26" s="51">
        <v>7461</v>
      </c>
      <c r="U26" s="51">
        <v>8262</v>
      </c>
      <c r="V26" s="51">
        <v>8037</v>
      </c>
      <c r="W26" s="51">
        <v>7490</v>
      </c>
      <c r="X26" s="51">
        <v>9556</v>
      </c>
      <c r="Y26" s="51">
        <v>9522</v>
      </c>
      <c r="Z26" s="51">
        <v>10907</v>
      </c>
      <c r="AA26" s="51">
        <v>10462</v>
      </c>
    </row>
    <row r="27" spans="1:34" x14ac:dyDescent="0.25">
      <c r="A27" s="27" t="s">
        <v>65</v>
      </c>
      <c r="B27" s="51">
        <v>303</v>
      </c>
      <c r="C27" s="51">
        <v>697</v>
      </c>
      <c r="D27" s="51">
        <v>599</v>
      </c>
      <c r="E27" s="51">
        <v>767</v>
      </c>
      <c r="F27" s="51">
        <v>1026</v>
      </c>
      <c r="G27" s="51">
        <v>1067</v>
      </c>
      <c r="H27" s="51">
        <v>1261</v>
      </c>
      <c r="I27" s="51">
        <v>1339</v>
      </c>
      <c r="J27" s="51">
        <v>2262</v>
      </c>
      <c r="K27" s="51">
        <v>2625</v>
      </c>
      <c r="L27" s="51">
        <v>3739</v>
      </c>
      <c r="M27" s="51">
        <v>3659</v>
      </c>
      <c r="N27" s="51">
        <v>4814</v>
      </c>
      <c r="O27" s="51">
        <v>5088</v>
      </c>
      <c r="P27" s="51">
        <v>6099</v>
      </c>
      <c r="Q27" s="51">
        <v>6214</v>
      </c>
      <c r="R27" s="51">
        <v>6785</v>
      </c>
      <c r="S27" s="51">
        <v>6835</v>
      </c>
      <c r="T27" s="51">
        <v>7366</v>
      </c>
      <c r="U27" s="51">
        <v>8117</v>
      </c>
      <c r="V27" s="51">
        <v>8207</v>
      </c>
      <c r="W27" s="51">
        <v>7862</v>
      </c>
      <c r="X27" s="51">
        <v>9835</v>
      </c>
      <c r="Y27" s="51">
        <v>9963</v>
      </c>
      <c r="Z27" s="51">
        <v>11269</v>
      </c>
      <c r="AA27" s="51">
        <v>10412</v>
      </c>
    </row>
    <row r="28" spans="1:34" x14ac:dyDescent="0.25">
      <c r="A28" s="27" t="s">
        <v>78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1</v>
      </c>
      <c r="AA28" s="51">
        <v>1</v>
      </c>
    </row>
    <row r="29" spans="1:34" s="36" customFormat="1" x14ac:dyDescent="0.25">
      <c r="A29" s="26" t="s">
        <v>15</v>
      </c>
      <c r="B29" s="52">
        <v>1073</v>
      </c>
      <c r="C29" s="52">
        <v>1900</v>
      </c>
      <c r="D29" s="52">
        <v>2085</v>
      </c>
      <c r="E29" s="52">
        <v>2553</v>
      </c>
      <c r="F29" s="52">
        <v>2959</v>
      </c>
      <c r="G29" s="52">
        <v>3066</v>
      </c>
      <c r="H29" s="52">
        <v>3460</v>
      </c>
      <c r="I29" s="52">
        <v>3650</v>
      </c>
      <c r="J29" s="52">
        <v>5481</v>
      </c>
      <c r="K29" s="52">
        <v>6239</v>
      </c>
      <c r="L29" s="52">
        <v>8606</v>
      </c>
      <c r="M29" s="52">
        <v>8088</v>
      </c>
      <c r="N29" s="52">
        <v>10011</v>
      </c>
      <c r="O29" s="52">
        <v>10589</v>
      </c>
      <c r="P29" s="52">
        <v>12613</v>
      </c>
      <c r="Q29" s="52">
        <v>13015</v>
      </c>
      <c r="R29" s="52">
        <v>13984</v>
      </c>
      <c r="S29" s="52">
        <v>13984</v>
      </c>
      <c r="T29" s="52">
        <v>14827</v>
      </c>
      <c r="U29" s="52">
        <v>16379</v>
      </c>
      <c r="V29" s="52">
        <v>16244</v>
      </c>
      <c r="W29" s="52">
        <v>15352</v>
      </c>
      <c r="X29" s="52">
        <v>19391</v>
      </c>
      <c r="Y29" s="52">
        <v>19485</v>
      </c>
      <c r="Z29" s="52">
        <v>22177</v>
      </c>
      <c r="AA29" s="52">
        <v>20875</v>
      </c>
    </row>
    <row r="32" spans="1:34" ht="15.75" x14ac:dyDescent="0.25">
      <c r="A32" s="24" t="s">
        <v>114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55" x14ac:dyDescent="0.25">
      <c r="A33" s="59" t="s">
        <v>47</v>
      </c>
      <c r="B33" s="58">
        <v>1999</v>
      </c>
      <c r="C33" s="58"/>
      <c r="D33" s="58">
        <v>2000</v>
      </c>
      <c r="E33" s="58"/>
      <c r="F33" s="58">
        <v>2001</v>
      </c>
      <c r="G33" s="58"/>
      <c r="H33" s="58">
        <v>2002</v>
      </c>
      <c r="I33" s="58"/>
      <c r="J33" s="58">
        <v>2003</v>
      </c>
      <c r="K33" s="58"/>
      <c r="L33" s="58">
        <v>2004</v>
      </c>
      <c r="M33" s="58"/>
      <c r="N33" s="58">
        <v>2005</v>
      </c>
      <c r="O33" s="58"/>
      <c r="P33" s="58">
        <v>2006</v>
      </c>
      <c r="Q33" s="58"/>
      <c r="R33" s="58">
        <v>2007</v>
      </c>
      <c r="S33" s="58"/>
      <c r="T33" s="63">
        <v>2008</v>
      </c>
      <c r="U33" s="63"/>
      <c r="V33" s="63">
        <v>2009</v>
      </c>
      <c r="W33" s="63"/>
      <c r="X33" s="63">
        <v>2010</v>
      </c>
      <c r="Y33" s="63"/>
      <c r="Z33" s="63">
        <v>2011</v>
      </c>
      <c r="AA33" s="63"/>
      <c r="AB33" s="63">
        <v>2012</v>
      </c>
      <c r="AC33" s="63"/>
      <c r="AD33" s="63">
        <v>2013</v>
      </c>
      <c r="AE33" s="63"/>
      <c r="AF33" s="63">
        <v>2014</v>
      </c>
      <c r="AG33" s="63"/>
      <c r="AH33" s="63">
        <v>2015</v>
      </c>
      <c r="AI33" s="63"/>
      <c r="AJ33" s="63">
        <v>2016</v>
      </c>
      <c r="AK33" s="63"/>
      <c r="AL33" s="63">
        <v>2017</v>
      </c>
      <c r="AM33" s="63"/>
      <c r="AN33" s="63">
        <v>2018</v>
      </c>
      <c r="AO33" s="63"/>
      <c r="AP33" s="63">
        <v>2019</v>
      </c>
      <c r="AQ33" s="63"/>
      <c r="AR33" s="63">
        <v>2020</v>
      </c>
      <c r="AS33" s="63"/>
      <c r="AT33" s="63">
        <v>2021</v>
      </c>
      <c r="AU33" s="63"/>
      <c r="AV33" s="63">
        <v>2022</v>
      </c>
      <c r="AW33" s="63"/>
      <c r="AX33" s="63">
        <v>2023</v>
      </c>
      <c r="AY33" s="63"/>
      <c r="AZ33" s="63"/>
      <c r="BA33" s="63">
        <v>2024</v>
      </c>
      <c r="BB33" s="63"/>
      <c r="BC33" s="63"/>
    </row>
    <row r="34" spans="1:55" x14ac:dyDescent="0.25">
      <c r="A34" s="59"/>
      <c r="B34" s="18" t="s">
        <v>64</v>
      </c>
      <c r="C34" s="18" t="s">
        <v>65</v>
      </c>
      <c r="D34" s="18" t="s">
        <v>64</v>
      </c>
      <c r="E34" s="18" t="s">
        <v>65</v>
      </c>
      <c r="F34" s="18" t="s">
        <v>64</v>
      </c>
      <c r="G34" s="18" t="s">
        <v>65</v>
      </c>
      <c r="H34" s="18" t="s">
        <v>64</v>
      </c>
      <c r="I34" s="18" t="s">
        <v>65</v>
      </c>
      <c r="J34" s="18" t="s">
        <v>64</v>
      </c>
      <c r="K34" s="18" t="s">
        <v>65</v>
      </c>
      <c r="L34" s="18" t="s">
        <v>64</v>
      </c>
      <c r="M34" s="18" t="s">
        <v>65</v>
      </c>
      <c r="N34" s="18" t="s">
        <v>64</v>
      </c>
      <c r="O34" s="18" t="s">
        <v>65</v>
      </c>
      <c r="P34" s="18" t="s">
        <v>64</v>
      </c>
      <c r="Q34" s="18" t="s">
        <v>65</v>
      </c>
      <c r="R34" s="18" t="s">
        <v>64</v>
      </c>
      <c r="S34" s="18" t="s">
        <v>65</v>
      </c>
      <c r="T34" s="3" t="s">
        <v>64</v>
      </c>
      <c r="U34" s="3" t="s">
        <v>65</v>
      </c>
      <c r="V34" s="3" t="s">
        <v>64</v>
      </c>
      <c r="W34" s="3" t="s">
        <v>65</v>
      </c>
      <c r="X34" s="3" t="s">
        <v>64</v>
      </c>
      <c r="Y34" s="3" t="s">
        <v>65</v>
      </c>
      <c r="Z34" s="3" t="s">
        <v>64</v>
      </c>
      <c r="AA34" s="3" t="s">
        <v>65</v>
      </c>
      <c r="AB34" s="3" t="s">
        <v>64</v>
      </c>
      <c r="AC34" s="3" t="s">
        <v>65</v>
      </c>
      <c r="AD34" s="3" t="s">
        <v>64</v>
      </c>
      <c r="AE34" s="3" t="s">
        <v>65</v>
      </c>
      <c r="AF34" s="3" t="s">
        <v>64</v>
      </c>
      <c r="AG34" s="3" t="s">
        <v>65</v>
      </c>
      <c r="AH34" s="3" t="s">
        <v>64</v>
      </c>
      <c r="AI34" s="3" t="s">
        <v>65</v>
      </c>
      <c r="AJ34" s="3" t="s">
        <v>64</v>
      </c>
      <c r="AK34" s="3" t="s">
        <v>65</v>
      </c>
      <c r="AL34" s="3" t="s">
        <v>64</v>
      </c>
      <c r="AM34" s="3" t="s">
        <v>65</v>
      </c>
      <c r="AN34" s="3" t="s">
        <v>64</v>
      </c>
      <c r="AO34" s="3" t="s">
        <v>65</v>
      </c>
      <c r="AP34" s="3" t="s">
        <v>64</v>
      </c>
      <c r="AQ34" s="3" t="s">
        <v>65</v>
      </c>
      <c r="AR34" s="3" t="s">
        <v>64</v>
      </c>
      <c r="AS34" s="3" t="s">
        <v>65</v>
      </c>
      <c r="AT34" s="3" t="s">
        <v>64</v>
      </c>
      <c r="AU34" s="3" t="s">
        <v>65</v>
      </c>
      <c r="AV34" s="3" t="s">
        <v>64</v>
      </c>
      <c r="AW34" s="3" t="s">
        <v>65</v>
      </c>
      <c r="AX34" s="3" t="s">
        <v>64</v>
      </c>
      <c r="AY34" s="3" t="s">
        <v>65</v>
      </c>
      <c r="AZ34" s="3" t="s">
        <v>78</v>
      </c>
      <c r="BA34" s="3" t="s">
        <v>64</v>
      </c>
      <c r="BB34" s="3" t="s">
        <v>65</v>
      </c>
      <c r="BC34" s="3" t="s">
        <v>78</v>
      </c>
    </row>
    <row r="35" spans="1:55" x14ac:dyDescent="0.25">
      <c r="A35" s="27" t="s">
        <v>67</v>
      </c>
      <c r="B35" s="51">
        <v>552</v>
      </c>
      <c r="C35" s="51">
        <v>271</v>
      </c>
      <c r="D35" s="51">
        <v>1003</v>
      </c>
      <c r="E35" s="51">
        <v>652</v>
      </c>
      <c r="F35" s="51">
        <v>1043</v>
      </c>
      <c r="G35" s="51">
        <v>487</v>
      </c>
      <c r="H35" s="51">
        <v>1180</v>
      </c>
      <c r="I35" s="51">
        <v>580</v>
      </c>
      <c r="J35" s="51">
        <v>1377</v>
      </c>
      <c r="K35" s="51">
        <v>719</v>
      </c>
      <c r="L35" s="51">
        <v>1278</v>
      </c>
      <c r="M35" s="51">
        <v>721</v>
      </c>
      <c r="N35" s="51">
        <v>1306</v>
      </c>
      <c r="O35" s="51">
        <v>800</v>
      </c>
      <c r="P35" s="51">
        <v>1379</v>
      </c>
      <c r="Q35" s="51">
        <v>802</v>
      </c>
      <c r="R35" s="51">
        <v>1940</v>
      </c>
      <c r="S35" s="51">
        <v>1273</v>
      </c>
      <c r="T35" s="54">
        <v>2044</v>
      </c>
      <c r="U35" s="54">
        <v>1354</v>
      </c>
      <c r="V35" s="54">
        <v>2579</v>
      </c>
      <c r="W35" s="54">
        <v>1657</v>
      </c>
      <c r="X35" s="54">
        <v>2430</v>
      </c>
      <c r="Y35" s="54">
        <v>1856</v>
      </c>
      <c r="Z35" s="54">
        <v>2725</v>
      </c>
      <c r="AA35" s="54">
        <v>2070</v>
      </c>
      <c r="AB35" s="54">
        <v>2847</v>
      </c>
      <c r="AC35" s="54">
        <v>2228</v>
      </c>
      <c r="AD35" s="54">
        <v>3490</v>
      </c>
      <c r="AE35" s="54">
        <v>2655</v>
      </c>
      <c r="AF35" s="54">
        <v>3676</v>
      </c>
      <c r="AG35" s="54">
        <v>2889</v>
      </c>
      <c r="AH35" s="54">
        <v>3610</v>
      </c>
      <c r="AI35" s="54">
        <v>3030</v>
      </c>
      <c r="AJ35" s="54">
        <v>3634</v>
      </c>
      <c r="AK35" s="54">
        <v>3004</v>
      </c>
      <c r="AL35" s="54">
        <v>4078</v>
      </c>
      <c r="AM35" s="54">
        <v>3385</v>
      </c>
      <c r="AN35" s="54">
        <v>4339</v>
      </c>
      <c r="AO35" s="54">
        <v>3348</v>
      </c>
      <c r="AP35" s="54">
        <v>4259</v>
      </c>
      <c r="AQ35" s="54">
        <v>3512</v>
      </c>
      <c r="AR35" s="54">
        <v>3478</v>
      </c>
      <c r="AS35" s="54">
        <v>2892</v>
      </c>
      <c r="AT35" s="54">
        <v>5183</v>
      </c>
      <c r="AU35" s="54">
        <v>4222</v>
      </c>
      <c r="AV35" s="54">
        <v>4578</v>
      </c>
      <c r="AW35" s="54">
        <v>3848</v>
      </c>
      <c r="AX35" s="54">
        <v>5170</v>
      </c>
      <c r="AY35" s="54">
        <v>4485</v>
      </c>
      <c r="AZ35" s="54">
        <v>1</v>
      </c>
      <c r="BA35" s="54">
        <v>5334</v>
      </c>
      <c r="BB35" s="54">
        <v>4430</v>
      </c>
      <c r="BC35" s="54">
        <v>1</v>
      </c>
    </row>
    <row r="36" spans="1:55" x14ac:dyDescent="0.25">
      <c r="A36" s="27" t="s">
        <v>20</v>
      </c>
      <c r="B36" s="51">
        <v>218</v>
      </c>
      <c r="C36" s="51">
        <v>32</v>
      </c>
      <c r="D36" s="51">
        <v>200</v>
      </c>
      <c r="E36" s="51">
        <v>45</v>
      </c>
      <c r="F36" s="51">
        <v>443</v>
      </c>
      <c r="G36" s="51">
        <v>112</v>
      </c>
      <c r="H36" s="51">
        <v>606</v>
      </c>
      <c r="I36" s="51">
        <v>187</v>
      </c>
      <c r="J36" s="51">
        <v>556</v>
      </c>
      <c r="K36" s="51">
        <v>307</v>
      </c>
      <c r="L36" s="51">
        <v>721</v>
      </c>
      <c r="M36" s="51">
        <v>346</v>
      </c>
      <c r="N36" s="51">
        <v>893</v>
      </c>
      <c r="O36" s="51">
        <v>461</v>
      </c>
      <c r="P36" s="51">
        <v>932</v>
      </c>
      <c r="Q36" s="51">
        <v>537</v>
      </c>
      <c r="R36" s="51">
        <v>1279</v>
      </c>
      <c r="S36" s="51">
        <v>989</v>
      </c>
      <c r="T36" s="54">
        <v>1570</v>
      </c>
      <c r="U36" s="54">
        <v>1271</v>
      </c>
      <c r="V36" s="54">
        <v>2288</v>
      </c>
      <c r="W36" s="54">
        <v>2082</v>
      </c>
      <c r="X36" s="54">
        <v>1999</v>
      </c>
      <c r="Y36" s="54">
        <v>1803</v>
      </c>
      <c r="Z36" s="54">
        <v>2472</v>
      </c>
      <c r="AA36" s="54">
        <v>2744</v>
      </c>
      <c r="AB36" s="54">
        <v>2654</v>
      </c>
      <c r="AC36" s="54">
        <v>2860</v>
      </c>
      <c r="AD36" s="54">
        <v>3020</v>
      </c>
      <c r="AE36" s="54">
        <v>3444</v>
      </c>
      <c r="AF36" s="54">
        <v>3114</v>
      </c>
      <c r="AG36" s="54">
        <v>3323</v>
      </c>
      <c r="AH36" s="54">
        <v>3589</v>
      </c>
      <c r="AI36" s="54">
        <v>3755</v>
      </c>
      <c r="AJ36" s="54">
        <v>3511</v>
      </c>
      <c r="AK36" s="54">
        <v>3828</v>
      </c>
      <c r="AL36" s="54">
        <v>3372</v>
      </c>
      <c r="AM36" s="54">
        <v>3975</v>
      </c>
      <c r="AN36" s="54">
        <v>3901</v>
      </c>
      <c r="AO36" s="54">
        <v>4740</v>
      </c>
      <c r="AP36" s="54">
        <v>3753</v>
      </c>
      <c r="AQ36" s="54">
        <v>4660</v>
      </c>
      <c r="AR36" s="54">
        <v>3949</v>
      </c>
      <c r="AS36" s="54">
        <v>4922</v>
      </c>
      <c r="AT36" s="54">
        <v>4326</v>
      </c>
      <c r="AU36" s="54">
        <v>5565</v>
      </c>
      <c r="AV36" s="54">
        <v>4883</v>
      </c>
      <c r="AW36" s="54">
        <v>6068</v>
      </c>
      <c r="AX36" s="54">
        <v>5737</v>
      </c>
      <c r="AY36" s="54">
        <v>6784</v>
      </c>
      <c r="AZ36" s="54">
        <v>0</v>
      </c>
      <c r="BA36" s="54">
        <v>5128</v>
      </c>
      <c r="BB36" s="54">
        <v>5982</v>
      </c>
      <c r="BC36" s="54">
        <v>0</v>
      </c>
    </row>
    <row r="37" spans="1:55" s="36" customFormat="1" x14ac:dyDescent="0.25">
      <c r="A37" s="26" t="s">
        <v>15</v>
      </c>
      <c r="B37" s="52">
        <v>770</v>
      </c>
      <c r="C37" s="52">
        <v>303</v>
      </c>
      <c r="D37" s="52">
        <v>1203</v>
      </c>
      <c r="E37" s="52">
        <v>697</v>
      </c>
      <c r="F37" s="52">
        <v>1486</v>
      </c>
      <c r="G37" s="52">
        <v>599</v>
      </c>
      <c r="H37" s="52">
        <v>1786</v>
      </c>
      <c r="I37" s="52">
        <v>767</v>
      </c>
      <c r="J37" s="52">
        <v>1933</v>
      </c>
      <c r="K37" s="52">
        <v>1026</v>
      </c>
      <c r="L37" s="52">
        <v>1999</v>
      </c>
      <c r="M37" s="52">
        <v>1067</v>
      </c>
      <c r="N37" s="52">
        <v>2199</v>
      </c>
      <c r="O37" s="52">
        <v>1261</v>
      </c>
      <c r="P37" s="52">
        <v>2311</v>
      </c>
      <c r="Q37" s="52">
        <v>1339</v>
      </c>
      <c r="R37" s="52">
        <v>3219</v>
      </c>
      <c r="S37" s="52">
        <v>2262</v>
      </c>
      <c r="T37" s="55">
        <v>3614</v>
      </c>
      <c r="U37" s="55">
        <v>2625</v>
      </c>
      <c r="V37" s="55">
        <v>4867</v>
      </c>
      <c r="W37" s="55">
        <v>3739</v>
      </c>
      <c r="X37" s="55">
        <v>4429</v>
      </c>
      <c r="Y37" s="55">
        <v>3659</v>
      </c>
      <c r="Z37" s="55">
        <v>5197</v>
      </c>
      <c r="AA37" s="55">
        <v>4814</v>
      </c>
      <c r="AB37" s="55">
        <v>5501</v>
      </c>
      <c r="AC37" s="55">
        <v>5088</v>
      </c>
      <c r="AD37" s="55">
        <v>6510</v>
      </c>
      <c r="AE37" s="55">
        <v>6099</v>
      </c>
      <c r="AF37" s="55">
        <v>6790</v>
      </c>
      <c r="AG37" s="55">
        <v>6212</v>
      </c>
      <c r="AH37" s="55">
        <v>7199</v>
      </c>
      <c r="AI37" s="55">
        <v>6785</v>
      </c>
      <c r="AJ37" s="55">
        <v>7145</v>
      </c>
      <c r="AK37" s="55">
        <v>6832</v>
      </c>
      <c r="AL37" s="55">
        <v>7450</v>
      </c>
      <c r="AM37" s="55">
        <v>7360</v>
      </c>
      <c r="AN37" s="55">
        <v>8240</v>
      </c>
      <c r="AO37" s="55">
        <v>8088</v>
      </c>
      <c r="AP37" s="55">
        <v>8012</v>
      </c>
      <c r="AQ37" s="55">
        <v>8172</v>
      </c>
      <c r="AR37" s="55">
        <v>7427</v>
      </c>
      <c r="AS37" s="55">
        <v>7814</v>
      </c>
      <c r="AT37" s="55">
        <v>9509</v>
      </c>
      <c r="AU37" s="55">
        <v>9787</v>
      </c>
      <c r="AV37" s="55">
        <v>9461</v>
      </c>
      <c r="AW37" s="55">
        <v>9916</v>
      </c>
      <c r="AX37" s="55">
        <v>10907</v>
      </c>
      <c r="AY37" s="55">
        <v>11269</v>
      </c>
      <c r="AZ37" s="55">
        <v>1</v>
      </c>
      <c r="BA37" s="55">
        <v>10462</v>
      </c>
      <c r="BB37" s="55">
        <v>10412</v>
      </c>
      <c r="BC37" s="55">
        <v>1</v>
      </c>
    </row>
    <row r="40" spans="1:55" ht="15.75" x14ac:dyDescent="0.25">
      <c r="A40" s="24" t="s">
        <v>115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55" x14ac:dyDescent="0.25">
      <c r="A41" s="59" t="s">
        <v>48</v>
      </c>
      <c r="B41" s="58">
        <v>1999</v>
      </c>
      <c r="C41" s="58"/>
      <c r="D41" s="58">
        <v>2000</v>
      </c>
      <c r="E41" s="58"/>
      <c r="F41" s="58">
        <v>2001</v>
      </c>
      <c r="G41" s="58"/>
      <c r="H41" s="58">
        <v>2002</v>
      </c>
      <c r="I41" s="58"/>
      <c r="J41" s="58">
        <v>2003</v>
      </c>
      <c r="K41" s="58"/>
      <c r="L41" s="58">
        <v>2004</v>
      </c>
      <c r="M41" s="58"/>
      <c r="N41" s="58">
        <v>2005</v>
      </c>
      <c r="O41" s="58"/>
      <c r="P41" s="58">
        <v>2006</v>
      </c>
      <c r="Q41" s="58"/>
      <c r="R41" s="58">
        <v>2007</v>
      </c>
      <c r="S41" s="58"/>
      <c r="T41" s="63">
        <v>2008</v>
      </c>
      <c r="U41" s="63"/>
      <c r="V41" s="63">
        <v>2009</v>
      </c>
      <c r="W41" s="63"/>
      <c r="X41" s="63">
        <v>2010</v>
      </c>
      <c r="Y41" s="63"/>
      <c r="Z41" s="63">
        <v>2011</v>
      </c>
      <c r="AA41" s="63"/>
      <c r="AB41" s="63">
        <v>2012</v>
      </c>
      <c r="AC41" s="63"/>
      <c r="AD41" s="63">
        <v>2013</v>
      </c>
      <c r="AE41" s="63"/>
      <c r="AF41" s="63">
        <v>2014</v>
      </c>
      <c r="AG41" s="63"/>
      <c r="AH41" s="63">
        <v>2015</v>
      </c>
      <c r="AI41" s="63"/>
      <c r="AJ41" s="63">
        <v>2016</v>
      </c>
      <c r="AK41" s="63"/>
      <c r="AL41" s="63">
        <v>2017</v>
      </c>
      <c r="AM41" s="63"/>
      <c r="AN41" s="63">
        <v>2018</v>
      </c>
      <c r="AO41" s="63"/>
      <c r="AP41" s="63">
        <v>2019</v>
      </c>
      <c r="AQ41" s="63"/>
      <c r="AR41" s="63">
        <v>2020</v>
      </c>
      <c r="AS41" s="63"/>
      <c r="AT41" s="63">
        <v>2021</v>
      </c>
      <c r="AU41" s="63"/>
      <c r="AV41" s="63">
        <v>2022</v>
      </c>
      <c r="AW41" s="63"/>
      <c r="AX41" s="63">
        <v>2023</v>
      </c>
      <c r="AY41" s="63"/>
      <c r="AZ41" s="63"/>
      <c r="BA41" s="63">
        <v>2024</v>
      </c>
      <c r="BB41" s="63"/>
      <c r="BC41" s="63"/>
    </row>
    <row r="42" spans="1:55" x14ac:dyDescent="0.25">
      <c r="A42" s="59"/>
      <c r="B42" s="18" t="s">
        <v>64</v>
      </c>
      <c r="C42" s="18" t="s">
        <v>65</v>
      </c>
      <c r="D42" s="18" t="s">
        <v>64</v>
      </c>
      <c r="E42" s="18" t="s">
        <v>65</v>
      </c>
      <c r="F42" s="18" t="s">
        <v>64</v>
      </c>
      <c r="G42" s="18" t="s">
        <v>65</v>
      </c>
      <c r="H42" s="18" t="s">
        <v>64</v>
      </c>
      <c r="I42" s="18" t="s">
        <v>65</v>
      </c>
      <c r="J42" s="18" t="s">
        <v>64</v>
      </c>
      <c r="K42" s="18" t="s">
        <v>65</v>
      </c>
      <c r="L42" s="18" t="s">
        <v>64</v>
      </c>
      <c r="M42" s="18" t="s">
        <v>65</v>
      </c>
      <c r="N42" s="18" t="s">
        <v>64</v>
      </c>
      <c r="O42" s="18" t="s">
        <v>65</v>
      </c>
      <c r="P42" s="18" t="s">
        <v>64</v>
      </c>
      <c r="Q42" s="18" t="s">
        <v>65</v>
      </c>
      <c r="R42" s="18" t="s">
        <v>64</v>
      </c>
      <c r="S42" s="18" t="s">
        <v>65</v>
      </c>
      <c r="T42" s="3" t="s">
        <v>64</v>
      </c>
      <c r="U42" s="3" t="s">
        <v>65</v>
      </c>
      <c r="V42" s="3" t="s">
        <v>64</v>
      </c>
      <c r="W42" s="3" t="s">
        <v>65</v>
      </c>
      <c r="X42" s="3" t="s">
        <v>64</v>
      </c>
      <c r="Y42" s="3" t="s">
        <v>65</v>
      </c>
      <c r="Z42" s="3" t="s">
        <v>64</v>
      </c>
      <c r="AA42" s="3" t="s">
        <v>65</v>
      </c>
      <c r="AB42" s="3" t="s">
        <v>64</v>
      </c>
      <c r="AC42" s="3" t="s">
        <v>65</v>
      </c>
      <c r="AD42" s="3" t="s">
        <v>64</v>
      </c>
      <c r="AE42" s="3" t="s">
        <v>65</v>
      </c>
      <c r="AF42" s="3" t="s">
        <v>64</v>
      </c>
      <c r="AG42" s="3" t="s">
        <v>65</v>
      </c>
      <c r="AH42" s="3" t="s">
        <v>64</v>
      </c>
      <c r="AI42" s="3" t="s">
        <v>65</v>
      </c>
      <c r="AJ42" s="3" t="s">
        <v>64</v>
      </c>
      <c r="AK42" s="3" t="s">
        <v>65</v>
      </c>
      <c r="AL42" s="3" t="s">
        <v>64</v>
      </c>
      <c r="AM42" s="3" t="s">
        <v>65</v>
      </c>
      <c r="AN42" s="3" t="s">
        <v>64</v>
      </c>
      <c r="AO42" s="3" t="s">
        <v>65</v>
      </c>
      <c r="AP42" s="3" t="s">
        <v>64</v>
      </c>
      <c r="AQ42" s="3" t="s">
        <v>65</v>
      </c>
      <c r="AR42" s="3" t="s">
        <v>64</v>
      </c>
      <c r="AS42" s="3" t="s">
        <v>65</v>
      </c>
      <c r="AT42" s="3" t="s">
        <v>64</v>
      </c>
      <c r="AU42" s="3" t="s">
        <v>65</v>
      </c>
      <c r="AV42" s="3" t="s">
        <v>64</v>
      </c>
      <c r="AW42" s="3" t="s">
        <v>65</v>
      </c>
      <c r="AX42" s="3" t="s">
        <v>64</v>
      </c>
      <c r="AY42" s="3" t="s">
        <v>65</v>
      </c>
      <c r="AZ42" s="3" t="s">
        <v>78</v>
      </c>
      <c r="BA42" s="3" t="s">
        <v>64</v>
      </c>
      <c r="BB42" s="3" t="s">
        <v>65</v>
      </c>
      <c r="BC42" s="3" t="s">
        <v>78</v>
      </c>
    </row>
    <row r="43" spans="1:55" x14ac:dyDescent="0.25">
      <c r="A43" s="27" t="s">
        <v>14</v>
      </c>
      <c r="B43" s="51">
        <v>38</v>
      </c>
      <c r="C43" s="51">
        <v>25</v>
      </c>
      <c r="D43" s="51">
        <v>90</v>
      </c>
      <c r="E43" s="51">
        <v>67</v>
      </c>
      <c r="F43" s="51">
        <v>57</v>
      </c>
      <c r="G43" s="51">
        <v>34</v>
      </c>
      <c r="H43" s="51">
        <v>102</v>
      </c>
      <c r="I43" s="51">
        <v>56</v>
      </c>
      <c r="J43" s="51">
        <v>100</v>
      </c>
      <c r="K43" s="51">
        <v>50</v>
      </c>
      <c r="L43" s="51">
        <v>141</v>
      </c>
      <c r="M43" s="51">
        <v>91</v>
      </c>
      <c r="N43" s="51">
        <v>126</v>
      </c>
      <c r="O43" s="51">
        <v>87</v>
      </c>
      <c r="P43" s="51">
        <v>140</v>
      </c>
      <c r="Q43" s="51">
        <v>74</v>
      </c>
      <c r="R43" s="51">
        <v>176</v>
      </c>
      <c r="S43" s="51">
        <v>138</v>
      </c>
      <c r="T43" s="54">
        <v>187</v>
      </c>
      <c r="U43" s="54">
        <v>133</v>
      </c>
      <c r="V43" s="54">
        <v>229</v>
      </c>
      <c r="W43" s="54">
        <v>155</v>
      </c>
      <c r="X43" s="54">
        <v>219</v>
      </c>
      <c r="Y43" s="54">
        <v>175</v>
      </c>
      <c r="Z43" s="54">
        <v>280</v>
      </c>
      <c r="AA43" s="54">
        <v>212</v>
      </c>
      <c r="AB43" s="54">
        <v>364</v>
      </c>
      <c r="AC43" s="54">
        <v>239</v>
      </c>
      <c r="AD43" s="54">
        <v>341</v>
      </c>
      <c r="AE43" s="54">
        <v>293</v>
      </c>
      <c r="AF43" s="54">
        <v>332</v>
      </c>
      <c r="AG43" s="54">
        <v>280</v>
      </c>
      <c r="AH43" s="54">
        <v>386</v>
      </c>
      <c r="AI43" s="54">
        <v>307</v>
      </c>
      <c r="AJ43" s="54">
        <v>417</v>
      </c>
      <c r="AK43" s="54">
        <v>289</v>
      </c>
      <c r="AL43" s="54">
        <v>408</v>
      </c>
      <c r="AM43" s="54">
        <v>319</v>
      </c>
      <c r="AN43" s="54">
        <v>473</v>
      </c>
      <c r="AO43" s="54">
        <v>359</v>
      </c>
      <c r="AP43" s="54">
        <v>500</v>
      </c>
      <c r="AQ43" s="54">
        <v>383</v>
      </c>
      <c r="AR43" s="54">
        <v>436</v>
      </c>
      <c r="AS43" s="54">
        <v>339</v>
      </c>
      <c r="AT43" s="54">
        <v>526</v>
      </c>
      <c r="AU43" s="54">
        <v>380</v>
      </c>
      <c r="AV43" s="54">
        <v>510</v>
      </c>
      <c r="AW43" s="54">
        <v>385</v>
      </c>
      <c r="AX43" s="54">
        <v>591</v>
      </c>
      <c r="AY43" s="54">
        <v>460</v>
      </c>
      <c r="AZ43" s="54">
        <v>0</v>
      </c>
      <c r="BA43" s="54">
        <v>668</v>
      </c>
      <c r="BB43" s="54">
        <v>509</v>
      </c>
      <c r="BC43" s="54">
        <v>0</v>
      </c>
    </row>
    <row r="44" spans="1:55" x14ac:dyDescent="0.25">
      <c r="A44" s="27" t="s">
        <v>49</v>
      </c>
      <c r="B44" s="51">
        <v>732</v>
      </c>
      <c r="C44" s="51">
        <v>278</v>
      </c>
      <c r="D44" s="51">
        <v>1113</v>
      </c>
      <c r="E44" s="51">
        <v>630</v>
      </c>
      <c r="F44" s="51">
        <v>1429</v>
      </c>
      <c r="G44" s="51">
        <v>565</v>
      </c>
      <c r="H44" s="51">
        <v>1684</v>
      </c>
      <c r="I44" s="51">
        <v>711</v>
      </c>
      <c r="J44" s="51">
        <v>1833</v>
      </c>
      <c r="K44" s="51">
        <v>976</v>
      </c>
      <c r="L44" s="51">
        <v>1858</v>
      </c>
      <c r="M44" s="51">
        <v>976</v>
      </c>
      <c r="N44" s="51">
        <v>2073</v>
      </c>
      <c r="O44" s="51">
        <v>1174</v>
      </c>
      <c r="P44" s="51">
        <v>2171</v>
      </c>
      <c r="Q44" s="51">
        <v>1265</v>
      </c>
      <c r="R44" s="51">
        <v>3043</v>
      </c>
      <c r="S44" s="51">
        <v>2124</v>
      </c>
      <c r="T44" s="54">
        <v>3427</v>
      </c>
      <c r="U44" s="54">
        <v>2492</v>
      </c>
      <c r="V44" s="54">
        <v>4638</v>
      </c>
      <c r="W44" s="54">
        <v>3584</v>
      </c>
      <c r="X44" s="54">
        <v>4210</v>
      </c>
      <c r="Y44" s="54">
        <v>3484</v>
      </c>
      <c r="Z44" s="54">
        <v>4917</v>
      </c>
      <c r="AA44" s="54">
        <v>4602</v>
      </c>
      <c r="AB44" s="54">
        <v>5137</v>
      </c>
      <c r="AC44" s="54">
        <v>4849</v>
      </c>
      <c r="AD44" s="54">
        <v>6169</v>
      </c>
      <c r="AE44" s="54">
        <v>5806</v>
      </c>
      <c r="AF44" s="54">
        <v>6458</v>
      </c>
      <c r="AG44" s="54">
        <v>5932</v>
      </c>
      <c r="AH44" s="54">
        <v>6813</v>
      </c>
      <c r="AI44" s="54">
        <v>6478</v>
      </c>
      <c r="AJ44" s="54">
        <v>6728</v>
      </c>
      <c r="AK44" s="54">
        <v>6543</v>
      </c>
      <c r="AL44" s="54">
        <v>7042</v>
      </c>
      <c r="AM44" s="54">
        <v>7041</v>
      </c>
      <c r="AN44" s="54">
        <v>7767</v>
      </c>
      <c r="AO44" s="54">
        <v>7729</v>
      </c>
      <c r="AP44" s="54">
        <v>7512</v>
      </c>
      <c r="AQ44" s="54">
        <v>7789</v>
      </c>
      <c r="AR44" s="54">
        <v>6991</v>
      </c>
      <c r="AS44" s="54">
        <v>7475</v>
      </c>
      <c r="AT44" s="54">
        <v>8983</v>
      </c>
      <c r="AU44" s="54">
        <v>9407</v>
      </c>
      <c r="AV44" s="54">
        <v>8951</v>
      </c>
      <c r="AW44" s="54">
        <v>9531</v>
      </c>
      <c r="AX44" s="54">
        <v>10316</v>
      </c>
      <c r="AY44" s="54">
        <v>10809</v>
      </c>
      <c r="AZ44" s="54">
        <v>1</v>
      </c>
      <c r="BA44" s="54">
        <v>9794</v>
      </c>
      <c r="BB44" s="54">
        <v>9903</v>
      </c>
      <c r="BC44" s="54">
        <v>1</v>
      </c>
    </row>
    <row r="45" spans="1:55" s="36" customFormat="1" x14ac:dyDescent="0.25">
      <c r="A45" s="26" t="s">
        <v>15</v>
      </c>
      <c r="B45" s="52">
        <v>770</v>
      </c>
      <c r="C45" s="52">
        <v>303</v>
      </c>
      <c r="D45" s="52">
        <v>1203</v>
      </c>
      <c r="E45" s="52">
        <v>697</v>
      </c>
      <c r="F45" s="52">
        <v>1486</v>
      </c>
      <c r="G45" s="52">
        <v>599</v>
      </c>
      <c r="H45" s="52">
        <v>1786</v>
      </c>
      <c r="I45" s="52">
        <v>767</v>
      </c>
      <c r="J45" s="52">
        <v>1933</v>
      </c>
      <c r="K45" s="52">
        <v>1026</v>
      </c>
      <c r="L45" s="52">
        <v>1999</v>
      </c>
      <c r="M45" s="52">
        <v>1067</v>
      </c>
      <c r="N45" s="52">
        <v>2199</v>
      </c>
      <c r="O45" s="52">
        <v>1261</v>
      </c>
      <c r="P45" s="52">
        <v>2311</v>
      </c>
      <c r="Q45" s="52">
        <v>1339</v>
      </c>
      <c r="R45" s="52">
        <v>3219</v>
      </c>
      <c r="S45" s="52">
        <v>2262</v>
      </c>
      <c r="T45" s="55">
        <v>3614</v>
      </c>
      <c r="U45" s="55">
        <v>2625</v>
      </c>
      <c r="V45" s="55">
        <v>4867</v>
      </c>
      <c r="W45" s="55">
        <v>3739</v>
      </c>
      <c r="X45" s="55">
        <v>4429</v>
      </c>
      <c r="Y45" s="55">
        <v>3659</v>
      </c>
      <c r="Z45" s="55">
        <v>5197</v>
      </c>
      <c r="AA45" s="55">
        <v>4814</v>
      </c>
      <c r="AB45" s="55">
        <v>5501</v>
      </c>
      <c r="AC45" s="55">
        <v>5088</v>
      </c>
      <c r="AD45" s="55">
        <v>6510</v>
      </c>
      <c r="AE45" s="55">
        <v>6099</v>
      </c>
      <c r="AF45" s="55">
        <v>6790</v>
      </c>
      <c r="AG45" s="55">
        <v>6212</v>
      </c>
      <c r="AH45" s="55">
        <v>7199</v>
      </c>
      <c r="AI45" s="55">
        <v>6785</v>
      </c>
      <c r="AJ45" s="55">
        <v>7145</v>
      </c>
      <c r="AK45" s="55">
        <v>6832</v>
      </c>
      <c r="AL45" s="55">
        <v>7450</v>
      </c>
      <c r="AM45" s="55">
        <v>7360</v>
      </c>
      <c r="AN45" s="55">
        <v>8240</v>
      </c>
      <c r="AO45" s="55">
        <v>8088</v>
      </c>
      <c r="AP45" s="55">
        <v>8012</v>
      </c>
      <c r="AQ45" s="55">
        <v>8172</v>
      </c>
      <c r="AR45" s="55">
        <v>7427</v>
      </c>
      <c r="AS45" s="55">
        <v>7814</v>
      </c>
      <c r="AT45" s="55">
        <v>9509</v>
      </c>
      <c r="AU45" s="55">
        <v>9787</v>
      </c>
      <c r="AV45" s="55">
        <v>9461</v>
      </c>
      <c r="AW45" s="55">
        <v>9916</v>
      </c>
      <c r="AX45" s="55">
        <v>10907</v>
      </c>
      <c r="AY45" s="55">
        <v>11269</v>
      </c>
      <c r="AZ45" s="55">
        <v>1</v>
      </c>
      <c r="BA45" s="55">
        <v>10462</v>
      </c>
      <c r="BB45" s="55">
        <v>10412</v>
      </c>
      <c r="BC45" s="55">
        <v>1</v>
      </c>
    </row>
    <row r="46" spans="1:55" x14ac:dyDescent="0.25">
      <c r="AM46" s="42"/>
    </row>
    <row r="48" spans="1:55" ht="15.75" x14ac:dyDescent="0.25">
      <c r="A48" s="24" t="s">
        <v>116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x14ac:dyDescent="0.25">
      <c r="A49" s="1"/>
      <c r="B49" s="18">
        <v>1999</v>
      </c>
      <c r="C49" s="18">
        <v>2000</v>
      </c>
      <c r="D49" s="18">
        <v>2001</v>
      </c>
      <c r="E49" s="18">
        <v>2002</v>
      </c>
      <c r="F49" s="18">
        <v>2003</v>
      </c>
      <c r="G49" s="18">
        <v>2004</v>
      </c>
      <c r="H49" s="18">
        <v>2005</v>
      </c>
      <c r="I49" s="18">
        <v>2006</v>
      </c>
      <c r="J49" s="18">
        <v>2007</v>
      </c>
      <c r="K49" s="18">
        <v>2008</v>
      </c>
      <c r="L49" s="18">
        <v>2009</v>
      </c>
      <c r="M49" s="18">
        <v>2010</v>
      </c>
      <c r="N49" s="18">
        <v>2011</v>
      </c>
      <c r="O49" s="18">
        <v>2012</v>
      </c>
      <c r="P49" s="18">
        <v>2013</v>
      </c>
      <c r="Q49" s="18">
        <v>2014</v>
      </c>
      <c r="R49" s="18">
        <v>2015</v>
      </c>
      <c r="S49" s="18">
        <v>2016</v>
      </c>
      <c r="T49" s="18">
        <v>2017</v>
      </c>
      <c r="U49" s="18">
        <v>2018</v>
      </c>
      <c r="V49" s="18">
        <v>2019</v>
      </c>
      <c r="W49" s="18">
        <v>2020</v>
      </c>
      <c r="X49" s="18">
        <v>2021</v>
      </c>
      <c r="Y49" s="18">
        <v>2022</v>
      </c>
      <c r="Z49" s="18">
        <v>2023</v>
      </c>
      <c r="AA49" s="18">
        <v>2024</v>
      </c>
      <c r="AB49" s="2"/>
      <c r="AC49" s="2"/>
      <c r="AD49" s="2"/>
      <c r="AE49" s="2"/>
      <c r="AF49" s="2"/>
      <c r="AG49" s="2"/>
    </row>
    <row r="50" spans="1:33" x14ac:dyDescent="0.25">
      <c r="A50" s="26" t="s">
        <v>50</v>
      </c>
      <c r="B50" s="51">
        <v>1010</v>
      </c>
      <c r="C50" s="51">
        <v>1743</v>
      </c>
      <c r="D50" s="51">
        <v>1994</v>
      </c>
      <c r="E50" s="51">
        <v>2395</v>
      </c>
      <c r="F50" s="51">
        <v>2809</v>
      </c>
      <c r="G50" s="51">
        <v>2834</v>
      </c>
      <c r="H50" s="51">
        <v>3247</v>
      </c>
      <c r="I50" s="51">
        <v>3436</v>
      </c>
      <c r="J50" s="51">
        <v>5167</v>
      </c>
      <c r="K50" s="51">
        <v>5919</v>
      </c>
      <c r="L50" s="51">
        <v>8222</v>
      </c>
      <c r="M50" s="51">
        <v>7694</v>
      </c>
      <c r="N50" s="51">
        <v>9519</v>
      </c>
      <c r="O50" s="51">
        <v>9986</v>
      </c>
      <c r="P50" s="51">
        <v>11979</v>
      </c>
      <c r="Q50" s="51">
        <v>12403</v>
      </c>
      <c r="R50" s="51">
        <v>13291</v>
      </c>
      <c r="S50" s="51">
        <v>13278</v>
      </c>
      <c r="T50" s="51">
        <v>14100</v>
      </c>
      <c r="U50" s="51">
        <v>15547</v>
      </c>
      <c r="V50" s="51">
        <v>15359</v>
      </c>
      <c r="W50" s="51">
        <v>14575</v>
      </c>
      <c r="X50" s="51">
        <v>18482</v>
      </c>
      <c r="Y50" s="51">
        <v>18590</v>
      </c>
      <c r="Z50" s="51">
        <v>21126</v>
      </c>
      <c r="AA50" s="51">
        <v>19698</v>
      </c>
      <c r="AB50" s="2"/>
      <c r="AC50" s="2"/>
      <c r="AD50" s="2"/>
      <c r="AE50" s="2"/>
      <c r="AF50" s="2"/>
      <c r="AG50" s="2"/>
    </row>
    <row r="53" spans="1:33" ht="15.75" x14ac:dyDescent="0.25">
      <c r="A53" s="24" t="s">
        <v>117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x14ac:dyDescent="0.25">
      <c r="A54" s="1" t="s">
        <v>47</v>
      </c>
      <c r="B54" s="18">
        <v>1999</v>
      </c>
      <c r="C54" s="18">
        <v>2000</v>
      </c>
      <c r="D54" s="18">
        <v>2001</v>
      </c>
      <c r="E54" s="18">
        <v>2002</v>
      </c>
      <c r="F54" s="18">
        <v>2003</v>
      </c>
      <c r="G54" s="18">
        <v>2004</v>
      </c>
      <c r="H54" s="18">
        <v>2005</v>
      </c>
      <c r="I54" s="18">
        <v>2006</v>
      </c>
      <c r="J54" s="18">
        <v>2007</v>
      </c>
      <c r="K54" s="18">
        <v>2008</v>
      </c>
      <c r="L54" s="18">
        <v>2009</v>
      </c>
      <c r="M54" s="18">
        <v>2010</v>
      </c>
      <c r="N54" s="18">
        <v>2011</v>
      </c>
      <c r="O54" s="18">
        <v>2012</v>
      </c>
      <c r="P54" s="18">
        <v>2013</v>
      </c>
      <c r="Q54" s="18">
        <v>2014</v>
      </c>
      <c r="R54" s="18">
        <v>2015</v>
      </c>
      <c r="S54" s="18">
        <v>2016</v>
      </c>
      <c r="T54" s="18">
        <v>2017</v>
      </c>
      <c r="U54" s="18">
        <v>2018</v>
      </c>
      <c r="V54" s="18">
        <v>2019</v>
      </c>
      <c r="W54" s="18">
        <v>2020</v>
      </c>
      <c r="X54" s="18">
        <v>2021</v>
      </c>
      <c r="Y54" s="18">
        <v>2022</v>
      </c>
      <c r="Z54" s="18">
        <v>2023</v>
      </c>
      <c r="AA54" s="18">
        <v>2024</v>
      </c>
      <c r="AB54" s="2"/>
      <c r="AC54" s="2"/>
      <c r="AD54" s="2"/>
      <c r="AE54" s="2"/>
      <c r="AF54" s="2"/>
      <c r="AG54" s="2"/>
    </row>
    <row r="55" spans="1:33" x14ac:dyDescent="0.25">
      <c r="A55" s="27" t="s">
        <v>67</v>
      </c>
      <c r="B55" s="51">
        <v>760</v>
      </c>
      <c r="C55" s="51">
        <v>1498</v>
      </c>
      <c r="D55" s="51">
        <v>1439</v>
      </c>
      <c r="E55" s="51">
        <v>1603</v>
      </c>
      <c r="F55" s="51">
        <v>1946</v>
      </c>
      <c r="G55" s="51">
        <v>1769</v>
      </c>
      <c r="H55" s="51">
        <v>1896</v>
      </c>
      <c r="I55" s="51">
        <v>1970</v>
      </c>
      <c r="J55" s="51">
        <v>2904</v>
      </c>
      <c r="K55" s="51">
        <v>3085</v>
      </c>
      <c r="L55" s="51">
        <v>3865</v>
      </c>
      <c r="M55" s="51">
        <v>3907</v>
      </c>
      <c r="N55" s="51">
        <v>4342</v>
      </c>
      <c r="O55" s="51">
        <v>4569</v>
      </c>
      <c r="P55" s="51">
        <v>5612</v>
      </c>
      <c r="Q55" s="51">
        <v>6015</v>
      </c>
      <c r="R55" s="51">
        <v>6005</v>
      </c>
      <c r="S55" s="51">
        <v>5995</v>
      </c>
      <c r="T55" s="51">
        <v>6801</v>
      </c>
      <c r="U55" s="51">
        <v>6943</v>
      </c>
      <c r="V55" s="51">
        <v>6982</v>
      </c>
      <c r="W55" s="51">
        <v>5664</v>
      </c>
      <c r="X55" s="51">
        <v>8610</v>
      </c>
      <c r="Y55" s="51">
        <v>7626</v>
      </c>
      <c r="Z55" s="51">
        <v>8737</v>
      </c>
      <c r="AA55" s="51">
        <v>8731</v>
      </c>
      <c r="AB55" s="2"/>
      <c r="AC55" s="2"/>
      <c r="AD55" s="2"/>
      <c r="AE55" s="2"/>
      <c r="AF55" s="2"/>
      <c r="AG55" s="2"/>
    </row>
    <row r="56" spans="1:33" x14ac:dyDescent="0.25">
      <c r="A56" s="27" t="s">
        <v>20</v>
      </c>
      <c r="B56" s="51">
        <v>250</v>
      </c>
      <c r="C56" s="51">
        <v>245</v>
      </c>
      <c r="D56" s="51">
        <v>555</v>
      </c>
      <c r="E56" s="51">
        <v>792</v>
      </c>
      <c r="F56" s="51">
        <v>863</v>
      </c>
      <c r="G56" s="51">
        <v>1065</v>
      </c>
      <c r="H56" s="51">
        <v>1351</v>
      </c>
      <c r="I56" s="51">
        <v>1466</v>
      </c>
      <c r="J56" s="51">
        <v>2263</v>
      </c>
      <c r="K56" s="51">
        <v>2834</v>
      </c>
      <c r="L56" s="51">
        <v>4357</v>
      </c>
      <c r="M56" s="51">
        <v>3787</v>
      </c>
      <c r="N56" s="51">
        <v>5177</v>
      </c>
      <c r="O56" s="51">
        <v>5417</v>
      </c>
      <c r="P56" s="51">
        <v>6367</v>
      </c>
      <c r="Q56" s="51">
        <v>6388</v>
      </c>
      <c r="R56" s="51">
        <v>7286</v>
      </c>
      <c r="S56" s="51">
        <v>7283</v>
      </c>
      <c r="T56" s="51">
        <v>7299</v>
      </c>
      <c r="U56" s="51">
        <v>8604</v>
      </c>
      <c r="V56" s="51">
        <v>8377</v>
      </c>
      <c r="W56" s="51">
        <v>8911</v>
      </c>
      <c r="X56" s="51">
        <v>9872</v>
      </c>
      <c r="Y56" s="51">
        <v>10964</v>
      </c>
      <c r="Z56" s="51">
        <v>12389</v>
      </c>
      <c r="AA56" s="51">
        <v>10967</v>
      </c>
      <c r="AB56" s="2"/>
      <c r="AC56" s="2"/>
      <c r="AD56" s="2"/>
      <c r="AE56" s="2"/>
      <c r="AF56" s="2"/>
      <c r="AG56" s="2"/>
    </row>
    <row r="57" spans="1:33" s="36" customFormat="1" x14ac:dyDescent="0.25">
      <c r="A57" s="26" t="s">
        <v>15</v>
      </c>
      <c r="B57" s="52">
        <v>1010</v>
      </c>
      <c r="C57" s="52">
        <v>1743</v>
      </c>
      <c r="D57" s="52">
        <v>1994</v>
      </c>
      <c r="E57" s="52">
        <v>2395</v>
      </c>
      <c r="F57" s="52">
        <v>2809</v>
      </c>
      <c r="G57" s="52">
        <v>2834</v>
      </c>
      <c r="H57" s="52">
        <v>3247</v>
      </c>
      <c r="I57" s="52">
        <v>3436</v>
      </c>
      <c r="J57" s="52">
        <v>5167</v>
      </c>
      <c r="K57" s="52">
        <v>5919</v>
      </c>
      <c r="L57" s="52">
        <v>8222</v>
      </c>
      <c r="M57" s="52">
        <v>7694</v>
      </c>
      <c r="N57" s="52">
        <v>9519</v>
      </c>
      <c r="O57" s="52">
        <v>9986</v>
      </c>
      <c r="P57" s="52">
        <v>11979</v>
      </c>
      <c r="Q57" s="52">
        <v>12403</v>
      </c>
      <c r="R57" s="52">
        <v>13291</v>
      </c>
      <c r="S57" s="52">
        <v>13278</v>
      </c>
      <c r="T57" s="52">
        <v>14100</v>
      </c>
      <c r="U57" s="52">
        <v>15547</v>
      </c>
      <c r="V57" s="52">
        <v>15359</v>
      </c>
      <c r="W57" s="52">
        <v>14575</v>
      </c>
      <c r="X57" s="52">
        <v>18482</v>
      </c>
      <c r="Y57" s="52">
        <v>18590</v>
      </c>
      <c r="Z57" s="52">
        <v>21126</v>
      </c>
      <c r="AA57" s="52">
        <v>19698</v>
      </c>
      <c r="AB57" s="43"/>
      <c r="AC57" s="43"/>
      <c r="AD57" s="43"/>
      <c r="AE57" s="43"/>
      <c r="AF57" s="43"/>
      <c r="AG57" s="43"/>
    </row>
    <row r="58" spans="1:33" x14ac:dyDescent="0.25"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60" spans="1:33" ht="15.75" x14ac:dyDescent="0.25">
      <c r="A60" s="24" t="s">
        <v>77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25">
      <c r="A61" s="1" t="s">
        <v>63</v>
      </c>
      <c r="B61" s="18">
        <v>1999</v>
      </c>
      <c r="C61" s="18">
        <v>2000</v>
      </c>
      <c r="D61" s="18">
        <v>2001</v>
      </c>
      <c r="E61" s="18">
        <v>2002</v>
      </c>
      <c r="F61" s="18">
        <v>2003</v>
      </c>
      <c r="G61" s="18">
        <v>2004</v>
      </c>
      <c r="H61" s="18">
        <v>2005</v>
      </c>
      <c r="I61" s="18">
        <v>2006</v>
      </c>
      <c r="J61" s="18">
        <v>2007</v>
      </c>
      <c r="K61" s="18">
        <v>2008</v>
      </c>
      <c r="L61" s="18">
        <v>2009</v>
      </c>
      <c r="M61" s="18">
        <v>2010</v>
      </c>
      <c r="N61" s="18">
        <v>2011</v>
      </c>
      <c r="O61" s="18">
        <v>2012</v>
      </c>
      <c r="P61" s="18">
        <v>2013</v>
      </c>
      <c r="Q61" s="18">
        <v>2014</v>
      </c>
      <c r="R61" s="18">
        <v>2015</v>
      </c>
      <c r="S61" s="18">
        <v>2016</v>
      </c>
      <c r="T61" s="18">
        <v>2017</v>
      </c>
      <c r="U61" s="18">
        <v>2018</v>
      </c>
      <c r="V61" s="18">
        <v>2019</v>
      </c>
      <c r="W61" s="18">
        <v>2020</v>
      </c>
      <c r="X61" s="18">
        <v>2021</v>
      </c>
      <c r="Y61" s="18">
        <v>2022</v>
      </c>
      <c r="Z61" s="18">
        <v>2023</v>
      </c>
      <c r="AA61" s="18">
        <v>2024</v>
      </c>
      <c r="AB61" s="2"/>
      <c r="AC61" s="2"/>
      <c r="AD61" s="2"/>
      <c r="AE61" s="2"/>
      <c r="AF61" s="2"/>
    </row>
    <row r="62" spans="1:33" x14ac:dyDescent="0.25">
      <c r="A62" s="27" t="s">
        <v>64</v>
      </c>
      <c r="B62" s="51">
        <v>732</v>
      </c>
      <c r="C62" s="51">
        <v>1113</v>
      </c>
      <c r="D62" s="51">
        <v>1429</v>
      </c>
      <c r="E62" s="51">
        <v>1684</v>
      </c>
      <c r="F62" s="51">
        <v>1833</v>
      </c>
      <c r="G62" s="51">
        <v>1858</v>
      </c>
      <c r="H62" s="51">
        <v>2073</v>
      </c>
      <c r="I62" s="51">
        <v>2171</v>
      </c>
      <c r="J62" s="51">
        <v>3043</v>
      </c>
      <c r="K62" s="51">
        <v>3427</v>
      </c>
      <c r="L62" s="51">
        <v>4638</v>
      </c>
      <c r="M62" s="51">
        <v>4210</v>
      </c>
      <c r="N62" s="51">
        <v>4917</v>
      </c>
      <c r="O62" s="51">
        <v>5137</v>
      </c>
      <c r="P62" s="51">
        <v>6173</v>
      </c>
      <c r="Q62" s="51">
        <v>6469</v>
      </c>
      <c r="R62" s="51">
        <v>6813</v>
      </c>
      <c r="S62" s="51">
        <v>6732</v>
      </c>
      <c r="T62" s="51">
        <v>7053</v>
      </c>
      <c r="U62" s="51">
        <v>7789</v>
      </c>
      <c r="V62" s="51">
        <v>7535</v>
      </c>
      <c r="W62" s="51">
        <v>7052</v>
      </c>
      <c r="X62" s="51">
        <v>9029</v>
      </c>
      <c r="Y62" s="51">
        <v>9012</v>
      </c>
      <c r="Z62" s="51">
        <v>10316</v>
      </c>
      <c r="AA62" s="51">
        <v>9794</v>
      </c>
      <c r="AB62" s="2"/>
      <c r="AC62" s="2"/>
      <c r="AD62" s="2"/>
      <c r="AE62" s="2"/>
      <c r="AF62" s="2"/>
    </row>
    <row r="63" spans="1:33" x14ac:dyDescent="0.25">
      <c r="A63" s="27" t="s">
        <v>65</v>
      </c>
      <c r="B63" s="51">
        <v>278</v>
      </c>
      <c r="C63" s="51">
        <v>630</v>
      </c>
      <c r="D63" s="51">
        <v>565</v>
      </c>
      <c r="E63" s="51">
        <v>711</v>
      </c>
      <c r="F63" s="51">
        <v>976</v>
      </c>
      <c r="G63" s="51">
        <v>976</v>
      </c>
      <c r="H63" s="51">
        <v>1174</v>
      </c>
      <c r="I63" s="51">
        <v>1265</v>
      </c>
      <c r="J63" s="51">
        <v>2124</v>
      </c>
      <c r="K63" s="51">
        <v>2492</v>
      </c>
      <c r="L63" s="51">
        <v>3584</v>
      </c>
      <c r="M63" s="51">
        <v>3484</v>
      </c>
      <c r="N63" s="51">
        <v>4602</v>
      </c>
      <c r="O63" s="51">
        <v>4849</v>
      </c>
      <c r="P63" s="51">
        <v>5806</v>
      </c>
      <c r="Q63" s="51">
        <v>5934</v>
      </c>
      <c r="R63" s="51">
        <v>6478</v>
      </c>
      <c r="S63" s="51">
        <v>6546</v>
      </c>
      <c r="T63" s="51">
        <v>7047</v>
      </c>
      <c r="U63" s="51">
        <v>7758</v>
      </c>
      <c r="V63" s="51">
        <v>7824</v>
      </c>
      <c r="W63" s="51">
        <v>7523</v>
      </c>
      <c r="X63" s="51">
        <v>9453</v>
      </c>
      <c r="Y63" s="51">
        <v>9578</v>
      </c>
      <c r="Z63" s="51">
        <v>10809</v>
      </c>
      <c r="AA63" s="51">
        <v>9903</v>
      </c>
      <c r="AB63" s="2"/>
      <c r="AC63" s="2"/>
      <c r="AD63" s="2"/>
      <c r="AE63" s="2"/>
      <c r="AF63" s="2"/>
    </row>
    <row r="64" spans="1:33" x14ac:dyDescent="0.25">
      <c r="A64" s="27" t="s">
        <v>78</v>
      </c>
      <c r="B64" s="51">
        <v>0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1</v>
      </c>
      <c r="AA64" s="51">
        <v>1</v>
      </c>
      <c r="AB64" s="2"/>
      <c r="AC64" s="2"/>
      <c r="AD64" s="2"/>
      <c r="AE64" s="2"/>
      <c r="AF64" s="2"/>
    </row>
    <row r="65" spans="1:55" s="36" customFormat="1" x14ac:dyDescent="0.25">
      <c r="A65" s="26" t="s">
        <v>15</v>
      </c>
      <c r="B65" s="52">
        <v>1010</v>
      </c>
      <c r="C65" s="52">
        <v>1743</v>
      </c>
      <c r="D65" s="52">
        <v>1994</v>
      </c>
      <c r="E65" s="52">
        <v>2395</v>
      </c>
      <c r="F65" s="52">
        <v>2809</v>
      </c>
      <c r="G65" s="52">
        <v>2834</v>
      </c>
      <c r="H65" s="52">
        <v>3247</v>
      </c>
      <c r="I65" s="52">
        <v>3436</v>
      </c>
      <c r="J65" s="52">
        <v>5167</v>
      </c>
      <c r="K65" s="52">
        <v>5919</v>
      </c>
      <c r="L65" s="52">
        <v>8222</v>
      </c>
      <c r="M65" s="52">
        <v>7694</v>
      </c>
      <c r="N65" s="52">
        <v>9519</v>
      </c>
      <c r="O65" s="52">
        <v>9986</v>
      </c>
      <c r="P65" s="52">
        <v>11979</v>
      </c>
      <c r="Q65" s="52">
        <v>12403</v>
      </c>
      <c r="R65" s="52">
        <v>13291</v>
      </c>
      <c r="S65" s="52">
        <v>13278</v>
      </c>
      <c r="T65" s="52">
        <v>14100</v>
      </c>
      <c r="U65" s="52">
        <v>15547</v>
      </c>
      <c r="V65" s="52">
        <v>15359</v>
      </c>
      <c r="W65" s="52">
        <v>14575</v>
      </c>
      <c r="X65" s="52">
        <v>18482</v>
      </c>
      <c r="Y65" s="52">
        <v>18590</v>
      </c>
      <c r="Z65" s="52">
        <v>21126</v>
      </c>
      <c r="AA65" s="52">
        <v>19698</v>
      </c>
      <c r="AB65" s="43"/>
      <c r="AC65" s="43"/>
      <c r="AD65" s="43"/>
      <c r="AE65" s="43"/>
      <c r="AF65" s="43"/>
    </row>
    <row r="66" spans="1:55" x14ac:dyDescent="0.25"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8" spans="1:55" ht="15.75" x14ac:dyDescent="0.25">
      <c r="A68" s="24" t="s">
        <v>118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55" x14ac:dyDescent="0.25">
      <c r="A69" s="59" t="s">
        <v>47</v>
      </c>
      <c r="B69" s="58">
        <v>1999</v>
      </c>
      <c r="C69" s="58"/>
      <c r="D69" s="58">
        <v>2000</v>
      </c>
      <c r="E69" s="58"/>
      <c r="F69" s="58">
        <v>2001</v>
      </c>
      <c r="G69" s="58"/>
      <c r="H69" s="58">
        <v>2002</v>
      </c>
      <c r="I69" s="58"/>
      <c r="J69" s="58">
        <v>2003</v>
      </c>
      <c r="K69" s="58"/>
      <c r="L69" s="58">
        <v>2004</v>
      </c>
      <c r="M69" s="58"/>
      <c r="N69" s="58">
        <v>2005</v>
      </c>
      <c r="O69" s="58"/>
      <c r="P69" s="58">
        <v>2006</v>
      </c>
      <c r="Q69" s="58"/>
      <c r="R69" s="58">
        <v>2007</v>
      </c>
      <c r="S69" s="58"/>
      <c r="T69" s="63">
        <v>2008</v>
      </c>
      <c r="U69" s="63"/>
      <c r="V69" s="63">
        <v>2009</v>
      </c>
      <c r="W69" s="63"/>
      <c r="X69" s="63">
        <v>2010</v>
      </c>
      <c r="Y69" s="63"/>
      <c r="Z69" s="63">
        <v>2011</v>
      </c>
      <c r="AA69" s="63"/>
      <c r="AB69" s="63">
        <v>2012</v>
      </c>
      <c r="AC69" s="63"/>
      <c r="AD69" s="63">
        <v>2013</v>
      </c>
      <c r="AE69" s="63"/>
      <c r="AF69" s="63">
        <v>2014</v>
      </c>
      <c r="AG69" s="63"/>
      <c r="AH69" s="63">
        <v>2015</v>
      </c>
      <c r="AI69" s="63"/>
      <c r="AJ69" s="63">
        <v>2016</v>
      </c>
      <c r="AK69" s="63"/>
      <c r="AL69" s="63">
        <v>2017</v>
      </c>
      <c r="AM69" s="63"/>
      <c r="AN69" s="63">
        <v>2018</v>
      </c>
      <c r="AO69" s="63"/>
      <c r="AP69" s="63">
        <v>2019</v>
      </c>
      <c r="AQ69" s="63"/>
      <c r="AR69" s="63">
        <v>2020</v>
      </c>
      <c r="AS69" s="63"/>
      <c r="AT69" s="63">
        <v>2021</v>
      </c>
      <c r="AU69" s="63"/>
      <c r="AV69" s="63">
        <v>2022</v>
      </c>
      <c r="AW69" s="63"/>
      <c r="AX69" s="63">
        <v>2023</v>
      </c>
      <c r="AY69" s="63"/>
      <c r="AZ69" s="63"/>
      <c r="BA69" s="63">
        <v>2024</v>
      </c>
      <c r="BB69" s="63"/>
      <c r="BC69" s="63"/>
    </row>
    <row r="70" spans="1:55" x14ac:dyDescent="0.25">
      <c r="A70" s="59"/>
      <c r="B70" s="18" t="s">
        <v>64</v>
      </c>
      <c r="C70" s="18" t="s">
        <v>65</v>
      </c>
      <c r="D70" s="18" t="s">
        <v>64</v>
      </c>
      <c r="E70" s="18" t="s">
        <v>65</v>
      </c>
      <c r="F70" s="18" t="s">
        <v>64</v>
      </c>
      <c r="G70" s="18" t="s">
        <v>65</v>
      </c>
      <c r="H70" s="18" t="s">
        <v>64</v>
      </c>
      <c r="I70" s="18" t="s">
        <v>65</v>
      </c>
      <c r="J70" s="18" t="s">
        <v>64</v>
      </c>
      <c r="K70" s="18" t="s">
        <v>65</v>
      </c>
      <c r="L70" s="18" t="s">
        <v>64</v>
      </c>
      <c r="M70" s="18" t="s">
        <v>65</v>
      </c>
      <c r="N70" s="18" t="s">
        <v>64</v>
      </c>
      <c r="O70" s="18" t="s">
        <v>65</v>
      </c>
      <c r="P70" s="18" t="s">
        <v>64</v>
      </c>
      <c r="Q70" s="18" t="s">
        <v>65</v>
      </c>
      <c r="R70" s="18" t="s">
        <v>64</v>
      </c>
      <c r="S70" s="18" t="s">
        <v>65</v>
      </c>
      <c r="T70" s="3" t="s">
        <v>64</v>
      </c>
      <c r="U70" s="3" t="s">
        <v>65</v>
      </c>
      <c r="V70" s="3" t="s">
        <v>64</v>
      </c>
      <c r="W70" s="3" t="s">
        <v>65</v>
      </c>
      <c r="X70" s="3" t="s">
        <v>64</v>
      </c>
      <c r="Y70" s="3" t="s">
        <v>65</v>
      </c>
      <c r="Z70" s="3" t="s">
        <v>64</v>
      </c>
      <c r="AA70" s="3" t="s">
        <v>65</v>
      </c>
      <c r="AB70" s="3" t="s">
        <v>64</v>
      </c>
      <c r="AC70" s="3" t="s">
        <v>65</v>
      </c>
      <c r="AD70" s="3" t="s">
        <v>64</v>
      </c>
      <c r="AE70" s="3" t="s">
        <v>65</v>
      </c>
      <c r="AF70" s="3" t="s">
        <v>64</v>
      </c>
      <c r="AG70" s="3" t="s">
        <v>65</v>
      </c>
      <c r="AH70" s="3" t="s">
        <v>64</v>
      </c>
      <c r="AI70" s="3" t="s">
        <v>65</v>
      </c>
      <c r="AJ70" s="3" t="s">
        <v>64</v>
      </c>
      <c r="AK70" s="3" t="s">
        <v>65</v>
      </c>
      <c r="AL70" s="3" t="s">
        <v>64</v>
      </c>
      <c r="AM70" s="3" t="s">
        <v>65</v>
      </c>
      <c r="AN70" s="3" t="s">
        <v>64</v>
      </c>
      <c r="AO70" s="3" t="s">
        <v>65</v>
      </c>
      <c r="AP70" s="3" t="s">
        <v>64</v>
      </c>
      <c r="AQ70" s="3" t="s">
        <v>65</v>
      </c>
      <c r="AR70" s="3" t="s">
        <v>64</v>
      </c>
      <c r="AS70" s="3" t="s">
        <v>65</v>
      </c>
      <c r="AT70" s="3" t="s">
        <v>64</v>
      </c>
      <c r="AU70" s="3" t="s">
        <v>65</v>
      </c>
      <c r="AV70" s="3" t="s">
        <v>64</v>
      </c>
      <c r="AW70" s="3" t="s">
        <v>65</v>
      </c>
      <c r="AX70" s="3" t="s">
        <v>64</v>
      </c>
      <c r="AY70" s="3" t="s">
        <v>65</v>
      </c>
      <c r="AZ70" s="3" t="s">
        <v>78</v>
      </c>
      <c r="BA70" s="3" t="s">
        <v>64</v>
      </c>
      <c r="BB70" s="3" t="s">
        <v>65</v>
      </c>
      <c r="BC70" s="3" t="s">
        <v>78</v>
      </c>
    </row>
    <row r="71" spans="1:55" x14ac:dyDescent="0.25">
      <c r="A71" s="27" t="s">
        <v>67</v>
      </c>
      <c r="B71" s="51">
        <v>514</v>
      </c>
      <c r="C71" s="51">
        <v>246</v>
      </c>
      <c r="D71" s="51">
        <v>913</v>
      </c>
      <c r="E71" s="51">
        <v>585</v>
      </c>
      <c r="F71" s="51">
        <v>986</v>
      </c>
      <c r="G71" s="51">
        <v>453</v>
      </c>
      <c r="H71" s="51">
        <v>1078</v>
      </c>
      <c r="I71" s="51">
        <v>525</v>
      </c>
      <c r="J71" s="51">
        <v>1277</v>
      </c>
      <c r="K71" s="51">
        <v>669</v>
      </c>
      <c r="L71" s="51">
        <v>1137</v>
      </c>
      <c r="M71" s="51">
        <v>632</v>
      </c>
      <c r="N71" s="51">
        <v>1181</v>
      </c>
      <c r="O71" s="51">
        <v>715</v>
      </c>
      <c r="P71" s="51">
        <v>1241</v>
      </c>
      <c r="Q71" s="51">
        <v>729</v>
      </c>
      <c r="R71" s="51">
        <v>1766</v>
      </c>
      <c r="S71" s="51">
        <v>1138</v>
      </c>
      <c r="T71" s="54">
        <v>1861</v>
      </c>
      <c r="U71" s="54">
        <v>1224</v>
      </c>
      <c r="V71" s="54">
        <v>2360</v>
      </c>
      <c r="W71" s="54">
        <v>1505</v>
      </c>
      <c r="X71" s="54">
        <v>2221</v>
      </c>
      <c r="Y71" s="54">
        <v>1686</v>
      </c>
      <c r="Z71" s="54">
        <v>2467</v>
      </c>
      <c r="AA71" s="54">
        <v>1875</v>
      </c>
      <c r="AB71" s="54">
        <v>2545</v>
      </c>
      <c r="AC71" s="54">
        <v>2024</v>
      </c>
      <c r="AD71" s="54">
        <v>3196</v>
      </c>
      <c r="AE71" s="54">
        <v>2416</v>
      </c>
      <c r="AF71" s="54">
        <v>3384</v>
      </c>
      <c r="AG71" s="54">
        <v>2631</v>
      </c>
      <c r="AH71" s="54">
        <v>3260</v>
      </c>
      <c r="AI71" s="54">
        <v>2745</v>
      </c>
      <c r="AJ71" s="54">
        <v>3255</v>
      </c>
      <c r="AK71" s="54">
        <v>2740</v>
      </c>
      <c r="AL71" s="54">
        <v>3705</v>
      </c>
      <c r="AM71" s="54">
        <v>3096</v>
      </c>
      <c r="AN71" s="54">
        <v>3910</v>
      </c>
      <c r="AO71" s="54">
        <v>3033</v>
      </c>
      <c r="AP71" s="54">
        <v>3815</v>
      </c>
      <c r="AQ71" s="54">
        <v>3167</v>
      </c>
      <c r="AR71" s="54">
        <v>3081</v>
      </c>
      <c r="AS71" s="54">
        <v>2583</v>
      </c>
      <c r="AT71" s="54">
        <v>4716</v>
      </c>
      <c r="AU71" s="54">
        <v>3894</v>
      </c>
      <c r="AV71" s="54">
        <v>4125</v>
      </c>
      <c r="AW71" s="54">
        <v>3501</v>
      </c>
      <c r="AX71" s="54">
        <v>4661</v>
      </c>
      <c r="AY71" s="54">
        <v>4075</v>
      </c>
      <c r="AZ71" s="54">
        <v>1</v>
      </c>
      <c r="BA71" s="54">
        <v>4739</v>
      </c>
      <c r="BB71" s="54">
        <v>3991</v>
      </c>
      <c r="BC71" s="54">
        <v>1</v>
      </c>
    </row>
    <row r="72" spans="1:55" x14ac:dyDescent="0.25">
      <c r="A72" s="27" t="s">
        <v>20</v>
      </c>
      <c r="B72" s="51">
        <v>218</v>
      </c>
      <c r="C72" s="51">
        <v>32</v>
      </c>
      <c r="D72" s="51">
        <v>200</v>
      </c>
      <c r="E72" s="51">
        <v>45</v>
      </c>
      <c r="F72" s="51">
        <v>443</v>
      </c>
      <c r="G72" s="51">
        <v>112</v>
      </c>
      <c r="H72" s="51">
        <v>606</v>
      </c>
      <c r="I72" s="51">
        <v>186</v>
      </c>
      <c r="J72" s="51">
        <v>556</v>
      </c>
      <c r="K72" s="51">
        <v>307</v>
      </c>
      <c r="L72" s="51">
        <v>721</v>
      </c>
      <c r="M72" s="51">
        <v>344</v>
      </c>
      <c r="N72" s="51">
        <v>892</v>
      </c>
      <c r="O72" s="51">
        <v>459</v>
      </c>
      <c r="P72" s="51">
        <v>930</v>
      </c>
      <c r="Q72" s="51">
        <v>536</v>
      </c>
      <c r="R72" s="51">
        <v>1277</v>
      </c>
      <c r="S72" s="51">
        <v>986</v>
      </c>
      <c r="T72" s="54">
        <v>1566</v>
      </c>
      <c r="U72" s="54">
        <v>1268</v>
      </c>
      <c r="V72" s="54">
        <v>2278</v>
      </c>
      <c r="W72" s="54">
        <v>2079</v>
      </c>
      <c r="X72" s="54">
        <v>1989</v>
      </c>
      <c r="Y72" s="54">
        <v>1798</v>
      </c>
      <c r="Z72" s="54">
        <v>2450</v>
      </c>
      <c r="AA72" s="54">
        <v>2727</v>
      </c>
      <c r="AB72" s="54">
        <v>2592</v>
      </c>
      <c r="AC72" s="54">
        <v>2825</v>
      </c>
      <c r="AD72" s="54">
        <v>2977</v>
      </c>
      <c r="AE72" s="54">
        <v>3390</v>
      </c>
      <c r="AF72" s="54">
        <v>3085</v>
      </c>
      <c r="AG72" s="54">
        <v>3303</v>
      </c>
      <c r="AH72" s="54">
        <v>3553</v>
      </c>
      <c r="AI72" s="54">
        <v>3733</v>
      </c>
      <c r="AJ72" s="54">
        <v>3477</v>
      </c>
      <c r="AK72" s="54">
        <v>3806</v>
      </c>
      <c r="AL72" s="54">
        <v>3348</v>
      </c>
      <c r="AM72" s="54">
        <v>3951</v>
      </c>
      <c r="AN72" s="54">
        <v>3879</v>
      </c>
      <c r="AO72" s="54">
        <v>4725</v>
      </c>
      <c r="AP72" s="54">
        <v>3720</v>
      </c>
      <c r="AQ72" s="54">
        <v>4657</v>
      </c>
      <c r="AR72" s="54">
        <v>3971</v>
      </c>
      <c r="AS72" s="54">
        <v>4940</v>
      </c>
      <c r="AT72" s="54">
        <v>4313</v>
      </c>
      <c r="AU72" s="54">
        <v>5559</v>
      </c>
      <c r="AV72" s="54">
        <v>4887</v>
      </c>
      <c r="AW72" s="54">
        <v>6077</v>
      </c>
      <c r="AX72" s="54">
        <v>5655</v>
      </c>
      <c r="AY72" s="54">
        <v>6734</v>
      </c>
      <c r="AZ72" s="54">
        <v>0</v>
      </c>
      <c r="BA72" s="54">
        <v>5055</v>
      </c>
      <c r="BB72" s="54">
        <v>5912</v>
      </c>
      <c r="BC72" s="54">
        <v>0</v>
      </c>
    </row>
    <row r="73" spans="1:55" s="36" customFormat="1" x14ac:dyDescent="0.25">
      <c r="A73" s="26" t="s">
        <v>15</v>
      </c>
      <c r="B73" s="52">
        <v>732</v>
      </c>
      <c r="C73" s="52">
        <v>278</v>
      </c>
      <c r="D73" s="52">
        <v>1113</v>
      </c>
      <c r="E73" s="52">
        <v>630</v>
      </c>
      <c r="F73" s="52">
        <v>1429</v>
      </c>
      <c r="G73" s="52">
        <v>565</v>
      </c>
      <c r="H73" s="52">
        <v>1684</v>
      </c>
      <c r="I73" s="52">
        <v>711</v>
      </c>
      <c r="J73" s="52">
        <v>1833</v>
      </c>
      <c r="K73" s="52">
        <v>976</v>
      </c>
      <c r="L73" s="52">
        <v>1858</v>
      </c>
      <c r="M73" s="52">
        <v>976</v>
      </c>
      <c r="N73" s="52">
        <v>2073</v>
      </c>
      <c r="O73" s="52">
        <v>1174</v>
      </c>
      <c r="P73" s="52">
        <v>2171</v>
      </c>
      <c r="Q73" s="52">
        <v>1265</v>
      </c>
      <c r="R73" s="52">
        <v>3043</v>
      </c>
      <c r="S73" s="52">
        <v>2124</v>
      </c>
      <c r="T73" s="55">
        <v>3427</v>
      </c>
      <c r="U73" s="55">
        <v>2492</v>
      </c>
      <c r="V73" s="55">
        <v>4638</v>
      </c>
      <c r="W73" s="55">
        <v>3584</v>
      </c>
      <c r="X73" s="55">
        <v>4210</v>
      </c>
      <c r="Y73" s="55">
        <v>3484</v>
      </c>
      <c r="Z73" s="55">
        <v>4917</v>
      </c>
      <c r="AA73" s="55">
        <v>4602</v>
      </c>
      <c r="AB73" s="55">
        <v>5137</v>
      </c>
      <c r="AC73" s="55">
        <v>4849</v>
      </c>
      <c r="AD73" s="55">
        <v>6173</v>
      </c>
      <c r="AE73" s="55">
        <v>5806</v>
      </c>
      <c r="AF73" s="55">
        <v>6469</v>
      </c>
      <c r="AG73" s="55">
        <v>5934</v>
      </c>
      <c r="AH73" s="55">
        <v>6813</v>
      </c>
      <c r="AI73" s="55">
        <v>6478</v>
      </c>
      <c r="AJ73" s="55">
        <v>6732</v>
      </c>
      <c r="AK73" s="55">
        <v>6546</v>
      </c>
      <c r="AL73" s="55">
        <v>7053</v>
      </c>
      <c r="AM73" s="55">
        <v>7047</v>
      </c>
      <c r="AN73" s="55">
        <v>7789</v>
      </c>
      <c r="AO73" s="55">
        <v>7758</v>
      </c>
      <c r="AP73" s="55">
        <v>7535</v>
      </c>
      <c r="AQ73" s="55">
        <v>7824</v>
      </c>
      <c r="AR73" s="55">
        <v>7052</v>
      </c>
      <c r="AS73" s="55">
        <v>7523</v>
      </c>
      <c r="AT73" s="55">
        <v>9029</v>
      </c>
      <c r="AU73" s="55">
        <v>9453</v>
      </c>
      <c r="AV73" s="55">
        <v>9012</v>
      </c>
      <c r="AW73" s="55">
        <v>9578</v>
      </c>
      <c r="AX73" s="55">
        <v>10316</v>
      </c>
      <c r="AY73" s="55">
        <v>10809</v>
      </c>
      <c r="AZ73" s="55">
        <v>1</v>
      </c>
      <c r="BA73" s="55">
        <v>9794</v>
      </c>
      <c r="BB73" s="55">
        <v>9903</v>
      </c>
      <c r="BC73" s="55">
        <v>1</v>
      </c>
    </row>
    <row r="76" spans="1:55" ht="15.75" x14ac:dyDescent="0.25">
      <c r="A76" s="24" t="s">
        <v>119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55" x14ac:dyDescent="0.25">
      <c r="A77" s="1"/>
      <c r="B77" s="18">
        <v>1999</v>
      </c>
      <c r="C77" s="18">
        <v>2000</v>
      </c>
      <c r="D77" s="18">
        <v>2001</v>
      </c>
      <c r="E77" s="18">
        <v>2002</v>
      </c>
      <c r="F77" s="18">
        <v>2003</v>
      </c>
      <c r="G77" s="18">
        <v>2004</v>
      </c>
      <c r="H77" s="18">
        <v>2005</v>
      </c>
      <c r="I77" s="18">
        <v>2006</v>
      </c>
      <c r="J77" s="18">
        <v>2007</v>
      </c>
      <c r="K77" s="18">
        <v>2008</v>
      </c>
      <c r="L77" s="18">
        <v>2009</v>
      </c>
      <c r="M77" s="18">
        <v>2010</v>
      </c>
      <c r="N77" s="18">
        <v>2011</v>
      </c>
      <c r="O77" s="18">
        <v>2012</v>
      </c>
      <c r="P77" s="18">
        <v>2013</v>
      </c>
      <c r="Q77" s="18">
        <v>2014</v>
      </c>
      <c r="R77" s="18">
        <v>2015</v>
      </c>
      <c r="S77" s="18">
        <v>2016</v>
      </c>
      <c r="T77" s="18">
        <v>2017</v>
      </c>
      <c r="U77" s="18">
        <v>2018</v>
      </c>
      <c r="V77" s="18">
        <v>2019</v>
      </c>
      <c r="W77" s="18">
        <v>2020</v>
      </c>
      <c r="X77" s="18">
        <v>2021</v>
      </c>
      <c r="Y77" s="18">
        <v>2022</v>
      </c>
      <c r="Z77" s="18">
        <v>2023</v>
      </c>
      <c r="AA77" s="18">
        <v>2024</v>
      </c>
      <c r="AB77" s="2"/>
      <c r="AC77" s="2"/>
      <c r="AD77" s="2"/>
    </row>
    <row r="78" spans="1:55" x14ac:dyDescent="0.25">
      <c r="A78" s="26" t="s">
        <v>51</v>
      </c>
      <c r="B78" s="51">
        <v>63</v>
      </c>
      <c r="C78" s="51">
        <v>157</v>
      </c>
      <c r="D78" s="51">
        <v>91</v>
      </c>
      <c r="E78" s="51">
        <v>158</v>
      </c>
      <c r="F78" s="51">
        <v>150</v>
      </c>
      <c r="G78" s="51">
        <v>232</v>
      </c>
      <c r="H78" s="51">
        <v>213</v>
      </c>
      <c r="I78" s="51">
        <v>214</v>
      </c>
      <c r="J78" s="51">
        <v>314</v>
      </c>
      <c r="K78" s="51">
        <v>320</v>
      </c>
      <c r="L78" s="51">
        <v>384</v>
      </c>
      <c r="M78" s="51">
        <v>394</v>
      </c>
      <c r="N78" s="51">
        <v>492</v>
      </c>
      <c r="O78" s="51">
        <v>603</v>
      </c>
      <c r="P78" s="51">
        <v>634</v>
      </c>
      <c r="Q78" s="51">
        <v>612</v>
      </c>
      <c r="R78" s="51">
        <v>693</v>
      </c>
      <c r="S78" s="51">
        <v>706</v>
      </c>
      <c r="T78" s="51">
        <v>727</v>
      </c>
      <c r="U78" s="51">
        <v>832</v>
      </c>
      <c r="V78" s="51">
        <v>885</v>
      </c>
      <c r="W78" s="51">
        <v>777</v>
      </c>
      <c r="X78" s="51">
        <v>909</v>
      </c>
      <c r="Y78" s="51">
        <v>895</v>
      </c>
      <c r="Z78" s="51">
        <v>1051</v>
      </c>
      <c r="AA78" s="51">
        <v>1177</v>
      </c>
      <c r="AB78" s="2"/>
      <c r="AC78" s="2"/>
      <c r="AD78" s="2"/>
    </row>
    <row r="81" spans="1:53" ht="15.75" x14ac:dyDescent="0.25">
      <c r="A81" s="24" t="s">
        <v>120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53" x14ac:dyDescent="0.25">
      <c r="A82" s="1" t="s">
        <v>47</v>
      </c>
      <c r="B82" s="18">
        <v>1999</v>
      </c>
      <c r="C82" s="18">
        <v>2000</v>
      </c>
      <c r="D82" s="18">
        <v>2001</v>
      </c>
      <c r="E82" s="18">
        <v>2002</v>
      </c>
      <c r="F82" s="18">
        <v>2003</v>
      </c>
      <c r="G82" s="18">
        <v>2004</v>
      </c>
      <c r="H82" s="18">
        <v>2005</v>
      </c>
      <c r="I82" s="18">
        <v>2006</v>
      </c>
      <c r="J82" s="18">
        <v>2007</v>
      </c>
      <c r="K82" s="18">
        <v>2008</v>
      </c>
      <c r="L82" s="18">
        <v>2009</v>
      </c>
      <c r="M82" s="18">
        <v>2010</v>
      </c>
      <c r="N82" s="18">
        <v>2011</v>
      </c>
      <c r="O82" s="18">
        <v>2012</v>
      </c>
      <c r="P82" s="18">
        <v>2013</v>
      </c>
      <c r="Q82" s="18">
        <v>2014</v>
      </c>
      <c r="R82" s="18">
        <v>2015</v>
      </c>
      <c r="S82" s="18">
        <v>2016</v>
      </c>
      <c r="T82" s="18">
        <v>2017</v>
      </c>
      <c r="U82" s="18">
        <v>2018</v>
      </c>
      <c r="V82" s="18">
        <v>2019</v>
      </c>
      <c r="W82" s="18">
        <v>2020</v>
      </c>
      <c r="X82" s="18">
        <v>2021</v>
      </c>
      <c r="Y82" s="18">
        <v>2022</v>
      </c>
      <c r="Z82" s="18">
        <v>2023</v>
      </c>
      <c r="AA82" s="18">
        <v>2024</v>
      </c>
      <c r="AB82" s="2"/>
      <c r="AC82" s="2"/>
      <c r="AD82" s="2"/>
    </row>
    <row r="83" spans="1:53" x14ac:dyDescent="0.25">
      <c r="A83" s="27" t="s">
        <v>67</v>
      </c>
      <c r="B83" s="51">
        <v>63</v>
      </c>
      <c r="C83" s="51">
        <v>157</v>
      </c>
      <c r="D83" s="51">
        <v>91</v>
      </c>
      <c r="E83" s="51">
        <v>157</v>
      </c>
      <c r="F83" s="51">
        <v>150</v>
      </c>
      <c r="G83" s="51">
        <v>230</v>
      </c>
      <c r="H83" s="51">
        <v>210</v>
      </c>
      <c r="I83" s="51">
        <v>211</v>
      </c>
      <c r="J83" s="51">
        <v>309</v>
      </c>
      <c r="K83" s="51">
        <v>313</v>
      </c>
      <c r="L83" s="51">
        <v>371</v>
      </c>
      <c r="M83" s="51">
        <v>379</v>
      </c>
      <c r="N83" s="51">
        <v>453</v>
      </c>
      <c r="O83" s="51">
        <v>506</v>
      </c>
      <c r="P83" s="51">
        <v>533</v>
      </c>
      <c r="Q83" s="51">
        <v>550</v>
      </c>
      <c r="R83" s="51">
        <v>635</v>
      </c>
      <c r="S83" s="51">
        <v>643</v>
      </c>
      <c r="T83" s="51">
        <v>662</v>
      </c>
      <c r="U83" s="51">
        <v>744</v>
      </c>
      <c r="V83" s="51">
        <v>802</v>
      </c>
      <c r="W83" s="51">
        <v>708</v>
      </c>
      <c r="X83" s="51">
        <v>799</v>
      </c>
      <c r="Y83" s="51">
        <v>803</v>
      </c>
      <c r="Z83" s="51">
        <v>919</v>
      </c>
      <c r="AA83" s="51">
        <v>1034</v>
      </c>
      <c r="AB83" s="2"/>
      <c r="AC83" s="2"/>
      <c r="AD83" s="2"/>
    </row>
    <row r="84" spans="1:53" x14ac:dyDescent="0.25">
      <c r="A84" s="27" t="s">
        <v>20</v>
      </c>
      <c r="B84" s="51">
        <v>0</v>
      </c>
      <c r="C84" s="51">
        <v>0</v>
      </c>
      <c r="D84" s="51">
        <v>0</v>
      </c>
      <c r="E84" s="51">
        <v>1</v>
      </c>
      <c r="F84" s="51">
        <v>0</v>
      </c>
      <c r="G84" s="51">
        <v>2</v>
      </c>
      <c r="H84" s="51">
        <v>3</v>
      </c>
      <c r="I84" s="51">
        <v>3</v>
      </c>
      <c r="J84" s="51">
        <v>5</v>
      </c>
      <c r="K84" s="51">
        <v>7</v>
      </c>
      <c r="L84" s="51">
        <v>13</v>
      </c>
      <c r="M84" s="51">
        <v>15</v>
      </c>
      <c r="N84" s="51">
        <v>39</v>
      </c>
      <c r="O84" s="51">
        <v>97</v>
      </c>
      <c r="P84" s="51">
        <v>101</v>
      </c>
      <c r="Q84" s="51">
        <v>62</v>
      </c>
      <c r="R84" s="51">
        <v>58</v>
      </c>
      <c r="S84" s="51">
        <v>63</v>
      </c>
      <c r="T84" s="51">
        <v>65</v>
      </c>
      <c r="U84" s="51">
        <v>88</v>
      </c>
      <c r="V84" s="51">
        <v>83</v>
      </c>
      <c r="W84" s="51">
        <v>69</v>
      </c>
      <c r="X84" s="51">
        <v>110</v>
      </c>
      <c r="Y84" s="51">
        <v>92</v>
      </c>
      <c r="Z84" s="51">
        <v>132</v>
      </c>
      <c r="AA84" s="51">
        <v>143</v>
      </c>
      <c r="AB84" s="2"/>
      <c r="AC84" s="2"/>
      <c r="AD84" s="2"/>
    </row>
    <row r="85" spans="1:53" s="36" customFormat="1" x14ac:dyDescent="0.25">
      <c r="A85" s="26" t="s">
        <v>15</v>
      </c>
      <c r="B85" s="52">
        <v>63</v>
      </c>
      <c r="C85" s="52">
        <v>157</v>
      </c>
      <c r="D85" s="52">
        <v>91</v>
      </c>
      <c r="E85" s="52">
        <v>158</v>
      </c>
      <c r="F85" s="52">
        <v>150</v>
      </c>
      <c r="G85" s="52">
        <v>232</v>
      </c>
      <c r="H85" s="52">
        <v>213</v>
      </c>
      <c r="I85" s="52">
        <v>214</v>
      </c>
      <c r="J85" s="52">
        <v>314</v>
      </c>
      <c r="K85" s="52">
        <v>320</v>
      </c>
      <c r="L85" s="52">
        <v>384</v>
      </c>
      <c r="M85" s="52">
        <v>394</v>
      </c>
      <c r="N85" s="52">
        <v>492</v>
      </c>
      <c r="O85" s="52">
        <v>603</v>
      </c>
      <c r="P85" s="52">
        <v>634</v>
      </c>
      <c r="Q85" s="52">
        <v>612</v>
      </c>
      <c r="R85" s="52">
        <v>693</v>
      </c>
      <c r="S85" s="52">
        <v>706</v>
      </c>
      <c r="T85" s="52">
        <v>727</v>
      </c>
      <c r="U85" s="52">
        <v>832</v>
      </c>
      <c r="V85" s="52">
        <v>885</v>
      </c>
      <c r="W85" s="52">
        <v>777</v>
      </c>
      <c r="X85" s="52">
        <v>909</v>
      </c>
      <c r="Y85" s="52">
        <v>895</v>
      </c>
      <c r="Z85" s="52">
        <v>1051</v>
      </c>
      <c r="AA85" s="52">
        <v>1177</v>
      </c>
      <c r="AB85" s="43"/>
      <c r="AC85" s="43"/>
      <c r="AD85" s="43"/>
    </row>
    <row r="88" spans="1:53" ht="15.75" x14ac:dyDescent="0.25">
      <c r="A88" s="24" t="s">
        <v>121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53" x14ac:dyDescent="0.25">
      <c r="A89" s="1" t="s">
        <v>63</v>
      </c>
      <c r="B89" s="18">
        <v>1999</v>
      </c>
      <c r="C89" s="18">
        <v>2000</v>
      </c>
      <c r="D89" s="18">
        <v>2001</v>
      </c>
      <c r="E89" s="18">
        <v>2002</v>
      </c>
      <c r="F89" s="18">
        <v>2003</v>
      </c>
      <c r="G89" s="18">
        <v>2004</v>
      </c>
      <c r="H89" s="18">
        <v>2005</v>
      </c>
      <c r="I89" s="18">
        <v>2006</v>
      </c>
      <c r="J89" s="18">
        <v>2007</v>
      </c>
      <c r="K89" s="18">
        <v>2008</v>
      </c>
      <c r="L89" s="18">
        <v>2009</v>
      </c>
      <c r="M89" s="18">
        <v>2010</v>
      </c>
      <c r="N89" s="18">
        <v>2011</v>
      </c>
      <c r="O89" s="18">
        <v>2012</v>
      </c>
      <c r="P89" s="18">
        <v>2013</v>
      </c>
      <c r="Q89" s="18">
        <v>2014</v>
      </c>
      <c r="R89" s="18">
        <v>2015</v>
      </c>
      <c r="S89" s="18">
        <v>2016</v>
      </c>
      <c r="T89" s="18">
        <v>2017</v>
      </c>
      <c r="U89" s="18">
        <v>2018</v>
      </c>
      <c r="V89" s="18">
        <v>2019</v>
      </c>
      <c r="W89" s="18">
        <v>2020</v>
      </c>
      <c r="X89" s="18">
        <v>2021</v>
      </c>
      <c r="Y89" s="18">
        <v>2022</v>
      </c>
      <c r="Z89" s="18">
        <v>2023</v>
      </c>
      <c r="AA89" s="18">
        <v>2024</v>
      </c>
      <c r="AB89" s="2"/>
      <c r="AC89" s="2"/>
      <c r="AD89" s="2"/>
      <c r="AE89" s="2"/>
      <c r="AF89" s="2"/>
      <c r="AG89" s="2"/>
    </row>
    <row r="90" spans="1:53" x14ac:dyDescent="0.25">
      <c r="A90" s="27" t="s">
        <v>64</v>
      </c>
      <c r="B90" s="51">
        <v>38</v>
      </c>
      <c r="C90" s="51">
        <v>90</v>
      </c>
      <c r="D90" s="51">
        <v>57</v>
      </c>
      <c r="E90" s="51">
        <v>102</v>
      </c>
      <c r="F90" s="51">
        <v>100</v>
      </c>
      <c r="G90" s="51">
        <v>141</v>
      </c>
      <c r="H90" s="51">
        <v>126</v>
      </c>
      <c r="I90" s="51">
        <v>140</v>
      </c>
      <c r="J90" s="51">
        <v>176</v>
      </c>
      <c r="K90" s="51">
        <v>187</v>
      </c>
      <c r="L90" s="51">
        <v>229</v>
      </c>
      <c r="M90" s="51">
        <v>219</v>
      </c>
      <c r="N90" s="51">
        <v>280</v>
      </c>
      <c r="O90" s="51">
        <v>364</v>
      </c>
      <c r="P90" s="51">
        <v>341</v>
      </c>
      <c r="Q90" s="51">
        <v>332</v>
      </c>
      <c r="R90" s="51">
        <v>386</v>
      </c>
      <c r="S90" s="51">
        <v>417</v>
      </c>
      <c r="T90" s="51">
        <v>408</v>
      </c>
      <c r="U90" s="51">
        <v>473</v>
      </c>
      <c r="V90" s="51">
        <v>502</v>
      </c>
      <c r="W90" s="51">
        <v>438</v>
      </c>
      <c r="X90" s="51">
        <v>527</v>
      </c>
      <c r="Y90" s="51">
        <v>510</v>
      </c>
      <c r="Z90" s="51">
        <v>591</v>
      </c>
      <c r="AA90" s="51">
        <v>668</v>
      </c>
      <c r="AB90" s="2"/>
      <c r="AC90" s="2"/>
      <c r="AD90" s="2"/>
      <c r="AE90" s="2"/>
      <c r="AF90" s="2"/>
      <c r="AG90" s="2"/>
    </row>
    <row r="91" spans="1:53" x14ac:dyDescent="0.25">
      <c r="A91" s="27" t="s">
        <v>65</v>
      </c>
      <c r="B91" s="51">
        <v>25</v>
      </c>
      <c r="C91" s="51">
        <v>67</v>
      </c>
      <c r="D91" s="51">
        <v>34</v>
      </c>
      <c r="E91" s="51">
        <v>56</v>
      </c>
      <c r="F91" s="51">
        <v>50</v>
      </c>
      <c r="G91" s="51">
        <v>91</v>
      </c>
      <c r="H91" s="51">
        <v>87</v>
      </c>
      <c r="I91" s="51">
        <v>74</v>
      </c>
      <c r="J91" s="51">
        <v>138</v>
      </c>
      <c r="K91" s="51">
        <v>133</v>
      </c>
      <c r="L91" s="51">
        <v>155</v>
      </c>
      <c r="M91" s="51">
        <v>175</v>
      </c>
      <c r="N91" s="51">
        <v>212</v>
      </c>
      <c r="O91" s="51">
        <v>239</v>
      </c>
      <c r="P91" s="51">
        <v>293</v>
      </c>
      <c r="Q91" s="51">
        <v>280</v>
      </c>
      <c r="R91" s="51">
        <v>307</v>
      </c>
      <c r="S91" s="51">
        <v>289</v>
      </c>
      <c r="T91" s="51">
        <v>319</v>
      </c>
      <c r="U91" s="51">
        <v>359</v>
      </c>
      <c r="V91" s="51">
        <v>383</v>
      </c>
      <c r="W91" s="51">
        <v>339</v>
      </c>
      <c r="X91" s="51">
        <v>382</v>
      </c>
      <c r="Y91" s="51">
        <v>385</v>
      </c>
      <c r="Z91" s="51">
        <v>460</v>
      </c>
      <c r="AA91" s="51">
        <v>509</v>
      </c>
      <c r="AB91" s="2"/>
      <c r="AC91" s="2"/>
      <c r="AD91" s="2"/>
      <c r="AE91" s="2"/>
      <c r="AF91" s="2"/>
      <c r="AG91" s="2"/>
    </row>
    <row r="92" spans="1:53" s="36" customFormat="1" x14ac:dyDescent="0.25">
      <c r="A92" s="26" t="s">
        <v>15</v>
      </c>
      <c r="B92" s="52">
        <v>63</v>
      </c>
      <c r="C92" s="52">
        <v>157</v>
      </c>
      <c r="D92" s="52">
        <v>91</v>
      </c>
      <c r="E92" s="52">
        <v>158</v>
      </c>
      <c r="F92" s="52">
        <v>150</v>
      </c>
      <c r="G92" s="52">
        <v>232</v>
      </c>
      <c r="H92" s="52">
        <v>213</v>
      </c>
      <c r="I92" s="52">
        <v>214</v>
      </c>
      <c r="J92" s="52">
        <v>314</v>
      </c>
      <c r="K92" s="52">
        <v>320</v>
      </c>
      <c r="L92" s="52">
        <v>384</v>
      </c>
      <c r="M92" s="52">
        <v>394</v>
      </c>
      <c r="N92" s="52">
        <v>492</v>
      </c>
      <c r="O92" s="52">
        <v>603</v>
      </c>
      <c r="P92" s="52">
        <v>634</v>
      </c>
      <c r="Q92" s="52">
        <v>612</v>
      </c>
      <c r="R92" s="52">
        <v>693</v>
      </c>
      <c r="S92" s="52">
        <v>706</v>
      </c>
      <c r="T92" s="52">
        <v>727</v>
      </c>
      <c r="U92" s="52">
        <v>832</v>
      </c>
      <c r="V92" s="52">
        <v>885</v>
      </c>
      <c r="W92" s="52">
        <v>777</v>
      </c>
      <c r="X92" s="52">
        <v>909</v>
      </c>
      <c r="Y92" s="52">
        <v>895</v>
      </c>
      <c r="Z92" s="52">
        <v>1051</v>
      </c>
      <c r="AA92" s="52">
        <v>1177</v>
      </c>
      <c r="AB92" s="43"/>
      <c r="AC92" s="43"/>
      <c r="AD92" s="43"/>
      <c r="AE92" s="43"/>
      <c r="AF92" s="43"/>
      <c r="AG92" s="43"/>
    </row>
    <row r="93" spans="1:53" x14ac:dyDescent="0.25"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5" spans="1:53" ht="15.75" x14ac:dyDescent="0.25">
      <c r="A95" s="24" t="s">
        <v>122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53" x14ac:dyDescent="0.25">
      <c r="A96" s="59" t="s">
        <v>52</v>
      </c>
      <c r="B96" s="58">
        <v>1999</v>
      </c>
      <c r="C96" s="58"/>
      <c r="D96" s="58">
        <v>2000</v>
      </c>
      <c r="E96" s="58"/>
      <c r="F96" s="58">
        <v>2001</v>
      </c>
      <c r="G96" s="58"/>
      <c r="H96" s="58">
        <v>2002</v>
      </c>
      <c r="I96" s="58"/>
      <c r="J96" s="58">
        <v>2003</v>
      </c>
      <c r="K96" s="58"/>
      <c r="L96" s="58">
        <v>2004</v>
      </c>
      <c r="M96" s="58"/>
      <c r="N96" s="58">
        <v>2005</v>
      </c>
      <c r="O96" s="58"/>
      <c r="P96" s="58">
        <v>2006</v>
      </c>
      <c r="Q96" s="58"/>
      <c r="R96" s="58">
        <v>2007</v>
      </c>
      <c r="S96" s="58"/>
      <c r="T96" s="63">
        <v>2008</v>
      </c>
      <c r="U96" s="63"/>
      <c r="V96" s="63">
        <v>2009</v>
      </c>
      <c r="W96" s="63"/>
      <c r="X96" s="63">
        <v>2010</v>
      </c>
      <c r="Y96" s="63"/>
      <c r="Z96" s="63">
        <v>2011</v>
      </c>
      <c r="AA96" s="63"/>
      <c r="AB96" s="63">
        <v>2012</v>
      </c>
      <c r="AC96" s="63"/>
      <c r="AD96" s="63">
        <v>2013</v>
      </c>
      <c r="AE96" s="63"/>
      <c r="AF96" s="63">
        <v>2014</v>
      </c>
      <c r="AG96" s="63"/>
      <c r="AH96" s="63">
        <v>2015</v>
      </c>
      <c r="AI96" s="63"/>
      <c r="AJ96" s="63">
        <v>2016</v>
      </c>
      <c r="AK96" s="63"/>
      <c r="AL96" s="63">
        <v>2017</v>
      </c>
      <c r="AM96" s="63"/>
      <c r="AN96" s="63">
        <v>2018</v>
      </c>
      <c r="AO96" s="63"/>
      <c r="AP96" s="63">
        <v>2019</v>
      </c>
      <c r="AQ96" s="63"/>
      <c r="AR96" s="63">
        <v>2020</v>
      </c>
      <c r="AS96" s="63"/>
      <c r="AT96" s="63">
        <v>2021</v>
      </c>
      <c r="AU96" s="63"/>
      <c r="AV96" s="63">
        <v>2022</v>
      </c>
      <c r="AW96" s="63"/>
      <c r="AX96" s="64">
        <v>2023</v>
      </c>
      <c r="AY96" s="65"/>
      <c r="AZ96" s="64">
        <v>2024</v>
      </c>
      <c r="BA96" s="65"/>
    </row>
    <row r="97" spans="1:53" x14ac:dyDescent="0.25">
      <c r="A97" s="59"/>
      <c r="B97" s="18" t="s">
        <v>64</v>
      </c>
      <c r="C97" s="18" t="s">
        <v>65</v>
      </c>
      <c r="D97" s="18" t="s">
        <v>64</v>
      </c>
      <c r="E97" s="18" t="s">
        <v>65</v>
      </c>
      <c r="F97" s="18" t="s">
        <v>64</v>
      </c>
      <c r="G97" s="18" t="s">
        <v>65</v>
      </c>
      <c r="H97" s="18" t="s">
        <v>64</v>
      </c>
      <c r="I97" s="18" t="s">
        <v>65</v>
      </c>
      <c r="J97" s="18" t="s">
        <v>64</v>
      </c>
      <c r="K97" s="18" t="s">
        <v>65</v>
      </c>
      <c r="L97" s="18" t="s">
        <v>64</v>
      </c>
      <c r="M97" s="18" t="s">
        <v>65</v>
      </c>
      <c r="N97" s="18" t="s">
        <v>64</v>
      </c>
      <c r="O97" s="18" t="s">
        <v>65</v>
      </c>
      <c r="P97" s="18" t="s">
        <v>64</v>
      </c>
      <c r="Q97" s="18" t="s">
        <v>65</v>
      </c>
      <c r="R97" s="18" t="s">
        <v>64</v>
      </c>
      <c r="S97" s="18" t="s">
        <v>65</v>
      </c>
      <c r="T97" s="3" t="s">
        <v>64</v>
      </c>
      <c r="U97" s="3" t="s">
        <v>65</v>
      </c>
      <c r="V97" s="3" t="s">
        <v>64</v>
      </c>
      <c r="W97" s="3" t="s">
        <v>65</v>
      </c>
      <c r="X97" s="3" t="s">
        <v>64</v>
      </c>
      <c r="Y97" s="3" t="s">
        <v>65</v>
      </c>
      <c r="Z97" s="3" t="s">
        <v>64</v>
      </c>
      <c r="AA97" s="3" t="s">
        <v>65</v>
      </c>
      <c r="AB97" s="3" t="s">
        <v>64</v>
      </c>
      <c r="AC97" s="3" t="s">
        <v>65</v>
      </c>
      <c r="AD97" s="3" t="s">
        <v>64</v>
      </c>
      <c r="AE97" s="3" t="s">
        <v>65</v>
      </c>
      <c r="AF97" s="3" t="s">
        <v>64</v>
      </c>
      <c r="AG97" s="3" t="s">
        <v>65</v>
      </c>
      <c r="AH97" s="3" t="s">
        <v>64</v>
      </c>
      <c r="AI97" s="3" t="s">
        <v>65</v>
      </c>
      <c r="AJ97" s="3" t="s">
        <v>64</v>
      </c>
      <c r="AK97" s="3" t="s">
        <v>65</v>
      </c>
      <c r="AL97" s="3" t="s">
        <v>64</v>
      </c>
      <c r="AM97" s="3" t="s">
        <v>65</v>
      </c>
      <c r="AN97" s="3" t="s">
        <v>64</v>
      </c>
      <c r="AO97" s="3" t="s">
        <v>65</v>
      </c>
      <c r="AP97" s="3" t="s">
        <v>64</v>
      </c>
      <c r="AQ97" s="3" t="s">
        <v>65</v>
      </c>
      <c r="AR97" s="3" t="s">
        <v>64</v>
      </c>
      <c r="AS97" s="3" t="s">
        <v>65</v>
      </c>
      <c r="AT97" s="3" t="s">
        <v>64</v>
      </c>
      <c r="AU97" s="3" t="s">
        <v>65</v>
      </c>
      <c r="AV97" s="3" t="s">
        <v>64</v>
      </c>
      <c r="AW97" s="3" t="s">
        <v>65</v>
      </c>
      <c r="AX97" s="3" t="s">
        <v>64</v>
      </c>
      <c r="AY97" s="3" t="s">
        <v>65</v>
      </c>
      <c r="AZ97" s="3" t="s">
        <v>64</v>
      </c>
      <c r="BA97" s="3" t="s">
        <v>65</v>
      </c>
    </row>
    <row r="98" spans="1:53" x14ac:dyDescent="0.25">
      <c r="A98" s="27" t="s">
        <v>67</v>
      </c>
      <c r="B98" s="51">
        <v>38</v>
      </c>
      <c r="C98" s="51">
        <v>25</v>
      </c>
      <c r="D98" s="51">
        <v>90</v>
      </c>
      <c r="E98" s="51">
        <v>67</v>
      </c>
      <c r="F98" s="51">
        <v>57</v>
      </c>
      <c r="G98" s="51">
        <v>34</v>
      </c>
      <c r="H98" s="51">
        <v>102</v>
      </c>
      <c r="I98" s="51">
        <v>55</v>
      </c>
      <c r="J98" s="51">
        <v>100</v>
      </c>
      <c r="K98" s="51">
        <v>50</v>
      </c>
      <c r="L98" s="51">
        <v>141</v>
      </c>
      <c r="M98" s="51">
        <v>89</v>
      </c>
      <c r="N98" s="51">
        <v>125</v>
      </c>
      <c r="O98" s="51">
        <v>85</v>
      </c>
      <c r="P98" s="51">
        <v>138</v>
      </c>
      <c r="Q98" s="51">
        <v>73</v>
      </c>
      <c r="R98" s="51">
        <v>174</v>
      </c>
      <c r="S98" s="51">
        <v>135</v>
      </c>
      <c r="T98" s="54">
        <v>183</v>
      </c>
      <c r="U98" s="54">
        <v>130</v>
      </c>
      <c r="V98" s="54">
        <v>219</v>
      </c>
      <c r="W98" s="54">
        <v>152</v>
      </c>
      <c r="X98" s="54">
        <v>209</v>
      </c>
      <c r="Y98" s="54">
        <v>170</v>
      </c>
      <c r="Z98" s="54">
        <v>258</v>
      </c>
      <c r="AA98" s="54">
        <v>195</v>
      </c>
      <c r="AB98" s="54">
        <v>302</v>
      </c>
      <c r="AC98" s="54">
        <v>204</v>
      </c>
      <c r="AD98" s="54">
        <v>294</v>
      </c>
      <c r="AE98" s="54">
        <v>239</v>
      </c>
      <c r="AF98" s="54">
        <v>292</v>
      </c>
      <c r="AG98" s="54">
        <v>258</v>
      </c>
      <c r="AH98" s="54">
        <v>350</v>
      </c>
      <c r="AI98" s="54">
        <v>285</v>
      </c>
      <c r="AJ98" s="54">
        <v>379</v>
      </c>
      <c r="AK98" s="54">
        <v>264</v>
      </c>
      <c r="AL98" s="54">
        <v>373</v>
      </c>
      <c r="AM98" s="54">
        <v>289</v>
      </c>
      <c r="AN98" s="54">
        <v>429</v>
      </c>
      <c r="AO98" s="54">
        <v>315</v>
      </c>
      <c r="AP98" s="54">
        <v>451</v>
      </c>
      <c r="AQ98" s="54">
        <v>351</v>
      </c>
      <c r="AR98" s="54">
        <v>398</v>
      </c>
      <c r="AS98" s="54">
        <v>310</v>
      </c>
      <c r="AT98" s="54">
        <v>470</v>
      </c>
      <c r="AU98" s="54">
        <v>329</v>
      </c>
      <c r="AV98" s="54">
        <v>456</v>
      </c>
      <c r="AW98" s="54">
        <v>347</v>
      </c>
      <c r="AX98" s="54">
        <v>509</v>
      </c>
      <c r="AY98" s="54">
        <v>410</v>
      </c>
      <c r="AZ98" s="54">
        <v>595</v>
      </c>
      <c r="BA98" s="54">
        <v>439</v>
      </c>
    </row>
    <row r="99" spans="1:53" x14ac:dyDescent="0.25">
      <c r="A99" s="27" t="s">
        <v>20</v>
      </c>
      <c r="B99" s="51">
        <v>0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1">
        <v>1</v>
      </c>
      <c r="J99" s="51">
        <v>0</v>
      </c>
      <c r="K99" s="51">
        <v>0</v>
      </c>
      <c r="L99" s="51">
        <v>0</v>
      </c>
      <c r="M99" s="51">
        <v>2</v>
      </c>
      <c r="N99" s="51">
        <v>1</v>
      </c>
      <c r="O99" s="51">
        <v>2</v>
      </c>
      <c r="P99" s="51">
        <v>2</v>
      </c>
      <c r="Q99" s="51">
        <v>1</v>
      </c>
      <c r="R99" s="51">
        <v>2</v>
      </c>
      <c r="S99" s="51">
        <v>3</v>
      </c>
      <c r="T99" s="54">
        <v>4</v>
      </c>
      <c r="U99" s="54">
        <v>3</v>
      </c>
      <c r="V99" s="54">
        <v>10</v>
      </c>
      <c r="W99" s="54">
        <v>3</v>
      </c>
      <c r="X99" s="54">
        <v>10</v>
      </c>
      <c r="Y99" s="54">
        <v>5</v>
      </c>
      <c r="Z99" s="54">
        <v>22</v>
      </c>
      <c r="AA99" s="54">
        <v>17</v>
      </c>
      <c r="AB99" s="54">
        <v>62</v>
      </c>
      <c r="AC99" s="54">
        <v>35</v>
      </c>
      <c r="AD99" s="54">
        <v>47</v>
      </c>
      <c r="AE99" s="54">
        <v>54</v>
      </c>
      <c r="AF99" s="54">
        <v>40</v>
      </c>
      <c r="AG99" s="54">
        <v>22</v>
      </c>
      <c r="AH99" s="54">
        <v>36</v>
      </c>
      <c r="AI99" s="54">
        <v>22</v>
      </c>
      <c r="AJ99" s="54">
        <v>38</v>
      </c>
      <c r="AK99" s="54">
        <v>25</v>
      </c>
      <c r="AL99" s="54">
        <v>35</v>
      </c>
      <c r="AM99" s="54">
        <v>30</v>
      </c>
      <c r="AN99" s="54">
        <v>44</v>
      </c>
      <c r="AO99" s="54">
        <v>44</v>
      </c>
      <c r="AP99" s="54">
        <v>51</v>
      </c>
      <c r="AQ99" s="54">
        <v>32</v>
      </c>
      <c r="AR99" s="54">
        <v>40</v>
      </c>
      <c r="AS99" s="54">
        <v>29</v>
      </c>
      <c r="AT99" s="54">
        <v>57</v>
      </c>
      <c r="AU99" s="54">
        <v>53</v>
      </c>
      <c r="AV99" s="54">
        <v>54</v>
      </c>
      <c r="AW99" s="54">
        <v>38</v>
      </c>
      <c r="AX99" s="54">
        <v>82</v>
      </c>
      <c r="AY99" s="54">
        <v>50</v>
      </c>
      <c r="AZ99" s="54">
        <v>73</v>
      </c>
      <c r="BA99" s="54">
        <v>70</v>
      </c>
    </row>
    <row r="100" spans="1:53" x14ac:dyDescent="0.25">
      <c r="A100" s="26" t="s">
        <v>15</v>
      </c>
      <c r="B100" s="52">
        <v>38</v>
      </c>
      <c r="C100" s="52">
        <v>25</v>
      </c>
      <c r="D100" s="52">
        <v>90</v>
      </c>
      <c r="E100" s="52">
        <v>67</v>
      </c>
      <c r="F100" s="52">
        <v>57</v>
      </c>
      <c r="G100" s="52">
        <v>34</v>
      </c>
      <c r="H100" s="52">
        <v>102</v>
      </c>
      <c r="I100" s="52">
        <v>56</v>
      </c>
      <c r="J100" s="52">
        <v>100</v>
      </c>
      <c r="K100" s="52">
        <v>50</v>
      </c>
      <c r="L100" s="52">
        <v>141</v>
      </c>
      <c r="M100" s="52">
        <v>91</v>
      </c>
      <c r="N100" s="52">
        <v>126</v>
      </c>
      <c r="O100" s="52">
        <v>87</v>
      </c>
      <c r="P100" s="52">
        <v>140</v>
      </c>
      <c r="Q100" s="52">
        <v>74</v>
      </c>
      <c r="R100" s="52">
        <v>176</v>
      </c>
      <c r="S100" s="52">
        <v>138</v>
      </c>
      <c r="T100" s="55">
        <v>187</v>
      </c>
      <c r="U100" s="55">
        <v>133</v>
      </c>
      <c r="V100" s="55">
        <v>229</v>
      </c>
      <c r="W100" s="55">
        <v>155</v>
      </c>
      <c r="X100" s="55">
        <v>219</v>
      </c>
      <c r="Y100" s="55">
        <v>175</v>
      </c>
      <c r="Z100" s="55">
        <v>280</v>
      </c>
      <c r="AA100" s="55">
        <v>212</v>
      </c>
      <c r="AB100" s="55">
        <v>364</v>
      </c>
      <c r="AC100" s="55">
        <v>239</v>
      </c>
      <c r="AD100" s="55">
        <v>341</v>
      </c>
      <c r="AE100" s="55">
        <v>293</v>
      </c>
      <c r="AF100" s="55">
        <v>332</v>
      </c>
      <c r="AG100" s="55">
        <v>280</v>
      </c>
      <c r="AH100" s="55">
        <v>386</v>
      </c>
      <c r="AI100" s="55">
        <v>307</v>
      </c>
      <c r="AJ100" s="55">
        <v>417</v>
      </c>
      <c r="AK100" s="55">
        <v>289</v>
      </c>
      <c r="AL100" s="55">
        <v>408</v>
      </c>
      <c r="AM100" s="55">
        <v>319</v>
      </c>
      <c r="AN100" s="55">
        <v>473</v>
      </c>
      <c r="AO100" s="55">
        <v>359</v>
      </c>
      <c r="AP100" s="55">
        <v>502</v>
      </c>
      <c r="AQ100" s="55">
        <v>383</v>
      </c>
      <c r="AR100" s="55">
        <v>438</v>
      </c>
      <c r="AS100" s="55">
        <v>339</v>
      </c>
      <c r="AT100" s="55">
        <v>527</v>
      </c>
      <c r="AU100" s="55">
        <v>382</v>
      </c>
      <c r="AV100" s="55">
        <v>510</v>
      </c>
      <c r="AW100" s="55">
        <v>385</v>
      </c>
      <c r="AX100" s="55">
        <v>591</v>
      </c>
      <c r="AY100" s="55">
        <v>460</v>
      </c>
      <c r="AZ100" s="55">
        <v>668</v>
      </c>
      <c r="BA100" s="55">
        <v>509</v>
      </c>
    </row>
    <row r="103" spans="1:53" x14ac:dyDescent="0.25">
      <c r="A103" s="30" t="s">
        <v>62</v>
      </c>
    </row>
  </sheetData>
  <mergeCells count="108">
    <mergeCell ref="BA33:BC33"/>
    <mergeCell ref="BA41:BC41"/>
    <mergeCell ref="BA69:BC69"/>
    <mergeCell ref="AZ96:BA96"/>
    <mergeCell ref="AX96:AY96"/>
    <mergeCell ref="AX33:AZ33"/>
    <mergeCell ref="AX41:AZ41"/>
    <mergeCell ref="AX69:AZ69"/>
    <mergeCell ref="AV33:AW33"/>
    <mergeCell ref="AV41:AW41"/>
    <mergeCell ref="AV69:AW69"/>
    <mergeCell ref="AV96:AW96"/>
    <mergeCell ref="AT69:AU69"/>
    <mergeCell ref="AT96:AU96"/>
    <mergeCell ref="AT33:AU33"/>
    <mergeCell ref="AT41:AU41"/>
    <mergeCell ref="AR33:AS33"/>
    <mergeCell ref="AR41:AS41"/>
    <mergeCell ref="AR69:AS69"/>
    <mergeCell ref="AJ33:AK33"/>
    <mergeCell ref="AJ41:AK41"/>
    <mergeCell ref="AJ69:AK69"/>
    <mergeCell ref="AJ96:AK96"/>
    <mergeCell ref="AL41:AM41"/>
    <mergeCell ref="AL33:AM33"/>
    <mergeCell ref="AL69:AM69"/>
    <mergeCell ref="AR96:AS96"/>
    <mergeCell ref="AL96:AM96"/>
    <mergeCell ref="AN96:AO96"/>
    <mergeCell ref="AP33:AQ33"/>
    <mergeCell ref="AP41:AQ41"/>
    <mergeCell ref="AP69:AQ69"/>
    <mergeCell ref="AP96:AQ96"/>
    <mergeCell ref="AN33:AO33"/>
    <mergeCell ref="AN41:AO41"/>
    <mergeCell ref="AN69:AO69"/>
    <mergeCell ref="AH33:AI33"/>
    <mergeCell ref="AH41:AI41"/>
    <mergeCell ref="AH69:AI69"/>
    <mergeCell ref="X33:Y33"/>
    <mergeCell ref="Z33:AA33"/>
    <mergeCell ref="AB33:AC33"/>
    <mergeCell ref="AF41:AG41"/>
    <mergeCell ref="AD41:AE41"/>
    <mergeCell ref="AB41:AC41"/>
    <mergeCell ref="X41:Y41"/>
    <mergeCell ref="AD33:AE33"/>
    <mergeCell ref="AF33:AG33"/>
    <mergeCell ref="X69:Y69"/>
    <mergeCell ref="A33:A34"/>
    <mergeCell ref="B33:C33"/>
    <mergeCell ref="D33:E33"/>
    <mergeCell ref="F33:G33"/>
    <mergeCell ref="H33:I33"/>
    <mergeCell ref="P33:Q33"/>
    <mergeCell ref="R33:S33"/>
    <mergeCell ref="T33:U33"/>
    <mergeCell ref="V33:W33"/>
    <mergeCell ref="J33:K33"/>
    <mergeCell ref="L33:M33"/>
    <mergeCell ref="N33:O33"/>
    <mergeCell ref="A41:A42"/>
    <mergeCell ref="B41:C41"/>
    <mergeCell ref="D41:E41"/>
    <mergeCell ref="Z41:AA41"/>
    <mergeCell ref="L41:M41"/>
    <mergeCell ref="N41:O41"/>
    <mergeCell ref="P41:Q41"/>
    <mergeCell ref="R41:S41"/>
    <mergeCell ref="T41:U41"/>
    <mergeCell ref="V41:W41"/>
    <mergeCell ref="F41:G41"/>
    <mergeCell ref="H41:I41"/>
    <mergeCell ref="J41:K41"/>
    <mergeCell ref="A96:A97"/>
    <mergeCell ref="B96:C96"/>
    <mergeCell ref="L69:M69"/>
    <mergeCell ref="N69:O69"/>
    <mergeCell ref="P69:Q69"/>
    <mergeCell ref="A69:A70"/>
    <mergeCell ref="B69:C69"/>
    <mergeCell ref="D69:E69"/>
    <mergeCell ref="F69:G69"/>
    <mergeCell ref="H69:I69"/>
    <mergeCell ref="D96:E96"/>
    <mergeCell ref="F96:G96"/>
    <mergeCell ref="H96:I96"/>
    <mergeCell ref="J69:K69"/>
    <mergeCell ref="V69:W69"/>
    <mergeCell ref="V96:W96"/>
    <mergeCell ref="J96:K96"/>
    <mergeCell ref="X96:Y96"/>
    <mergeCell ref="L96:M96"/>
    <mergeCell ref="N96:O96"/>
    <mergeCell ref="P96:Q96"/>
    <mergeCell ref="R96:S96"/>
    <mergeCell ref="T96:U96"/>
    <mergeCell ref="R69:S69"/>
    <mergeCell ref="T69:U69"/>
    <mergeCell ref="AF96:AG96"/>
    <mergeCell ref="Z96:AA96"/>
    <mergeCell ref="AB96:AC96"/>
    <mergeCell ref="AD96:AE96"/>
    <mergeCell ref="AH96:AI96"/>
    <mergeCell ref="Z69:AA69"/>
    <mergeCell ref="AB69:AC69"/>
    <mergeCell ref="AD69:AE69"/>
    <mergeCell ref="AF69:AG69"/>
  </mergeCells>
  <hyperlinks>
    <hyperlink ref="A103" location="INDICE!A1" display="Volver al Índice" xr:uid="{00000000-0004-0000-0300-000000000000}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Titulacion Total</vt:lpstr>
      <vt:lpstr>Titulacion Pregrado</vt:lpstr>
      <vt:lpstr>Titulacion Posgrado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Espejo Peñaloza</dc:creator>
  <cp:lastModifiedBy>Juan Salamanca Velazquez</cp:lastModifiedBy>
  <dcterms:created xsi:type="dcterms:W3CDTF">2016-12-27T14:07:05Z</dcterms:created>
  <dcterms:modified xsi:type="dcterms:W3CDTF">2025-07-14T13:39:06Z</dcterms:modified>
</cp:coreProperties>
</file>